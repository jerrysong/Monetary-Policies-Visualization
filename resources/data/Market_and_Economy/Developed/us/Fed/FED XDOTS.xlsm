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18195" windowHeight="11820"/>
  </bookViews>
  <sheets>
    <sheet name="Chart" sheetId="3" r:id="rId1"/>
    <sheet name="Sheet1" sheetId="1" state="hidden" r:id="rId2"/>
    <sheet name="Sheet2" sheetId="2" state="hidden" r:id="rId3"/>
    <sheet name="Help" sheetId="4" r:id="rId4"/>
  </sheets>
  <definedNames>
    <definedName name="DataColDs">Chart!$DT$2:$DU$2</definedName>
    <definedName name="DataColIDs">Chart!$DT$2:$DU$2</definedName>
    <definedName name="HistPeriods">Chart!$C$3</definedName>
    <definedName name="TopTableData">Chart!$DQ$62</definedName>
    <definedName name="XMin">Chart!$DS$1</definedName>
  </definedNames>
  <calcPr calcId="145621"/>
</workbook>
</file>

<file path=xl/calcChain.xml><?xml version="1.0" encoding="utf-8"?>
<calcChain xmlns="http://schemas.openxmlformats.org/spreadsheetml/2006/main">
  <c r="C5" i="3" l="1"/>
  <c r="DQ64" i="3" l="1"/>
  <c r="DQ63" i="3" s="1"/>
  <c r="DR64" i="3"/>
  <c r="DS64" i="3"/>
  <c r="DS63" i="3" s="1"/>
  <c r="DT64" i="3"/>
  <c r="DT63" i="3" s="1"/>
  <c r="DU64" i="3"/>
  <c r="DV64" i="3"/>
  <c r="DW64" i="3"/>
  <c r="DW63" i="3" s="1"/>
  <c r="DX64" i="3"/>
  <c r="DX63" i="3" s="1"/>
  <c r="DY64" i="3"/>
  <c r="DY63" i="3" s="1"/>
  <c r="DZ64" i="3"/>
  <c r="EA64" i="3"/>
  <c r="EA63" i="3" s="1"/>
  <c r="EB64" i="3"/>
  <c r="EB63" i="3" s="1"/>
  <c r="EC64" i="3"/>
  <c r="EC63" i="3" s="1"/>
  <c r="ED64" i="3"/>
  <c r="EE64" i="3"/>
  <c r="EE63" i="3" s="1"/>
  <c r="EF64" i="3"/>
  <c r="EF63" i="3" s="1"/>
  <c r="EG64" i="3"/>
  <c r="EG63" i="3" s="1"/>
  <c r="EH64" i="3"/>
  <c r="EI64" i="3"/>
  <c r="EI63" i="3" s="1"/>
  <c r="EJ64" i="3"/>
  <c r="EJ63" i="3" s="1"/>
  <c r="EK64" i="3"/>
  <c r="EK63" i="3" s="1"/>
  <c r="EL64" i="3"/>
  <c r="EM64" i="3"/>
  <c r="EM63" i="3" s="1"/>
  <c r="EN64" i="3"/>
  <c r="EN63" i="3" s="1"/>
  <c r="EO64" i="3"/>
  <c r="EO63" i="3" s="1"/>
  <c r="EP64" i="3"/>
  <c r="EP63" i="3" s="1"/>
  <c r="EQ64" i="3"/>
  <c r="EQ63" i="3" s="1"/>
  <c r="ER64" i="3"/>
  <c r="ER63" i="3" s="1"/>
  <c r="EL63" i="3"/>
  <c r="DR63" i="3"/>
  <c r="DU63" i="3"/>
  <c r="DV63" i="3"/>
  <c r="DZ63" i="3"/>
  <c r="ED63" i="3"/>
  <c r="EH63" i="3"/>
  <c r="DU3" i="3" l="1"/>
  <c r="DU26" i="3" s="1"/>
  <c r="DS47" i="3" s="1"/>
  <c r="DU9" i="3" l="1"/>
  <c r="DU4" i="3"/>
  <c r="DU6" i="3"/>
  <c r="DU5" i="3"/>
  <c r="DU7" i="3"/>
  <c r="DU8" i="3"/>
  <c r="EQ31" i="3" l="1"/>
  <c r="EQ50" i="3"/>
  <c r="EQ42" i="3"/>
  <c r="EQ38" i="3"/>
  <c r="EQ30" i="3"/>
  <c r="EQ45" i="3"/>
  <c r="EQ41" i="3"/>
  <c r="EQ33" i="3"/>
  <c r="EQ48" i="3"/>
  <c r="EQ44" i="3"/>
  <c r="EQ40" i="3"/>
  <c r="EQ36" i="3"/>
  <c r="EQ32" i="3"/>
  <c r="EQ46" i="3"/>
  <c r="EQ34" i="3"/>
  <c r="EQ49" i="3"/>
  <c r="EQ37" i="3"/>
  <c r="EQ47" i="3"/>
  <c r="EQ43" i="3"/>
  <c r="EQ39" i="3"/>
  <c r="EQ35" i="3"/>
  <c r="EP50" i="3" l="1"/>
  <c r="EP49" i="3"/>
  <c r="EP48" i="3"/>
  <c r="EP47" i="3"/>
  <c r="EP46" i="3"/>
  <c r="EP45" i="3"/>
  <c r="EP44" i="3"/>
  <c r="EP43" i="3"/>
  <c r="EP42" i="3"/>
  <c r="EP41" i="3"/>
  <c r="EP40" i="3"/>
  <c r="EP39" i="3"/>
  <c r="EP38" i="3"/>
  <c r="EP37" i="3"/>
  <c r="EP36" i="3"/>
  <c r="EP35" i="3"/>
  <c r="EP34" i="3"/>
  <c r="EP33" i="3"/>
  <c r="EP32" i="3"/>
  <c r="EP31" i="3"/>
  <c r="EP30" i="3"/>
  <c r="E3" i="3"/>
  <c r="E5" i="3"/>
  <c r="EL21" i="3"/>
  <c r="EL20" i="3"/>
  <c r="EL22" i="3"/>
  <c r="EL28" i="3"/>
  <c r="EL17" i="3"/>
  <c r="EL29" i="3"/>
  <c r="EL27" i="3"/>
  <c r="EL24" i="3"/>
  <c r="EL13" i="3"/>
  <c r="EL26" i="3"/>
  <c r="EL11" i="3"/>
  <c r="EL16" i="3"/>
  <c r="EL19" i="3"/>
  <c r="EL14" i="3"/>
  <c r="EL25" i="3"/>
  <c r="EL15" i="3"/>
  <c r="EL23" i="3"/>
  <c r="EL12" i="3"/>
  <c r="EL18" i="3"/>
  <c r="EM22" i="3" l="1"/>
  <c r="EM13" i="3"/>
  <c r="EM11" i="3"/>
  <c r="EM27" i="3"/>
  <c r="EM21" i="3"/>
  <c r="EM12" i="3"/>
  <c r="EM24" i="3"/>
  <c r="EM15" i="3"/>
  <c r="EM23" i="3"/>
  <c r="EM16" i="3"/>
  <c r="EM18" i="3"/>
  <c r="EM19" i="3"/>
  <c r="EM20" i="3"/>
  <c r="EM29" i="3"/>
  <c r="EM14" i="3"/>
  <c r="EM28" i="3"/>
  <c r="EM17" i="3"/>
  <c r="EM25" i="3"/>
  <c r="EM26" i="3"/>
  <c r="EA4" i="3"/>
  <c r="DS35" i="3"/>
  <c r="DS36" i="3" s="1"/>
  <c r="EA3" i="3"/>
  <c r="AU3" i="2"/>
  <c r="AV3" i="2"/>
  <c r="AW3" i="2"/>
  <c r="AX3" i="2"/>
  <c r="AY3" i="2"/>
  <c r="AZ3" i="2"/>
  <c r="BA3" i="2"/>
  <c r="BB3" i="2"/>
  <c r="BC3" i="2"/>
  <c r="BD3" i="2"/>
  <c r="BE3" i="2"/>
  <c r="BF3" i="2"/>
  <c r="BG3" i="2"/>
  <c r="BH3" i="2"/>
  <c r="BI3" i="2"/>
  <c r="BJ3" i="2"/>
  <c r="BK3" i="2"/>
  <c r="BL3" i="2"/>
  <c r="BM3" i="2"/>
  <c r="AU4" i="2"/>
  <c r="AV4" i="2"/>
  <c r="AW4" i="2"/>
  <c r="AX4" i="2"/>
  <c r="AY4" i="2"/>
  <c r="AZ4" i="2"/>
  <c r="BA4" i="2"/>
  <c r="BB4" i="2"/>
  <c r="BC4" i="2"/>
  <c r="BD4" i="2"/>
  <c r="BE4" i="2"/>
  <c r="BF4" i="2"/>
  <c r="BG4" i="2"/>
  <c r="BH4" i="2"/>
  <c r="BI4" i="2"/>
  <c r="BJ4" i="2"/>
  <c r="BK4" i="2"/>
  <c r="BL4" i="2"/>
  <c r="BM4" i="2"/>
  <c r="AU5" i="2"/>
  <c r="AV5" i="2"/>
  <c r="AW5" i="2"/>
  <c r="AX5" i="2"/>
  <c r="AY5" i="2"/>
  <c r="AZ5" i="2"/>
  <c r="BA5" i="2"/>
  <c r="BB5" i="2"/>
  <c r="BC5" i="2"/>
  <c r="BD5" i="2"/>
  <c r="BE5" i="2"/>
  <c r="BF5" i="2"/>
  <c r="BG5" i="2"/>
  <c r="BH5" i="2"/>
  <c r="BI5" i="2"/>
  <c r="BJ5" i="2"/>
  <c r="BK5" i="2"/>
  <c r="BL5" i="2"/>
  <c r="BM5" i="2"/>
  <c r="AU6" i="2"/>
  <c r="AV6" i="2"/>
  <c r="AW6" i="2"/>
  <c r="AX6" i="2"/>
  <c r="AY6" i="2"/>
  <c r="AZ6" i="2"/>
  <c r="BA6" i="2"/>
  <c r="BB6" i="2"/>
  <c r="BC6" i="2"/>
  <c r="BD6" i="2"/>
  <c r="BE6" i="2"/>
  <c r="BF6" i="2"/>
  <c r="BG6" i="2"/>
  <c r="BH6" i="2"/>
  <c r="BI6" i="2"/>
  <c r="BJ6" i="2"/>
  <c r="BK6" i="2"/>
  <c r="BL6" i="2"/>
  <c r="BM6" i="2"/>
  <c r="AU7" i="2"/>
  <c r="AV7" i="2"/>
  <c r="AW7" i="2"/>
  <c r="AX7" i="2"/>
  <c r="AY7" i="2"/>
  <c r="AZ7" i="2"/>
  <c r="BA7" i="2"/>
  <c r="BB7" i="2"/>
  <c r="BC7" i="2"/>
  <c r="BD7" i="2"/>
  <c r="BE7" i="2"/>
  <c r="BF7" i="2"/>
  <c r="BG7" i="2"/>
  <c r="BH7" i="2"/>
  <c r="BI7" i="2"/>
  <c r="BJ7" i="2"/>
  <c r="BK7" i="2"/>
  <c r="BL7" i="2"/>
  <c r="BM7" i="2"/>
  <c r="AU8" i="2"/>
  <c r="AV8" i="2"/>
  <c r="AW8" i="2"/>
  <c r="AX8" i="2"/>
  <c r="AY8" i="2"/>
  <c r="AZ8" i="2"/>
  <c r="BA8" i="2"/>
  <c r="BB8" i="2"/>
  <c r="BC8" i="2"/>
  <c r="BD8" i="2"/>
  <c r="BE8" i="2"/>
  <c r="BF8" i="2"/>
  <c r="BG8" i="2"/>
  <c r="BH8" i="2"/>
  <c r="BI8" i="2"/>
  <c r="BJ8" i="2"/>
  <c r="BK8" i="2"/>
  <c r="BL8" i="2"/>
  <c r="BM8" i="2"/>
  <c r="AU9" i="2"/>
  <c r="AV9" i="2"/>
  <c r="AW9" i="2"/>
  <c r="AX9" i="2"/>
  <c r="AY9" i="2"/>
  <c r="AZ9" i="2"/>
  <c r="BA9" i="2"/>
  <c r="BB9" i="2"/>
  <c r="BC9" i="2"/>
  <c r="BD9" i="2"/>
  <c r="BE9" i="2"/>
  <c r="BF9" i="2"/>
  <c r="BG9" i="2"/>
  <c r="BH9" i="2"/>
  <c r="BI9" i="2"/>
  <c r="BJ9" i="2"/>
  <c r="BK9" i="2"/>
  <c r="BL9" i="2"/>
  <c r="BM9" i="2"/>
  <c r="AU10" i="2"/>
  <c r="AV10" i="2"/>
  <c r="AW10" i="2"/>
  <c r="AX10" i="2"/>
  <c r="AY10" i="2"/>
  <c r="AZ10" i="2"/>
  <c r="BA10" i="2"/>
  <c r="BB10" i="2"/>
  <c r="BC10" i="2"/>
  <c r="BD10" i="2"/>
  <c r="BE10" i="2"/>
  <c r="BF10" i="2"/>
  <c r="BG10" i="2"/>
  <c r="BH10" i="2"/>
  <c r="BI10" i="2"/>
  <c r="BJ10" i="2"/>
  <c r="BK10" i="2"/>
  <c r="BL10" i="2"/>
  <c r="BM10" i="2"/>
  <c r="AU11" i="2"/>
  <c r="AV11" i="2"/>
  <c r="AW11" i="2"/>
  <c r="AX11" i="2"/>
  <c r="AY11" i="2"/>
  <c r="AZ11" i="2"/>
  <c r="BA11" i="2"/>
  <c r="BB11" i="2"/>
  <c r="BC11" i="2"/>
  <c r="BD11" i="2"/>
  <c r="BE11" i="2"/>
  <c r="BF11" i="2"/>
  <c r="BG11" i="2"/>
  <c r="BH11" i="2"/>
  <c r="BI11" i="2"/>
  <c r="BJ11" i="2"/>
  <c r="BK11" i="2"/>
  <c r="BL11" i="2"/>
  <c r="BM11" i="2"/>
  <c r="AU12" i="2"/>
  <c r="AV12" i="2"/>
  <c r="AW12" i="2"/>
  <c r="AX12" i="2"/>
  <c r="AY12" i="2"/>
  <c r="AZ12" i="2"/>
  <c r="BA12" i="2"/>
  <c r="BB12" i="2"/>
  <c r="BC12" i="2"/>
  <c r="BD12" i="2"/>
  <c r="BE12" i="2"/>
  <c r="BF12" i="2"/>
  <c r="BG12" i="2"/>
  <c r="BH12" i="2"/>
  <c r="BI12" i="2"/>
  <c r="BJ12" i="2"/>
  <c r="BK12" i="2"/>
  <c r="BL12" i="2"/>
  <c r="BM12" i="2"/>
  <c r="AU13" i="2"/>
  <c r="AV13" i="2"/>
  <c r="AW13" i="2"/>
  <c r="AX13" i="2"/>
  <c r="AY13" i="2"/>
  <c r="AZ13" i="2"/>
  <c r="BA13" i="2"/>
  <c r="BB13" i="2"/>
  <c r="BC13" i="2"/>
  <c r="BD13" i="2"/>
  <c r="BE13" i="2"/>
  <c r="BF13" i="2"/>
  <c r="BG13" i="2"/>
  <c r="BH13" i="2"/>
  <c r="BI13" i="2"/>
  <c r="BJ13" i="2"/>
  <c r="BK13" i="2"/>
  <c r="BL13" i="2"/>
  <c r="BM13" i="2"/>
  <c r="AU14" i="2"/>
  <c r="AV14" i="2"/>
  <c r="AW14" i="2"/>
  <c r="AX14" i="2"/>
  <c r="AY14" i="2"/>
  <c r="AZ14" i="2"/>
  <c r="BA14" i="2"/>
  <c r="BB14" i="2"/>
  <c r="BC14" i="2"/>
  <c r="BD14" i="2"/>
  <c r="BE14" i="2"/>
  <c r="BF14" i="2"/>
  <c r="BG14" i="2"/>
  <c r="BH14" i="2"/>
  <c r="BI14" i="2"/>
  <c r="BJ14" i="2"/>
  <c r="BK14" i="2"/>
  <c r="BL14" i="2"/>
  <c r="BM14" i="2"/>
  <c r="AU15" i="2"/>
  <c r="AV15" i="2"/>
  <c r="AW15" i="2"/>
  <c r="AX15" i="2"/>
  <c r="AY15" i="2"/>
  <c r="AZ15" i="2"/>
  <c r="BA15" i="2"/>
  <c r="BB15" i="2"/>
  <c r="BC15" i="2"/>
  <c r="BD15" i="2"/>
  <c r="BE15" i="2"/>
  <c r="BF15" i="2"/>
  <c r="BG15" i="2"/>
  <c r="BH15" i="2"/>
  <c r="BI15" i="2"/>
  <c r="BJ15" i="2"/>
  <c r="BK15" i="2"/>
  <c r="BL15" i="2"/>
  <c r="BM15" i="2"/>
  <c r="AU16" i="2"/>
  <c r="AV16" i="2"/>
  <c r="AW16" i="2"/>
  <c r="AX16" i="2"/>
  <c r="AY16" i="2"/>
  <c r="AZ16" i="2"/>
  <c r="BA16" i="2"/>
  <c r="BB16" i="2"/>
  <c r="BC16" i="2"/>
  <c r="BD16" i="2"/>
  <c r="BE16" i="2"/>
  <c r="BF16" i="2"/>
  <c r="BG16" i="2"/>
  <c r="BH16" i="2"/>
  <c r="BI16" i="2"/>
  <c r="BJ16" i="2"/>
  <c r="BK16" i="2"/>
  <c r="BL16" i="2"/>
  <c r="BM16" i="2"/>
  <c r="AU17" i="2"/>
  <c r="AV17" i="2"/>
  <c r="AW17" i="2"/>
  <c r="AX17" i="2"/>
  <c r="AY17" i="2"/>
  <c r="AZ17" i="2"/>
  <c r="BA17" i="2"/>
  <c r="BB17" i="2"/>
  <c r="BC17" i="2"/>
  <c r="BD17" i="2"/>
  <c r="BE17" i="2"/>
  <c r="BF17" i="2"/>
  <c r="BG17" i="2"/>
  <c r="BH17" i="2"/>
  <c r="BI17" i="2"/>
  <c r="BJ17" i="2"/>
  <c r="BK17" i="2"/>
  <c r="BL17" i="2"/>
  <c r="BM17" i="2"/>
  <c r="AU18" i="2"/>
  <c r="AV18" i="2"/>
  <c r="AW18" i="2"/>
  <c r="AX18" i="2"/>
  <c r="AY18" i="2"/>
  <c r="AZ18" i="2"/>
  <c r="BA18" i="2"/>
  <c r="BB18" i="2"/>
  <c r="BC18" i="2"/>
  <c r="BD18" i="2"/>
  <c r="BE18" i="2"/>
  <c r="BF18" i="2"/>
  <c r="BG18" i="2"/>
  <c r="BH18" i="2"/>
  <c r="BI18" i="2"/>
  <c r="BJ18" i="2"/>
  <c r="BK18" i="2"/>
  <c r="BL18" i="2"/>
  <c r="BM18" i="2"/>
  <c r="AU19" i="2"/>
  <c r="AV19" i="2"/>
  <c r="AW19" i="2"/>
  <c r="AX19" i="2"/>
  <c r="AY19" i="2"/>
  <c r="AZ19" i="2"/>
  <c r="BA19" i="2"/>
  <c r="BB19" i="2"/>
  <c r="BC19" i="2"/>
  <c r="BD19" i="2"/>
  <c r="BE19" i="2"/>
  <c r="BF19" i="2"/>
  <c r="BG19" i="2"/>
  <c r="BH19" i="2"/>
  <c r="BI19" i="2"/>
  <c r="BJ19" i="2"/>
  <c r="BK19" i="2"/>
  <c r="BL19" i="2"/>
  <c r="BM19" i="2"/>
  <c r="AU20" i="2"/>
  <c r="AV20" i="2"/>
  <c r="AW20" i="2"/>
  <c r="AX20" i="2"/>
  <c r="AY20" i="2"/>
  <c r="AZ20" i="2"/>
  <c r="BA20" i="2"/>
  <c r="BB20" i="2"/>
  <c r="BC20" i="2"/>
  <c r="BD20" i="2"/>
  <c r="BE20" i="2"/>
  <c r="BF20" i="2"/>
  <c r="BG20" i="2"/>
  <c r="BH20" i="2"/>
  <c r="BI20" i="2"/>
  <c r="BJ20" i="2"/>
  <c r="BK20" i="2"/>
  <c r="BL20" i="2"/>
  <c r="BM20" i="2"/>
  <c r="AU21" i="2"/>
  <c r="AV21" i="2"/>
  <c r="AW21" i="2"/>
  <c r="AX21" i="2"/>
  <c r="AY21" i="2"/>
  <c r="AZ21" i="2"/>
  <c r="BA21" i="2"/>
  <c r="BB21" i="2"/>
  <c r="BC21" i="2"/>
  <c r="BD21" i="2"/>
  <c r="BE21" i="2"/>
  <c r="BF21" i="2"/>
  <c r="BG21" i="2"/>
  <c r="BH21" i="2"/>
  <c r="BI21" i="2"/>
  <c r="BJ21" i="2"/>
  <c r="BK21" i="2"/>
  <c r="BL21" i="2"/>
  <c r="BM21" i="2"/>
  <c r="AU22" i="2"/>
  <c r="AV22" i="2"/>
  <c r="AW22" i="2"/>
  <c r="AX22" i="2"/>
  <c r="AY22" i="2"/>
  <c r="AZ22" i="2"/>
  <c r="BA22" i="2"/>
  <c r="BB22" i="2"/>
  <c r="BC22" i="2"/>
  <c r="BD22" i="2"/>
  <c r="BE22" i="2"/>
  <c r="BF22" i="2"/>
  <c r="BG22" i="2"/>
  <c r="BH22" i="2"/>
  <c r="BI22" i="2"/>
  <c r="BJ22" i="2"/>
  <c r="BK22" i="2"/>
  <c r="BL22" i="2"/>
  <c r="BM22" i="2"/>
  <c r="AU23" i="2"/>
  <c r="AV23" i="2"/>
  <c r="AW23" i="2"/>
  <c r="AX23" i="2"/>
  <c r="AY23" i="2"/>
  <c r="AZ23" i="2"/>
  <c r="BA23" i="2"/>
  <c r="BB23" i="2"/>
  <c r="BC23" i="2"/>
  <c r="BD23" i="2"/>
  <c r="BE23" i="2"/>
  <c r="BF23" i="2"/>
  <c r="BG23" i="2"/>
  <c r="BH23" i="2"/>
  <c r="BI23" i="2"/>
  <c r="BJ23" i="2"/>
  <c r="BK23" i="2"/>
  <c r="BL23" i="2"/>
  <c r="BM23" i="2"/>
  <c r="AU24" i="2"/>
  <c r="AV24" i="2"/>
  <c r="AW24" i="2"/>
  <c r="AX24" i="2"/>
  <c r="AY24" i="2"/>
  <c r="AZ24" i="2"/>
  <c r="BA24" i="2"/>
  <c r="BB24" i="2"/>
  <c r="BC24" i="2"/>
  <c r="BD24" i="2"/>
  <c r="BE24" i="2"/>
  <c r="BF24" i="2"/>
  <c r="BG24" i="2"/>
  <c r="BH24" i="2"/>
  <c r="BI24" i="2"/>
  <c r="BJ24" i="2"/>
  <c r="BK24" i="2"/>
  <c r="BL24" i="2"/>
  <c r="BM24" i="2"/>
  <c r="AU25" i="2"/>
  <c r="AV25" i="2"/>
  <c r="AW25" i="2"/>
  <c r="AX25" i="2"/>
  <c r="AY25" i="2"/>
  <c r="AZ25" i="2"/>
  <c r="BA25" i="2"/>
  <c r="BB25" i="2"/>
  <c r="BC25" i="2"/>
  <c r="BD25" i="2"/>
  <c r="BE25" i="2"/>
  <c r="BF25" i="2"/>
  <c r="BG25" i="2"/>
  <c r="BH25" i="2"/>
  <c r="BI25" i="2"/>
  <c r="BJ25" i="2"/>
  <c r="BK25" i="2"/>
  <c r="BL25" i="2"/>
  <c r="BM25" i="2"/>
  <c r="AU26" i="2"/>
  <c r="AV26" i="2"/>
  <c r="AW26" i="2"/>
  <c r="AX26" i="2"/>
  <c r="AY26" i="2"/>
  <c r="AZ26" i="2"/>
  <c r="BA26" i="2"/>
  <c r="BB26" i="2"/>
  <c r="BC26" i="2"/>
  <c r="BD26" i="2"/>
  <c r="BE26" i="2"/>
  <c r="BF26" i="2"/>
  <c r="BG26" i="2"/>
  <c r="BH26" i="2"/>
  <c r="BI26" i="2"/>
  <c r="BJ26" i="2"/>
  <c r="BK26" i="2"/>
  <c r="BL26" i="2"/>
  <c r="BM26" i="2"/>
  <c r="AU27" i="2"/>
  <c r="AV27" i="2"/>
  <c r="AW27" i="2"/>
  <c r="AX27" i="2"/>
  <c r="AY27" i="2"/>
  <c r="AZ27" i="2"/>
  <c r="BA27" i="2"/>
  <c r="BB27" i="2"/>
  <c r="BC27" i="2"/>
  <c r="BD27" i="2"/>
  <c r="BE27" i="2"/>
  <c r="BF27" i="2"/>
  <c r="BG27" i="2"/>
  <c r="BH27" i="2"/>
  <c r="BI27" i="2"/>
  <c r="BJ27" i="2"/>
  <c r="BK27" i="2"/>
  <c r="BL27" i="2"/>
  <c r="BM27" i="2"/>
  <c r="AU28" i="2"/>
  <c r="AV28" i="2"/>
  <c r="AW28" i="2"/>
  <c r="AX28" i="2"/>
  <c r="AY28" i="2"/>
  <c r="AZ28" i="2"/>
  <c r="BA28" i="2"/>
  <c r="BB28" i="2"/>
  <c r="BC28" i="2"/>
  <c r="BD28" i="2"/>
  <c r="BE28" i="2"/>
  <c r="BF28" i="2"/>
  <c r="BG28" i="2"/>
  <c r="BH28" i="2"/>
  <c r="BI28" i="2"/>
  <c r="BJ28" i="2"/>
  <c r="BK28" i="2"/>
  <c r="BL28" i="2"/>
  <c r="BM28" i="2"/>
  <c r="AU29" i="2"/>
  <c r="AV29" i="2"/>
  <c r="AW29" i="2"/>
  <c r="AX29" i="2"/>
  <c r="AY29" i="2"/>
  <c r="AZ29" i="2"/>
  <c r="BA29" i="2"/>
  <c r="BB29" i="2"/>
  <c r="BC29" i="2"/>
  <c r="BD29" i="2"/>
  <c r="BE29" i="2"/>
  <c r="BF29" i="2"/>
  <c r="BG29" i="2"/>
  <c r="BH29" i="2"/>
  <c r="BI29" i="2"/>
  <c r="BJ29" i="2"/>
  <c r="BK29" i="2"/>
  <c r="BL29" i="2"/>
  <c r="BM29" i="2"/>
  <c r="AU30" i="2"/>
  <c r="AV30" i="2"/>
  <c r="AW30" i="2"/>
  <c r="AX30" i="2"/>
  <c r="AY30" i="2"/>
  <c r="AZ30" i="2"/>
  <c r="BA30" i="2"/>
  <c r="BB30" i="2"/>
  <c r="BC30" i="2"/>
  <c r="BD30" i="2"/>
  <c r="BE30" i="2"/>
  <c r="BF30" i="2"/>
  <c r="BG30" i="2"/>
  <c r="BH30" i="2"/>
  <c r="BI30" i="2"/>
  <c r="BJ30" i="2"/>
  <c r="BK30" i="2"/>
  <c r="BL30" i="2"/>
  <c r="BM30" i="2"/>
  <c r="AU31" i="2"/>
  <c r="AV31" i="2"/>
  <c r="AW31" i="2"/>
  <c r="AX31" i="2"/>
  <c r="AY31" i="2"/>
  <c r="AZ31" i="2"/>
  <c r="BA31" i="2"/>
  <c r="BB31" i="2"/>
  <c r="BC31" i="2"/>
  <c r="BD31" i="2"/>
  <c r="BE31" i="2"/>
  <c r="BF31" i="2"/>
  <c r="BG31" i="2"/>
  <c r="BH31" i="2"/>
  <c r="BI31" i="2"/>
  <c r="BJ31" i="2"/>
  <c r="BK31" i="2"/>
  <c r="BL31" i="2"/>
  <c r="BM31" i="2"/>
  <c r="AU32" i="2"/>
  <c r="AV32" i="2"/>
  <c r="AW32" i="2"/>
  <c r="AX32" i="2"/>
  <c r="AY32" i="2"/>
  <c r="AZ32" i="2"/>
  <c r="BA32" i="2"/>
  <c r="BB32" i="2"/>
  <c r="BC32" i="2"/>
  <c r="BD32" i="2"/>
  <c r="BE32" i="2"/>
  <c r="BF32" i="2"/>
  <c r="BG32" i="2"/>
  <c r="BH32" i="2"/>
  <c r="BI32" i="2"/>
  <c r="BJ32" i="2"/>
  <c r="BK32" i="2"/>
  <c r="BL32" i="2"/>
  <c r="BM32" i="2"/>
  <c r="AU33" i="2"/>
  <c r="AV33" i="2"/>
  <c r="AW33" i="2"/>
  <c r="AX33" i="2"/>
  <c r="AY33" i="2"/>
  <c r="AZ33" i="2"/>
  <c r="BA33" i="2"/>
  <c r="BB33" i="2"/>
  <c r="BC33" i="2"/>
  <c r="BD33" i="2"/>
  <c r="BE33" i="2"/>
  <c r="BF33" i="2"/>
  <c r="BG33" i="2"/>
  <c r="BH33" i="2"/>
  <c r="BI33" i="2"/>
  <c r="BJ33" i="2"/>
  <c r="BK33" i="2"/>
  <c r="BL33" i="2"/>
  <c r="BM33" i="2"/>
  <c r="AU34" i="2"/>
  <c r="AV34" i="2"/>
  <c r="AW34" i="2"/>
  <c r="AX34" i="2"/>
  <c r="AY34" i="2"/>
  <c r="AZ34" i="2"/>
  <c r="BA34" i="2"/>
  <c r="BB34" i="2"/>
  <c r="BC34" i="2"/>
  <c r="BD34" i="2"/>
  <c r="BE34" i="2"/>
  <c r="BF34" i="2"/>
  <c r="BG34" i="2"/>
  <c r="BH34" i="2"/>
  <c r="BI34" i="2"/>
  <c r="BJ34" i="2"/>
  <c r="BK34" i="2"/>
  <c r="BL34" i="2"/>
  <c r="BM34" i="2"/>
  <c r="AU35" i="2"/>
  <c r="AV35" i="2"/>
  <c r="AW35" i="2"/>
  <c r="AX35" i="2"/>
  <c r="AY35" i="2"/>
  <c r="AZ35" i="2"/>
  <c r="BA35" i="2"/>
  <c r="BB35" i="2"/>
  <c r="BC35" i="2"/>
  <c r="BD35" i="2"/>
  <c r="BE35" i="2"/>
  <c r="BF35" i="2"/>
  <c r="BG35" i="2"/>
  <c r="BH35" i="2"/>
  <c r="BI35" i="2"/>
  <c r="BJ35" i="2"/>
  <c r="BK35" i="2"/>
  <c r="BL35" i="2"/>
  <c r="BM35" i="2"/>
  <c r="AU36" i="2"/>
  <c r="AV36" i="2"/>
  <c r="AW36" i="2"/>
  <c r="AX36" i="2"/>
  <c r="AY36" i="2"/>
  <c r="AZ36" i="2"/>
  <c r="BA36" i="2"/>
  <c r="BB36" i="2"/>
  <c r="BC36" i="2"/>
  <c r="BD36" i="2"/>
  <c r="BE36" i="2"/>
  <c r="BF36" i="2"/>
  <c r="BG36" i="2"/>
  <c r="BH36" i="2"/>
  <c r="BI36" i="2"/>
  <c r="BJ36" i="2"/>
  <c r="BK36" i="2"/>
  <c r="BL36" i="2"/>
  <c r="BM36" i="2"/>
  <c r="AU37" i="2"/>
  <c r="AV37" i="2"/>
  <c r="AW37" i="2"/>
  <c r="AX37" i="2"/>
  <c r="AY37" i="2"/>
  <c r="AZ37" i="2"/>
  <c r="BA37" i="2"/>
  <c r="BB37" i="2"/>
  <c r="BC37" i="2"/>
  <c r="BD37" i="2"/>
  <c r="BE37" i="2"/>
  <c r="BF37" i="2"/>
  <c r="BG37" i="2"/>
  <c r="BH37" i="2"/>
  <c r="BI37" i="2"/>
  <c r="BJ37" i="2"/>
  <c r="BK37" i="2"/>
  <c r="BL37" i="2"/>
  <c r="BM37" i="2"/>
  <c r="AU38" i="2"/>
  <c r="AV38" i="2"/>
  <c r="AW38" i="2"/>
  <c r="AX38" i="2"/>
  <c r="AY38" i="2"/>
  <c r="AZ38" i="2"/>
  <c r="BA38" i="2"/>
  <c r="BB38" i="2"/>
  <c r="BC38" i="2"/>
  <c r="BD38" i="2"/>
  <c r="BE38" i="2"/>
  <c r="BF38" i="2"/>
  <c r="BG38" i="2"/>
  <c r="BH38" i="2"/>
  <c r="BI38" i="2"/>
  <c r="BJ38" i="2"/>
  <c r="BK38" i="2"/>
  <c r="BL38" i="2"/>
  <c r="BM38" i="2"/>
  <c r="AU39" i="2"/>
  <c r="AV39" i="2"/>
  <c r="AW39" i="2"/>
  <c r="AX39" i="2"/>
  <c r="AY39" i="2"/>
  <c r="AZ39" i="2"/>
  <c r="BA39" i="2"/>
  <c r="BB39" i="2"/>
  <c r="BC39" i="2"/>
  <c r="BD39" i="2"/>
  <c r="BE39" i="2"/>
  <c r="BF39" i="2"/>
  <c r="BG39" i="2"/>
  <c r="BH39" i="2"/>
  <c r="BI39" i="2"/>
  <c r="BJ39" i="2"/>
  <c r="BK39" i="2"/>
  <c r="BL39" i="2"/>
  <c r="BM39" i="2"/>
  <c r="AU40" i="2"/>
  <c r="AV40" i="2"/>
  <c r="AW40" i="2"/>
  <c r="AX40" i="2"/>
  <c r="AY40" i="2"/>
  <c r="AZ40" i="2"/>
  <c r="BA40" i="2"/>
  <c r="BB40" i="2"/>
  <c r="BC40" i="2"/>
  <c r="BD40" i="2"/>
  <c r="BE40" i="2"/>
  <c r="BF40" i="2"/>
  <c r="BG40" i="2"/>
  <c r="BH40" i="2"/>
  <c r="BI40" i="2"/>
  <c r="BJ40" i="2"/>
  <c r="BK40" i="2"/>
  <c r="BL40" i="2"/>
  <c r="BM40" i="2"/>
  <c r="AU41" i="2"/>
  <c r="AV41" i="2"/>
  <c r="AW41" i="2"/>
  <c r="AX41" i="2"/>
  <c r="AY41" i="2"/>
  <c r="AZ41" i="2"/>
  <c r="BA41" i="2"/>
  <c r="BB41" i="2"/>
  <c r="BC41" i="2"/>
  <c r="BD41" i="2"/>
  <c r="BE41" i="2"/>
  <c r="BF41" i="2"/>
  <c r="BG41" i="2"/>
  <c r="BH41" i="2"/>
  <c r="BI41" i="2"/>
  <c r="BJ41" i="2"/>
  <c r="BK41" i="2"/>
  <c r="BL41" i="2"/>
  <c r="BM41" i="2"/>
  <c r="AU42" i="2"/>
  <c r="AV42" i="2"/>
  <c r="AW42" i="2"/>
  <c r="AX42" i="2"/>
  <c r="AY42" i="2"/>
  <c r="AZ42" i="2"/>
  <c r="BA42" i="2"/>
  <c r="BB42" i="2"/>
  <c r="BC42" i="2"/>
  <c r="BD42" i="2"/>
  <c r="BE42" i="2"/>
  <c r="BF42" i="2"/>
  <c r="BG42" i="2"/>
  <c r="BH42" i="2"/>
  <c r="BI42" i="2"/>
  <c r="BJ42" i="2"/>
  <c r="BK42" i="2"/>
  <c r="BL42" i="2"/>
  <c r="BM42" i="2"/>
  <c r="AU43" i="2"/>
  <c r="AV43" i="2"/>
  <c r="AW43" i="2"/>
  <c r="AX43" i="2"/>
  <c r="AY43" i="2"/>
  <c r="AZ43" i="2"/>
  <c r="BA43" i="2"/>
  <c r="BB43" i="2"/>
  <c r="BC43" i="2"/>
  <c r="BD43" i="2"/>
  <c r="BE43" i="2"/>
  <c r="BF43" i="2"/>
  <c r="BG43" i="2"/>
  <c r="BH43" i="2"/>
  <c r="BI43" i="2"/>
  <c r="BJ43" i="2"/>
  <c r="BK43" i="2"/>
  <c r="BL43" i="2"/>
  <c r="BM43" i="2"/>
  <c r="AU44" i="2"/>
  <c r="AV44" i="2"/>
  <c r="AW44" i="2"/>
  <c r="AX44" i="2"/>
  <c r="AY44" i="2"/>
  <c r="AZ44" i="2"/>
  <c r="BA44" i="2"/>
  <c r="BB44" i="2"/>
  <c r="BC44" i="2"/>
  <c r="BD44" i="2"/>
  <c r="BE44" i="2"/>
  <c r="BF44" i="2"/>
  <c r="BG44" i="2"/>
  <c r="BH44" i="2"/>
  <c r="BI44" i="2"/>
  <c r="BJ44" i="2"/>
  <c r="BK44" i="2"/>
  <c r="BL44" i="2"/>
  <c r="BM44" i="2"/>
  <c r="AU45" i="2"/>
  <c r="AV45" i="2"/>
  <c r="AW45" i="2"/>
  <c r="AX45" i="2"/>
  <c r="AY45" i="2"/>
  <c r="AZ45" i="2"/>
  <c r="BA45" i="2"/>
  <c r="BB45" i="2"/>
  <c r="BC45" i="2"/>
  <c r="BD45" i="2"/>
  <c r="BE45" i="2"/>
  <c r="BF45" i="2"/>
  <c r="BG45" i="2"/>
  <c r="BH45" i="2"/>
  <c r="BI45" i="2"/>
  <c r="BJ45" i="2"/>
  <c r="BK45" i="2"/>
  <c r="BL45" i="2"/>
  <c r="BM45" i="2"/>
  <c r="AU46" i="2"/>
  <c r="AV46" i="2"/>
  <c r="AW46" i="2"/>
  <c r="AX46" i="2"/>
  <c r="AY46" i="2"/>
  <c r="AZ46" i="2"/>
  <c r="BA46" i="2"/>
  <c r="BB46" i="2"/>
  <c r="BC46" i="2"/>
  <c r="BD46" i="2"/>
  <c r="BE46" i="2"/>
  <c r="BF46" i="2"/>
  <c r="BG46" i="2"/>
  <c r="BH46" i="2"/>
  <c r="BI46" i="2"/>
  <c r="BJ46" i="2"/>
  <c r="BK46" i="2"/>
  <c r="BL46" i="2"/>
  <c r="BM46" i="2"/>
  <c r="AU47" i="2"/>
  <c r="AV47" i="2"/>
  <c r="AW47" i="2"/>
  <c r="AX47" i="2"/>
  <c r="AY47" i="2"/>
  <c r="AZ47" i="2"/>
  <c r="BA47" i="2"/>
  <c r="BB47" i="2"/>
  <c r="BC47" i="2"/>
  <c r="BD47" i="2"/>
  <c r="BE47" i="2"/>
  <c r="BF47" i="2"/>
  <c r="BG47" i="2"/>
  <c r="BH47" i="2"/>
  <c r="BI47" i="2"/>
  <c r="BJ47" i="2"/>
  <c r="BK47" i="2"/>
  <c r="BL47" i="2"/>
  <c r="BM47" i="2"/>
  <c r="AU48" i="2"/>
  <c r="AV48" i="2"/>
  <c r="AW48" i="2"/>
  <c r="AX48" i="2"/>
  <c r="AY48" i="2"/>
  <c r="AZ48" i="2"/>
  <c r="BA48" i="2"/>
  <c r="BB48" i="2"/>
  <c r="BC48" i="2"/>
  <c r="BD48" i="2"/>
  <c r="BE48" i="2"/>
  <c r="BF48" i="2"/>
  <c r="BG48" i="2"/>
  <c r="BH48" i="2"/>
  <c r="BI48" i="2"/>
  <c r="BJ48" i="2"/>
  <c r="BK48" i="2"/>
  <c r="BL48" i="2"/>
  <c r="BM48" i="2"/>
  <c r="AU49" i="2"/>
  <c r="AV49" i="2"/>
  <c r="AW49" i="2"/>
  <c r="AX49" i="2"/>
  <c r="AY49" i="2"/>
  <c r="AZ49" i="2"/>
  <c r="BA49" i="2"/>
  <c r="BB49" i="2"/>
  <c r="BC49" i="2"/>
  <c r="BD49" i="2"/>
  <c r="BE49" i="2"/>
  <c r="BF49" i="2"/>
  <c r="BG49" i="2"/>
  <c r="BH49" i="2"/>
  <c r="BI49" i="2"/>
  <c r="BJ49" i="2"/>
  <c r="BK49" i="2"/>
  <c r="BL49" i="2"/>
  <c r="BM49" i="2"/>
  <c r="AU50" i="2"/>
  <c r="AV50" i="2"/>
  <c r="AW50" i="2"/>
  <c r="AX50" i="2"/>
  <c r="AY50" i="2"/>
  <c r="AZ50" i="2"/>
  <c r="BA50" i="2"/>
  <c r="BB50" i="2"/>
  <c r="BC50" i="2"/>
  <c r="BD50" i="2"/>
  <c r="BE50" i="2"/>
  <c r="BF50" i="2"/>
  <c r="BG50" i="2"/>
  <c r="BH50" i="2"/>
  <c r="BI50" i="2"/>
  <c r="BJ50" i="2"/>
  <c r="BK50" i="2"/>
  <c r="BL50" i="2"/>
  <c r="BM50" i="2"/>
  <c r="AU51" i="2"/>
  <c r="AV51" i="2"/>
  <c r="AW51" i="2"/>
  <c r="AX51" i="2"/>
  <c r="AY51" i="2"/>
  <c r="AZ51" i="2"/>
  <c r="BA51" i="2"/>
  <c r="BB51" i="2"/>
  <c r="BC51" i="2"/>
  <c r="BD51" i="2"/>
  <c r="BE51" i="2"/>
  <c r="BF51" i="2"/>
  <c r="BG51" i="2"/>
  <c r="BH51" i="2"/>
  <c r="BI51" i="2"/>
  <c r="BJ51" i="2"/>
  <c r="BK51" i="2"/>
  <c r="BL51" i="2"/>
  <c r="BM51" i="2"/>
  <c r="AU52" i="2"/>
  <c r="AV52" i="2"/>
  <c r="AW52" i="2"/>
  <c r="AX52" i="2"/>
  <c r="AY52" i="2"/>
  <c r="AZ52" i="2"/>
  <c r="BA52" i="2"/>
  <c r="BB52" i="2"/>
  <c r="BC52" i="2"/>
  <c r="BD52" i="2"/>
  <c r="BE52" i="2"/>
  <c r="BF52" i="2"/>
  <c r="BG52" i="2"/>
  <c r="BH52" i="2"/>
  <c r="BI52" i="2"/>
  <c r="BJ52" i="2"/>
  <c r="BK52" i="2"/>
  <c r="BL52" i="2"/>
  <c r="BM52" i="2"/>
  <c r="AU53" i="2"/>
  <c r="AV53" i="2"/>
  <c r="AW53" i="2"/>
  <c r="AX53" i="2"/>
  <c r="AY53" i="2"/>
  <c r="AZ53" i="2"/>
  <c r="BA53" i="2"/>
  <c r="BB53" i="2"/>
  <c r="BC53" i="2"/>
  <c r="BD53" i="2"/>
  <c r="BE53" i="2"/>
  <c r="BF53" i="2"/>
  <c r="BG53" i="2"/>
  <c r="BH53" i="2"/>
  <c r="BI53" i="2"/>
  <c r="BJ53" i="2"/>
  <c r="BK53" i="2"/>
  <c r="BL53" i="2"/>
  <c r="BM53" i="2"/>
  <c r="AU54" i="2"/>
  <c r="AV54" i="2"/>
  <c r="AW54" i="2"/>
  <c r="AX54" i="2"/>
  <c r="AY54" i="2"/>
  <c r="AZ54" i="2"/>
  <c r="BA54" i="2"/>
  <c r="BB54" i="2"/>
  <c r="BC54" i="2"/>
  <c r="BD54" i="2"/>
  <c r="BE54" i="2"/>
  <c r="BF54" i="2"/>
  <c r="BG54" i="2"/>
  <c r="BH54" i="2"/>
  <c r="BI54" i="2"/>
  <c r="BJ54" i="2"/>
  <c r="BK54" i="2"/>
  <c r="BL54" i="2"/>
  <c r="BM54" i="2"/>
  <c r="AU55" i="2"/>
  <c r="AV55" i="2"/>
  <c r="AW55" i="2"/>
  <c r="AX55" i="2"/>
  <c r="AY55" i="2"/>
  <c r="AZ55" i="2"/>
  <c r="BA55" i="2"/>
  <c r="BB55" i="2"/>
  <c r="BC55" i="2"/>
  <c r="BD55" i="2"/>
  <c r="BE55" i="2"/>
  <c r="BF55" i="2"/>
  <c r="BG55" i="2"/>
  <c r="BH55" i="2"/>
  <c r="BI55" i="2"/>
  <c r="BJ55" i="2"/>
  <c r="BK55" i="2"/>
  <c r="BL55" i="2"/>
  <c r="BM55" i="2"/>
  <c r="AU56" i="2"/>
  <c r="AV56" i="2"/>
  <c r="AW56" i="2"/>
  <c r="AX56" i="2"/>
  <c r="AY56" i="2"/>
  <c r="AZ56" i="2"/>
  <c r="BA56" i="2"/>
  <c r="BB56" i="2"/>
  <c r="BC56" i="2"/>
  <c r="BD56" i="2"/>
  <c r="BE56" i="2"/>
  <c r="BF56" i="2"/>
  <c r="BG56" i="2"/>
  <c r="BH56" i="2"/>
  <c r="BI56" i="2"/>
  <c r="BJ56" i="2"/>
  <c r="BK56" i="2"/>
  <c r="BL56" i="2"/>
  <c r="BM56" i="2"/>
  <c r="AU57" i="2"/>
  <c r="AV57" i="2"/>
  <c r="AW57" i="2"/>
  <c r="AX57" i="2"/>
  <c r="AY57" i="2"/>
  <c r="AZ57" i="2"/>
  <c r="BA57" i="2"/>
  <c r="BB57" i="2"/>
  <c r="BC57" i="2"/>
  <c r="BD57" i="2"/>
  <c r="BE57" i="2"/>
  <c r="BF57" i="2"/>
  <c r="BG57" i="2"/>
  <c r="BH57" i="2"/>
  <c r="BI57" i="2"/>
  <c r="BJ57" i="2"/>
  <c r="BK57" i="2"/>
  <c r="BL57" i="2"/>
  <c r="BM57" i="2"/>
  <c r="AU58" i="2"/>
  <c r="AV58" i="2"/>
  <c r="AW58" i="2"/>
  <c r="AX58" i="2"/>
  <c r="AY58" i="2"/>
  <c r="AZ58" i="2"/>
  <c r="BA58" i="2"/>
  <c r="BB58" i="2"/>
  <c r="BC58" i="2"/>
  <c r="BD58" i="2"/>
  <c r="BE58" i="2"/>
  <c r="BF58" i="2"/>
  <c r="BG58" i="2"/>
  <c r="BH58" i="2"/>
  <c r="BI58" i="2"/>
  <c r="BJ58" i="2"/>
  <c r="BK58" i="2"/>
  <c r="BL58" i="2"/>
  <c r="BM58" i="2"/>
  <c r="AU59" i="2"/>
  <c r="AV59" i="2"/>
  <c r="AW59" i="2"/>
  <c r="AX59" i="2"/>
  <c r="AY59" i="2"/>
  <c r="AZ59" i="2"/>
  <c r="BA59" i="2"/>
  <c r="BB59" i="2"/>
  <c r="BC59" i="2"/>
  <c r="BD59" i="2"/>
  <c r="BE59" i="2"/>
  <c r="BF59" i="2"/>
  <c r="BG59" i="2"/>
  <c r="BH59" i="2"/>
  <c r="BI59" i="2"/>
  <c r="BJ59" i="2"/>
  <c r="BK59" i="2"/>
  <c r="BL59" i="2"/>
  <c r="BM59" i="2"/>
  <c r="AU60" i="2"/>
  <c r="AV60" i="2"/>
  <c r="AW60" i="2"/>
  <c r="AX60" i="2"/>
  <c r="AY60" i="2"/>
  <c r="AZ60" i="2"/>
  <c r="BA60" i="2"/>
  <c r="BB60" i="2"/>
  <c r="BC60" i="2"/>
  <c r="BD60" i="2"/>
  <c r="BE60" i="2"/>
  <c r="BF60" i="2"/>
  <c r="BG60" i="2"/>
  <c r="BH60" i="2"/>
  <c r="BI60" i="2"/>
  <c r="BJ60" i="2"/>
  <c r="BK60" i="2"/>
  <c r="BL60" i="2"/>
  <c r="BM60" i="2"/>
  <c r="AU61" i="2"/>
  <c r="AV61" i="2"/>
  <c r="AW61" i="2"/>
  <c r="AX61" i="2"/>
  <c r="AY61" i="2"/>
  <c r="AZ61" i="2"/>
  <c r="BA61" i="2"/>
  <c r="BB61" i="2"/>
  <c r="BC61" i="2"/>
  <c r="BD61" i="2"/>
  <c r="BE61" i="2"/>
  <c r="BF61" i="2"/>
  <c r="BG61" i="2"/>
  <c r="BH61" i="2"/>
  <c r="BI61" i="2"/>
  <c r="BJ61" i="2"/>
  <c r="BK61" i="2"/>
  <c r="BL61" i="2"/>
  <c r="BM61" i="2"/>
  <c r="AU62" i="2"/>
  <c r="AV62" i="2"/>
  <c r="AW62" i="2"/>
  <c r="AX62" i="2"/>
  <c r="AY62" i="2"/>
  <c r="AZ62" i="2"/>
  <c r="BA62" i="2"/>
  <c r="BB62" i="2"/>
  <c r="BC62" i="2"/>
  <c r="BD62" i="2"/>
  <c r="BE62" i="2"/>
  <c r="BF62" i="2"/>
  <c r="BG62" i="2"/>
  <c r="BH62" i="2"/>
  <c r="BI62" i="2"/>
  <c r="BJ62" i="2"/>
  <c r="BK62" i="2"/>
  <c r="BL62" i="2"/>
  <c r="BM62" i="2"/>
  <c r="AU63" i="2"/>
  <c r="AV63" i="2"/>
  <c r="AW63" i="2"/>
  <c r="AX63" i="2"/>
  <c r="AY63" i="2"/>
  <c r="AZ63" i="2"/>
  <c r="BA63" i="2"/>
  <c r="BB63" i="2"/>
  <c r="BC63" i="2"/>
  <c r="BD63" i="2"/>
  <c r="BE63" i="2"/>
  <c r="BF63" i="2"/>
  <c r="BG63" i="2"/>
  <c r="BH63" i="2"/>
  <c r="BI63" i="2"/>
  <c r="BJ63" i="2"/>
  <c r="BK63" i="2"/>
  <c r="BL63" i="2"/>
  <c r="BM63" i="2"/>
  <c r="AU64" i="2"/>
  <c r="AV64" i="2"/>
  <c r="AW64" i="2"/>
  <c r="AX64" i="2"/>
  <c r="AY64" i="2"/>
  <c r="AZ64" i="2"/>
  <c r="BA64" i="2"/>
  <c r="BB64" i="2"/>
  <c r="BC64" i="2"/>
  <c r="BD64" i="2"/>
  <c r="BE64" i="2"/>
  <c r="BF64" i="2"/>
  <c r="BG64" i="2"/>
  <c r="BH64" i="2"/>
  <c r="BI64" i="2"/>
  <c r="BJ64" i="2"/>
  <c r="BK64" i="2"/>
  <c r="BL64" i="2"/>
  <c r="BM64" i="2"/>
  <c r="AU65" i="2"/>
  <c r="AV65" i="2"/>
  <c r="AW65" i="2"/>
  <c r="AX65" i="2"/>
  <c r="AY65" i="2"/>
  <c r="AZ65" i="2"/>
  <c r="BA65" i="2"/>
  <c r="BB65" i="2"/>
  <c r="BC65" i="2"/>
  <c r="BD65" i="2"/>
  <c r="BE65" i="2"/>
  <c r="BF65" i="2"/>
  <c r="BG65" i="2"/>
  <c r="BH65" i="2"/>
  <c r="BI65" i="2"/>
  <c r="BJ65" i="2"/>
  <c r="BK65" i="2"/>
  <c r="BL65" i="2"/>
  <c r="BM65" i="2"/>
  <c r="AU66" i="2"/>
  <c r="AV66" i="2"/>
  <c r="AW66" i="2"/>
  <c r="AX66" i="2"/>
  <c r="AY66" i="2"/>
  <c r="AZ66" i="2"/>
  <c r="BA66" i="2"/>
  <c r="BB66" i="2"/>
  <c r="BC66" i="2"/>
  <c r="BD66" i="2"/>
  <c r="BE66" i="2"/>
  <c r="BF66" i="2"/>
  <c r="BG66" i="2"/>
  <c r="BH66" i="2"/>
  <c r="BI66" i="2"/>
  <c r="BJ66" i="2"/>
  <c r="BK66" i="2"/>
  <c r="BL66" i="2"/>
  <c r="BM66" i="2"/>
  <c r="AU67" i="2"/>
  <c r="AV67" i="2"/>
  <c r="AW67" i="2"/>
  <c r="AX67" i="2"/>
  <c r="AY67" i="2"/>
  <c r="AZ67" i="2"/>
  <c r="BA67" i="2"/>
  <c r="BB67" i="2"/>
  <c r="BC67" i="2"/>
  <c r="BD67" i="2"/>
  <c r="BE67" i="2"/>
  <c r="BF67" i="2"/>
  <c r="BG67" i="2"/>
  <c r="BH67" i="2"/>
  <c r="BI67" i="2"/>
  <c r="BJ67" i="2"/>
  <c r="BK67" i="2"/>
  <c r="BL67" i="2"/>
  <c r="BM67" i="2"/>
  <c r="AU68" i="2"/>
  <c r="AV68" i="2"/>
  <c r="AW68" i="2"/>
  <c r="AX68" i="2"/>
  <c r="AY68" i="2"/>
  <c r="AZ68" i="2"/>
  <c r="BA68" i="2"/>
  <c r="BB68" i="2"/>
  <c r="BC68" i="2"/>
  <c r="BD68" i="2"/>
  <c r="BE68" i="2"/>
  <c r="BF68" i="2"/>
  <c r="BG68" i="2"/>
  <c r="BH68" i="2"/>
  <c r="BI68" i="2"/>
  <c r="BJ68" i="2"/>
  <c r="BK68" i="2"/>
  <c r="BL68" i="2"/>
  <c r="BM68" i="2"/>
  <c r="AU69" i="2"/>
  <c r="AV69" i="2"/>
  <c r="AW69" i="2"/>
  <c r="AX69" i="2"/>
  <c r="AY69" i="2"/>
  <c r="AZ69" i="2"/>
  <c r="BA69" i="2"/>
  <c r="BB69" i="2"/>
  <c r="BC69" i="2"/>
  <c r="BD69" i="2"/>
  <c r="BE69" i="2"/>
  <c r="BF69" i="2"/>
  <c r="BG69" i="2"/>
  <c r="BH69" i="2"/>
  <c r="BI69" i="2"/>
  <c r="BJ69" i="2"/>
  <c r="BK69" i="2"/>
  <c r="BL69" i="2"/>
  <c r="BM69" i="2"/>
  <c r="AU70" i="2"/>
  <c r="AV70" i="2"/>
  <c r="AW70" i="2"/>
  <c r="AX70" i="2"/>
  <c r="AY70" i="2"/>
  <c r="AZ70" i="2"/>
  <c r="BA70" i="2"/>
  <c r="BB70" i="2"/>
  <c r="BC70" i="2"/>
  <c r="BD70" i="2"/>
  <c r="BE70" i="2"/>
  <c r="BF70" i="2"/>
  <c r="BG70" i="2"/>
  <c r="BH70" i="2"/>
  <c r="BI70" i="2"/>
  <c r="BJ70" i="2"/>
  <c r="BK70" i="2"/>
  <c r="BL70" i="2"/>
  <c r="BM70" i="2"/>
  <c r="AU71" i="2"/>
  <c r="AV71" i="2"/>
  <c r="AW71" i="2"/>
  <c r="AX71" i="2"/>
  <c r="AY71" i="2"/>
  <c r="AZ71" i="2"/>
  <c r="BA71" i="2"/>
  <c r="BB71" i="2"/>
  <c r="BC71" i="2"/>
  <c r="BD71" i="2"/>
  <c r="BE71" i="2"/>
  <c r="BF71" i="2"/>
  <c r="BG71" i="2"/>
  <c r="BH71" i="2"/>
  <c r="BI71" i="2"/>
  <c r="BJ71" i="2"/>
  <c r="BK71" i="2"/>
  <c r="BL71" i="2"/>
  <c r="BM71" i="2"/>
  <c r="AU72" i="2"/>
  <c r="AV72" i="2"/>
  <c r="AW72" i="2"/>
  <c r="AX72" i="2"/>
  <c r="AY72" i="2"/>
  <c r="AZ72" i="2"/>
  <c r="BA72" i="2"/>
  <c r="BB72" i="2"/>
  <c r="BC72" i="2"/>
  <c r="BD72" i="2"/>
  <c r="BE72" i="2"/>
  <c r="BF72" i="2"/>
  <c r="BG72" i="2"/>
  <c r="BH72" i="2"/>
  <c r="BI72" i="2"/>
  <c r="BJ72" i="2"/>
  <c r="BK72" i="2"/>
  <c r="BL72" i="2"/>
  <c r="BM72" i="2"/>
  <c r="AU73" i="2"/>
  <c r="AV73" i="2"/>
  <c r="AW73" i="2"/>
  <c r="AX73" i="2"/>
  <c r="AY73" i="2"/>
  <c r="AZ73" i="2"/>
  <c r="BA73" i="2"/>
  <c r="BB73" i="2"/>
  <c r="BC73" i="2"/>
  <c r="BD73" i="2"/>
  <c r="BE73" i="2"/>
  <c r="BF73" i="2"/>
  <c r="BG73" i="2"/>
  <c r="BH73" i="2"/>
  <c r="BI73" i="2"/>
  <c r="BJ73" i="2"/>
  <c r="BK73" i="2"/>
  <c r="BL73" i="2"/>
  <c r="BM73" i="2"/>
  <c r="AU74" i="2"/>
  <c r="AV74" i="2"/>
  <c r="AW74" i="2"/>
  <c r="AX74" i="2"/>
  <c r="AY74" i="2"/>
  <c r="AZ74" i="2"/>
  <c r="BA74" i="2"/>
  <c r="BB74" i="2"/>
  <c r="BC74" i="2"/>
  <c r="BD74" i="2"/>
  <c r="BE74" i="2"/>
  <c r="BF74" i="2"/>
  <c r="BG74" i="2"/>
  <c r="BH74" i="2"/>
  <c r="BI74" i="2"/>
  <c r="BJ74" i="2"/>
  <c r="BK74" i="2"/>
  <c r="BL74" i="2"/>
  <c r="BM74" i="2"/>
  <c r="AU75" i="2"/>
  <c r="AV75" i="2"/>
  <c r="AW75" i="2"/>
  <c r="AX75" i="2"/>
  <c r="AY75" i="2"/>
  <c r="AZ75" i="2"/>
  <c r="BA75" i="2"/>
  <c r="BB75" i="2"/>
  <c r="BC75" i="2"/>
  <c r="BD75" i="2"/>
  <c r="BE75" i="2"/>
  <c r="BF75" i="2"/>
  <c r="BG75" i="2"/>
  <c r="BH75" i="2"/>
  <c r="BI75" i="2"/>
  <c r="BJ75" i="2"/>
  <c r="BK75" i="2"/>
  <c r="BL75" i="2"/>
  <c r="BM75" i="2"/>
  <c r="AU76" i="2"/>
  <c r="AV76" i="2"/>
  <c r="AW76" i="2"/>
  <c r="AX76" i="2"/>
  <c r="AY76" i="2"/>
  <c r="AZ76" i="2"/>
  <c r="BA76" i="2"/>
  <c r="BB76" i="2"/>
  <c r="BC76" i="2"/>
  <c r="BD76" i="2"/>
  <c r="BE76" i="2"/>
  <c r="BF76" i="2"/>
  <c r="BG76" i="2"/>
  <c r="BH76" i="2"/>
  <c r="BI76" i="2"/>
  <c r="BJ76" i="2"/>
  <c r="BK76" i="2"/>
  <c r="BL76" i="2"/>
  <c r="BM76" i="2"/>
  <c r="AU77" i="2"/>
  <c r="AV77" i="2"/>
  <c r="AW77" i="2"/>
  <c r="AX77" i="2"/>
  <c r="AY77" i="2"/>
  <c r="AZ77" i="2"/>
  <c r="BA77" i="2"/>
  <c r="BB77" i="2"/>
  <c r="BC77" i="2"/>
  <c r="BD77" i="2"/>
  <c r="BE77" i="2"/>
  <c r="BF77" i="2"/>
  <c r="BG77" i="2"/>
  <c r="BH77" i="2"/>
  <c r="BI77" i="2"/>
  <c r="BJ77" i="2"/>
  <c r="BK77" i="2"/>
  <c r="BL77" i="2"/>
  <c r="BM77" i="2"/>
  <c r="AU78" i="2"/>
  <c r="AV78" i="2"/>
  <c r="AW78" i="2"/>
  <c r="AX78" i="2"/>
  <c r="AY78" i="2"/>
  <c r="AZ78" i="2"/>
  <c r="BA78" i="2"/>
  <c r="BB78" i="2"/>
  <c r="BC78" i="2"/>
  <c r="BD78" i="2"/>
  <c r="BE78" i="2"/>
  <c r="BF78" i="2"/>
  <c r="BG78" i="2"/>
  <c r="BH78" i="2"/>
  <c r="BI78" i="2"/>
  <c r="BJ78" i="2"/>
  <c r="BK78" i="2"/>
  <c r="BL78" i="2"/>
  <c r="BM78" i="2"/>
  <c r="AU79" i="2"/>
  <c r="AV79" i="2"/>
  <c r="AW79" i="2"/>
  <c r="AX79" i="2"/>
  <c r="AY79" i="2"/>
  <c r="AZ79" i="2"/>
  <c r="BA79" i="2"/>
  <c r="BB79" i="2"/>
  <c r="BC79" i="2"/>
  <c r="BD79" i="2"/>
  <c r="BE79" i="2"/>
  <c r="BF79" i="2"/>
  <c r="BG79" i="2"/>
  <c r="BH79" i="2"/>
  <c r="BI79" i="2"/>
  <c r="BJ79" i="2"/>
  <c r="BK79" i="2"/>
  <c r="BL79" i="2"/>
  <c r="BM79" i="2"/>
  <c r="AU80" i="2"/>
  <c r="AV80" i="2"/>
  <c r="AW80" i="2"/>
  <c r="AX80" i="2"/>
  <c r="AY80" i="2"/>
  <c r="AZ80" i="2"/>
  <c r="BA80" i="2"/>
  <c r="BB80" i="2"/>
  <c r="BC80" i="2"/>
  <c r="BD80" i="2"/>
  <c r="BE80" i="2"/>
  <c r="BF80" i="2"/>
  <c r="BG80" i="2"/>
  <c r="BH80" i="2"/>
  <c r="BI80" i="2"/>
  <c r="BJ80" i="2"/>
  <c r="BK80" i="2"/>
  <c r="BL80" i="2"/>
  <c r="BM80" i="2"/>
  <c r="AU81" i="2"/>
  <c r="AV81" i="2"/>
  <c r="AW81" i="2"/>
  <c r="AX81" i="2"/>
  <c r="AY81" i="2"/>
  <c r="AZ81" i="2"/>
  <c r="BA81" i="2"/>
  <c r="BB81" i="2"/>
  <c r="BC81" i="2"/>
  <c r="BD81" i="2"/>
  <c r="BE81" i="2"/>
  <c r="BF81" i="2"/>
  <c r="BG81" i="2"/>
  <c r="BH81" i="2"/>
  <c r="BI81" i="2"/>
  <c r="BJ81" i="2"/>
  <c r="BK81" i="2"/>
  <c r="BL81" i="2"/>
  <c r="BM81" i="2"/>
  <c r="AU82" i="2"/>
  <c r="AV82" i="2"/>
  <c r="AW82" i="2"/>
  <c r="AX82" i="2"/>
  <c r="AY82" i="2"/>
  <c r="AZ82" i="2"/>
  <c r="BA82" i="2"/>
  <c r="BB82" i="2"/>
  <c r="BC82" i="2"/>
  <c r="BD82" i="2"/>
  <c r="BE82" i="2"/>
  <c r="BF82" i="2"/>
  <c r="BG82" i="2"/>
  <c r="BH82" i="2"/>
  <c r="BI82" i="2"/>
  <c r="BJ82" i="2"/>
  <c r="BK82" i="2"/>
  <c r="BL82" i="2"/>
  <c r="BM82" i="2"/>
  <c r="AU83" i="2"/>
  <c r="AV83" i="2"/>
  <c r="AW83" i="2"/>
  <c r="AX83" i="2"/>
  <c r="AY83" i="2"/>
  <c r="AZ83" i="2"/>
  <c r="BA83" i="2"/>
  <c r="BB83" i="2"/>
  <c r="BC83" i="2"/>
  <c r="BD83" i="2"/>
  <c r="BE83" i="2"/>
  <c r="BF83" i="2"/>
  <c r="BG83" i="2"/>
  <c r="BH83" i="2"/>
  <c r="BI83" i="2"/>
  <c r="BJ83" i="2"/>
  <c r="BK83" i="2"/>
  <c r="BL83" i="2"/>
  <c r="BM83" i="2"/>
  <c r="AU84" i="2"/>
  <c r="AV84" i="2"/>
  <c r="AW84" i="2"/>
  <c r="AX84" i="2"/>
  <c r="AY84" i="2"/>
  <c r="AZ84" i="2"/>
  <c r="BA84" i="2"/>
  <c r="BB84" i="2"/>
  <c r="BC84" i="2"/>
  <c r="BD84" i="2"/>
  <c r="BE84" i="2"/>
  <c r="BF84" i="2"/>
  <c r="BG84" i="2"/>
  <c r="BH84" i="2"/>
  <c r="BI84" i="2"/>
  <c r="BJ84" i="2"/>
  <c r="BK84" i="2"/>
  <c r="BL84" i="2"/>
  <c r="BM84" i="2"/>
  <c r="AU85" i="2"/>
  <c r="AV85" i="2"/>
  <c r="AW85" i="2"/>
  <c r="AX85" i="2"/>
  <c r="AY85" i="2"/>
  <c r="AZ85" i="2"/>
  <c r="BA85" i="2"/>
  <c r="BB85" i="2"/>
  <c r="BC85" i="2"/>
  <c r="BD85" i="2"/>
  <c r="BE85" i="2"/>
  <c r="BF85" i="2"/>
  <c r="BG85" i="2"/>
  <c r="BH85" i="2"/>
  <c r="BI85" i="2"/>
  <c r="BJ85" i="2"/>
  <c r="BK85" i="2"/>
  <c r="BL85" i="2"/>
  <c r="BM85" i="2"/>
  <c r="AU86" i="2"/>
  <c r="AV86" i="2"/>
  <c r="AW86" i="2"/>
  <c r="AX86" i="2"/>
  <c r="AY86" i="2"/>
  <c r="AZ86" i="2"/>
  <c r="BA86" i="2"/>
  <c r="BB86" i="2"/>
  <c r="BC86" i="2"/>
  <c r="BD86" i="2"/>
  <c r="BE86" i="2"/>
  <c r="BF86" i="2"/>
  <c r="BG86" i="2"/>
  <c r="BH86" i="2"/>
  <c r="BI86" i="2"/>
  <c r="BJ86" i="2"/>
  <c r="BK86" i="2"/>
  <c r="BL86" i="2"/>
  <c r="BM86" i="2"/>
  <c r="AU87" i="2"/>
  <c r="AV87" i="2"/>
  <c r="AW87" i="2"/>
  <c r="AX87" i="2"/>
  <c r="AY87" i="2"/>
  <c r="AZ87" i="2"/>
  <c r="BA87" i="2"/>
  <c r="BB87" i="2"/>
  <c r="BC87" i="2"/>
  <c r="BD87" i="2"/>
  <c r="BE87" i="2"/>
  <c r="BF87" i="2"/>
  <c r="BG87" i="2"/>
  <c r="BH87" i="2"/>
  <c r="BI87" i="2"/>
  <c r="BJ87" i="2"/>
  <c r="BK87" i="2"/>
  <c r="BL87" i="2"/>
  <c r="BM87" i="2"/>
  <c r="AU88" i="2"/>
  <c r="AV88" i="2"/>
  <c r="AW88" i="2"/>
  <c r="AX88" i="2"/>
  <c r="AY88" i="2"/>
  <c r="AZ88" i="2"/>
  <c r="BA88" i="2"/>
  <c r="BB88" i="2"/>
  <c r="BC88" i="2"/>
  <c r="BD88" i="2"/>
  <c r="BE88" i="2"/>
  <c r="BF88" i="2"/>
  <c r="BG88" i="2"/>
  <c r="BH88" i="2"/>
  <c r="BI88" i="2"/>
  <c r="BJ88" i="2"/>
  <c r="BK88" i="2"/>
  <c r="BL88" i="2"/>
  <c r="BM88" i="2"/>
  <c r="AU89" i="2"/>
  <c r="AV89" i="2"/>
  <c r="AW89" i="2"/>
  <c r="AX89" i="2"/>
  <c r="AY89" i="2"/>
  <c r="AZ89" i="2"/>
  <c r="BA89" i="2"/>
  <c r="BB89" i="2"/>
  <c r="BC89" i="2"/>
  <c r="BD89" i="2"/>
  <c r="BE89" i="2"/>
  <c r="BF89" i="2"/>
  <c r="BG89" i="2"/>
  <c r="BH89" i="2"/>
  <c r="BI89" i="2"/>
  <c r="BJ89" i="2"/>
  <c r="BK89" i="2"/>
  <c r="BL89" i="2"/>
  <c r="BM89" i="2"/>
  <c r="AU90" i="2"/>
  <c r="AV90" i="2"/>
  <c r="AW90" i="2"/>
  <c r="AX90" i="2"/>
  <c r="AY90" i="2"/>
  <c r="AZ90" i="2"/>
  <c r="BA90" i="2"/>
  <c r="BB90" i="2"/>
  <c r="BC90" i="2"/>
  <c r="BD90" i="2"/>
  <c r="BE90" i="2"/>
  <c r="BF90" i="2"/>
  <c r="BG90" i="2"/>
  <c r="BH90" i="2"/>
  <c r="BI90" i="2"/>
  <c r="BJ90" i="2"/>
  <c r="BK90" i="2"/>
  <c r="BL90" i="2"/>
  <c r="BM90" i="2"/>
  <c r="AU91" i="2"/>
  <c r="AV91" i="2"/>
  <c r="AW91" i="2"/>
  <c r="AX91" i="2"/>
  <c r="AY91" i="2"/>
  <c r="AZ91" i="2"/>
  <c r="BA91" i="2"/>
  <c r="BB91" i="2"/>
  <c r="BC91" i="2"/>
  <c r="BD91" i="2"/>
  <c r="BE91" i="2"/>
  <c r="BF91" i="2"/>
  <c r="BG91" i="2"/>
  <c r="BH91" i="2"/>
  <c r="BI91" i="2"/>
  <c r="BJ91" i="2"/>
  <c r="BK91" i="2"/>
  <c r="BL91" i="2"/>
  <c r="BM91" i="2"/>
  <c r="AU92" i="2"/>
  <c r="AV92" i="2"/>
  <c r="AW92" i="2"/>
  <c r="AX92" i="2"/>
  <c r="AY92" i="2"/>
  <c r="AZ92" i="2"/>
  <c r="BA92" i="2"/>
  <c r="BB92" i="2"/>
  <c r="BC92" i="2"/>
  <c r="BD92" i="2"/>
  <c r="BE92" i="2"/>
  <c r="BF92" i="2"/>
  <c r="BG92" i="2"/>
  <c r="BH92" i="2"/>
  <c r="BI92" i="2"/>
  <c r="BJ92" i="2"/>
  <c r="BK92" i="2"/>
  <c r="BL92" i="2"/>
  <c r="BM92" i="2"/>
  <c r="AU93" i="2"/>
  <c r="AV93" i="2"/>
  <c r="AW93" i="2"/>
  <c r="AX93" i="2"/>
  <c r="AY93" i="2"/>
  <c r="AZ93" i="2"/>
  <c r="BA93" i="2"/>
  <c r="BB93" i="2"/>
  <c r="BC93" i="2"/>
  <c r="BD93" i="2"/>
  <c r="BE93" i="2"/>
  <c r="BF93" i="2"/>
  <c r="BG93" i="2"/>
  <c r="BH93" i="2"/>
  <c r="BI93" i="2"/>
  <c r="BJ93" i="2"/>
  <c r="BK93" i="2"/>
  <c r="BL93" i="2"/>
  <c r="BM93" i="2"/>
  <c r="AU94" i="2"/>
  <c r="AV94" i="2"/>
  <c r="AW94" i="2"/>
  <c r="AX94" i="2"/>
  <c r="AY94" i="2"/>
  <c r="AZ94" i="2"/>
  <c r="BA94" i="2"/>
  <c r="BB94" i="2"/>
  <c r="BC94" i="2"/>
  <c r="BD94" i="2"/>
  <c r="BE94" i="2"/>
  <c r="BF94" i="2"/>
  <c r="BG94" i="2"/>
  <c r="BH94" i="2"/>
  <c r="BI94" i="2"/>
  <c r="BJ94" i="2"/>
  <c r="BK94" i="2"/>
  <c r="BL94" i="2"/>
  <c r="BM94" i="2"/>
  <c r="AU95" i="2"/>
  <c r="AV95" i="2"/>
  <c r="AW95" i="2"/>
  <c r="AX95" i="2"/>
  <c r="AY95" i="2"/>
  <c r="AZ95" i="2"/>
  <c r="BA95" i="2"/>
  <c r="BB95" i="2"/>
  <c r="BC95" i="2"/>
  <c r="BD95" i="2"/>
  <c r="BE95" i="2"/>
  <c r="BF95" i="2"/>
  <c r="BG95" i="2"/>
  <c r="BH95" i="2"/>
  <c r="BI95" i="2"/>
  <c r="BJ95" i="2"/>
  <c r="BK95" i="2"/>
  <c r="BL95" i="2"/>
  <c r="BM95" i="2"/>
  <c r="AU96" i="2"/>
  <c r="AV96" i="2"/>
  <c r="AW96" i="2"/>
  <c r="AX96" i="2"/>
  <c r="AY96" i="2"/>
  <c r="AZ96" i="2"/>
  <c r="BA96" i="2"/>
  <c r="BB96" i="2"/>
  <c r="BC96" i="2"/>
  <c r="BD96" i="2"/>
  <c r="BE96" i="2"/>
  <c r="BF96" i="2"/>
  <c r="BG96" i="2"/>
  <c r="BH96" i="2"/>
  <c r="BI96" i="2"/>
  <c r="BJ96" i="2"/>
  <c r="BK96" i="2"/>
  <c r="BL96" i="2"/>
  <c r="BM96" i="2"/>
  <c r="AU97" i="2"/>
  <c r="AV97" i="2"/>
  <c r="AW97" i="2"/>
  <c r="AX97" i="2"/>
  <c r="AY97" i="2"/>
  <c r="AZ97" i="2"/>
  <c r="BA97" i="2"/>
  <c r="BB97" i="2"/>
  <c r="BC97" i="2"/>
  <c r="BD97" i="2"/>
  <c r="BE97" i="2"/>
  <c r="BF97" i="2"/>
  <c r="BG97" i="2"/>
  <c r="BH97" i="2"/>
  <c r="BI97" i="2"/>
  <c r="BJ97" i="2"/>
  <c r="BK97" i="2"/>
  <c r="BL97" i="2"/>
  <c r="BM97" i="2"/>
  <c r="AU98" i="2"/>
  <c r="AV98" i="2"/>
  <c r="AW98" i="2"/>
  <c r="AX98" i="2"/>
  <c r="AY98" i="2"/>
  <c r="AZ98" i="2"/>
  <c r="BA98" i="2"/>
  <c r="BB98" i="2"/>
  <c r="BC98" i="2"/>
  <c r="BD98" i="2"/>
  <c r="BE98" i="2"/>
  <c r="BF98" i="2"/>
  <c r="BG98" i="2"/>
  <c r="BH98" i="2"/>
  <c r="BI98" i="2"/>
  <c r="BJ98" i="2"/>
  <c r="BK98" i="2"/>
  <c r="BL98" i="2"/>
  <c r="BM98" i="2"/>
  <c r="AU99" i="2"/>
  <c r="AV99" i="2"/>
  <c r="AW99" i="2"/>
  <c r="AX99" i="2"/>
  <c r="AY99" i="2"/>
  <c r="AZ99" i="2"/>
  <c r="BA99" i="2"/>
  <c r="BB99" i="2"/>
  <c r="BC99" i="2"/>
  <c r="BD99" i="2"/>
  <c r="BE99" i="2"/>
  <c r="BF99" i="2"/>
  <c r="BG99" i="2"/>
  <c r="BH99" i="2"/>
  <c r="BI99" i="2"/>
  <c r="BJ99" i="2"/>
  <c r="BK99" i="2"/>
  <c r="BL99" i="2"/>
  <c r="BM99" i="2"/>
  <c r="AU100" i="2"/>
  <c r="AV100" i="2"/>
  <c r="AW100" i="2"/>
  <c r="AX100" i="2"/>
  <c r="AY100" i="2"/>
  <c r="AZ100" i="2"/>
  <c r="BA100" i="2"/>
  <c r="BB100" i="2"/>
  <c r="BC100" i="2"/>
  <c r="BD100" i="2"/>
  <c r="BE100" i="2"/>
  <c r="BF100" i="2"/>
  <c r="BG100" i="2"/>
  <c r="BH100" i="2"/>
  <c r="BI100" i="2"/>
  <c r="BJ100" i="2"/>
  <c r="BK100" i="2"/>
  <c r="BL100" i="2"/>
  <c r="BM100" i="2"/>
  <c r="AU101" i="2"/>
  <c r="AV101" i="2"/>
  <c r="AW101" i="2"/>
  <c r="AX101" i="2"/>
  <c r="AY101" i="2"/>
  <c r="AZ101" i="2"/>
  <c r="BA101" i="2"/>
  <c r="BB101" i="2"/>
  <c r="BC101" i="2"/>
  <c r="BD101" i="2"/>
  <c r="BE101" i="2"/>
  <c r="BF101" i="2"/>
  <c r="BG101" i="2"/>
  <c r="BH101" i="2"/>
  <c r="BI101" i="2"/>
  <c r="BJ101" i="2"/>
  <c r="BK101" i="2"/>
  <c r="BL101" i="2"/>
  <c r="BM101" i="2"/>
  <c r="AU102" i="2"/>
  <c r="AV102" i="2"/>
  <c r="AW102" i="2"/>
  <c r="AX102" i="2"/>
  <c r="AY102" i="2"/>
  <c r="AZ102" i="2"/>
  <c r="BA102" i="2"/>
  <c r="BB102" i="2"/>
  <c r="BC102" i="2"/>
  <c r="BD102" i="2"/>
  <c r="BE102" i="2"/>
  <c r="BF102" i="2"/>
  <c r="BG102" i="2"/>
  <c r="BH102" i="2"/>
  <c r="BI102" i="2"/>
  <c r="BJ102" i="2"/>
  <c r="BK102" i="2"/>
  <c r="BL102" i="2"/>
  <c r="BM102" i="2"/>
  <c r="AU103" i="2"/>
  <c r="AV103" i="2"/>
  <c r="AW103" i="2"/>
  <c r="AX103" i="2"/>
  <c r="AY103" i="2"/>
  <c r="AZ103" i="2"/>
  <c r="BA103" i="2"/>
  <c r="BB103" i="2"/>
  <c r="BC103" i="2"/>
  <c r="BD103" i="2"/>
  <c r="BE103" i="2"/>
  <c r="BF103" i="2"/>
  <c r="BG103" i="2"/>
  <c r="BH103" i="2"/>
  <c r="BI103" i="2"/>
  <c r="BJ103" i="2"/>
  <c r="BK103" i="2"/>
  <c r="BL103" i="2"/>
  <c r="BM103" i="2"/>
  <c r="AU104" i="2"/>
  <c r="AV104" i="2"/>
  <c r="AW104" i="2"/>
  <c r="AX104" i="2"/>
  <c r="AY104" i="2"/>
  <c r="AZ104" i="2"/>
  <c r="BA104" i="2"/>
  <c r="BB104" i="2"/>
  <c r="BC104" i="2"/>
  <c r="BD104" i="2"/>
  <c r="BE104" i="2"/>
  <c r="BF104" i="2"/>
  <c r="BG104" i="2"/>
  <c r="BH104" i="2"/>
  <c r="BI104" i="2"/>
  <c r="BJ104" i="2"/>
  <c r="BK104" i="2"/>
  <c r="BL104" i="2"/>
  <c r="BM104" i="2"/>
  <c r="AU105" i="2"/>
  <c r="AV105" i="2"/>
  <c r="AW105" i="2"/>
  <c r="AX105" i="2"/>
  <c r="AY105" i="2"/>
  <c r="AZ105" i="2"/>
  <c r="BA105" i="2"/>
  <c r="BB105" i="2"/>
  <c r="BC105" i="2"/>
  <c r="BD105" i="2"/>
  <c r="BE105" i="2"/>
  <c r="BF105" i="2"/>
  <c r="BG105" i="2"/>
  <c r="BH105" i="2"/>
  <c r="BI105" i="2"/>
  <c r="BJ105" i="2"/>
  <c r="BK105" i="2"/>
  <c r="BL105" i="2"/>
  <c r="BM105" i="2"/>
  <c r="AU106" i="2"/>
  <c r="AV106" i="2"/>
  <c r="AW106" i="2"/>
  <c r="AX106" i="2"/>
  <c r="AY106" i="2"/>
  <c r="AZ106" i="2"/>
  <c r="BA106" i="2"/>
  <c r="BB106" i="2"/>
  <c r="BC106" i="2"/>
  <c r="BD106" i="2"/>
  <c r="BE106" i="2"/>
  <c r="BF106" i="2"/>
  <c r="BG106" i="2"/>
  <c r="BH106" i="2"/>
  <c r="BI106" i="2"/>
  <c r="BJ106" i="2"/>
  <c r="BK106" i="2"/>
  <c r="BL106" i="2"/>
  <c r="BM106" i="2"/>
  <c r="AU107" i="2"/>
  <c r="AV107" i="2"/>
  <c r="AW107" i="2"/>
  <c r="AX107" i="2"/>
  <c r="AY107" i="2"/>
  <c r="AZ107" i="2"/>
  <c r="BA107" i="2"/>
  <c r="BB107" i="2"/>
  <c r="BC107" i="2"/>
  <c r="BD107" i="2"/>
  <c r="BE107" i="2"/>
  <c r="BF107" i="2"/>
  <c r="BG107" i="2"/>
  <c r="BH107" i="2"/>
  <c r="BI107" i="2"/>
  <c r="BJ107" i="2"/>
  <c r="BK107" i="2"/>
  <c r="BL107" i="2"/>
  <c r="BM107" i="2"/>
  <c r="AU108" i="2"/>
  <c r="AV108" i="2"/>
  <c r="AW108" i="2"/>
  <c r="AX108" i="2"/>
  <c r="AY108" i="2"/>
  <c r="AZ108" i="2"/>
  <c r="BA108" i="2"/>
  <c r="BB108" i="2"/>
  <c r="BC108" i="2"/>
  <c r="BD108" i="2"/>
  <c r="BE108" i="2"/>
  <c r="BF108" i="2"/>
  <c r="BG108" i="2"/>
  <c r="BH108" i="2"/>
  <c r="BI108" i="2"/>
  <c r="BJ108" i="2"/>
  <c r="BK108" i="2"/>
  <c r="BL108" i="2"/>
  <c r="BM108" i="2"/>
  <c r="AU109" i="2"/>
  <c r="AV109" i="2"/>
  <c r="AW109" i="2"/>
  <c r="AX109" i="2"/>
  <c r="AY109" i="2"/>
  <c r="AZ109" i="2"/>
  <c r="BA109" i="2"/>
  <c r="BB109" i="2"/>
  <c r="BC109" i="2"/>
  <c r="BD109" i="2"/>
  <c r="BE109" i="2"/>
  <c r="BF109" i="2"/>
  <c r="BG109" i="2"/>
  <c r="BH109" i="2"/>
  <c r="BI109" i="2"/>
  <c r="BJ109" i="2"/>
  <c r="BK109" i="2"/>
  <c r="BL109" i="2"/>
  <c r="BM109" i="2"/>
  <c r="AU110" i="2"/>
  <c r="AV110" i="2"/>
  <c r="AW110" i="2"/>
  <c r="AX110" i="2"/>
  <c r="AY110" i="2"/>
  <c r="AZ110" i="2"/>
  <c r="BA110" i="2"/>
  <c r="BB110" i="2"/>
  <c r="BC110" i="2"/>
  <c r="BD110" i="2"/>
  <c r="BE110" i="2"/>
  <c r="BF110" i="2"/>
  <c r="BG110" i="2"/>
  <c r="BH110" i="2"/>
  <c r="BI110" i="2"/>
  <c r="BJ110" i="2"/>
  <c r="BK110" i="2"/>
  <c r="BL110" i="2"/>
  <c r="BM110" i="2"/>
  <c r="AU111" i="2"/>
  <c r="AV111" i="2"/>
  <c r="AW111" i="2"/>
  <c r="AX111" i="2"/>
  <c r="AY111" i="2"/>
  <c r="AZ111" i="2"/>
  <c r="BA111" i="2"/>
  <c r="BB111" i="2"/>
  <c r="BC111" i="2"/>
  <c r="BD111" i="2"/>
  <c r="BE111" i="2"/>
  <c r="BF111" i="2"/>
  <c r="BG111" i="2"/>
  <c r="BH111" i="2"/>
  <c r="BI111" i="2"/>
  <c r="BJ111" i="2"/>
  <c r="BK111" i="2"/>
  <c r="BL111" i="2"/>
  <c r="BM111" i="2"/>
  <c r="AU112" i="2"/>
  <c r="AV112" i="2"/>
  <c r="AW112" i="2"/>
  <c r="AX112" i="2"/>
  <c r="AY112" i="2"/>
  <c r="AZ112" i="2"/>
  <c r="BA112" i="2"/>
  <c r="BB112" i="2"/>
  <c r="BC112" i="2"/>
  <c r="BD112" i="2"/>
  <c r="BE112" i="2"/>
  <c r="BF112" i="2"/>
  <c r="BG112" i="2"/>
  <c r="BH112" i="2"/>
  <c r="BI112" i="2"/>
  <c r="BJ112" i="2"/>
  <c r="BK112" i="2"/>
  <c r="BL112" i="2"/>
  <c r="BM112" i="2"/>
  <c r="AU113" i="2"/>
  <c r="AV113" i="2"/>
  <c r="AW113" i="2"/>
  <c r="AX113" i="2"/>
  <c r="AY113" i="2"/>
  <c r="AZ113" i="2"/>
  <c r="BA113" i="2"/>
  <c r="BB113" i="2"/>
  <c r="BC113" i="2"/>
  <c r="BD113" i="2"/>
  <c r="BE113" i="2"/>
  <c r="BF113" i="2"/>
  <c r="BG113" i="2"/>
  <c r="BH113" i="2"/>
  <c r="BI113" i="2"/>
  <c r="BJ113" i="2"/>
  <c r="BK113" i="2"/>
  <c r="BL113" i="2"/>
  <c r="BM113" i="2"/>
  <c r="AU114" i="2"/>
  <c r="AV114" i="2"/>
  <c r="AW114" i="2"/>
  <c r="AX114" i="2"/>
  <c r="AY114" i="2"/>
  <c r="AZ114" i="2"/>
  <c r="BA114" i="2"/>
  <c r="BB114" i="2"/>
  <c r="BC114" i="2"/>
  <c r="BD114" i="2"/>
  <c r="BE114" i="2"/>
  <c r="BF114" i="2"/>
  <c r="BG114" i="2"/>
  <c r="BH114" i="2"/>
  <c r="BI114" i="2"/>
  <c r="BJ114" i="2"/>
  <c r="BK114" i="2"/>
  <c r="BL114" i="2"/>
  <c r="BM114" i="2"/>
  <c r="AU115" i="2"/>
  <c r="AV115" i="2"/>
  <c r="AW115" i="2"/>
  <c r="AX115" i="2"/>
  <c r="AY115" i="2"/>
  <c r="AZ115" i="2"/>
  <c r="BA115" i="2"/>
  <c r="BB115" i="2"/>
  <c r="BC115" i="2"/>
  <c r="BD115" i="2"/>
  <c r="BE115" i="2"/>
  <c r="BF115" i="2"/>
  <c r="BG115" i="2"/>
  <c r="BH115" i="2"/>
  <c r="BI115" i="2"/>
  <c r="BJ115" i="2"/>
  <c r="BK115" i="2"/>
  <c r="BL115" i="2"/>
  <c r="BM115" i="2"/>
  <c r="AU116" i="2"/>
  <c r="AV116" i="2"/>
  <c r="AW116" i="2"/>
  <c r="AX116" i="2"/>
  <c r="AY116" i="2"/>
  <c r="AZ116" i="2"/>
  <c r="BA116" i="2"/>
  <c r="BB116" i="2"/>
  <c r="BC116" i="2"/>
  <c r="BD116" i="2"/>
  <c r="BE116" i="2"/>
  <c r="BF116" i="2"/>
  <c r="BG116" i="2"/>
  <c r="BH116" i="2"/>
  <c r="BI116" i="2"/>
  <c r="BJ116" i="2"/>
  <c r="BK116" i="2"/>
  <c r="BL116" i="2"/>
  <c r="BM116" i="2"/>
  <c r="AU117" i="2"/>
  <c r="AV117" i="2"/>
  <c r="AW117" i="2"/>
  <c r="AX117" i="2"/>
  <c r="AY117" i="2"/>
  <c r="AZ117" i="2"/>
  <c r="BA117" i="2"/>
  <c r="BB117" i="2"/>
  <c r="BC117" i="2"/>
  <c r="BD117" i="2"/>
  <c r="BE117" i="2"/>
  <c r="BF117" i="2"/>
  <c r="BG117" i="2"/>
  <c r="BH117" i="2"/>
  <c r="BI117" i="2"/>
  <c r="BJ117" i="2"/>
  <c r="BK117" i="2"/>
  <c r="BL117" i="2"/>
  <c r="BM117" i="2"/>
  <c r="AU118" i="2"/>
  <c r="AV118" i="2"/>
  <c r="AW118" i="2"/>
  <c r="AX118" i="2"/>
  <c r="AY118" i="2"/>
  <c r="AZ118" i="2"/>
  <c r="BA118" i="2"/>
  <c r="BB118" i="2"/>
  <c r="BC118" i="2"/>
  <c r="BD118" i="2"/>
  <c r="BE118" i="2"/>
  <c r="BF118" i="2"/>
  <c r="BG118" i="2"/>
  <c r="BH118" i="2"/>
  <c r="BI118" i="2"/>
  <c r="BJ118" i="2"/>
  <c r="BK118" i="2"/>
  <c r="BL118" i="2"/>
  <c r="BM118" i="2"/>
  <c r="AU119" i="2"/>
  <c r="AV119" i="2"/>
  <c r="AW119" i="2"/>
  <c r="AX119" i="2"/>
  <c r="AY119" i="2"/>
  <c r="AZ119" i="2"/>
  <c r="BA119" i="2"/>
  <c r="BB119" i="2"/>
  <c r="BC119" i="2"/>
  <c r="BD119" i="2"/>
  <c r="BE119" i="2"/>
  <c r="BF119" i="2"/>
  <c r="BG119" i="2"/>
  <c r="BH119" i="2"/>
  <c r="BI119" i="2"/>
  <c r="BJ119" i="2"/>
  <c r="BK119" i="2"/>
  <c r="BL119" i="2"/>
  <c r="BM119" i="2"/>
  <c r="AU120" i="2"/>
  <c r="AV120" i="2"/>
  <c r="AW120" i="2"/>
  <c r="AX120" i="2"/>
  <c r="AY120" i="2"/>
  <c r="AZ120" i="2"/>
  <c r="BA120" i="2"/>
  <c r="BB120" i="2"/>
  <c r="BC120" i="2"/>
  <c r="BD120" i="2"/>
  <c r="BE120" i="2"/>
  <c r="BF120" i="2"/>
  <c r="BG120" i="2"/>
  <c r="BH120" i="2"/>
  <c r="BI120" i="2"/>
  <c r="BJ120" i="2"/>
  <c r="BK120" i="2"/>
  <c r="BL120" i="2"/>
  <c r="BM120" i="2"/>
  <c r="AU121" i="2"/>
  <c r="AV121" i="2"/>
  <c r="AW121" i="2"/>
  <c r="AX121" i="2"/>
  <c r="AY121" i="2"/>
  <c r="AZ121" i="2"/>
  <c r="BA121" i="2"/>
  <c r="BB121" i="2"/>
  <c r="BC121" i="2"/>
  <c r="BD121" i="2"/>
  <c r="BE121" i="2"/>
  <c r="BF121" i="2"/>
  <c r="BG121" i="2"/>
  <c r="BH121" i="2"/>
  <c r="BI121" i="2"/>
  <c r="BJ121" i="2"/>
  <c r="BK121" i="2"/>
  <c r="BL121" i="2"/>
  <c r="BM121" i="2"/>
  <c r="AU122" i="2"/>
  <c r="AV122" i="2"/>
  <c r="AW122" i="2"/>
  <c r="AX122" i="2"/>
  <c r="AY122" i="2"/>
  <c r="AZ122" i="2"/>
  <c r="BA122" i="2"/>
  <c r="BB122" i="2"/>
  <c r="BC122" i="2"/>
  <c r="BD122" i="2"/>
  <c r="BE122" i="2"/>
  <c r="BF122" i="2"/>
  <c r="BG122" i="2"/>
  <c r="BH122" i="2"/>
  <c r="BI122" i="2"/>
  <c r="BJ122" i="2"/>
  <c r="BK122" i="2"/>
  <c r="BL122" i="2"/>
  <c r="BM122" i="2"/>
  <c r="AU123" i="2"/>
  <c r="AV123" i="2"/>
  <c r="AW123" i="2"/>
  <c r="AX123" i="2"/>
  <c r="AY123" i="2"/>
  <c r="AZ123" i="2"/>
  <c r="BA123" i="2"/>
  <c r="BB123" i="2"/>
  <c r="BC123" i="2"/>
  <c r="BD123" i="2"/>
  <c r="BE123" i="2"/>
  <c r="BF123" i="2"/>
  <c r="BG123" i="2"/>
  <c r="BH123" i="2"/>
  <c r="BI123" i="2"/>
  <c r="BJ123" i="2"/>
  <c r="BK123" i="2"/>
  <c r="BL123" i="2"/>
  <c r="BM123" i="2"/>
  <c r="AU124" i="2"/>
  <c r="AV124" i="2"/>
  <c r="AW124" i="2"/>
  <c r="AX124" i="2"/>
  <c r="AY124" i="2"/>
  <c r="AZ124" i="2"/>
  <c r="BA124" i="2"/>
  <c r="BB124" i="2"/>
  <c r="BC124" i="2"/>
  <c r="BD124" i="2"/>
  <c r="BE124" i="2"/>
  <c r="BF124" i="2"/>
  <c r="BG124" i="2"/>
  <c r="BH124" i="2"/>
  <c r="BI124" i="2"/>
  <c r="BJ124" i="2"/>
  <c r="BK124" i="2"/>
  <c r="BL124" i="2"/>
  <c r="BM124" i="2"/>
  <c r="AU125" i="2"/>
  <c r="AV125" i="2"/>
  <c r="AW125" i="2"/>
  <c r="AX125" i="2"/>
  <c r="AY125" i="2"/>
  <c r="AZ125" i="2"/>
  <c r="BA125" i="2"/>
  <c r="BB125" i="2"/>
  <c r="BC125" i="2"/>
  <c r="BD125" i="2"/>
  <c r="BE125" i="2"/>
  <c r="BF125" i="2"/>
  <c r="BG125" i="2"/>
  <c r="BH125" i="2"/>
  <c r="BI125" i="2"/>
  <c r="BJ125" i="2"/>
  <c r="BK125" i="2"/>
  <c r="BL125" i="2"/>
  <c r="BM125" i="2"/>
  <c r="AU126" i="2"/>
  <c r="AV126" i="2"/>
  <c r="AW126" i="2"/>
  <c r="AX126" i="2"/>
  <c r="AY126" i="2"/>
  <c r="AZ126" i="2"/>
  <c r="BA126" i="2"/>
  <c r="BB126" i="2"/>
  <c r="BC126" i="2"/>
  <c r="BD126" i="2"/>
  <c r="BE126" i="2"/>
  <c r="BF126" i="2"/>
  <c r="BG126" i="2"/>
  <c r="BH126" i="2"/>
  <c r="BI126" i="2"/>
  <c r="BJ126" i="2"/>
  <c r="BK126" i="2"/>
  <c r="BL126" i="2"/>
  <c r="BM126" i="2"/>
  <c r="AU127" i="2"/>
  <c r="AV127" i="2"/>
  <c r="AW127" i="2"/>
  <c r="AX127" i="2"/>
  <c r="AY127" i="2"/>
  <c r="AZ127" i="2"/>
  <c r="BA127" i="2"/>
  <c r="BB127" i="2"/>
  <c r="BC127" i="2"/>
  <c r="BD127" i="2"/>
  <c r="BE127" i="2"/>
  <c r="BF127" i="2"/>
  <c r="BG127" i="2"/>
  <c r="BH127" i="2"/>
  <c r="BI127" i="2"/>
  <c r="BJ127" i="2"/>
  <c r="BK127" i="2"/>
  <c r="BL127" i="2"/>
  <c r="BM127" i="2"/>
  <c r="AU128" i="2"/>
  <c r="AV128" i="2"/>
  <c r="AW128" i="2"/>
  <c r="AX128" i="2"/>
  <c r="AY128" i="2"/>
  <c r="AZ128" i="2"/>
  <c r="BA128" i="2"/>
  <c r="BB128" i="2"/>
  <c r="BC128" i="2"/>
  <c r="BD128" i="2"/>
  <c r="BE128" i="2"/>
  <c r="BF128" i="2"/>
  <c r="BG128" i="2"/>
  <c r="BH128" i="2"/>
  <c r="BI128" i="2"/>
  <c r="BJ128" i="2"/>
  <c r="BK128" i="2"/>
  <c r="BL128" i="2"/>
  <c r="BM128" i="2"/>
  <c r="AU129" i="2"/>
  <c r="AV129" i="2"/>
  <c r="AW129" i="2"/>
  <c r="AX129" i="2"/>
  <c r="AY129" i="2"/>
  <c r="AZ129" i="2"/>
  <c r="BA129" i="2"/>
  <c r="BB129" i="2"/>
  <c r="BC129" i="2"/>
  <c r="BD129" i="2"/>
  <c r="BE129" i="2"/>
  <c r="BF129" i="2"/>
  <c r="BG129" i="2"/>
  <c r="BH129" i="2"/>
  <c r="BI129" i="2"/>
  <c r="BJ129" i="2"/>
  <c r="BK129" i="2"/>
  <c r="BL129" i="2"/>
  <c r="BM129" i="2"/>
  <c r="AU130" i="2"/>
  <c r="AV130" i="2"/>
  <c r="AW130" i="2"/>
  <c r="AX130" i="2"/>
  <c r="AY130" i="2"/>
  <c r="AZ130" i="2"/>
  <c r="BA130" i="2"/>
  <c r="BB130" i="2"/>
  <c r="BC130" i="2"/>
  <c r="BD130" i="2"/>
  <c r="BE130" i="2"/>
  <c r="BF130" i="2"/>
  <c r="BG130" i="2"/>
  <c r="BH130" i="2"/>
  <c r="BI130" i="2"/>
  <c r="BJ130" i="2"/>
  <c r="BK130" i="2"/>
  <c r="BL130" i="2"/>
  <c r="BM130" i="2"/>
  <c r="AU131" i="2"/>
  <c r="AV131" i="2"/>
  <c r="AW131" i="2"/>
  <c r="AX131" i="2"/>
  <c r="AY131" i="2"/>
  <c r="AZ131" i="2"/>
  <c r="BA131" i="2"/>
  <c r="BB131" i="2"/>
  <c r="BC131" i="2"/>
  <c r="BD131" i="2"/>
  <c r="BE131" i="2"/>
  <c r="BF131" i="2"/>
  <c r="BG131" i="2"/>
  <c r="BH131" i="2"/>
  <c r="BI131" i="2"/>
  <c r="BJ131" i="2"/>
  <c r="BK131" i="2"/>
  <c r="BL131" i="2"/>
  <c r="BM131" i="2"/>
  <c r="AU132" i="2"/>
  <c r="AV132" i="2"/>
  <c r="AW132" i="2"/>
  <c r="AX132" i="2"/>
  <c r="AY132" i="2"/>
  <c r="AZ132" i="2"/>
  <c r="BA132" i="2"/>
  <c r="BB132" i="2"/>
  <c r="BC132" i="2"/>
  <c r="BD132" i="2"/>
  <c r="BE132" i="2"/>
  <c r="BF132" i="2"/>
  <c r="BG132" i="2"/>
  <c r="BH132" i="2"/>
  <c r="BI132" i="2"/>
  <c r="BJ132" i="2"/>
  <c r="BK132" i="2"/>
  <c r="BL132" i="2"/>
  <c r="BM132" i="2"/>
  <c r="AU133" i="2"/>
  <c r="AV133" i="2"/>
  <c r="AW133" i="2"/>
  <c r="AX133" i="2"/>
  <c r="AY133" i="2"/>
  <c r="AZ133" i="2"/>
  <c r="BA133" i="2"/>
  <c r="BB133" i="2"/>
  <c r="BC133" i="2"/>
  <c r="BD133" i="2"/>
  <c r="BE133" i="2"/>
  <c r="BF133" i="2"/>
  <c r="BG133" i="2"/>
  <c r="BH133" i="2"/>
  <c r="BI133" i="2"/>
  <c r="BJ133" i="2"/>
  <c r="BK133" i="2"/>
  <c r="BL133" i="2"/>
  <c r="BM133" i="2"/>
  <c r="AU134" i="2"/>
  <c r="AV134" i="2"/>
  <c r="AW134" i="2"/>
  <c r="AX134" i="2"/>
  <c r="AY134" i="2"/>
  <c r="AZ134" i="2"/>
  <c r="BA134" i="2"/>
  <c r="BB134" i="2"/>
  <c r="BC134" i="2"/>
  <c r="BD134" i="2"/>
  <c r="BE134" i="2"/>
  <c r="BF134" i="2"/>
  <c r="BG134" i="2"/>
  <c r="BH134" i="2"/>
  <c r="BI134" i="2"/>
  <c r="BJ134" i="2"/>
  <c r="BK134" i="2"/>
  <c r="BL134" i="2"/>
  <c r="BM134" i="2"/>
  <c r="AU135" i="2"/>
  <c r="AV135" i="2"/>
  <c r="AW135" i="2"/>
  <c r="AX135" i="2"/>
  <c r="AY135" i="2"/>
  <c r="AZ135" i="2"/>
  <c r="BA135" i="2"/>
  <c r="BB135" i="2"/>
  <c r="BC135" i="2"/>
  <c r="BD135" i="2"/>
  <c r="BE135" i="2"/>
  <c r="BF135" i="2"/>
  <c r="BG135" i="2"/>
  <c r="BH135" i="2"/>
  <c r="BI135" i="2"/>
  <c r="BJ135" i="2"/>
  <c r="BK135" i="2"/>
  <c r="BL135" i="2"/>
  <c r="BM135" i="2"/>
  <c r="AU136" i="2"/>
  <c r="AV136" i="2"/>
  <c r="AW136" i="2"/>
  <c r="AX136" i="2"/>
  <c r="AY136" i="2"/>
  <c r="AZ136" i="2"/>
  <c r="BA136" i="2"/>
  <c r="BB136" i="2"/>
  <c r="BC136" i="2"/>
  <c r="BD136" i="2"/>
  <c r="BE136" i="2"/>
  <c r="BF136" i="2"/>
  <c r="BG136" i="2"/>
  <c r="BH136" i="2"/>
  <c r="BI136" i="2"/>
  <c r="BJ136" i="2"/>
  <c r="BK136" i="2"/>
  <c r="BL136" i="2"/>
  <c r="BM136" i="2"/>
  <c r="AU137" i="2"/>
  <c r="AV137" i="2"/>
  <c r="AW137" i="2"/>
  <c r="AX137" i="2"/>
  <c r="AY137" i="2"/>
  <c r="AZ137" i="2"/>
  <c r="BA137" i="2"/>
  <c r="BB137" i="2"/>
  <c r="BC137" i="2"/>
  <c r="BD137" i="2"/>
  <c r="BE137" i="2"/>
  <c r="BF137" i="2"/>
  <c r="BG137" i="2"/>
  <c r="BH137" i="2"/>
  <c r="BI137" i="2"/>
  <c r="BJ137" i="2"/>
  <c r="BK137" i="2"/>
  <c r="BL137" i="2"/>
  <c r="BM137" i="2"/>
  <c r="AU138" i="2"/>
  <c r="AV138" i="2"/>
  <c r="AW138" i="2"/>
  <c r="AX138" i="2"/>
  <c r="AY138" i="2"/>
  <c r="AZ138" i="2"/>
  <c r="BA138" i="2"/>
  <c r="BB138" i="2"/>
  <c r="BC138" i="2"/>
  <c r="BD138" i="2"/>
  <c r="BE138" i="2"/>
  <c r="BF138" i="2"/>
  <c r="BG138" i="2"/>
  <c r="BH138" i="2"/>
  <c r="BI138" i="2"/>
  <c r="BJ138" i="2"/>
  <c r="BK138" i="2"/>
  <c r="BL138" i="2"/>
  <c r="BM138" i="2"/>
  <c r="AU139" i="2"/>
  <c r="AV139" i="2"/>
  <c r="AW139" i="2"/>
  <c r="AX139" i="2"/>
  <c r="AY139" i="2"/>
  <c r="AZ139" i="2"/>
  <c r="BA139" i="2"/>
  <c r="BB139" i="2"/>
  <c r="BC139" i="2"/>
  <c r="BD139" i="2"/>
  <c r="BE139" i="2"/>
  <c r="BF139" i="2"/>
  <c r="BG139" i="2"/>
  <c r="BH139" i="2"/>
  <c r="BI139" i="2"/>
  <c r="BJ139" i="2"/>
  <c r="BK139" i="2"/>
  <c r="BL139" i="2"/>
  <c r="BM139" i="2"/>
  <c r="AU140" i="2"/>
  <c r="AV140" i="2"/>
  <c r="AW140" i="2"/>
  <c r="AX140" i="2"/>
  <c r="AY140" i="2"/>
  <c r="AZ140" i="2"/>
  <c r="BA140" i="2"/>
  <c r="BB140" i="2"/>
  <c r="BC140" i="2"/>
  <c r="BD140" i="2"/>
  <c r="BE140" i="2"/>
  <c r="BF140" i="2"/>
  <c r="BG140" i="2"/>
  <c r="BH140" i="2"/>
  <c r="BI140" i="2"/>
  <c r="BJ140" i="2"/>
  <c r="BK140" i="2"/>
  <c r="BL140" i="2"/>
  <c r="BM140" i="2"/>
  <c r="AU141" i="2"/>
  <c r="AV141" i="2"/>
  <c r="AW141" i="2"/>
  <c r="AX141" i="2"/>
  <c r="AY141" i="2"/>
  <c r="AZ141" i="2"/>
  <c r="BA141" i="2"/>
  <c r="BB141" i="2"/>
  <c r="BC141" i="2"/>
  <c r="BD141" i="2"/>
  <c r="BE141" i="2"/>
  <c r="BF141" i="2"/>
  <c r="BG141" i="2"/>
  <c r="BH141" i="2"/>
  <c r="BI141" i="2"/>
  <c r="BJ141" i="2"/>
  <c r="BK141" i="2"/>
  <c r="BL141" i="2"/>
  <c r="BM141" i="2"/>
  <c r="AU142" i="2"/>
  <c r="AV142" i="2"/>
  <c r="AW142" i="2"/>
  <c r="AX142" i="2"/>
  <c r="AY142" i="2"/>
  <c r="AZ142" i="2"/>
  <c r="BA142" i="2"/>
  <c r="BB142" i="2"/>
  <c r="BC142" i="2"/>
  <c r="BD142" i="2"/>
  <c r="BE142" i="2"/>
  <c r="BF142" i="2"/>
  <c r="BG142" i="2"/>
  <c r="BH142" i="2"/>
  <c r="BI142" i="2"/>
  <c r="BJ142" i="2"/>
  <c r="BK142" i="2"/>
  <c r="BL142" i="2"/>
  <c r="BM142" i="2"/>
  <c r="AU143" i="2"/>
  <c r="AV143" i="2"/>
  <c r="AW143" i="2"/>
  <c r="AX143" i="2"/>
  <c r="AY143" i="2"/>
  <c r="AZ143" i="2"/>
  <c r="BA143" i="2"/>
  <c r="BB143" i="2"/>
  <c r="BC143" i="2"/>
  <c r="BD143" i="2"/>
  <c r="BE143" i="2"/>
  <c r="BF143" i="2"/>
  <c r="BG143" i="2"/>
  <c r="BH143" i="2"/>
  <c r="BI143" i="2"/>
  <c r="BJ143" i="2"/>
  <c r="BK143" i="2"/>
  <c r="BL143" i="2"/>
  <c r="BM143" i="2"/>
  <c r="AU144" i="2"/>
  <c r="AV144" i="2"/>
  <c r="AW144" i="2"/>
  <c r="AX144" i="2"/>
  <c r="AY144" i="2"/>
  <c r="AZ144" i="2"/>
  <c r="BA144" i="2"/>
  <c r="BB144" i="2"/>
  <c r="BC144" i="2"/>
  <c r="BD144" i="2"/>
  <c r="BE144" i="2"/>
  <c r="BF144" i="2"/>
  <c r="BG144" i="2"/>
  <c r="BH144" i="2"/>
  <c r="BI144" i="2"/>
  <c r="BJ144" i="2"/>
  <c r="BK144" i="2"/>
  <c r="BL144" i="2"/>
  <c r="BM144" i="2"/>
  <c r="AU145" i="2"/>
  <c r="AV145" i="2"/>
  <c r="AW145" i="2"/>
  <c r="AX145" i="2"/>
  <c r="AY145" i="2"/>
  <c r="AZ145" i="2"/>
  <c r="BA145" i="2"/>
  <c r="BB145" i="2"/>
  <c r="BC145" i="2"/>
  <c r="BD145" i="2"/>
  <c r="BE145" i="2"/>
  <c r="BF145" i="2"/>
  <c r="BG145" i="2"/>
  <c r="BH145" i="2"/>
  <c r="BI145" i="2"/>
  <c r="BJ145" i="2"/>
  <c r="BK145" i="2"/>
  <c r="BL145" i="2"/>
  <c r="BM145" i="2"/>
  <c r="AU146" i="2"/>
  <c r="AV146" i="2"/>
  <c r="AW146" i="2"/>
  <c r="AX146" i="2"/>
  <c r="AY146" i="2"/>
  <c r="AZ146" i="2"/>
  <c r="BA146" i="2"/>
  <c r="BB146" i="2"/>
  <c r="BC146" i="2"/>
  <c r="BD146" i="2"/>
  <c r="BE146" i="2"/>
  <c r="BF146" i="2"/>
  <c r="BG146" i="2"/>
  <c r="BH146" i="2"/>
  <c r="BI146" i="2"/>
  <c r="BJ146" i="2"/>
  <c r="BK146" i="2"/>
  <c r="BL146" i="2"/>
  <c r="BM146" i="2"/>
  <c r="AU147" i="2"/>
  <c r="AV147" i="2"/>
  <c r="AW147" i="2"/>
  <c r="AX147" i="2"/>
  <c r="AY147" i="2"/>
  <c r="AZ147" i="2"/>
  <c r="BA147" i="2"/>
  <c r="BB147" i="2"/>
  <c r="BC147" i="2"/>
  <c r="BD147" i="2"/>
  <c r="BE147" i="2"/>
  <c r="BF147" i="2"/>
  <c r="BG147" i="2"/>
  <c r="BH147" i="2"/>
  <c r="BI147" i="2"/>
  <c r="BJ147" i="2"/>
  <c r="BK147" i="2"/>
  <c r="BL147" i="2"/>
  <c r="BM147" i="2"/>
  <c r="AU148" i="2"/>
  <c r="AV148" i="2"/>
  <c r="AW148" i="2"/>
  <c r="AX148" i="2"/>
  <c r="AY148" i="2"/>
  <c r="AZ148" i="2"/>
  <c r="BA148" i="2"/>
  <c r="BB148" i="2"/>
  <c r="BC148" i="2"/>
  <c r="BD148" i="2"/>
  <c r="BE148" i="2"/>
  <c r="BF148" i="2"/>
  <c r="BG148" i="2"/>
  <c r="BH148" i="2"/>
  <c r="BI148" i="2"/>
  <c r="BJ148" i="2"/>
  <c r="BK148" i="2"/>
  <c r="BL148" i="2"/>
  <c r="BM148" i="2"/>
  <c r="AU149" i="2"/>
  <c r="AV149" i="2"/>
  <c r="AW149" i="2"/>
  <c r="AX149" i="2"/>
  <c r="AY149" i="2"/>
  <c r="AZ149" i="2"/>
  <c r="BA149" i="2"/>
  <c r="BB149" i="2"/>
  <c r="BC149" i="2"/>
  <c r="BD149" i="2"/>
  <c r="BE149" i="2"/>
  <c r="BF149" i="2"/>
  <c r="BG149" i="2"/>
  <c r="BH149" i="2"/>
  <c r="BI149" i="2"/>
  <c r="BJ149" i="2"/>
  <c r="BK149" i="2"/>
  <c r="BL149" i="2"/>
  <c r="BM149" i="2"/>
  <c r="AU150" i="2"/>
  <c r="AV150" i="2"/>
  <c r="AW150" i="2"/>
  <c r="AX150" i="2"/>
  <c r="AY150" i="2"/>
  <c r="AZ150" i="2"/>
  <c r="BA150" i="2"/>
  <c r="BB150" i="2"/>
  <c r="BC150" i="2"/>
  <c r="BD150" i="2"/>
  <c r="BE150" i="2"/>
  <c r="BF150" i="2"/>
  <c r="BG150" i="2"/>
  <c r="BH150" i="2"/>
  <c r="BI150" i="2"/>
  <c r="BJ150" i="2"/>
  <c r="BK150" i="2"/>
  <c r="BL150" i="2"/>
  <c r="BM150" i="2"/>
  <c r="AU151" i="2"/>
  <c r="AV151" i="2"/>
  <c r="AW151" i="2"/>
  <c r="AX151" i="2"/>
  <c r="AY151" i="2"/>
  <c r="AZ151" i="2"/>
  <c r="BA151" i="2"/>
  <c r="BB151" i="2"/>
  <c r="BC151" i="2"/>
  <c r="BD151" i="2"/>
  <c r="BE151" i="2"/>
  <c r="BF151" i="2"/>
  <c r="BG151" i="2"/>
  <c r="BH151" i="2"/>
  <c r="BI151" i="2"/>
  <c r="BJ151" i="2"/>
  <c r="BK151" i="2"/>
  <c r="BL151" i="2"/>
  <c r="BM151" i="2"/>
  <c r="AU152" i="2"/>
  <c r="AV152" i="2"/>
  <c r="AW152" i="2"/>
  <c r="AX152" i="2"/>
  <c r="AY152" i="2"/>
  <c r="AZ152" i="2"/>
  <c r="BA152" i="2"/>
  <c r="BB152" i="2"/>
  <c r="BC152" i="2"/>
  <c r="BD152" i="2"/>
  <c r="BE152" i="2"/>
  <c r="BF152" i="2"/>
  <c r="BG152" i="2"/>
  <c r="BH152" i="2"/>
  <c r="BI152" i="2"/>
  <c r="BJ152" i="2"/>
  <c r="BK152" i="2"/>
  <c r="BL152" i="2"/>
  <c r="BM152" i="2"/>
  <c r="AU153" i="2"/>
  <c r="AV153" i="2"/>
  <c r="AW153" i="2"/>
  <c r="AX153" i="2"/>
  <c r="AY153" i="2"/>
  <c r="AZ153" i="2"/>
  <c r="BA153" i="2"/>
  <c r="BB153" i="2"/>
  <c r="BC153" i="2"/>
  <c r="BD153" i="2"/>
  <c r="BE153" i="2"/>
  <c r="BF153" i="2"/>
  <c r="BG153" i="2"/>
  <c r="BH153" i="2"/>
  <c r="BI153" i="2"/>
  <c r="BJ153" i="2"/>
  <c r="BK153" i="2"/>
  <c r="BL153" i="2"/>
  <c r="BM153" i="2"/>
  <c r="AU154" i="2"/>
  <c r="AV154" i="2"/>
  <c r="AW154" i="2"/>
  <c r="AX154" i="2"/>
  <c r="AY154" i="2"/>
  <c r="AZ154" i="2"/>
  <c r="BA154" i="2"/>
  <c r="BB154" i="2"/>
  <c r="BC154" i="2"/>
  <c r="BD154" i="2"/>
  <c r="BE154" i="2"/>
  <c r="BF154" i="2"/>
  <c r="BG154" i="2"/>
  <c r="BH154" i="2"/>
  <c r="BI154" i="2"/>
  <c r="BJ154" i="2"/>
  <c r="BK154" i="2"/>
  <c r="BL154" i="2"/>
  <c r="BM154" i="2"/>
  <c r="AU155" i="2"/>
  <c r="AV155" i="2"/>
  <c r="AW155" i="2"/>
  <c r="AX155" i="2"/>
  <c r="AY155" i="2"/>
  <c r="AZ155" i="2"/>
  <c r="BA155" i="2"/>
  <c r="BB155" i="2"/>
  <c r="BC155" i="2"/>
  <c r="BD155" i="2"/>
  <c r="BE155" i="2"/>
  <c r="BF155" i="2"/>
  <c r="BG155" i="2"/>
  <c r="BH155" i="2"/>
  <c r="BI155" i="2"/>
  <c r="BJ155" i="2"/>
  <c r="BK155" i="2"/>
  <c r="BL155" i="2"/>
  <c r="BM155" i="2"/>
  <c r="AU156" i="2"/>
  <c r="AV156" i="2"/>
  <c r="AW156" i="2"/>
  <c r="AX156" i="2"/>
  <c r="AY156" i="2"/>
  <c r="AZ156" i="2"/>
  <c r="BA156" i="2"/>
  <c r="BB156" i="2"/>
  <c r="BC156" i="2"/>
  <c r="BD156" i="2"/>
  <c r="BE156" i="2"/>
  <c r="BF156" i="2"/>
  <c r="BG156" i="2"/>
  <c r="BH156" i="2"/>
  <c r="BI156" i="2"/>
  <c r="BJ156" i="2"/>
  <c r="BK156" i="2"/>
  <c r="BL156" i="2"/>
  <c r="BM156" i="2"/>
  <c r="AU157" i="2"/>
  <c r="AV157" i="2"/>
  <c r="AW157" i="2"/>
  <c r="AX157" i="2"/>
  <c r="AY157" i="2"/>
  <c r="AZ157" i="2"/>
  <c r="BA157" i="2"/>
  <c r="BB157" i="2"/>
  <c r="BC157" i="2"/>
  <c r="BD157" i="2"/>
  <c r="BE157" i="2"/>
  <c r="BF157" i="2"/>
  <c r="BG157" i="2"/>
  <c r="BH157" i="2"/>
  <c r="BI157" i="2"/>
  <c r="BJ157" i="2"/>
  <c r="BK157" i="2"/>
  <c r="BL157" i="2"/>
  <c r="BM157" i="2"/>
  <c r="AU158" i="2"/>
  <c r="AV158" i="2"/>
  <c r="AW158" i="2"/>
  <c r="AX158" i="2"/>
  <c r="AY158" i="2"/>
  <c r="AZ158" i="2"/>
  <c r="BA158" i="2"/>
  <c r="BB158" i="2"/>
  <c r="BC158" i="2"/>
  <c r="BD158" i="2"/>
  <c r="BE158" i="2"/>
  <c r="BF158" i="2"/>
  <c r="BG158" i="2"/>
  <c r="BH158" i="2"/>
  <c r="BI158" i="2"/>
  <c r="BJ158" i="2"/>
  <c r="BK158" i="2"/>
  <c r="BL158" i="2"/>
  <c r="BM158" i="2"/>
  <c r="AU159" i="2"/>
  <c r="AV159" i="2"/>
  <c r="AW159" i="2"/>
  <c r="AX159" i="2"/>
  <c r="AY159" i="2"/>
  <c r="AZ159" i="2"/>
  <c r="BA159" i="2"/>
  <c r="BB159" i="2"/>
  <c r="BC159" i="2"/>
  <c r="BD159" i="2"/>
  <c r="BE159" i="2"/>
  <c r="BF159" i="2"/>
  <c r="BG159" i="2"/>
  <c r="BH159" i="2"/>
  <c r="BI159" i="2"/>
  <c r="BJ159" i="2"/>
  <c r="BK159" i="2"/>
  <c r="BL159" i="2"/>
  <c r="BM159" i="2"/>
  <c r="AU160" i="2"/>
  <c r="AV160" i="2"/>
  <c r="AW160" i="2"/>
  <c r="AX160" i="2"/>
  <c r="AY160" i="2"/>
  <c r="AZ160" i="2"/>
  <c r="BA160" i="2"/>
  <c r="BB160" i="2"/>
  <c r="BC160" i="2"/>
  <c r="BD160" i="2"/>
  <c r="BE160" i="2"/>
  <c r="BF160" i="2"/>
  <c r="BG160" i="2"/>
  <c r="BH160" i="2"/>
  <c r="BI160" i="2"/>
  <c r="BJ160" i="2"/>
  <c r="BK160" i="2"/>
  <c r="BL160" i="2"/>
  <c r="BM160" i="2"/>
  <c r="AU161" i="2"/>
  <c r="AV161" i="2"/>
  <c r="AW161" i="2"/>
  <c r="AX161" i="2"/>
  <c r="AY161" i="2"/>
  <c r="AZ161" i="2"/>
  <c r="BA161" i="2"/>
  <c r="BB161" i="2"/>
  <c r="BC161" i="2"/>
  <c r="BD161" i="2"/>
  <c r="BE161" i="2"/>
  <c r="BF161" i="2"/>
  <c r="BG161" i="2"/>
  <c r="BH161" i="2"/>
  <c r="BI161" i="2"/>
  <c r="BJ161" i="2"/>
  <c r="BK161" i="2"/>
  <c r="BL161" i="2"/>
  <c r="BM161" i="2"/>
  <c r="AU162" i="2"/>
  <c r="AV162" i="2"/>
  <c r="AW162" i="2"/>
  <c r="AX162" i="2"/>
  <c r="AY162" i="2"/>
  <c r="AZ162" i="2"/>
  <c r="BA162" i="2"/>
  <c r="BB162" i="2"/>
  <c r="BC162" i="2"/>
  <c r="BD162" i="2"/>
  <c r="BE162" i="2"/>
  <c r="BF162" i="2"/>
  <c r="BG162" i="2"/>
  <c r="BH162" i="2"/>
  <c r="BI162" i="2"/>
  <c r="BJ162" i="2"/>
  <c r="BK162" i="2"/>
  <c r="BL162" i="2"/>
  <c r="BM162" i="2"/>
  <c r="AU163" i="2"/>
  <c r="AV163" i="2"/>
  <c r="AW163" i="2"/>
  <c r="AX163" i="2"/>
  <c r="AY163" i="2"/>
  <c r="AZ163" i="2"/>
  <c r="BA163" i="2"/>
  <c r="BB163" i="2"/>
  <c r="BC163" i="2"/>
  <c r="BD163" i="2"/>
  <c r="BE163" i="2"/>
  <c r="BF163" i="2"/>
  <c r="BG163" i="2"/>
  <c r="BH163" i="2"/>
  <c r="BI163" i="2"/>
  <c r="BJ163" i="2"/>
  <c r="BK163" i="2"/>
  <c r="BL163" i="2"/>
  <c r="BM163" i="2"/>
  <c r="AU164" i="2"/>
  <c r="AV164" i="2"/>
  <c r="AW164" i="2"/>
  <c r="AX164" i="2"/>
  <c r="AY164" i="2"/>
  <c r="AZ164" i="2"/>
  <c r="BA164" i="2"/>
  <c r="BB164" i="2"/>
  <c r="BC164" i="2"/>
  <c r="BD164" i="2"/>
  <c r="BE164" i="2"/>
  <c r="BF164" i="2"/>
  <c r="BG164" i="2"/>
  <c r="BH164" i="2"/>
  <c r="BI164" i="2"/>
  <c r="BJ164" i="2"/>
  <c r="BK164" i="2"/>
  <c r="BL164" i="2"/>
  <c r="BM164" i="2"/>
  <c r="AU165" i="2"/>
  <c r="AV165" i="2"/>
  <c r="AW165" i="2"/>
  <c r="AX165" i="2"/>
  <c r="AY165" i="2"/>
  <c r="AZ165" i="2"/>
  <c r="BA165" i="2"/>
  <c r="BB165" i="2"/>
  <c r="BC165" i="2"/>
  <c r="BD165" i="2"/>
  <c r="BE165" i="2"/>
  <c r="BF165" i="2"/>
  <c r="BG165" i="2"/>
  <c r="BH165" i="2"/>
  <c r="BI165" i="2"/>
  <c r="BJ165" i="2"/>
  <c r="BK165" i="2"/>
  <c r="BL165" i="2"/>
  <c r="BM165" i="2"/>
  <c r="AU166" i="2"/>
  <c r="AV166" i="2"/>
  <c r="AW166" i="2"/>
  <c r="AX166" i="2"/>
  <c r="AY166" i="2"/>
  <c r="AZ166" i="2"/>
  <c r="BA166" i="2"/>
  <c r="BB166" i="2"/>
  <c r="BC166" i="2"/>
  <c r="BD166" i="2"/>
  <c r="BE166" i="2"/>
  <c r="BF166" i="2"/>
  <c r="BG166" i="2"/>
  <c r="BH166" i="2"/>
  <c r="BI166" i="2"/>
  <c r="BJ166" i="2"/>
  <c r="BK166" i="2"/>
  <c r="BL166" i="2"/>
  <c r="BM166" i="2"/>
  <c r="AU167" i="2"/>
  <c r="AV167" i="2"/>
  <c r="AW167" i="2"/>
  <c r="AX167" i="2"/>
  <c r="AY167" i="2"/>
  <c r="AZ167" i="2"/>
  <c r="BA167" i="2"/>
  <c r="BB167" i="2"/>
  <c r="BC167" i="2"/>
  <c r="BD167" i="2"/>
  <c r="BE167" i="2"/>
  <c r="BF167" i="2"/>
  <c r="BG167" i="2"/>
  <c r="BH167" i="2"/>
  <c r="BI167" i="2"/>
  <c r="BJ167" i="2"/>
  <c r="BK167" i="2"/>
  <c r="BL167" i="2"/>
  <c r="BM167" i="2"/>
  <c r="AU168" i="2"/>
  <c r="AV168" i="2"/>
  <c r="AW168" i="2"/>
  <c r="AX168" i="2"/>
  <c r="AY168" i="2"/>
  <c r="AZ168" i="2"/>
  <c r="BA168" i="2"/>
  <c r="BB168" i="2"/>
  <c r="BC168" i="2"/>
  <c r="BD168" i="2"/>
  <c r="BE168" i="2"/>
  <c r="BF168" i="2"/>
  <c r="BG168" i="2"/>
  <c r="BH168" i="2"/>
  <c r="BI168" i="2"/>
  <c r="BJ168" i="2"/>
  <c r="BK168" i="2"/>
  <c r="BL168" i="2"/>
  <c r="BM168" i="2"/>
  <c r="AU169" i="2"/>
  <c r="AV169" i="2"/>
  <c r="AW169" i="2"/>
  <c r="AX169" i="2"/>
  <c r="AY169" i="2"/>
  <c r="AZ169" i="2"/>
  <c r="BA169" i="2"/>
  <c r="BB169" i="2"/>
  <c r="BC169" i="2"/>
  <c r="BD169" i="2"/>
  <c r="BE169" i="2"/>
  <c r="BF169" i="2"/>
  <c r="BG169" i="2"/>
  <c r="BH169" i="2"/>
  <c r="BI169" i="2"/>
  <c r="BJ169" i="2"/>
  <c r="BK169" i="2"/>
  <c r="BL169" i="2"/>
  <c r="BM169" i="2"/>
  <c r="AU170" i="2"/>
  <c r="AV170" i="2"/>
  <c r="AW170" i="2"/>
  <c r="AX170" i="2"/>
  <c r="AY170" i="2"/>
  <c r="AZ170" i="2"/>
  <c r="BA170" i="2"/>
  <c r="BB170" i="2"/>
  <c r="BC170" i="2"/>
  <c r="BD170" i="2"/>
  <c r="BE170" i="2"/>
  <c r="BF170" i="2"/>
  <c r="BG170" i="2"/>
  <c r="BH170" i="2"/>
  <c r="BI170" i="2"/>
  <c r="BJ170" i="2"/>
  <c r="BK170" i="2"/>
  <c r="BL170" i="2"/>
  <c r="BM170" i="2"/>
  <c r="AU171" i="2"/>
  <c r="AV171" i="2"/>
  <c r="AW171" i="2"/>
  <c r="AX171" i="2"/>
  <c r="AY171" i="2"/>
  <c r="AZ171" i="2"/>
  <c r="BA171" i="2"/>
  <c r="BB171" i="2"/>
  <c r="BC171" i="2"/>
  <c r="BD171" i="2"/>
  <c r="BE171" i="2"/>
  <c r="BF171" i="2"/>
  <c r="BG171" i="2"/>
  <c r="BH171" i="2"/>
  <c r="BI171" i="2"/>
  <c r="BJ171" i="2"/>
  <c r="BK171" i="2"/>
  <c r="BL171" i="2"/>
  <c r="BM171" i="2"/>
  <c r="AU172" i="2"/>
  <c r="AV172" i="2"/>
  <c r="AW172" i="2"/>
  <c r="AX172" i="2"/>
  <c r="AY172" i="2"/>
  <c r="AZ172" i="2"/>
  <c r="BA172" i="2"/>
  <c r="BB172" i="2"/>
  <c r="BC172" i="2"/>
  <c r="BD172" i="2"/>
  <c r="BE172" i="2"/>
  <c r="BF172" i="2"/>
  <c r="BG172" i="2"/>
  <c r="BH172" i="2"/>
  <c r="BI172" i="2"/>
  <c r="BJ172" i="2"/>
  <c r="BK172" i="2"/>
  <c r="BL172" i="2"/>
  <c r="BM172" i="2"/>
  <c r="AU173" i="2"/>
  <c r="AV173" i="2"/>
  <c r="AW173" i="2"/>
  <c r="AX173" i="2"/>
  <c r="AY173" i="2"/>
  <c r="AZ173" i="2"/>
  <c r="BA173" i="2"/>
  <c r="BB173" i="2"/>
  <c r="BC173" i="2"/>
  <c r="BD173" i="2"/>
  <c r="BE173" i="2"/>
  <c r="BF173" i="2"/>
  <c r="BG173" i="2"/>
  <c r="BH173" i="2"/>
  <c r="BI173" i="2"/>
  <c r="BJ173" i="2"/>
  <c r="BK173" i="2"/>
  <c r="BL173" i="2"/>
  <c r="BM173" i="2"/>
  <c r="AU174" i="2"/>
  <c r="AV174" i="2"/>
  <c r="AW174" i="2"/>
  <c r="AX174" i="2"/>
  <c r="AY174" i="2"/>
  <c r="AZ174" i="2"/>
  <c r="BA174" i="2"/>
  <c r="BB174" i="2"/>
  <c r="BC174" i="2"/>
  <c r="BD174" i="2"/>
  <c r="BE174" i="2"/>
  <c r="BF174" i="2"/>
  <c r="BG174" i="2"/>
  <c r="BH174" i="2"/>
  <c r="BI174" i="2"/>
  <c r="BJ174" i="2"/>
  <c r="BK174" i="2"/>
  <c r="BL174" i="2"/>
  <c r="BM174" i="2"/>
  <c r="AU175" i="2"/>
  <c r="AV175" i="2"/>
  <c r="AW175" i="2"/>
  <c r="AX175" i="2"/>
  <c r="AY175" i="2"/>
  <c r="AZ175" i="2"/>
  <c r="BA175" i="2"/>
  <c r="BB175" i="2"/>
  <c r="BC175" i="2"/>
  <c r="BD175" i="2"/>
  <c r="BE175" i="2"/>
  <c r="BF175" i="2"/>
  <c r="BG175" i="2"/>
  <c r="BH175" i="2"/>
  <c r="BI175" i="2"/>
  <c r="BJ175" i="2"/>
  <c r="BK175" i="2"/>
  <c r="BL175" i="2"/>
  <c r="BM175" i="2"/>
  <c r="AU176" i="2"/>
  <c r="AV176" i="2"/>
  <c r="AW176" i="2"/>
  <c r="AX176" i="2"/>
  <c r="AY176" i="2"/>
  <c r="AZ176" i="2"/>
  <c r="BA176" i="2"/>
  <c r="BB176" i="2"/>
  <c r="BC176" i="2"/>
  <c r="BD176" i="2"/>
  <c r="BE176" i="2"/>
  <c r="BF176" i="2"/>
  <c r="BG176" i="2"/>
  <c r="BH176" i="2"/>
  <c r="BI176" i="2"/>
  <c r="BJ176" i="2"/>
  <c r="BK176" i="2"/>
  <c r="BL176" i="2"/>
  <c r="BM176" i="2"/>
  <c r="AU177" i="2"/>
  <c r="AV177" i="2"/>
  <c r="AW177" i="2"/>
  <c r="AX177" i="2"/>
  <c r="AY177" i="2"/>
  <c r="AZ177" i="2"/>
  <c r="BA177" i="2"/>
  <c r="BB177" i="2"/>
  <c r="BC177" i="2"/>
  <c r="BD177" i="2"/>
  <c r="BE177" i="2"/>
  <c r="BF177" i="2"/>
  <c r="BG177" i="2"/>
  <c r="BH177" i="2"/>
  <c r="BI177" i="2"/>
  <c r="BJ177" i="2"/>
  <c r="BK177" i="2"/>
  <c r="BL177" i="2"/>
  <c r="BM177" i="2"/>
  <c r="AU178" i="2"/>
  <c r="AV178" i="2"/>
  <c r="AW178" i="2"/>
  <c r="AX178" i="2"/>
  <c r="AY178" i="2"/>
  <c r="AZ178" i="2"/>
  <c r="BA178" i="2"/>
  <c r="BB178" i="2"/>
  <c r="BC178" i="2"/>
  <c r="BD178" i="2"/>
  <c r="BE178" i="2"/>
  <c r="BF178" i="2"/>
  <c r="BG178" i="2"/>
  <c r="BH178" i="2"/>
  <c r="BI178" i="2"/>
  <c r="BJ178" i="2"/>
  <c r="BK178" i="2"/>
  <c r="BL178" i="2"/>
  <c r="BM178" i="2"/>
  <c r="AU179" i="2"/>
  <c r="AV179" i="2"/>
  <c r="AW179" i="2"/>
  <c r="AX179" i="2"/>
  <c r="AY179" i="2"/>
  <c r="AZ179" i="2"/>
  <c r="BA179" i="2"/>
  <c r="BB179" i="2"/>
  <c r="BC179" i="2"/>
  <c r="BD179" i="2"/>
  <c r="BE179" i="2"/>
  <c r="BF179" i="2"/>
  <c r="BG179" i="2"/>
  <c r="BH179" i="2"/>
  <c r="BI179" i="2"/>
  <c r="BJ179" i="2"/>
  <c r="BK179" i="2"/>
  <c r="BL179" i="2"/>
  <c r="BM179" i="2"/>
  <c r="AU180" i="2"/>
  <c r="AV180" i="2"/>
  <c r="AW180" i="2"/>
  <c r="AX180" i="2"/>
  <c r="AY180" i="2"/>
  <c r="AZ180" i="2"/>
  <c r="BA180" i="2"/>
  <c r="BB180" i="2"/>
  <c r="BC180" i="2"/>
  <c r="BD180" i="2"/>
  <c r="BE180" i="2"/>
  <c r="BF180" i="2"/>
  <c r="BG180" i="2"/>
  <c r="BH180" i="2"/>
  <c r="BI180" i="2"/>
  <c r="BJ180" i="2"/>
  <c r="BK180" i="2"/>
  <c r="BL180" i="2"/>
  <c r="BM180" i="2"/>
  <c r="AU181" i="2"/>
  <c r="AV181" i="2"/>
  <c r="AW181" i="2"/>
  <c r="AX181" i="2"/>
  <c r="AY181" i="2"/>
  <c r="AZ181" i="2"/>
  <c r="BA181" i="2"/>
  <c r="BB181" i="2"/>
  <c r="BC181" i="2"/>
  <c r="BD181" i="2"/>
  <c r="BE181" i="2"/>
  <c r="BF181" i="2"/>
  <c r="BG181" i="2"/>
  <c r="BH181" i="2"/>
  <c r="BI181" i="2"/>
  <c r="BJ181" i="2"/>
  <c r="BK181" i="2"/>
  <c r="BL181" i="2"/>
  <c r="BM181" i="2"/>
  <c r="AU182" i="2"/>
  <c r="AV182" i="2"/>
  <c r="AW182" i="2"/>
  <c r="AX182" i="2"/>
  <c r="AY182" i="2"/>
  <c r="AZ182" i="2"/>
  <c r="BA182" i="2"/>
  <c r="BB182" i="2"/>
  <c r="BC182" i="2"/>
  <c r="BD182" i="2"/>
  <c r="BE182" i="2"/>
  <c r="BF182" i="2"/>
  <c r="BG182" i="2"/>
  <c r="BH182" i="2"/>
  <c r="BI182" i="2"/>
  <c r="BJ182" i="2"/>
  <c r="BK182" i="2"/>
  <c r="BL182" i="2"/>
  <c r="BM182" i="2"/>
  <c r="AU183" i="2"/>
  <c r="AV183" i="2"/>
  <c r="AW183" i="2"/>
  <c r="AX183" i="2"/>
  <c r="AY183" i="2"/>
  <c r="AZ183" i="2"/>
  <c r="BA183" i="2"/>
  <c r="BB183" i="2"/>
  <c r="BC183" i="2"/>
  <c r="BD183" i="2"/>
  <c r="BE183" i="2"/>
  <c r="BF183" i="2"/>
  <c r="BG183" i="2"/>
  <c r="BH183" i="2"/>
  <c r="BI183" i="2"/>
  <c r="BJ183" i="2"/>
  <c r="BK183" i="2"/>
  <c r="BL183" i="2"/>
  <c r="BM183" i="2"/>
  <c r="AU184" i="2"/>
  <c r="AV184" i="2"/>
  <c r="AW184" i="2"/>
  <c r="AX184" i="2"/>
  <c r="AY184" i="2"/>
  <c r="AZ184" i="2"/>
  <c r="BA184" i="2"/>
  <c r="BB184" i="2"/>
  <c r="BC184" i="2"/>
  <c r="BD184" i="2"/>
  <c r="BE184" i="2"/>
  <c r="BF184" i="2"/>
  <c r="BG184" i="2"/>
  <c r="BH184" i="2"/>
  <c r="BI184" i="2"/>
  <c r="BJ184" i="2"/>
  <c r="BK184" i="2"/>
  <c r="BL184" i="2"/>
  <c r="BM184" i="2"/>
  <c r="AU185" i="2"/>
  <c r="AV185" i="2"/>
  <c r="AW185" i="2"/>
  <c r="AX185" i="2"/>
  <c r="AY185" i="2"/>
  <c r="AZ185" i="2"/>
  <c r="BA185" i="2"/>
  <c r="BB185" i="2"/>
  <c r="BC185" i="2"/>
  <c r="BD185" i="2"/>
  <c r="BE185" i="2"/>
  <c r="BF185" i="2"/>
  <c r="BG185" i="2"/>
  <c r="BH185" i="2"/>
  <c r="BI185" i="2"/>
  <c r="BJ185" i="2"/>
  <c r="BK185" i="2"/>
  <c r="BL185" i="2"/>
  <c r="BM185" i="2"/>
  <c r="AU186" i="2"/>
  <c r="AV186" i="2"/>
  <c r="AW186" i="2"/>
  <c r="AX186" i="2"/>
  <c r="AY186" i="2"/>
  <c r="AZ186" i="2"/>
  <c r="BA186" i="2"/>
  <c r="BB186" i="2"/>
  <c r="BC186" i="2"/>
  <c r="BD186" i="2"/>
  <c r="BE186" i="2"/>
  <c r="BF186" i="2"/>
  <c r="BG186" i="2"/>
  <c r="BH186" i="2"/>
  <c r="BI186" i="2"/>
  <c r="BJ186" i="2"/>
  <c r="BK186" i="2"/>
  <c r="BL186" i="2"/>
  <c r="BM186" i="2"/>
  <c r="AU187" i="2"/>
  <c r="AV187" i="2"/>
  <c r="AW187" i="2"/>
  <c r="AX187" i="2"/>
  <c r="AY187" i="2"/>
  <c r="AZ187" i="2"/>
  <c r="BA187" i="2"/>
  <c r="BB187" i="2"/>
  <c r="BC187" i="2"/>
  <c r="BD187" i="2"/>
  <c r="BE187" i="2"/>
  <c r="BF187" i="2"/>
  <c r="BG187" i="2"/>
  <c r="BH187" i="2"/>
  <c r="BI187" i="2"/>
  <c r="BJ187" i="2"/>
  <c r="BK187" i="2"/>
  <c r="BL187" i="2"/>
  <c r="BM187" i="2"/>
  <c r="AU188" i="2"/>
  <c r="AV188" i="2"/>
  <c r="AW188" i="2"/>
  <c r="AX188" i="2"/>
  <c r="AY188" i="2"/>
  <c r="AZ188" i="2"/>
  <c r="BA188" i="2"/>
  <c r="BB188" i="2"/>
  <c r="BC188" i="2"/>
  <c r="BD188" i="2"/>
  <c r="BE188" i="2"/>
  <c r="BF188" i="2"/>
  <c r="BG188" i="2"/>
  <c r="BH188" i="2"/>
  <c r="BI188" i="2"/>
  <c r="BJ188" i="2"/>
  <c r="BK188" i="2"/>
  <c r="BL188" i="2"/>
  <c r="BM188" i="2"/>
  <c r="AU189" i="2"/>
  <c r="AV189" i="2"/>
  <c r="AW189" i="2"/>
  <c r="AX189" i="2"/>
  <c r="AY189" i="2"/>
  <c r="AZ189" i="2"/>
  <c r="BA189" i="2"/>
  <c r="BB189" i="2"/>
  <c r="BC189" i="2"/>
  <c r="BD189" i="2"/>
  <c r="BE189" i="2"/>
  <c r="BF189" i="2"/>
  <c r="BG189" i="2"/>
  <c r="BH189" i="2"/>
  <c r="BI189" i="2"/>
  <c r="BJ189" i="2"/>
  <c r="BK189" i="2"/>
  <c r="BL189" i="2"/>
  <c r="BM189" i="2"/>
  <c r="AU190" i="2"/>
  <c r="AV190" i="2"/>
  <c r="AW190" i="2"/>
  <c r="AX190" i="2"/>
  <c r="AY190" i="2"/>
  <c r="AZ190" i="2"/>
  <c r="BA190" i="2"/>
  <c r="BB190" i="2"/>
  <c r="BC190" i="2"/>
  <c r="BD190" i="2"/>
  <c r="BE190" i="2"/>
  <c r="BF190" i="2"/>
  <c r="BG190" i="2"/>
  <c r="BH190" i="2"/>
  <c r="BI190" i="2"/>
  <c r="BJ190" i="2"/>
  <c r="BK190" i="2"/>
  <c r="BL190" i="2"/>
  <c r="BM190" i="2"/>
  <c r="AU191" i="2"/>
  <c r="AV191" i="2"/>
  <c r="AW191" i="2"/>
  <c r="AX191" i="2"/>
  <c r="AY191" i="2"/>
  <c r="AZ191" i="2"/>
  <c r="BA191" i="2"/>
  <c r="BB191" i="2"/>
  <c r="BC191" i="2"/>
  <c r="BD191" i="2"/>
  <c r="BE191" i="2"/>
  <c r="BF191" i="2"/>
  <c r="BG191" i="2"/>
  <c r="BH191" i="2"/>
  <c r="BI191" i="2"/>
  <c r="BJ191" i="2"/>
  <c r="BK191" i="2"/>
  <c r="BL191" i="2"/>
  <c r="BM191" i="2"/>
  <c r="AU192" i="2"/>
  <c r="AV192" i="2"/>
  <c r="AW192" i="2"/>
  <c r="AX192" i="2"/>
  <c r="AY192" i="2"/>
  <c r="AZ192" i="2"/>
  <c r="BA192" i="2"/>
  <c r="BB192" i="2"/>
  <c r="BC192" i="2"/>
  <c r="BD192" i="2"/>
  <c r="BE192" i="2"/>
  <c r="BF192" i="2"/>
  <c r="BG192" i="2"/>
  <c r="BH192" i="2"/>
  <c r="BI192" i="2"/>
  <c r="BJ192" i="2"/>
  <c r="BK192" i="2"/>
  <c r="BL192" i="2"/>
  <c r="BM192" i="2"/>
  <c r="AU193" i="2"/>
  <c r="AV193" i="2"/>
  <c r="AW193" i="2"/>
  <c r="AX193" i="2"/>
  <c r="AY193" i="2"/>
  <c r="AZ193" i="2"/>
  <c r="BA193" i="2"/>
  <c r="BB193" i="2"/>
  <c r="BC193" i="2"/>
  <c r="BD193" i="2"/>
  <c r="BE193" i="2"/>
  <c r="BF193" i="2"/>
  <c r="BG193" i="2"/>
  <c r="BH193" i="2"/>
  <c r="BI193" i="2"/>
  <c r="BJ193" i="2"/>
  <c r="BK193" i="2"/>
  <c r="BL193" i="2"/>
  <c r="BM193" i="2"/>
  <c r="AU194" i="2"/>
  <c r="AV194" i="2"/>
  <c r="AW194" i="2"/>
  <c r="AX194" i="2"/>
  <c r="AY194" i="2"/>
  <c r="AZ194" i="2"/>
  <c r="BA194" i="2"/>
  <c r="BB194" i="2"/>
  <c r="BC194" i="2"/>
  <c r="BD194" i="2"/>
  <c r="BE194" i="2"/>
  <c r="BF194" i="2"/>
  <c r="BG194" i="2"/>
  <c r="BH194" i="2"/>
  <c r="BI194" i="2"/>
  <c r="BJ194" i="2"/>
  <c r="BK194" i="2"/>
  <c r="BL194" i="2"/>
  <c r="BM194" i="2"/>
  <c r="AU195" i="2"/>
  <c r="AV195" i="2"/>
  <c r="AW195" i="2"/>
  <c r="AX195" i="2"/>
  <c r="AY195" i="2"/>
  <c r="AZ195" i="2"/>
  <c r="BA195" i="2"/>
  <c r="BB195" i="2"/>
  <c r="BC195" i="2"/>
  <c r="BD195" i="2"/>
  <c r="BE195" i="2"/>
  <c r="BF195" i="2"/>
  <c r="BG195" i="2"/>
  <c r="BH195" i="2"/>
  <c r="BI195" i="2"/>
  <c r="BJ195" i="2"/>
  <c r="BK195" i="2"/>
  <c r="BL195" i="2"/>
  <c r="BM195" i="2"/>
  <c r="AU196" i="2"/>
  <c r="AV196" i="2"/>
  <c r="AW196" i="2"/>
  <c r="AX196" i="2"/>
  <c r="AY196" i="2"/>
  <c r="AZ196" i="2"/>
  <c r="BA196" i="2"/>
  <c r="BB196" i="2"/>
  <c r="BC196" i="2"/>
  <c r="BD196" i="2"/>
  <c r="BE196" i="2"/>
  <c r="BF196" i="2"/>
  <c r="BG196" i="2"/>
  <c r="BH196" i="2"/>
  <c r="BI196" i="2"/>
  <c r="BJ196" i="2"/>
  <c r="BK196" i="2"/>
  <c r="BL196" i="2"/>
  <c r="BM196" i="2"/>
  <c r="AU197" i="2"/>
  <c r="AV197" i="2"/>
  <c r="AW197" i="2"/>
  <c r="AX197" i="2"/>
  <c r="AY197" i="2"/>
  <c r="AZ197" i="2"/>
  <c r="BA197" i="2"/>
  <c r="BB197" i="2"/>
  <c r="BC197" i="2"/>
  <c r="BD197" i="2"/>
  <c r="BE197" i="2"/>
  <c r="BF197" i="2"/>
  <c r="BG197" i="2"/>
  <c r="BH197" i="2"/>
  <c r="BI197" i="2"/>
  <c r="BJ197" i="2"/>
  <c r="BK197" i="2"/>
  <c r="BL197" i="2"/>
  <c r="BM197" i="2"/>
  <c r="AU198" i="2"/>
  <c r="AV198" i="2"/>
  <c r="AW198" i="2"/>
  <c r="AX198" i="2"/>
  <c r="AY198" i="2"/>
  <c r="AZ198" i="2"/>
  <c r="BA198" i="2"/>
  <c r="BB198" i="2"/>
  <c r="BC198" i="2"/>
  <c r="BD198" i="2"/>
  <c r="BE198" i="2"/>
  <c r="BF198" i="2"/>
  <c r="BG198" i="2"/>
  <c r="BH198" i="2"/>
  <c r="BI198" i="2"/>
  <c r="BJ198" i="2"/>
  <c r="BK198" i="2"/>
  <c r="BL198" i="2"/>
  <c r="BM198" i="2"/>
  <c r="AU199" i="2"/>
  <c r="AV199" i="2"/>
  <c r="AW199" i="2"/>
  <c r="AX199" i="2"/>
  <c r="AY199" i="2"/>
  <c r="AZ199" i="2"/>
  <c r="BA199" i="2"/>
  <c r="BB199" i="2"/>
  <c r="BC199" i="2"/>
  <c r="BD199" i="2"/>
  <c r="BE199" i="2"/>
  <c r="BF199" i="2"/>
  <c r="BG199" i="2"/>
  <c r="BH199" i="2"/>
  <c r="BI199" i="2"/>
  <c r="BJ199" i="2"/>
  <c r="BK199" i="2"/>
  <c r="BL199" i="2"/>
  <c r="BM199" i="2"/>
  <c r="AU200" i="2"/>
  <c r="AV200" i="2"/>
  <c r="AW200" i="2"/>
  <c r="AX200" i="2"/>
  <c r="AY200" i="2"/>
  <c r="AZ200" i="2"/>
  <c r="BA200" i="2"/>
  <c r="BB200" i="2"/>
  <c r="BC200" i="2"/>
  <c r="BD200" i="2"/>
  <c r="BE200" i="2"/>
  <c r="BF200" i="2"/>
  <c r="BG200" i="2"/>
  <c r="BH200" i="2"/>
  <c r="BI200" i="2"/>
  <c r="BJ200" i="2"/>
  <c r="BK200" i="2"/>
  <c r="BL200" i="2"/>
  <c r="BM200" i="2"/>
  <c r="AU201" i="2"/>
  <c r="AV201" i="2"/>
  <c r="AW201" i="2"/>
  <c r="AX201" i="2"/>
  <c r="AY201" i="2"/>
  <c r="AZ201" i="2"/>
  <c r="BA201" i="2"/>
  <c r="BB201" i="2"/>
  <c r="BC201" i="2"/>
  <c r="BD201" i="2"/>
  <c r="BE201" i="2"/>
  <c r="BF201" i="2"/>
  <c r="BG201" i="2"/>
  <c r="BH201" i="2"/>
  <c r="BI201" i="2"/>
  <c r="BJ201" i="2"/>
  <c r="BK201" i="2"/>
  <c r="BL201" i="2"/>
  <c r="BM201" i="2"/>
  <c r="AU202" i="2"/>
  <c r="AV202" i="2"/>
  <c r="AW202" i="2"/>
  <c r="AX202" i="2"/>
  <c r="AY202" i="2"/>
  <c r="AZ202" i="2"/>
  <c r="BA202" i="2"/>
  <c r="BB202" i="2"/>
  <c r="BC202" i="2"/>
  <c r="BD202" i="2"/>
  <c r="BE202" i="2"/>
  <c r="BF202" i="2"/>
  <c r="BG202" i="2"/>
  <c r="BH202" i="2"/>
  <c r="BI202" i="2"/>
  <c r="BJ202" i="2"/>
  <c r="BK202" i="2"/>
  <c r="BL202" i="2"/>
  <c r="BM202" i="2"/>
  <c r="AU203" i="2"/>
  <c r="AV203" i="2"/>
  <c r="AW203" i="2"/>
  <c r="AX203" i="2"/>
  <c r="AY203" i="2"/>
  <c r="AZ203" i="2"/>
  <c r="BA203" i="2"/>
  <c r="BB203" i="2"/>
  <c r="BC203" i="2"/>
  <c r="BD203" i="2"/>
  <c r="BE203" i="2"/>
  <c r="BF203" i="2"/>
  <c r="BG203" i="2"/>
  <c r="BH203" i="2"/>
  <c r="BI203" i="2"/>
  <c r="BJ203" i="2"/>
  <c r="BK203" i="2"/>
  <c r="BL203" i="2"/>
  <c r="BM203" i="2"/>
  <c r="AU204" i="2"/>
  <c r="AV204" i="2"/>
  <c r="AW204" i="2"/>
  <c r="AX204" i="2"/>
  <c r="AY204" i="2"/>
  <c r="AZ204" i="2"/>
  <c r="BA204" i="2"/>
  <c r="BB204" i="2"/>
  <c r="BC204" i="2"/>
  <c r="BD204" i="2"/>
  <c r="BE204" i="2"/>
  <c r="BF204" i="2"/>
  <c r="BG204" i="2"/>
  <c r="BH204" i="2"/>
  <c r="BI204" i="2"/>
  <c r="BJ204" i="2"/>
  <c r="BK204" i="2"/>
  <c r="BL204" i="2"/>
  <c r="BM204" i="2"/>
  <c r="AU205" i="2"/>
  <c r="AV205" i="2"/>
  <c r="AW205" i="2"/>
  <c r="AX205" i="2"/>
  <c r="AY205" i="2"/>
  <c r="AZ205" i="2"/>
  <c r="BA205" i="2"/>
  <c r="BB205" i="2"/>
  <c r="BC205" i="2"/>
  <c r="BD205" i="2"/>
  <c r="BE205" i="2"/>
  <c r="BF205" i="2"/>
  <c r="BG205" i="2"/>
  <c r="BH205" i="2"/>
  <c r="BI205" i="2"/>
  <c r="BJ205" i="2"/>
  <c r="BK205" i="2"/>
  <c r="BL205" i="2"/>
  <c r="BM205" i="2"/>
  <c r="AU206" i="2"/>
  <c r="AV206" i="2"/>
  <c r="AW206" i="2"/>
  <c r="AX206" i="2"/>
  <c r="AY206" i="2"/>
  <c r="AZ206" i="2"/>
  <c r="BA206" i="2"/>
  <c r="BB206" i="2"/>
  <c r="BC206" i="2"/>
  <c r="BD206" i="2"/>
  <c r="BE206" i="2"/>
  <c r="BF206" i="2"/>
  <c r="BG206" i="2"/>
  <c r="BH206" i="2"/>
  <c r="BI206" i="2"/>
  <c r="BJ206" i="2"/>
  <c r="BK206" i="2"/>
  <c r="BL206" i="2"/>
  <c r="BM206" i="2"/>
  <c r="AU207" i="2"/>
  <c r="AV207" i="2"/>
  <c r="AW207" i="2"/>
  <c r="AX207" i="2"/>
  <c r="AY207" i="2"/>
  <c r="AZ207" i="2"/>
  <c r="BA207" i="2"/>
  <c r="BB207" i="2"/>
  <c r="BC207" i="2"/>
  <c r="BD207" i="2"/>
  <c r="BE207" i="2"/>
  <c r="BF207" i="2"/>
  <c r="BG207" i="2"/>
  <c r="BH207" i="2"/>
  <c r="BI207" i="2"/>
  <c r="BJ207" i="2"/>
  <c r="BK207" i="2"/>
  <c r="BL207" i="2"/>
  <c r="BM207" i="2"/>
  <c r="AU208" i="2"/>
  <c r="AV208" i="2"/>
  <c r="AW208" i="2"/>
  <c r="AX208" i="2"/>
  <c r="AY208" i="2"/>
  <c r="AZ208" i="2"/>
  <c r="BA208" i="2"/>
  <c r="BB208" i="2"/>
  <c r="BC208" i="2"/>
  <c r="BD208" i="2"/>
  <c r="BE208" i="2"/>
  <c r="BF208" i="2"/>
  <c r="BG208" i="2"/>
  <c r="BH208" i="2"/>
  <c r="BI208" i="2"/>
  <c r="BJ208" i="2"/>
  <c r="BK208" i="2"/>
  <c r="BL208" i="2"/>
  <c r="BM208" i="2"/>
  <c r="AU209" i="2"/>
  <c r="AV209" i="2"/>
  <c r="AW209" i="2"/>
  <c r="AX209" i="2"/>
  <c r="AY209" i="2"/>
  <c r="AZ209" i="2"/>
  <c r="BA209" i="2"/>
  <c r="BB209" i="2"/>
  <c r="BC209" i="2"/>
  <c r="BD209" i="2"/>
  <c r="BE209" i="2"/>
  <c r="BF209" i="2"/>
  <c r="BG209" i="2"/>
  <c r="BH209" i="2"/>
  <c r="BI209" i="2"/>
  <c r="BJ209" i="2"/>
  <c r="BK209" i="2"/>
  <c r="BL209" i="2"/>
  <c r="BM209" i="2"/>
  <c r="AU210" i="2"/>
  <c r="AV210" i="2"/>
  <c r="AW210" i="2"/>
  <c r="AX210" i="2"/>
  <c r="AY210" i="2"/>
  <c r="AZ210" i="2"/>
  <c r="BA210" i="2"/>
  <c r="BB210" i="2"/>
  <c r="BC210" i="2"/>
  <c r="BD210" i="2"/>
  <c r="BE210" i="2"/>
  <c r="BF210" i="2"/>
  <c r="BG210" i="2"/>
  <c r="BH210" i="2"/>
  <c r="BI210" i="2"/>
  <c r="BJ210" i="2"/>
  <c r="BK210" i="2"/>
  <c r="BL210" i="2"/>
  <c r="BM210" i="2"/>
  <c r="AU211" i="2"/>
  <c r="AV211" i="2"/>
  <c r="AW211" i="2"/>
  <c r="AX211" i="2"/>
  <c r="AY211" i="2"/>
  <c r="AZ211" i="2"/>
  <c r="BA211" i="2"/>
  <c r="BB211" i="2"/>
  <c r="BC211" i="2"/>
  <c r="BD211" i="2"/>
  <c r="BE211" i="2"/>
  <c r="BF211" i="2"/>
  <c r="BG211" i="2"/>
  <c r="BH211" i="2"/>
  <c r="BI211" i="2"/>
  <c r="BJ211" i="2"/>
  <c r="BK211" i="2"/>
  <c r="BL211" i="2"/>
  <c r="BM211" i="2"/>
  <c r="AU212" i="2"/>
  <c r="AV212" i="2"/>
  <c r="AW212" i="2"/>
  <c r="AX212" i="2"/>
  <c r="AY212" i="2"/>
  <c r="AZ212" i="2"/>
  <c r="BA212" i="2"/>
  <c r="BB212" i="2"/>
  <c r="BC212" i="2"/>
  <c r="BD212" i="2"/>
  <c r="BE212" i="2"/>
  <c r="BF212" i="2"/>
  <c r="BG212" i="2"/>
  <c r="BH212" i="2"/>
  <c r="BI212" i="2"/>
  <c r="BJ212" i="2"/>
  <c r="BK212" i="2"/>
  <c r="BL212" i="2"/>
  <c r="BM212" i="2"/>
  <c r="AU213" i="2"/>
  <c r="AV213" i="2"/>
  <c r="AW213" i="2"/>
  <c r="AX213" i="2"/>
  <c r="AY213" i="2"/>
  <c r="AZ213" i="2"/>
  <c r="BA213" i="2"/>
  <c r="BB213" i="2"/>
  <c r="BC213" i="2"/>
  <c r="BD213" i="2"/>
  <c r="BE213" i="2"/>
  <c r="BF213" i="2"/>
  <c r="BG213" i="2"/>
  <c r="BH213" i="2"/>
  <c r="BI213" i="2"/>
  <c r="BJ213" i="2"/>
  <c r="BK213" i="2"/>
  <c r="BL213" i="2"/>
  <c r="BM213" i="2"/>
  <c r="AU214" i="2"/>
  <c r="AV214" i="2"/>
  <c r="AW214" i="2"/>
  <c r="AX214" i="2"/>
  <c r="AY214" i="2"/>
  <c r="AZ214" i="2"/>
  <c r="BA214" i="2"/>
  <c r="BB214" i="2"/>
  <c r="BC214" i="2"/>
  <c r="BD214" i="2"/>
  <c r="BE214" i="2"/>
  <c r="BF214" i="2"/>
  <c r="BG214" i="2"/>
  <c r="BH214" i="2"/>
  <c r="BI214" i="2"/>
  <c r="BJ214" i="2"/>
  <c r="BK214" i="2"/>
  <c r="BL214" i="2"/>
  <c r="BM214" i="2"/>
  <c r="AU215" i="2"/>
  <c r="AV215" i="2"/>
  <c r="AW215" i="2"/>
  <c r="AX215" i="2"/>
  <c r="AY215" i="2"/>
  <c r="AZ215" i="2"/>
  <c r="BA215" i="2"/>
  <c r="BB215" i="2"/>
  <c r="BC215" i="2"/>
  <c r="BD215" i="2"/>
  <c r="BE215" i="2"/>
  <c r="BF215" i="2"/>
  <c r="BG215" i="2"/>
  <c r="BH215" i="2"/>
  <c r="BI215" i="2"/>
  <c r="BJ215" i="2"/>
  <c r="BK215" i="2"/>
  <c r="BL215" i="2"/>
  <c r="BM215" i="2"/>
  <c r="AU216" i="2"/>
  <c r="AV216" i="2"/>
  <c r="AW216" i="2"/>
  <c r="AX216" i="2"/>
  <c r="AY216" i="2"/>
  <c r="AZ216" i="2"/>
  <c r="BA216" i="2"/>
  <c r="BB216" i="2"/>
  <c r="BC216" i="2"/>
  <c r="BD216" i="2"/>
  <c r="BE216" i="2"/>
  <c r="BF216" i="2"/>
  <c r="BG216" i="2"/>
  <c r="BH216" i="2"/>
  <c r="BI216" i="2"/>
  <c r="BJ216" i="2"/>
  <c r="BK216" i="2"/>
  <c r="BL216" i="2"/>
  <c r="BM216" i="2"/>
  <c r="AU217" i="2"/>
  <c r="AV217" i="2"/>
  <c r="AW217" i="2"/>
  <c r="AX217" i="2"/>
  <c r="AY217" i="2"/>
  <c r="AZ217" i="2"/>
  <c r="BA217" i="2"/>
  <c r="BB217" i="2"/>
  <c r="BC217" i="2"/>
  <c r="BD217" i="2"/>
  <c r="BE217" i="2"/>
  <c r="BF217" i="2"/>
  <c r="BG217" i="2"/>
  <c r="BH217" i="2"/>
  <c r="BI217" i="2"/>
  <c r="BJ217" i="2"/>
  <c r="BK217" i="2"/>
  <c r="BL217" i="2"/>
  <c r="BM217" i="2"/>
  <c r="AU218" i="2"/>
  <c r="AV218" i="2"/>
  <c r="AW218" i="2"/>
  <c r="AX218" i="2"/>
  <c r="AY218" i="2"/>
  <c r="AZ218" i="2"/>
  <c r="BA218" i="2"/>
  <c r="BB218" i="2"/>
  <c r="BC218" i="2"/>
  <c r="BD218" i="2"/>
  <c r="BE218" i="2"/>
  <c r="BF218" i="2"/>
  <c r="BG218" i="2"/>
  <c r="BH218" i="2"/>
  <c r="BI218" i="2"/>
  <c r="BJ218" i="2"/>
  <c r="BK218" i="2"/>
  <c r="BL218" i="2"/>
  <c r="BM218" i="2"/>
  <c r="AU219" i="2"/>
  <c r="AV219" i="2"/>
  <c r="AW219" i="2"/>
  <c r="AX219" i="2"/>
  <c r="AY219" i="2"/>
  <c r="AZ219" i="2"/>
  <c r="BA219" i="2"/>
  <c r="BB219" i="2"/>
  <c r="BC219" i="2"/>
  <c r="BD219" i="2"/>
  <c r="BE219" i="2"/>
  <c r="BF219" i="2"/>
  <c r="BG219" i="2"/>
  <c r="BH219" i="2"/>
  <c r="BI219" i="2"/>
  <c r="BJ219" i="2"/>
  <c r="BK219" i="2"/>
  <c r="BL219" i="2"/>
  <c r="BM219" i="2"/>
  <c r="AU220" i="2"/>
  <c r="AV220" i="2"/>
  <c r="AW220" i="2"/>
  <c r="AX220" i="2"/>
  <c r="AY220" i="2"/>
  <c r="AZ220" i="2"/>
  <c r="BA220" i="2"/>
  <c r="BB220" i="2"/>
  <c r="BC220" i="2"/>
  <c r="BD220" i="2"/>
  <c r="BE220" i="2"/>
  <c r="BF220" i="2"/>
  <c r="BG220" i="2"/>
  <c r="BH220" i="2"/>
  <c r="BI220" i="2"/>
  <c r="BJ220" i="2"/>
  <c r="BK220" i="2"/>
  <c r="BL220" i="2"/>
  <c r="BM220" i="2"/>
  <c r="AU221" i="2"/>
  <c r="AV221" i="2"/>
  <c r="AW221" i="2"/>
  <c r="AX221" i="2"/>
  <c r="AY221" i="2"/>
  <c r="AZ221" i="2"/>
  <c r="BA221" i="2"/>
  <c r="BB221" i="2"/>
  <c r="BC221" i="2"/>
  <c r="BD221" i="2"/>
  <c r="BE221" i="2"/>
  <c r="BF221" i="2"/>
  <c r="BG221" i="2"/>
  <c r="BH221" i="2"/>
  <c r="BI221" i="2"/>
  <c r="BJ221" i="2"/>
  <c r="BK221" i="2"/>
  <c r="BL221" i="2"/>
  <c r="BM221" i="2"/>
  <c r="AU222" i="2"/>
  <c r="AV222" i="2"/>
  <c r="AW222" i="2"/>
  <c r="AX222" i="2"/>
  <c r="AY222" i="2"/>
  <c r="AZ222" i="2"/>
  <c r="BA222" i="2"/>
  <c r="BB222" i="2"/>
  <c r="BC222" i="2"/>
  <c r="BD222" i="2"/>
  <c r="BE222" i="2"/>
  <c r="BF222" i="2"/>
  <c r="BG222" i="2"/>
  <c r="BH222" i="2"/>
  <c r="BI222" i="2"/>
  <c r="BJ222" i="2"/>
  <c r="BK222" i="2"/>
  <c r="BL222" i="2"/>
  <c r="BM222" i="2"/>
  <c r="AU223" i="2"/>
  <c r="AV223" i="2"/>
  <c r="AW223" i="2"/>
  <c r="AX223" i="2"/>
  <c r="AY223" i="2"/>
  <c r="AZ223" i="2"/>
  <c r="BA223" i="2"/>
  <c r="BB223" i="2"/>
  <c r="BC223" i="2"/>
  <c r="BD223" i="2"/>
  <c r="BE223" i="2"/>
  <c r="BF223" i="2"/>
  <c r="BG223" i="2"/>
  <c r="BH223" i="2"/>
  <c r="BI223" i="2"/>
  <c r="BJ223" i="2"/>
  <c r="BK223" i="2"/>
  <c r="BL223" i="2"/>
  <c r="BM223" i="2"/>
  <c r="AU224" i="2"/>
  <c r="AV224" i="2"/>
  <c r="AW224" i="2"/>
  <c r="AX224" i="2"/>
  <c r="AY224" i="2"/>
  <c r="AZ224" i="2"/>
  <c r="BA224" i="2"/>
  <c r="BB224" i="2"/>
  <c r="BC224" i="2"/>
  <c r="BD224" i="2"/>
  <c r="BE224" i="2"/>
  <c r="BF224" i="2"/>
  <c r="BG224" i="2"/>
  <c r="BH224" i="2"/>
  <c r="BI224" i="2"/>
  <c r="BJ224" i="2"/>
  <c r="BK224" i="2"/>
  <c r="BL224" i="2"/>
  <c r="BM224" i="2"/>
  <c r="AU225" i="2"/>
  <c r="AV225" i="2"/>
  <c r="AW225" i="2"/>
  <c r="AX225" i="2"/>
  <c r="AY225" i="2"/>
  <c r="AZ225" i="2"/>
  <c r="BA225" i="2"/>
  <c r="BB225" i="2"/>
  <c r="BC225" i="2"/>
  <c r="BD225" i="2"/>
  <c r="BE225" i="2"/>
  <c r="BF225" i="2"/>
  <c r="BG225" i="2"/>
  <c r="BH225" i="2"/>
  <c r="BI225" i="2"/>
  <c r="BJ225" i="2"/>
  <c r="BK225" i="2"/>
  <c r="BL225" i="2"/>
  <c r="BM225" i="2"/>
  <c r="AU226" i="2"/>
  <c r="AV226" i="2"/>
  <c r="AW226" i="2"/>
  <c r="AX226" i="2"/>
  <c r="AY226" i="2"/>
  <c r="AZ226" i="2"/>
  <c r="BA226" i="2"/>
  <c r="BB226" i="2"/>
  <c r="BC226" i="2"/>
  <c r="BD226" i="2"/>
  <c r="BE226" i="2"/>
  <c r="BF226" i="2"/>
  <c r="BG226" i="2"/>
  <c r="BH226" i="2"/>
  <c r="BI226" i="2"/>
  <c r="BJ226" i="2"/>
  <c r="BK226" i="2"/>
  <c r="BL226" i="2"/>
  <c r="BM226" i="2"/>
  <c r="AU227" i="2"/>
  <c r="AV227" i="2"/>
  <c r="AW227" i="2"/>
  <c r="AX227" i="2"/>
  <c r="AY227" i="2"/>
  <c r="AZ227" i="2"/>
  <c r="BA227" i="2"/>
  <c r="BB227" i="2"/>
  <c r="BC227" i="2"/>
  <c r="BD227" i="2"/>
  <c r="BE227" i="2"/>
  <c r="BF227" i="2"/>
  <c r="BG227" i="2"/>
  <c r="BH227" i="2"/>
  <c r="BI227" i="2"/>
  <c r="BJ227" i="2"/>
  <c r="BK227" i="2"/>
  <c r="BL227" i="2"/>
  <c r="BM227" i="2"/>
  <c r="AU228" i="2"/>
  <c r="AV228" i="2"/>
  <c r="AW228" i="2"/>
  <c r="AX228" i="2"/>
  <c r="AY228" i="2"/>
  <c r="AZ228" i="2"/>
  <c r="BA228" i="2"/>
  <c r="BB228" i="2"/>
  <c r="BC228" i="2"/>
  <c r="BD228" i="2"/>
  <c r="BE228" i="2"/>
  <c r="BF228" i="2"/>
  <c r="BG228" i="2"/>
  <c r="BH228" i="2"/>
  <c r="BI228" i="2"/>
  <c r="BJ228" i="2"/>
  <c r="BK228" i="2"/>
  <c r="BL228" i="2"/>
  <c r="BM228" i="2"/>
  <c r="AV2" i="2"/>
  <c r="AW2" i="2"/>
  <c r="AX2" i="2"/>
  <c r="AY2" i="2"/>
  <c r="AZ2" i="2"/>
  <c r="BA2" i="2"/>
  <c r="BB2" i="2"/>
  <c r="BC2" i="2"/>
  <c r="BD2" i="2"/>
  <c r="BE2" i="2"/>
  <c r="BF2" i="2"/>
  <c r="BG2" i="2"/>
  <c r="BH2" i="2"/>
  <c r="BI2" i="2"/>
  <c r="BJ2" i="2"/>
  <c r="BK2" i="2"/>
  <c r="BL2" i="2"/>
  <c r="BM2" i="2"/>
  <c r="AU2" i="2"/>
  <c r="DS26" i="3"/>
  <c r="EG50" i="3"/>
  <c r="EG49" i="3"/>
  <c r="EG48" i="3"/>
  <c r="EG47" i="3"/>
  <c r="EG46" i="3"/>
  <c r="EG45" i="3"/>
  <c r="EG44" i="3"/>
  <c r="EG43" i="3"/>
  <c r="EG42" i="3"/>
  <c r="EG41" i="3"/>
  <c r="EG40" i="3"/>
  <c r="EG39" i="3"/>
  <c r="EG38" i="3"/>
  <c r="EG37" i="3"/>
  <c r="EG36" i="3"/>
  <c r="EG35" i="3"/>
  <c r="EG34" i="3"/>
  <c r="EG33" i="3"/>
  <c r="EG32" i="3"/>
  <c r="EG31" i="3"/>
  <c r="EG30" i="3"/>
  <c r="EC16" i="3"/>
  <c r="EO12" i="3"/>
  <c r="EC12" i="3"/>
  <c r="EC14" i="3"/>
  <c r="EC23" i="3"/>
  <c r="EC28" i="3"/>
  <c r="EC20" i="3"/>
  <c r="EC25" i="3"/>
  <c r="EO29" i="3"/>
  <c r="EC22" i="3"/>
  <c r="EC17" i="3"/>
  <c r="EO19" i="3"/>
  <c r="EC13" i="3"/>
  <c r="EO13" i="3"/>
  <c r="EC19" i="3"/>
  <c r="EO16" i="3"/>
  <c r="EO20" i="3"/>
  <c r="EC11" i="3"/>
  <c r="EC27" i="3"/>
  <c r="EO27" i="3"/>
  <c r="EO28" i="3"/>
  <c r="EC18" i="3"/>
  <c r="EC24" i="3"/>
  <c r="EO23" i="3"/>
  <c r="EC21" i="3"/>
  <c r="EO15" i="3"/>
  <c r="EO17" i="3"/>
  <c r="EC15" i="3"/>
  <c r="EO25" i="3"/>
  <c r="EC29" i="3"/>
  <c r="EO14" i="3"/>
  <c r="EO11" i="3"/>
  <c r="EC26" i="3"/>
  <c r="EO22" i="3"/>
  <c r="EO21" i="3"/>
  <c r="EO24" i="3"/>
  <c r="EO18" i="3"/>
  <c r="EO26" i="3"/>
  <c r="ED12" i="3" l="1"/>
  <c r="ED16" i="3"/>
  <c r="ED20" i="3"/>
  <c r="ED24" i="3"/>
  <c r="ED11" i="3"/>
  <c r="ED13" i="3"/>
  <c r="ED15" i="3"/>
  <c r="ED17" i="3"/>
  <c r="ED19" i="3"/>
  <c r="ED21" i="3"/>
  <c r="ED23" i="3"/>
  <c r="ED25" i="3"/>
  <c r="ED27" i="3"/>
  <c r="ED29" i="3"/>
  <c r="ED22" i="3"/>
  <c r="ED14" i="3"/>
  <c r="ED18" i="3"/>
  <c r="ED26" i="3"/>
  <c r="ED28" i="3"/>
  <c r="EN19" i="3"/>
  <c r="EN11" i="3"/>
  <c r="EN20" i="3"/>
  <c r="EN21" i="3"/>
  <c r="EN17" i="3"/>
  <c r="EN16" i="3"/>
  <c r="EN22" i="3"/>
  <c r="EN18" i="3"/>
  <c r="EN27" i="3"/>
  <c r="EF25" i="3"/>
  <c r="EE17" i="3"/>
  <c r="EF14" i="3"/>
  <c r="EE21" i="3"/>
  <c r="EN23" i="3"/>
  <c r="EN14" i="3"/>
  <c r="EN24" i="3"/>
  <c r="EF19" i="3"/>
  <c r="EF26" i="3"/>
  <c r="EN15" i="3"/>
  <c r="EN29" i="3"/>
  <c r="EN12" i="3"/>
  <c r="EF13" i="3"/>
  <c r="EN26" i="3"/>
  <c r="EN13" i="3"/>
  <c r="EF23" i="3"/>
  <c r="EE18" i="3"/>
  <c r="EF21" i="3"/>
  <c r="EN25" i="3"/>
  <c r="EN28" i="3"/>
  <c r="EE19" i="3"/>
  <c r="EE24" i="3"/>
  <c r="EE25" i="3"/>
  <c r="EF16" i="3"/>
  <c r="EE29" i="3"/>
  <c r="EF12" i="3"/>
  <c r="EF18" i="3"/>
  <c r="EE20" i="3"/>
  <c r="EE11" i="3"/>
  <c r="EE15" i="3"/>
  <c r="EF27" i="3"/>
  <c r="EF22" i="3"/>
  <c r="EF28" i="3"/>
  <c r="EQ22" i="3" l="1"/>
  <c r="EQ29" i="3"/>
  <c r="EQ13" i="3"/>
  <c r="EQ19" i="3"/>
  <c r="EQ20" i="3"/>
  <c r="EQ24" i="3"/>
  <c r="EQ28" i="3"/>
  <c r="EQ16" i="3"/>
  <c r="EQ12" i="3"/>
  <c r="EQ21" i="3"/>
  <c r="EQ17" i="3"/>
  <c r="EQ26" i="3"/>
  <c r="EQ15" i="3"/>
  <c r="EQ25" i="3"/>
  <c r="EQ18" i="3"/>
  <c r="EQ23" i="3"/>
  <c r="EQ27" i="3"/>
  <c r="EQ11" i="3"/>
  <c r="EQ14" i="3"/>
  <c r="EP27" i="3"/>
  <c r="DT3" i="3"/>
  <c r="DT26" i="3" s="1"/>
  <c r="DR47" i="3" s="1"/>
  <c r="EF11" i="3"/>
  <c r="EF15" i="3"/>
  <c r="EF17" i="3"/>
  <c r="EE26" i="3"/>
  <c r="EE14" i="3"/>
  <c r="EE12" i="3"/>
  <c r="EE28" i="3"/>
  <c r="EE27" i="3"/>
  <c r="EE13" i="3"/>
  <c r="EF24" i="3"/>
  <c r="EF20" i="3"/>
  <c r="EE16" i="3"/>
  <c r="EE22" i="3"/>
  <c r="EF29" i="3"/>
  <c r="EE23" i="3"/>
  <c r="DT4" i="3" l="1"/>
  <c r="DR4" i="3" s="1"/>
  <c r="DT9" i="3"/>
  <c r="DT6" i="3"/>
  <c r="DT7" i="3"/>
  <c r="DT5" i="3"/>
  <c r="DT8" i="3"/>
  <c r="EP26" i="3"/>
  <c r="EP19" i="3"/>
  <c r="EP18" i="3"/>
  <c r="EP23" i="3"/>
  <c r="EP17" i="3"/>
  <c r="EP15" i="3"/>
  <c r="EP24" i="3"/>
  <c r="EP22" i="3"/>
  <c r="EP14" i="3"/>
  <c r="EP11" i="3"/>
  <c r="EP25" i="3"/>
  <c r="EP29" i="3"/>
  <c r="EP13" i="3"/>
  <c r="EP12" i="3"/>
  <c r="EP21" i="3"/>
  <c r="EP28" i="3"/>
  <c r="EP16" i="3"/>
  <c r="EP20" i="3"/>
  <c r="DT12" i="3"/>
  <c r="EH50" i="3"/>
  <c r="EH48" i="3"/>
  <c r="EH46" i="3"/>
  <c r="EH44" i="3"/>
  <c r="EH42" i="3"/>
  <c r="EH40" i="3"/>
  <c r="EH38" i="3"/>
  <c r="EH36" i="3"/>
  <c r="EH34" i="3"/>
  <c r="EH32" i="3"/>
  <c r="EH30" i="3"/>
  <c r="EH49" i="3"/>
  <c r="EH47" i="3"/>
  <c r="EH45" i="3"/>
  <c r="EH43" i="3"/>
  <c r="EH41" i="3"/>
  <c r="EH39" i="3"/>
  <c r="EH37" i="3"/>
  <c r="EH35" i="3"/>
  <c r="EH33" i="3"/>
  <c r="EH31" i="3"/>
  <c r="EH11" i="3"/>
  <c r="EH16" i="3"/>
  <c r="EH26" i="3"/>
  <c r="EH22" i="3"/>
  <c r="EH25" i="3"/>
  <c r="EH19" i="3"/>
  <c r="EH13" i="3"/>
  <c r="EH20" i="3"/>
  <c r="EH28" i="3"/>
  <c r="EH14" i="3"/>
  <c r="EG11" i="3"/>
  <c r="EG16" i="3"/>
  <c r="EG26" i="3"/>
  <c r="EG22" i="3"/>
  <c r="EG25" i="3"/>
  <c r="EG19" i="3"/>
  <c r="EG13" i="3"/>
  <c r="EG20" i="3"/>
  <c r="EG28" i="3"/>
  <c r="EG14" i="3"/>
  <c r="EH27" i="3"/>
  <c r="EH21" i="3"/>
  <c r="EH15" i="3"/>
  <c r="EH24" i="3"/>
  <c r="EH12" i="3"/>
  <c r="EH18" i="3"/>
  <c r="EH29" i="3"/>
  <c r="EH23" i="3"/>
  <c r="EH17" i="3"/>
  <c r="EG27" i="3"/>
  <c r="EG21" i="3"/>
  <c r="EG15" i="3"/>
  <c r="EG24" i="3"/>
  <c r="EG12" i="3"/>
  <c r="EG18" i="3"/>
  <c r="EG29" i="3"/>
  <c r="EG23" i="3"/>
  <c r="EG17" i="3"/>
  <c r="DR13" i="3" l="1"/>
  <c r="DT14" i="3" a="1"/>
  <c r="DT14" i="3" s="1"/>
  <c r="DT13" i="3" a="1"/>
  <c r="DT13" i="3" s="1"/>
  <c r="DU12" i="3"/>
  <c r="DR14" i="3" l="1"/>
  <c r="DR15" i="3" s="1"/>
  <c r="DR16" i="3" s="1"/>
  <c r="DR5" i="3"/>
  <c r="DU14" i="3" a="1"/>
  <c r="DU14" i="3" s="1"/>
  <c r="DU13" i="3" a="1"/>
  <c r="DU13" i="3" s="1"/>
  <c r="DR6" i="3" l="1"/>
  <c r="DS1" i="3" s="1"/>
  <c r="DR17" i="3"/>
  <c r="DR18" i="3" s="1"/>
  <c r="DR27" i="3"/>
  <c r="DS27" i="3" l="1"/>
  <c r="DR33" i="3"/>
  <c r="DR7" i="3"/>
  <c r="DR28" i="3"/>
  <c r="DS28" i="3" s="1"/>
  <c r="DR29" i="3"/>
  <c r="DS29" i="3" s="1"/>
  <c r="DQ50" i="3" l="1"/>
  <c r="DU50" i="3" s="1"/>
  <c r="DQ47" i="3"/>
  <c r="ED62" i="3"/>
  <c r="DT28" i="3"/>
  <c r="DQ49" i="3"/>
  <c r="DU49" i="3" s="1"/>
  <c r="DT27" i="3"/>
  <c r="DQ48" i="3"/>
  <c r="DU48" i="3" s="1"/>
  <c r="DR8" i="3"/>
  <c r="DR9" i="3" s="1"/>
  <c r="DU27" i="3"/>
  <c r="DR30" i="3"/>
  <c r="DS30" i="3" s="1"/>
  <c r="EC62" i="3" l="1"/>
  <c r="EE62" i="3"/>
  <c r="DT50" i="3"/>
  <c r="EF62" i="3"/>
  <c r="DQ51" i="3"/>
  <c r="DU51" i="3" s="1"/>
  <c r="DY62" i="3"/>
  <c r="DZ62" i="3"/>
  <c r="DT49" i="3"/>
  <c r="EA62" i="3"/>
  <c r="DS49" i="3"/>
  <c r="EB62" i="3"/>
  <c r="DR49" i="3"/>
  <c r="DV62" i="3"/>
  <c r="DT48" i="3"/>
  <c r="DR48" i="3"/>
  <c r="DS48" i="3"/>
  <c r="DW62" i="3"/>
  <c r="DX62" i="3"/>
  <c r="DU62" i="3"/>
  <c r="DR62" i="3"/>
  <c r="DR61" i="3" s="1"/>
  <c r="DS62" i="3"/>
  <c r="DS61" i="3" s="1"/>
  <c r="DQ62" i="3"/>
  <c r="DQ61" i="3" s="1"/>
  <c r="DT62" i="3"/>
  <c r="DT61" i="3" s="1"/>
  <c r="DR31" i="3"/>
  <c r="EE61" i="3" l="1"/>
  <c r="DT51" i="3"/>
  <c r="EG62" i="3"/>
  <c r="EJ62" i="3"/>
  <c r="EI62" i="3"/>
  <c r="EH62" i="3"/>
  <c r="DV61" i="3"/>
  <c r="DU61" i="3"/>
  <c r="DX61" i="3"/>
  <c r="DY61" i="3"/>
  <c r="EA61" i="3"/>
  <c r="EB61" i="3"/>
  <c r="DZ61" i="3"/>
  <c r="DW61" i="3"/>
  <c r="DS31" i="3"/>
  <c r="DR32" i="3"/>
  <c r="EI61" i="3" l="1"/>
  <c r="DQ52" i="3"/>
  <c r="DU52" i="3" s="1"/>
  <c r="DS32" i="3"/>
  <c r="DW33" i="3"/>
  <c r="DW27" i="3"/>
  <c r="DW4" i="3"/>
  <c r="DW28" i="3"/>
  <c r="DW5" i="3"/>
  <c r="DJ3" i="3"/>
  <c r="DJ4" i="3"/>
  <c r="DJ5" i="3"/>
  <c r="DJ6" i="3"/>
  <c r="DJ7" i="3"/>
  <c r="DJ8" i="3"/>
  <c r="DJ9" i="3"/>
  <c r="DJ10" i="3"/>
  <c r="DJ11" i="3"/>
  <c r="DJ12" i="3"/>
  <c r="DJ13" i="3"/>
  <c r="DJ14" i="3"/>
  <c r="DJ15" i="3"/>
  <c r="DJ16" i="3"/>
  <c r="DJ17" i="3"/>
  <c r="DJ18" i="3"/>
  <c r="DJ19" i="3"/>
  <c r="DJ20" i="3"/>
  <c r="DJ21" i="3"/>
  <c r="DJ22" i="3"/>
  <c r="DJ23" i="3"/>
  <c r="DJ24" i="3"/>
  <c r="DJ25" i="3"/>
  <c r="DJ26" i="3"/>
  <c r="DJ27" i="3"/>
  <c r="DJ28" i="3"/>
  <c r="DJ29" i="3"/>
  <c r="DJ30" i="3"/>
  <c r="DJ31" i="3"/>
  <c r="DJ32" i="3"/>
  <c r="DJ33" i="3"/>
  <c r="DJ34" i="3"/>
  <c r="DJ35" i="3"/>
  <c r="DJ36" i="3"/>
  <c r="DJ37" i="3"/>
  <c r="DJ38" i="3"/>
  <c r="DJ39" i="3"/>
  <c r="DJ40" i="3"/>
  <c r="DJ41" i="3"/>
  <c r="DJ42" i="3"/>
  <c r="DJ43" i="3"/>
  <c r="DJ44" i="3"/>
  <c r="DJ45" i="3"/>
  <c r="DJ46" i="3"/>
  <c r="DJ47" i="3"/>
  <c r="DJ48" i="3"/>
  <c r="DJ49" i="3"/>
  <c r="DJ50" i="3"/>
  <c r="DJ51" i="3"/>
  <c r="DJ52" i="3"/>
  <c r="DJ53" i="3"/>
  <c r="DJ54" i="3"/>
  <c r="DJ55" i="3"/>
  <c r="DJ56" i="3"/>
  <c r="DJ57" i="3"/>
  <c r="DJ58" i="3"/>
  <c r="DJ59" i="3"/>
  <c r="DJ60" i="3"/>
  <c r="DJ61" i="3"/>
  <c r="DJ62" i="3"/>
  <c r="DJ63" i="3"/>
  <c r="DJ64" i="3"/>
  <c r="DJ65" i="3"/>
  <c r="DJ66" i="3"/>
  <c r="DJ67" i="3"/>
  <c r="DJ68" i="3"/>
  <c r="DJ69" i="3"/>
  <c r="DJ70" i="3"/>
  <c r="DJ71" i="3"/>
  <c r="DJ72" i="3"/>
  <c r="DJ73" i="3"/>
  <c r="DJ74" i="3"/>
  <c r="DJ75" i="3"/>
  <c r="DJ76" i="3"/>
  <c r="DJ77" i="3"/>
  <c r="DJ78" i="3"/>
  <c r="DJ79" i="3"/>
  <c r="DJ80" i="3"/>
  <c r="DJ81" i="3"/>
  <c r="DJ82" i="3"/>
  <c r="DJ83" i="3"/>
  <c r="DJ84" i="3"/>
  <c r="DJ85" i="3"/>
  <c r="DJ86" i="3"/>
  <c r="DJ87" i="3"/>
  <c r="DJ88" i="3"/>
  <c r="DJ89" i="3"/>
  <c r="DJ90" i="3"/>
  <c r="DJ91" i="3"/>
  <c r="DJ92" i="3"/>
  <c r="DJ93" i="3"/>
  <c r="DJ94" i="3"/>
  <c r="DJ95" i="3"/>
  <c r="DJ96" i="3"/>
  <c r="DJ97" i="3"/>
  <c r="DJ98" i="3"/>
  <c r="DJ99" i="3"/>
  <c r="DJ100" i="3"/>
  <c r="DJ101" i="3"/>
  <c r="DJ102" i="3"/>
  <c r="DJ103" i="3"/>
  <c r="DJ104" i="3"/>
  <c r="DJ105" i="3"/>
  <c r="DJ106" i="3"/>
  <c r="DJ107" i="3"/>
  <c r="DJ108" i="3"/>
  <c r="DJ109" i="3"/>
  <c r="DJ110" i="3"/>
  <c r="DJ111" i="3"/>
  <c r="DJ112" i="3"/>
  <c r="DJ113" i="3"/>
  <c r="DJ114" i="3"/>
  <c r="DJ115" i="3"/>
  <c r="DJ116" i="3"/>
  <c r="DJ117" i="3"/>
  <c r="DJ118" i="3"/>
  <c r="DJ119" i="3"/>
  <c r="DJ120" i="3"/>
  <c r="DJ121" i="3"/>
  <c r="DJ122" i="3"/>
  <c r="DJ123" i="3"/>
  <c r="DJ124" i="3"/>
  <c r="DJ125" i="3"/>
  <c r="DJ126" i="3"/>
  <c r="DJ127" i="3"/>
  <c r="DJ128" i="3"/>
  <c r="DJ129" i="3"/>
  <c r="DJ130" i="3"/>
  <c r="DJ131" i="3"/>
  <c r="DJ132" i="3"/>
  <c r="DJ133" i="3"/>
  <c r="DJ134" i="3"/>
  <c r="DJ135" i="3"/>
  <c r="DJ136" i="3"/>
  <c r="DJ137" i="3"/>
  <c r="DJ138" i="3"/>
  <c r="DJ139" i="3"/>
  <c r="DJ140" i="3"/>
  <c r="DJ141" i="3"/>
  <c r="DJ142" i="3"/>
  <c r="DJ143" i="3"/>
  <c r="DJ144" i="3"/>
  <c r="DJ145" i="3"/>
  <c r="DJ146" i="3"/>
  <c r="DJ147" i="3"/>
  <c r="DJ148" i="3"/>
  <c r="DJ149" i="3"/>
  <c r="DJ150" i="3"/>
  <c r="DJ151" i="3"/>
  <c r="DJ152" i="3"/>
  <c r="DJ153" i="3"/>
  <c r="DJ154" i="3"/>
  <c r="DJ155" i="3"/>
  <c r="DJ156" i="3"/>
  <c r="DJ157" i="3"/>
  <c r="DJ158" i="3"/>
  <c r="DJ159" i="3"/>
  <c r="DJ160" i="3"/>
  <c r="DJ161" i="3"/>
  <c r="DJ162" i="3"/>
  <c r="DJ163" i="3"/>
  <c r="DJ164" i="3"/>
  <c r="DJ165" i="3"/>
  <c r="DJ166" i="3"/>
  <c r="DJ167" i="3"/>
  <c r="DJ168" i="3"/>
  <c r="DJ169" i="3"/>
  <c r="DJ170" i="3"/>
  <c r="DJ171" i="3"/>
  <c r="DJ172" i="3"/>
  <c r="DJ173" i="3"/>
  <c r="DJ174" i="3"/>
  <c r="DJ175" i="3"/>
  <c r="DJ176" i="3"/>
  <c r="DJ177" i="3"/>
  <c r="DJ178" i="3"/>
  <c r="DJ179" i="3"/>
  <c r="DJ180" i="3"/>
  <c r="DJ181" i="3"/>
  <c r="DJ182" i="3"/>
  <c r="DJ183" i="3"/>
  <c r="DJ184" i="3"/>
  <c r="DJ185" i="3"/>
  <c r="DJ186" i="3"/>
  <c r="DJ187" i="3"/>
  <c r="DJ188" i="3"/>
  <c r="DJ189" i="3"/>
  <c r="DJ190" i="3"/>
  <c r="DJ191" i="3"/>
  <c r="DJ192" i="3"/>
  <c r="DJ193" i="3"/>
  <c r="DJ194" i="3"/>
  <c r="DJ195" i="3"/>
  <c r="DJ196" i="3"/>
  <c r="DJ197" i="3"/>
  <c r="DJ198" i="3"/>
  <c r="DJ199" i="3"/>
  <c r="DJ200" i="3"/>
  <c r="DJ201" i="3"/>
  <c r="DJ202" i="3"/>
  <c r="DJ203" i="3"/>
  <c r="DJ204" i="3"/>
  <c r="DJ205" i="3"/>
  <c r="DJ206" i="3"/>
  <c r="DJ207" i="3"/>
  <c r="DJ208" i="3"/>
  <c r="DJ209" i="3"/>
  <c r="DJ210" i="3"/>
  <c r="DJ211" i="3"/>
  <c r="DJ212" i="3"/>
  <c r="DJ213" i="3"/>
  <c r="DJ214" i="3"/>
  <c r="DJ215" i="3"/>
  <c r="DJ216" i="3"/>
  <c r="DJ217" i="3"/>
  <c r="DJ218" i="3"/>
  <c r="DJ219" i="3"/>
  <c r="DJ220" i="3"/>
  <c r="DJ221" i="3"/>
  <c r="DJ222" i="3"/>
  <c r="DJ223" i="3"/>
  <c r="DJ224" i="3"/>
  <c r="DJ225" i="3"/>
  <c r="DJ226" i="3"/>
  <c r="DJ227" i="3"/>
  <c r="DJ228" i="3"/>
  <c r="DJ229" i="3"/>
  <c r="DJ230" i="3"/>
  <c r="DJ231" i="3"/>
  <c r="DJ232" i="3"/>
  <c r="DJ233" i="3"/>
  <c r="DJ234" i="3"/>
  <c r="DJ235" i="3"/>
  <c r="DJ236" i="3"/>
  <c r="DJ237" i="3"/>
  <c r="DJ238" i="3"/>
  <c r="DJ239" i="3"/>
  <c r="DJ240" i="3"/>
  <c r="DJ241" i="3"/>
  <c r="DJ242" i="3"/>
  <c r="DJ243" i="3"/>
  <c r="DJ244" i="3"/>
  <c r="DJ245" i="3"/>
  <c r="DJ246" i="3"/>
  <c r="DJ247" i="3"/>
  <c r="DJ248" i="3"/>
  <c r="DJ249" i="3"/>
  <c r="DJ250" i="3"/>
  <c r="DJ251" i="3"/>
  <c r="DJ252" i="3"/>
  <c r="DJ253" i="3"/>
  <c r="DJ254" i="3"/>
  <c r="DJ255" i="3"/>
  <c r="DJ256" i="3"/>
  <c r="DJ257" i="3"/>
  <c r="DJ258" i="3"/>
  <c r="DJ259" i="3"/>
  <c r="DJ260" i="3"/>
  <c r="DJ261" i="3"/>
  <c r="DJ262" i="3"/>
  <c r="DJ263" i="3"/>
  <c r="DJ264" i="3"/>
  <c r="DJ265" i="3"/>
  <c r="DJ266" i="3"/>
  <c r="DJ267" i="3"/>
  <c r="DJ268" i="3"/>
  <c r="DJ269" i="3"/>
  <c r="DJ270" i="3"/>
  <c r="DJ271" i="3"/>
  <c r="DJ272" i="3"/>
  <c r="DJ273" i="3"/>
  <c r="DJ274" i="3"/>
  <c r="DJ275" i="3"/>
  <c r="DJ276" i="3"/>
  <c r="DJ277" i="3"/>
  <c r="DJ278" i="3"/>
  <c r="DJ279" i="3"/>
  <c r="DJ280" i="3"/>
  <c r="DJ281" i="3"/>
  <c r="DJ282" i="3"/>
  <c r="DJ283" i="3"/>
  <c r="DJ284" i="3"/>
  <c r="DJ285" i="3"/>
  <c r="DJ286" i="3"/>
  <c r="DJ287" i="3"/>
  <c r="DJ288" i="3"/>
  <c r="DJ289" i="3"/>
  <c r="DJ290" i="3"/>
  <c r="DJ291" i="3"/>
  <c r="DJ292" i="3"/>
  <c r="DJ293" i="3"/>
  <c r="DJ294" i="3"/>
  <c r="DJ295" i="3"/>
  <c r="DJ296" i="3"/>
  <c r="DJ297" i="3"/>
  <c r="DJ298" i="3"/>
  <c r="DJ299" i="3"/>
  <c r="DJ300" i="3"/>
  <c r="DJ301" i="3"/>
  <c r="DJ302" i="3"/>
  <c r="DJ303" i="3"/>
  <c r="DJ304" i="3"/>
  <c r="DJ305" i="3"/>
  <c r="DJ306" i="3"/>
  <c r="DJ307" i="3"/>
  <c r="DJ308" i="3"/>
  <c r="DJ309" i="3"/>
  <c r="DJ310" i="3"/>
  <c r="DJ311" i="3"/>
  <c r="DJ312" i="3"/>
  <c r="DJ313" i="3"/>
  <c r="DJ314" i="3"/>
  <c r="DJ315" i="3"/>
  <c r="DJ316" i="3"/>
  <c r="DJ317" i="3"/>
  <c r="DJ318" i="3"/>
  <c r="DJ319" i="3"/>
  <c r="DJ320" i="3"/>
  <c r="DJ321" i="3"/>
  <c r="DJ322" i="3"/>
  <c r="DJ323" i="3"/>
  <c r="DJ324" i="3"/>
  <c r="DJ325" i="3"/>
  <c r="DJ326" i="3"/>
  <c r="DJ327" i="3"/>
  <c r="DJ328" i="3"/>
  <c r="DJ329" i="3"/>
  <c r="DJ330" i="3"/>
  <c r="DJ331" i="3"/>
  <c r="DJ332" i="3"/>
  <c r="DJ333" i="3"/>
  <c r="DJ334" i="3"/>
  <c r="DJ335" i="3"/>
  <c r="DJ336" i="3"/>
  <c r="DJ337" i="3"/>
  <c r="DJ338" i="3"/>
  <c r="DJ339" i="3"/>
  <c r="DJ340" i="3"/>
  <c r="DJ341" i="3"/>
  <c r="DJ342" i="3"/>
  <c r="DJ343" i="3"/>
  <c r="DJ344" i="3"/>
  <c r="DJ345" i="3"/>
  <c r="DJ346" i="3"/>
  <c r="DJ347" i="3"/>
  <c r="DJ348" i="3"/>
  <c r="DJ349" i="3"/>
  <c r="DJ350" i="3"/>
  <c r="DJ351" i="3"/>
  <c r="DJ352" i="3"/>
  <c r="DJ353" i="3"/>
  <c r="DJ354" i="3"/>
  <c r="DJ355" i="3"/>
  <c r="DJ356" i="3"/>
  <c r="DJ357" i="3"/>
  <c r="DJ358" i="3"/>
  <c r="DJ359" i="3"/>
  <c r="DJ360" i="3"/>
  <c r="DJ361" i="3"/>
  <c r="DJ362" i="3"/>
  <c r="DJ363" i="3"/>
  <c r="DJ364" i="3"/>
  <c r="DJ365" i="3"/>
  <c r="DJ366" i="3"/>
  <c r="DJ367" i="3"/>
  <c r="DJ368" i="3"/>
  <c r="DJ369" i="3"/>
  <c r="DJ370" i="3"/>
  <c r="DJ371" i="3"/>
  <c r="DJ372" i="3"/>
  <c r="DJ373" i="3"/>
  <c r="DJ374" i="3"/>
  <c r="DJ375" i="3"/>
  <c r="DJ376" i="3"/>
  <c r="DJ377" i="3"/>
  <c r="DJ378" i="3"/>
  <c r="DJ379" i="3"/>
  <c r="DJ380" i="3"/>
  <c r="DJ381" i="3"/>
  <c r="DJ382" i="3"/>
  <c r="DJ383" i="3"/>
  <c r="DJ384" i="3"/>
  <c r="DJ385" i="3"/>
  <c r="DJ386" i="3"/>
  <c r="DJ387" i="3"/>
  <c r="DJ388" i="3"/>
  <c r="DJ389" i="3"/>
  <c r="DJ390" i="3"/>
  <c r="DJ391" i="3"/>
  <c r="DJ392" i="3"/>
  <c r="DJ393" i="3"/>
  <c r="DJ394" i="3"/>
  <c r="DJ395" i="3"/>
  <c r="DJ396" i="3"/>
  <c r="DJ397" i="3"/>
  <c r="DJ398" i="3"/>
  <c r="DJ399" i="3"/>
  <c r="DJ400" i="3"/>
  <c r="DJ401" i="3"/>
  <c r="DJ402" i="3"/>
  <c r="DJ403" i="3"/>
  <c r="DJ404" i="3"/>
  <c r="DJ405" i="3"/>
  <c r="DJ406" i="3"/>
  <c r="DJ407" i="3"/>
  <c r="DJ408" i="3"/>
  <c r="DJ409" i="3"/>
  <c r="DJ410" i="3"/>
  <c r="DJ411" i="3"/>
  <c r="DJ412" i="3"/>
  <c r="DJ413" i="3"/>
  <c r="DJ414" i="3"/>
  <c r="DJ415" i="3"/>
  <c r="DJ416" i="3"/>
  <c r="DJ417" i="3"/>
  <c r="DJ418" i="3"/>
  <c r="DJ419" i="3"/>
  <c r="DJ420" i="3"/>
  <c r="DJ421" i="3"/>
  <c r="DJ422" i="3"/>
  <c r="DJ423" i="3"/>
  <c r="DJ424" i="3"/>
  <c r="DJ425" i="3"/>
  <c r="DJ426" i="3"/>
  <c r="DJ427" i="3"/>
  <c r="DJ428" i="3"/>
  <c r="DJ429" i="3"/>
  <c r="DJ430" i="3"/>
  <c r="DJ431" i="3"/>
  <c r="DJ432" i="3"/>
  <c r="DJ433" i="3"/>
  <c r="DJ434" i="3"/>
  <c r="DJ435" i="3"/>
  <c r="DJ436" i="3"/>
  <c r="DJ437" i="3"/>
  <c r="DJ438" i="3"/>
  <c r="DJ439" i="3"/>
  <c r="DJ440" i="3"/>
  <c r="DJ441" i="3"/>
  <c r="DJ442" i="3"/>
  <c r="DJ443" i="3"/>
  <c r="DJ444" i="3"/>
  <c r="DJ445" i="3"/>
  <c r="DJ446" i="3"/>
  <c r="DJ447" i="3"/>
  <c r="DJ448" i="3"/>
  <c r="DJ449" i="3"/>
  <c r="DJ450" i="3"/>
  <c r="DJ451" i="3"/>
  <c r="DJ452" i="3"/>
  <c r="DJ453" i="3"/>
  <c r="DJ454" i="3"/>
  <c r="DJ455" i="3"/>
  <c r="DJ456" i="3"/>
  <c r="DJ457" i="3"/>
  <c r="DJ458" i="3"/>
  <c r="DJ459" i="3"/>
  <c r="DJ460" i="3"/>
  <c r="DJ461" i="3"/>
  <c r="DJ462" i="3"/>
  <c r="DJ463" i="3"/>
  <c r="DJ464" i="3"/>
  <c r="DJ465" i="3"/>
  <c r="DJ466" i="3"/>
  <c r="DJ467" i="3"/>
  <c r="DJ468" i="3"/>
  <c r="DJ469" i="3"/>
  <c r="DJ470" i="3"/>
  <c r="DJ471" i="3"/>
  <c r="DJ472" i="3"/>
  <c r="DJ473" i="3"/>
  <c r="DJ474" i="3"/>
  <c r="DJ475" i="3"/>
  <c r="DJ476" i="3"/>
  <c r="DJ477" i="3"/>
  <c r="DJ478" i="3"/>
  <c r="DJ479" i="3"/>
  <c r="DJ480" i="3"/>
  <c r="DJ481" i="3"/>
  <c r="DJ482" i="3"/>
  <c r="DJ483" i="3"/>
  <c r="DJ484" i="3"/>
  <c r="DJ485" i="3"/>
  <c r="DJ486" i="3"/>
  <c r="DJ487" i="3"/>
  <c r="DJ488" i="3"/>
  <c r="DJ489" i="3"/>
  <c r="DJ490" i="3"/>
  <c r="DJ491" i="3"/>
  <c r="DJ492" i="3"/>
  <c r="DJ493" i="3"/>
  <c r="DJ494" i="3"/>
  <c r="DJ495" i="3"/>
  <c r="DJ496" i="3"/>
  <c r="DJ497" i="3"/>
  <c r="DJ498" i="3"/>
  <c r="DJ499" i="3"/>
  <c r="DJ500" i="3"/>
  <c r="DJ501" i="3"/>
  <c r="DJ502" i="3"/>
  <c r="DJ503" i="3"/>
  <c r="DJ504" i="3"/>
  <c r="DJ505" i="3"/>
  <c r="DJ506" i="3"/>
  <c r="DJ507" i="3"/>
  <c r="DJ508" i="3"/>
  <c r="DJ509" i="3"/>
  <c r="DJ510" i="3"/>
  <c r="DJ511" i="3"/>
  <c r="DJ512" i="3"/>
  <c r="DJ513" i="3"/>
  <c r="DJ514" i="3"/>
  <c r="DJ515" i="3"/>
  <c r="DJ516" i="3"/>
  <c r="DJ517" i="3"/>
  <c r="DJ518" i="3"/>
  <c r="DJ519" i="3"/>
  <c r="DJ520" i="3"/>
  <c r="DJ521" i="3"/>
  <c r="DJ522" i="3"/>
  <c r="DJ523" i="3"/>
  <c r="DJ524" i="3"/>
  <c r="DJ525" i="3"/>
  <c r="DJ526" i="3"/>
  <c r="DJ527" i="3"/>
  <c r="DJ528" i="3"/>
  <c r="DJ529" i="3"/>
  <c r="DJ530" i="3"/>
  <c r="DJ531" i="3"/>
  <c r="DJ532" i="3"/>
  <c r="DJ533" i="3"/>
  <c r="DJ534" i="3"/>
  <c r="DJ535" i="3"/>
  <c r="DJ536" i="3"/>
  <c r="DJ537" i="3"/>
  <c r="DJ538" i="3"/>
  <c r="DJ539" i="3"/>
  <c r="DJ540" i="3"/>
  <c r="DJ541" i="3"/>
  <c r="DJ542" i="3"/>
  <c r="DJ543" i="3"/>
  <c r="DJ544" i="3"/>
  <c r="DJ545" i="3"/>
  <c r="DJ546" i="3"/>
  <c r="DJ547" i="3"/>
  <c r="DJ548" i="3"/>
  <c r="DJ549" i="3"/>
  <c r="DJ550" i="3"/>
  <c r="DJ551" i="3"/>
  <c r="DJ552" i="3"/>
  <c r="DJ553" i="3"/>
  <c r="DJ554" i="3"/>
  <c r="DJ555" i="3"/>
  <c r="DJ556" i="3"/>
  <c r="DJ557" i="3"/>
  <c r="DJ558" i="3"/>
  <c r="DJ559" i="3"/>
  <c r="DJ560" i="3"/>
  <c r="DJ561" i="3"/>
  <c r="DJ562" i="3"/>
  <c r="DJ563" i="3"/>
  <c r="DJ564" i="3"/>
  <c r="DJ565" i="3"/>
  <c r="DJ566" i="3"/>
  <c r="DJ567" i="3"/>
  <c r="DJ568" i="3"/>
  <c r="DJ569" i="3"/>
  <c r="DJ570" i="3"/>
  <c r="DJ571" i="3"/>
  <c r="DJ572" i="3"/>
  <c r="DJ573" i="3"/>
  <c r="DJ574" i="3"/>
  <c r="DJ575" i="3"/>
  <c r="DJ576" i="3"/>
  <c r="DJ577" i="3"/>
  <c r="DJ578" i="3"/>
  <c r="DJ579" i="3"/>
  <c r="DJ580" i="3"/>
  <c r="DJ581" i="3"/>
  <c r="DJ582" i="3"/>
  <c r="DJ583" i="3"/>
  <c r="DJ584" i="3"/>
  <c r="DJ585" i="3"/>
  <c r="DJ586" i="3"/>
  <c r="DJ587" i="3"/>
  <c r="DJ588" i="3"/>
  <c r="DJ589" i="3"/>
  <c r="DJ590" i="3"/>
  <c r="DJ591" i="3"/>
  <c r="DJ592" i="3"/>
  <c r="DJ593" i="3"/>
  <c r="DJ594" i="3"/>
  <c r="DJ595" i="3"/>
  <c r="DJ596" i="3"/>
  <c r="DJ597" i="3"/>
  <c r="DJ598" i="3"/>
  <c r="DJ599" i="3"/>
  <c r="DJ600" i="3"/>
  <c r="DJ601" i="3"/>
  <c r="DJ602" i="3"/>
  <c r="DJ603" i="3"/>
  <c r="DJ604" i="3"/>
  <c r="DJ605" i="3"/>
  <c r="DJ606" i="3"/>
  <c r="DJ607" i="3"/>
  <c r="DJ608" i="3"/>
  <c r="DJ609" i="3"/>
  <c r="DJ610" i="3"/>
  <c r="DJ611" i="3"/>
  <c r="DJ612" i="3"/>
  <c r="DJ613" i="3"/>
  <c r="DJ614" i="3"/>
  <c r="DJ615" i="3"/>
  <c r="DJ616" i="3"/>
  <c r="DJ617" i="3"/>
  <c r="DJ618" i="3"/>
  <c r="DJ619" i="3"/>
  <c r="DJ620" i="3"/>
  <c r="DJ621" i="3"/>
  <c r="DJ622" i="3"/>
  <c r="DJ623" i="3"/>
  <c r="DJ624" i="3"/>
  <c r="DJ625" i="3"/>
  <c r="DJ626" i="3"/>
  <c r="DJ627" i="3"/>
  <c r="DJ628" i="3"/>
  <c r="DJ629" i="3"/>
  <c r="DJ630" i="3"/>
  <c r="DJ631" i="3"/>
  <c r="DJ632" i="3"/>
  <c r="DJ633" i="3"/>
  <c r="DJ634" i="3"/>
  <c r="DJ635" i="3"/>
  <c r="DJ636" i="3"/>
  <c r="DJ637" i="3"/>
  <c r="DJ638" i="3"/>
  <c r="DJ639" i="3"/>
  <c r="DJ640" i="3"/>
  <c r="DJ641" i="3"/>
  <c r="DJ642" i="3"/>
  <c r="DJ643" i="3"/>
  <c r="DJ644" i="3"/>
  <c r="DJ645" i="3"/>
  <c r="DJ646" i="3"/>
  <c r="DJ647" i="3"/>
  <c r="DJ648" i="3"/>
  <c r="DJ649" i="3"/>
  <c r="DJ650" i="3"/>
  <c r="DJ651" i="3"/>
  <c r="DJ652" i="3"/>
  <c r="DJ653" i="3"/>
  <c r="DJ654" i="3"/>
  <c r="DJ655" i="3"/>
  <c r="DJ656" i="3"/>
  <c r="DJ657" i="3"/>
  <c r="DJ658" i="3"/>
  <c r="DJ659" i="3"/>
  <c r="DJ660" i="3"/>
  <c r="DJ661" i="3"/>
  <c r="DJ662" i="3"/>
  <c r="DJ663" i="3"/>
  <c r="DJ664" i="3"/>
  <c r="DJ665" i="3"/>
  <c r="DJ666" i="3"/>
  <c r="DJ667" i="3"/>
  <c r="DJ668" i="3"/>
  <c r="DJ669" i="3"/>
  <c r="DJ670" i="3"/>
  <c r="DJ671" i="3"/>
  <c r="DJ672" i="3"/>
  <c r="DJ673" i="3"/>
  <c r="DJ674" i="3"/>
  <c r="DJ675" i="3"/>
  <c r="DJ676" i="3"/>
  <c r="DJ677" i="3"/>
  <c r="DJ678" i="3"/>
  <c r="DJ679" i="3"/>
  <c r="DJ680" i="3"/>
  <c r="DJ681" i="3"/>
  <c r="DJ682" i="3"/>
  <c r="DJ683" i="3"/>
  <c r="DJ684" i="3"/>
  <c r="DJ685" i="3"/>
  <c r="DJ686" i="3"/>
  <c r="DJ687" i="3"/>
  <c r="DJ688" i="3"/>
  <c r="DJ689" i="3"/>
  <c r="DJ690" i="3"/>
  <c r="DJ691" i="3"/>
  <c r="DJ692" i="3"/>
  <c r="DJ693" i="3"/>
  <c r="DJ694" i="3"/>
  <c r="DJ695" i="3"/>
  <c r="DJ696" i="3"/>
  <c r="DJ697" i="3"/>
  <c r="DJ698" i="3"/>
  <c r="DJ699" i="3"/>
  <c r="DJ700" i="3"/>
  <c r="DJ701" i="3"/>
  <c r="DJ702" i="3"/>
  <c r="DJ703" i="3"/>
  <c r="DJ704" i="3"/>
  <c r="DJ705" i="3"/>
  <c r="DJ706" i="3"/>
  <c r="DJ707" i="3"/>
  <c r="DJ708" i="3"/>
  <c r="DJ709" i="3"/>
  <c r="DJ710" i="3"/>
  <c r="DJ711" i="3"/>
  <c r="DJ712" i="3"/>
  <c r="DJ713" i="3"/>
  <c r="DJ714" i="3"/>
  <c r="DJ715" i="3"/>
  <c r="DJ716" i="3"/>
  <c r="DJ717" i="3"/>
  <c r="DJ718" i="3"/>
  <c r="DJ719" i="3"/>
  <c r="DJ720" i="3"/>
  <c r="DJ721" i="3"/>
  <c r="DJ722" i="3"/>
  <c r="DJ723" i="3"/>
  <c r="DJ724" i="3"/>
  <c r="DJ725" i="3"/>
  <c r="DJ726" i="3"/>
  <c r="DJ727" i="3"/>
  <c r="DJ728" i="3"/>
  <c r="DJ729" i="3"/>
  <c r="DJ730" i="3"/>
  <c r="DJ731" i="3"/>
  <c r="DJ732" i="3"/>
  <c r="DJ733" i="3"/>
  <c r="DJ734" i="3"/>
  <c r="DJ735" i="3"/>
  <c r="DJ736" i="3"/>
  <c r="DJ737" i="3"/>
  <c r="DJ738" i="3"/>
  <c r="DJ739" i="3"/>
  <c r="DJ740" i="3"/>
  <c r="DJ741" i="3"/>
  <c r="DJ742" i="3"/>
  <c r="DJ743" i="3"/>
  <c r="DJ744" i="3"/>
  <c r="DJ745" i="3"/>
  <c r="DJ746" i="3"/>
  <c r="DJ747" i="3"/>
  <c r="DJ748" i="3"/>
  <c r="DJ749" i="3"/>
  <c r="DJ750" i="3"/>
  <c r="DJ751" i="3"/>
  <c r="DJ752" i="3"/>
  <c r="DJ753" i="3"/>
  <c r="DJ754" i="3"/>
  <c r="DJ755" i="3"/>
  <c r="DJ756" i="3"/>
  <c r="DJ757" i="3"/>
  <c r="DJ758" i="3"/>
  <c r="DJ759" i="3"/>
  <c r="DJ760" i="3"/>
  <c r="DJ761" i="3"/>
  <c r="DJ762" i="3"/>
  <c r="DJ763" i="3"/>
  <c r="DJ764" i="3"/>
  <c r="DJ765" i="3"/>
  <c r="DJ766" i="3"/>
  <c r="DJ767" i="3"/>
  <c r="DJ768" i="3"/>
  <c r="DJ769" i="3"/>
  <c r="DJ770" i="3"/>
  <c r="DJ771" i="3"/>
  <c r="DJ772" i="3"/>
  <c r="DJ773" i="3"/>
  <c r="DJ774" i="3"/>
  <c r="DJ775" i="3"/>
  <c r="DJ776" i="3"/>
  <c r="DJ777" i="3"/>
  <c r="DJ778" i="3"/>
  <c r="DJ779" i="3"/>
  <c r="DJ780" i="3"/>
  <c r="DJ781" i="3"/>
  <c r="DJ782" i="3"/>
  <c r="DJ783" i="3"/>
  <c r="DJ784" i="3"/>
  <c r="DJ785" i="3"/>
  <c r="DJ786" i="3"/>
  <c r="DJ787" i="3"/>
  <c r="DJ788" i="3"/>
  <c r="DJ789" i="3"/>
  <c r="DJ790" i="3"/>
  <c r="DJ791" i="3"/>
  <c r="DJ792" i="3"/>
  <c r="DJ793" i="3"/>
  <c r="DJ794" i="3"/>
  <c r="DJ795" i="3"/>
  <c r="DJ796" i="3"/>
  <c r="DJ797" i="3"/>
  <c r="DJ798" i="3"/>
  <c r="DJ799" i="3"/>
  <c r="DJ800" i="3"/>
  <c r="DJ801" i="3"/>
  <c r="DJ802" i="3"/>
  <c r="DJ803" i="3"/>
  <c r="DJ804" i="3"/>
  <c r="DJ805" i="3"/>
  <c r="DJ806" i="3"/>
  <c r="DJ807" i="3"/>
  <c r="DJ808" i="3"/>
  <c r="DJ809" i="3"/>
  <c r="DJ810" i="3"/>
  <c r="DJ811" i="3"/>
  <c r="DJ812" i="3"/>
  <c r="DJ813" i="3"/>
  <c r="DJ814" i="3"/>
  <c r="DJ815" i="3"/>
  <c r="DJ816" i="3"/>
  <c r="DJ817" i="3"/>
  <c r="DJ818" i="3"/>
  <c r="DJ819" i="3"/>
  <c r="DJ820" i="3"/>
  <c r="DJ821" i="3"/>
  <c r="DJ822" i="3"/>
  <c r="DJ823" i="3"/>
  <c r="DJ824" i="3"/>
  <c r="DJ825" i="3"/>
  <c r="DJ826" i="3"/>
  <c r="DJ827" i="3"/>
  <c r="DJ828" i="3"/>
  <c r="DJ829" i="3"/>
  <c r="DJ830" i="3"/>
  <c r="DJ831" i="3"/>
  <c r="DJ832" i="3"/>
  <c r="DJ833" i="3"/>
  <c r="DJ834" i="3"/>
  <c r="DJ835" i="3"/>
  <c r="DJ836" i="3"/>
  <c r="DJ837" i="3"/>
  <c r="DJ838" i="3"/>
  <c r="DJ839" i="3"/>
  <c r="DJ840" i="3"/>
  <c r="DJ841" i="3"/>
  <c r="DJ842" i="3"/>
  <c r="DJ843" i="3"/>
  <c r="DJ844" i="3"/>
  <c r="DJ845" i="3"/>
  <c r="DJ846" i="3"/>
  <c r="DJ847" i="3"/>
  <c r="DJ848" i="3"/>
  <c r="DJ849" i="3"/>
  <c r="DJ850" i="3"/>
  <c r="DJ851" i="3"/>
  <c r="DJ852" i="3"/>
  <c r="DJ853" i="3"/>
  <c r="DJ854" i="3"/>
  <c r="DJ855" i="3"/>
  <c r="DJ856" i="3"/>
  <c r="DJ857" i="3"/>
  <c r="DJ858" i="3"/>
  <c r="DJ859" i="3"/>
  <c r="DJ860" i="3"/>
  <c r="DJ861" i="3"/>
  <c r="DJ862" i="3"/>
  <c r="DJ863" i="3"/>
  <c r="DJ864" i="3"/>
  <c r="DJ865" i="3"/>
  <c r="DJ866" i="3"/>
  <c r="DJ867" i="3"/>
  <c r="DJ868" i="3"/>
  <c r="DJ869" i="3"/>
  <c r="DJ870" i="3"/>
  <c r="DJ871" i="3"/>
  <c r="DJ872" i="3"/>
  <c r="DJ873" i="3"/>
  <c r="DJ874" i="3"/>
  <c r="DJ875" i="3"/>
  <c r="DJ876" i="3"/>
  <c r="DJ877" i="3"/>
  <c r="DJ878" i="3"/>
  <c r="DJ879" i="3"/>
  <c r="DJ880" i="3"/>
  <c r="DJ881" i="3"/>
  <c r="DJ882" i="3"/>
  <c r="DJ883" i="3"/>
  <c r="DJ884" i="3"/>
  <c r="DJ885" i="3"/>
  <c r="DJ886" i="3"/>
  <c r="DJ887" i="3"/>
  <c r="DJ888" i="3"/>
  <c r="DJ889" i="3"/>
  <c r="DJ890" i="3"/>
  <c r="DJ891" i="3"/>
  <c r="DJ892" i="3"/>
  <c r="DJ893" i="3"/>
  <c r="DJ894" i="3"/>
  <c r="DJ895" i="3"/>
  <c r="DJ896" i="3"/>
  <c r="DJ897" i="3"/>
  <c r="DJ898" i="3"/>
  <c r="DJ899" i="3"/>
  <c r="DJ900" i="3"/>
  <c r="DJ901" i="3"/>
  <c r="DJ902" i="3"/>
  <c r="DJ903" i="3"/>
  <c r="DJ904" i="3"/>
  <c r="DJ905" i="3"/>
  <c r="DJ906" i="3"/>
  <c r="DJ907" i="3"/>
  <c r="DJ908" i="3"/>
  <c r="DJ909" i="3"/>
  <c r="DJ910" i="3"/>
  <c r="DJ911" i="3"/>
  <c r="DJ912" i="3"/>
  <c r="DJ913" i="3"/>
  <c r="DJ914" i="3"/>
  <c r="DJ915" i="3"/>
  <c r="DJ916" i="3"/>
  <c r="DJ917" i="3"/>
  <c r="DJ918" i="3"/>
  <c r="DJ919" i="3"/>
  <c r="DJ920" i="3"/>
  <c r="DJ921" i="3"/>
  <c r="DJ922" i="3"/>
  <c r="DJ923" i="3"/>
  <c r="DJ924" i="3"/>
  <c r="DJ925" i="3"/>
  <c r="DJ926" i="3"/>
  <c r="DJ927" i="3"/>
  <c r="DJ928" i="3"/>
  <c r="DJ929" i="3"/>
  <c r="DJ930" i="3"/>
  <c r="DJ931" i="3"/>
  <c r="DJ932" i="3"/>
  <c r="DJ933" i="3"/>
  <c r="DJ934" i="3"/>
  <c r="DJ935" i="3"/>
  <c r="DJ936" i="3"/>
  <c r="DJ937" i="3"/>
  <c r="DJ938" i="3"/>
  <c r="DJ939" i="3"/>
  <c r="DJ940" i="3"/>
  <c r="DJ941" i="3"/>
  <c r="DJ942" i="3"/>
  <c r="DJ943" i="3"/>
  <c r="DJ944" i="3"/>
  <c r="DJ945" i="3"/>
  <c r="DJ946" i="3"/>
  <c r="DJ947" i="3"/>
  <c r="DJ948" i="3"/>
  <c r="DJ949" i="3"/>
  <c r="DJ950" i="3"/>
  <c r="DJ951" i="3"/>
  <c r="DJ952" i="3"/>
  <c r="DJ953" i="3"/>
  <c r="DJ954" i="3"/>
  <c r="DJ955" i="3"/>
  <c r="DJ956" i="3"/>
  <c r="DJ957" i="3"/>
  <c r="DJ958" i="3"/>
  <c r="DJ959" i="3"/>
  <c r="DJ960" i="3"/>
  <c r="DJ961" i="3"/>
  <c r="DJ962" i="3"/>
  <c r="DJ963" i="3"/>
  <c r="DJ964" i="3"/>
  <c r="DJ965" i="3"/>
  <c r="DJ966" i="3"/>
  <c r="DJ967" i="3"/>
  <c r="DJ968" i="3"/>
  <c r="DJ969" i="3"/>
  <c r="DJ970" i="3"/>
  <c r="DJ971" i="3"/>
  <c r="DJ972" i="3"/>
  <c r="DJ973" i="3"/>
  <c r="DJ974" i="3"/>
  <c r="DJ975" i="3"/>
  <c r="DJ976" i="3"/>
  <c r="DJ977" i="3"/>
  <c r="DJ978" i="3"/>
  <c r="DJ979" i="3"/>
  <c r="DJ980" i="3"/>
  <c r="DJ981" i="3"/>
  <c r="DJ982" i="3"/>
  <c r="DJ983" i="3"/>
  <c r="DJ984" i="3"/>
  <c r="DJ985" i="3"/>
  <c r="DJ986" i="3"/>
  <c r="DJ987" i="3"/>
  <c r="DJ988" i="3"/>
  <c r="DJ989" i="3"/>
  <c r="DJ990" i="3"/>
  <c r="DJ991" i="3"/>
  <c r="DJ992" i="3"/>
  <c r="DJ993" i="3"/>
  <c r="DJ994" i="3"/>
  <c r="DJ995" i="3"/>
  <c r="DJ996" i="3"/>
  <c r="DJ997" i="3"/>
  <c r="DJ998" i="3"/>
  <c r="DJ999" i="3"/>
  <c r="DJ1000" i="3"/>
  <c r="DJ1001" i="3"/>
  <c r="DJ1002" i="3"/>
  <c r="DJ1003" i="3"/>
  <c r="DJ1004" i="3"/>
  <c r="DJ1005" i="3"/>
  <c r="DJ1006" i="3"/>
  <c r="DJ1007" i="3"/>
  <c r="DJ1008" i="3"/>
  <c r="DJ1009" i="3"/>
  <c r="DJ1010" i="3"/>
  <c r="DJ1011" i="3"/>
  <c r="DJ1012" i="3"/>
  <c r="DJ1013" i="3"/>
  <c r="DJ1014" i="3"/>
  <c r="DJ1015" i="3"/>
  <c r="DJ1016" i="3"/>
  <c r="DJ1017" i="3"/>
  <c r="DJ1018" i="3"/>
  <c r="DJ1019" i="3"/>
  <c r="DJ1020" i="3"/>
  <c r="DJ1021" i="3"/>
  <c r="DJ1022" i="3"/>
  <c r="DJ1023" i="3"/>
  <c r="DJ1024" i="3"/>
  <c r="DJ1025" i="3"/>
  <c r="DJ1026" i="3"/>
  <c r="DJ1027" i="3"/>
  <c r="DJ1028" i="3"/>
  <c r="DJ1029" i="3"/>
  <c r="DJ1030" i="3"/>
  <c r="DJ1031" i="3"/>
  <c r="DJ1032" i="3"/>
  <c r="DJ1033" i="3"/>
  <c r="DJ1034" i="3"/>
  <c r="DJ1035" i="3"/>
  <c r="DJ1036" i="3"/>
  <c r="DJ1037" i="3"/>
  <c r="DJ1038" i="3"/>
  <c r="DJ1039" i="3"/>
  <c r="DJ1040" i="3"/>
  <c r="DJ1041" i="3"/>
  <c r="DJ1042" i="3"/>
  <c r="DJ1043" i="3"/>
  <c r="DJ1044" i="3"/>
  <c r="DJ1045" i="3"/>
  <c r="DJ1046" i="3"/>
  <c r="DJ1047" i="3"/>
  <c r="DJ1048" i="3"/>
  <c r="DJ1049" i="3"/>
  <c r="DJ1050" i="3"/>
  <c r="DJ1051" i="3"/>
  <c r="DJ1052" i="3"/>
  <c r="DJ1053" i="3"/>
  <c r="DJ1054" i="3"/>
  <c r="DJ1055" i="3"/>
  <c r="DJ1056" i="3"/>
  <c r="DJ1057" i="3"/>
  <c r="DJ1058" i="3"/>
  <c r="DJ1059" i="3"/>
  <c r="DJ1060" i="3"/>
  <c r="DJ1061" i="3"/>
  <c r="DJ1062" i="3"/>
  <c r="DJ1063" i="3"/>
  <c r="DJ1064" i="3"/>
  <c r="DJ1065" i="3"/>
  <c r="DJ1066" i="3"/>
  <c r="DJ1067" i="3"/>
  <c r="DJ1068" i="3"/>
  <c r="DJ1069" i="3"/>
  <c r="DJ1070" i="3"/>
  <c r="DJ1071" i="3"/>
  <c r="DJ1072" i="3"/>
  <c r="DJ1073" i="3"/>
  <c r="DJ1074" i="3"/>
  <c r="DJ1075" i="3"/>
  <c r="DJ1076" i="3"/>
  <c r="DJ1077" i="3"/>
  <c r="DJ1078" i="3"/>
  <c r="DJ1079" i="3"/>
  <c r="DJ1080" i="3"/>
  <c r="DJ1081" i="3"/>
  <c r="DJ1082" i="3"/>
  <c r="DJ1083" i="3"/>
  <c r="DJ1084" i="3"/>
  <c r="DJ1085" i="3"/>
  <c r="DJ1086" i="3"/>
  <c r="DJ1087" i="3"/>
  <c r="DJ1088" i="3"/>
  <c r="DJ1089" i="3"/>
  <c r="DJ1090" i="3"/>
  <c r="DJ1091" i="3"/>
  <c r="DJ1092" i="3"/>
  <c r="DJ1093" i="3"/>
  <c r="DJ1094" i="3"/>
  <c r="DJ1095" i="3"/>
  <c r="DJ1096" i="3"/>
  <c r="DJ1097" i="3"/>
  <c r="DJ1098" i="3"/>
  <c r="DJ1099" i="3"/>
  <c r="DJ1100" i="3"/>
  <c r="DJ1101" i="3"/>
  <c r="DJ1102" i="3"/>
  <c r="DJ1103" i="3"/>
  <c r="DJ1104" i="3"/>
  <c r="DJ1105" i="3"/>
  <c r="DJ1106" i="3"/>
  <c r="DJ1107" i="3"/>
  <c r="DJ1108" i="3"/>
  <c r="DJ1109" i="3"/>
  <c r="DJ1110" i="3"/>
  <c r="DJ1111" i="3"/>
  <c r="DJ1112" i="3"/>
  <c r="DJ1113" i="3"/>
  <c r="DJ1114" i="3"/>
  <c r="DJ1115" i="3"/>
  <c r="DJ1116" i="3"/>
  <c r="DJ1117" i="3"/>
  <c r="DJ1118" i="3"/>
  <c r="DJ1119" i="3"/>
  <c r="DJ1120" i="3"/>
  <c r="DJ1121" i="3"/>
  <c r="DJ1122" i="3"/>
  <c r="DJ1123" i="3"/>
  <c r="DJ1124" i="3"/>
  <c r="DJ1125" i="3"/>
  <c r="DJ1126" i="3"/>
  <c r="DJ1127" i="3"/>
  <c r="DJ1128" i="3"/>
  <c r="DJ1129" i="3"/>
  <c r="DJ1130" i="3"/>
  <c r="DJ1131" i="3"/>
  <c r="DJ1132" i="3"/>
  <c r="DJ1133" i="3"/>
  <c r="DJ1134" i="3"/>
  <c r="DJ1135" i="3"/>
  <c r="DJ1136" i="3"/>
  <c r="DJ1137" i="3"/>
  <c r="DJ1138" i="3"/>
  <c r="DJ1139" i="3"/>
  <c r="DJ1140" i="3"/>
  <c r="DJ1141" i="3"/>
  <c r="DJ1142" i="3"/>
  <c r="DJ1143" i="3"/>
  <c r="DJ1144" i="3"/>
  <c r="DJ1145" i="3"/>
  <c r="DJ1146" i="3"/>
  <c r="DJ1147" i="3"/>
  <c r="DJ1148" i="3"/>
  <c r="DJ1149" i="3"/>
  <c r="DJ1150" i="3"/>
  <c r="DJ1151" i="3"/>
  <c r="DJ1152" i="3"/>
  <c r="DJ1153" i="3"/>
  <c r="DJ1154" i="3"/>
  <c r="DJ1155" i="3"/>
  <c r="DJ1156" i="3"/>
  <c r="DJ1157" i="3"/>
  <c r="DJ1158" i="3"/>
  <c r="DJ1159" i="3"/>
  <c r="DJ1160" i="3"/>
  <c r="DJ1161" i="3"/>
  <c r="DJ1162" i="3"/>
  <c r="DJ1163" i="3"/>
  <c r="DJ1164" i="3"/>
  <c r="DJ1165" i="3"/>
  <c r="DJ1166" i="3"/>
  <c r="DJ1167" i="3"/>
  <c r="DJ1168" i="3"/>
  <c r="DJ1169" i="3"/>
  <c r="DJ1170" i="3"/>
  <c r="DJ1171" i="3"/>
  <c r="DJ1172" i="3"/>
  <c r="DJ1173" i="3"/>
  <c r="DJ1174" i="3"/>
  <c r="DJ1175" i="3"/>
  <c r="DJ1176" i="3"/>
  <c r="DJ1177" i="3"/>
  <c r="DJ1178" i="3"/>
  <c r="DJ1179" i="3"/>
  <c r="DJ1180" i="3"/>
  <c r="DJ1181" i="3"/>
  <c r="DJ1182" i="3"/>
  <c r="DJ1183" i="3"/>
  <c r="DJ1184" i="3"/>
  <c r="DJ1185" i="3"/>
  <c r="DJ1186" i="3"/>
  <c r="DJ1187" i="3"/>
  <c r="DJ1188" i="3"/>
  <c r="DJ1189" i="3"/>
  <c r="DJ1190" i="3"/>
  <c r="DJ1191" i="3"/>
  <c r="DJ1192" i="3"/>
  <c r="DJ1193" i="3"/>
  <c r="DJ1194" i="3"/>
  <c r="DJ1195" i="3"/>
  <c r="DJ1196" i="3"/>
  <c r="DJ1197" i="3"/>
  <c r="DJ1198" i="3"/>
  <c r="DJ1199" i="3"/>
  <c r="DJ1200" i="3"/>
  <c r="DJ1201" i="3"/>
  <c r="DJ1202" i="3"/>
  <c r="DJ1203" i="3"/>
  <c r="DJ1204" i="3"/>
  <c r="DJ1205" i="3"/>
  <c r="DJ1206" i="3"/>
  <c r="DJ1207" i="3"/>
  <c r="DJ1208" i="3"/>
  <c r="DJ1209" i="3"/>
  <c r="DJ1210" i="3"/>
  <c r="DJ1211" i="3"/>
  <c r="DJ1212" i="3"/>
  <c r="DJ1213" i="3"/>
  <c r="DJ1214" i="3"/>
  <c r="DJ1215" i="3"/>
  <c r="DJ1216" i="3"/>
  <c r="DJ1217" i="3"/>
  <c r="DJ1218" i="3"/>
  <c r="DJ1219" i="3"/>
  <c r="DJ1220" i="3"/>
  <c r="DJ1221" i="3"/>
  <c r="DJ1222" i="3"/>
  <c r="DJ1223" i="3"/>
  <c r="DJ1224" i="3"/>
  <c r="DJ1225" i="3"/>
  <c r="DJ1226" i="3"/>
  <c r="DJ1227" i="3"/>
  <c r="DJ1228" i="3"/>
  <c r="DJ1229" i="3"/>
  <c r="DJ1230" i="3"/>
  <c r="DJ1231" i="3"/>
  <c r="DJ1232" i="3"/>
  <c r="DJ1233" i="3"/>
  <c r="DJ1234" i="3"/>
  <c r="DJ1235" i="3"/>
  <c r="DJ1236" i="3"/>
  <c r="DJ1237" i="3"/>
  <c r="DJ1238" i="3"/>
  <c r="DJ1239" i="3"/>
  <c r="DJ1240" i="3"/>
  <c r="DJ1241" i="3"/>
  <c r="DJ1242" i="3"/>
  <c r="DJ1243" i="3"/>
  <c r="DJ1244" i="3"/>
  <c r="DJ1245" i="3"/>
  <c r="DJ1246" i="3"/>
  <c r="DJ1247" i="3"/>
  <c r="DJ1248" i="3"/>
  <c r="DJ1249" i="3"/>
  <c r="DJ1250" i="3"/>
  <c r="DJ1251" i="3"/>
  <c r="DJ1252" i="3"/>
  <c r="DJ1253" i="3"/>
  <c r="DJ1254" i="3"/>
  <c r="DJ1255" i="3"/>
  <c r="DJ1256" i="3"/>
  <c r="DJ1257" i="3"/>
  <c r="DJ1258" i="3"/>
  <c r="DJ1259" i="3"/>
  <c r="DJ1260" i="3"/>
  <c r="DJ1261" i="3"/>
  <c r="DJ1262" i="3"/>
  <c r="DJ1263" i="3"/>
  <c r="DJ1264" i="3"/>
  <c r="DJ1265" i="3"/>
  <c r="DJ1266" i="3"/>
  <c r="DJ1267" i="3"/>
  <c r="DJ1268" i="3"/>
  <c r="DJ1269" i="3"/>
  <c r="DJ1270" i="3"/>
  <c r="DJ1271" i="3"/>
  <c r="DJ1272" i="3"/>
  <c r="DJ1273" i="3"/>
  <c r="DJ1274" i="3"/>
  <c r="DJ1275" i="3"/>
  <c r="DJ1276" i="3"/>
  <c r="DJ1277" i="3"/>
  <c r="DJ1278" i="3"/>
  <c r="DJ1279" i="3"/>
  <c r="DJ1280" i="3"/>
  <c r="DJ1281" i="3"/>
  <c r="DJ1282" i="3"/>
  <c r="DJ1283" i="3"/>
  <c r="DJ1284" i="3"/>
  <c r="DJ1285" i="3"/>
  <c r="DJ1286" i="3"/>
  <c r="DJ1287" i="3"/>
  <c r="DJ1288" i="3"/>
  <c r="DJ1289" i="3"/>
  <c r="DJ1290" i="3"/>
  <c r="DJ1291" i="3"/>
  <c r="DJ1292" i="3"/>
  <c r="DJ1293" i="3"/>
  <c r="DJ1294" i="3"/>
  <c r="DJ1295" i="3"/>
  <c r="DJ1296" i="3"/>
  <c r="DJ1297" i="3"/>
  <c r="DJ1298" i="3"/>
  <c r="DJ1299" i="3"/>
  <c r="DJ1300" i="3"/>
  <c r="DJ1301" i="3"/>
  <c r="DJ1302" i="3"/>
  <c r="DJ1303" i="3"/>
  <c r="DJ1304" i="3"/>
  <c r="DJ1305" i="3"/>
  <c r="DJ1306" i="3"/>
  <c r="DJ1307" i="3"/>
  <c r="DJ1308" i="3"/>
  <c r="DJ1309" i="3"/>
  <c r="DJ1310" i="3"/>
  <c r="DJ1311" i="3"/>
  <c r="DJ1312" i="3"/>
  <c r="DJ1313" i="3"/>
  <c r="DJ1314" i="3"/>
  <c r="DJ1315" i="3"/>
  <c r="DJ1316" i="3"/>
  <c r="DJ1317" i="3"/>
  <c r="DJ1318" i="3"/>
  <c r="DJ1319" i="3"/>
  <c r="DJ1320" i="3"/>
  <c r="DJ1321" i="3"/>
  <c r="DJ1322" i="3"/>
  <c r="DJ1323" i="3"/>
  <c r="DJ1324" i="3"/>
  <c r="DJ1325" i="3"/>
  <c r="DJ1326" i="3"/>
  <c r="DJ1327" i="3"/>
  <c r="DJ1328" i="3"/>
  <c r="DJ1329" i="3"/>
  <c r="DJ1330" i="3"/>
  <c r="DJ1331" i="3"/>
  <c r="DJ1332" i="3"/>
  <c r="DJ1333" i="3"/>
  <c r="DJ1334" i="3"/>
  <c r="DJ1335" i="3"/>
  <c r="DJ1336" i="3"/>
  <c r="DJ1337" i="3"/>
  <c r="DJ1338" i="3"/>
  <c r="DJ1339" i="3"/>
  <c r="DJ1340" i="3"/>
  <c r="DJ1341" i="3"/>
  <c r="DJ1342" i="3"/>
  <c r="DJ1343" i="3"/>
  <c r="DJ1344" i="3"/>
  <c r="DJ1345" i="3"/>
  <c r="DJ1346" i="3"/>
  <c r="DJ1347" i="3"/>
  <c r="DJ1348" i="3"/>
  <c r="DJ1349" i="3"/>
  <c r="DJ1350" i="3"/>
  <c r="DJ1351" i="3"/>
  <c r="DJ1352" i="3"/>
  <c r="DJ1353" i="3"/>
  <c r="DJ1354" i="3"/>
  <c r="DJ1355" i="3"/>
  <c r="DJ1356" i="3"/>
  <c r="DJ1357" i="3"/>
  <c r="DJ1358" i="3"/>
  <c r="DJ1359" i="3"/>
  <c r="DJ1360" i="3"/>
  <c r="DJ1361" i="3"/>
  <c r="DJ1362" i="3"/>
  <c r="DJ1363" i="3"/>
  <c r="DJ1364" i="3"/>
  <c r="DJ1365" i="3"/>
  <c r="DJ1366" i="3"/>
  <c r="DJ1367" i="3"/>
  <c r="DJ1368" i="3"/>
  <c r="DJ1369" i="3"/>
  <c r="DJ1370" i="3"/>
  <c r="DJ1371" i="3"/>
  <c r="DJ1372" i="3"/>
  <c r="DJ1373" i="3"/>
  <c r="DJ1374" i="3"/>
  <c r="DJ1375" i="3"/>
  <c r="DJ1376" i="3"/>
  <c r="DJ1377" i="3"/>
  <c r="DJ1378" i="3"/>
  <c r="DJ1379" i="3"/>
  <c r="DJ1380" i="3"/>
  <c r="DJ1381" i="3"/>
  <c r="DJ1382" i="3"/>
  <c r="DJ1383" i="3"/>
  <c r="DJ1384" i="3"/>
  <c r="DJ1385" i="3"/>
  <c r="DJ1386" i="3"/>
  <c r="DJ1387" i="3"/>
  <c r="DJ1388" i="3"/>
  <c r="DJ1389" i="3"/>
  <c r="DJ1390" i="3"/>
  <c r="DJ1391" i="3"/>
  <c r="DJ1392" i="3"/>
  <c r="DJ1393" i="3"/>
  <c r="DJ1394" i="3"/>
  <c r="DJ1395" i="3"/>
  <c r="DJ1396" i="3"/>
  <c r="DJ1397" i="3"/>
  <c r="DJ1398" i="3"/>
  <c r="DJ1399" i="3"/>
  <c r="DJ1400" i="3"/>
  <c r="DJ1401" i="3"/>
  <c r="DJ1402" i="3"/>
  <c r="DJ1403" i="3"/>
  <c r="DJ1404" i="3"/>
  <c r="DJ1405" i="3"/>
  <c r="DJ1406" i="3"/>
  <c r="DJ1407" i="3"/>
  <c r="DJ1408" i="3"/>
  <c r="DJ1409" i="3"/>
  <c r="DJ1410" i="3"/>
  <c r="DJ1411" i="3"/>
  <c r="DJ1412" i="3"/>
  <c r="DJ1413" i="3"/>
  <c r="DJ1414" i="3"/>
  <c r="DJ1415" i="3"/>
  <c r="DJ1416" i="3"/>
  <c r="DJ1417" i="3"/>
  <c r="DJ1418" i="3"/>
  <c r="DJ1419" i="3"/>
  <c r="DJ1420" i="3"/>
  <c r="DJ1421" i="3"/>
  <c r="DJ1422" i="3"/>
  <c r="DJ1423" i="3"/>
  <c r="DJ1424" i="3"/>
  <c r="DJ1425" i="3"/>
  <c r="DJ1426" i="3"/>
  <c r="DJ1427" i="3"/>
  <c r="DJ1428" i="3"/>
  <c r="DJ1429" i="3"/>
  <c r="DJ1430" i="3"/>
  <c r="DJ1431" i="3"/>
  <c r="DJ1432" i="3"/>
  <c r="DJ1433" i="3"/>
  <c r="DJ1434" i="3"/>
  <c r="DJ1435" i="3"/>
  <c r="DJ1436" i="3"/>
  <c r="DJ1437" i="3"/>
  <c r="DJ1438" i="3"/>
  <c r="DJ1439" i="3"/>
  <c r="DJ1440" i="3"/>
  <c r="DJ1441" i="3"/>
  <c r="DJ1442" i="3"/>
  <c r="DJ1443" i="3"/>
  <c r="DJ1444" i="3"/>
  <c r="DJ1445" i="3"/>
  <c r="DJ1446" i="3"/>
  <c r="DJ1447" i="3"/>
  <c r="DJ1448" i="3"/>
  <c r="DJ1449" i="3"/>
  <c r="DJ1450" i="3"/>
  <c r="DJ1451" i="3"/>
  <c r="DJ1452" i="3"/>
  <c r="DJ1453" i="3"/>
  <c r="DJ1454" i="3"/>
  <c r="DJ1455" i="3"/>
  <c r="DJ1456" i="3"/>
  <c r="DJ1457" i="3"/>
  <c r="DJ1458" i="3"/>
  <c r="DJ1459" i="3"/>
  <c r="DJ1460" i="3"/>
  <c r="DJ1461" i="3"/>
  <c r="DJ1462" i="3"/>
  <c r="DJ1463" i="3"/>
  <c r="DJ1464" i="3"/>
  <c r="DJ1465" i="3"/>
  <c r="DJ1466" i="3"/>
  <c r="DJ1467" i="3"/>
  <c r="DJ1468" i="3"/>
  <c r="DJ1469" i="3"/>
  <c r="DJ1470" i="3"/>
  <c r="DJ1471" i="3"/>
  <c r="DJ1472" i="3"/>
  <c r="DJ1473" i="3"/>
  <c r="DJ1474" i="3"/>
  <c r="DJ1475" i="3"/>
  <c r="DJ1476" i="3"/>
  <c r="DJ1477" i="3"/>
  <c r="DJ1478" i="3"/>
  <c r="DJ1479" i="3"/>
  <c r="DJ1480" i="3"/>
  <c r="DJ1481" i="3"/>
  <c r="DJ1482" i="3"/>
  <c r="DJ1483" i="3"/>
  <c r="DJ1484" i="3"/>
  <c r="DJ1485" i="3"/>
  <c r="DJ1486" i="3"/>
  <c r="DJ1487" i="3"/>
  <c r="DJ1488" i="3"/>
  <c r="DJ1489" i="3"/>
  <c r="DJ1490" i="3"/>
  <c r="DJ1491" i="3"/>
  <c r="DJ1492" i="3"/>
  <c r="DJ1493" i="3"/>
  <c r="DJ1494" i="3"/>
  <c r="DJ1495" i="3"/>
  <c r="DJ1496" i="3"/>
  <c r="DJ1497" i="3"/>
  <c r="DJ1498" i="3"/>
  <c r="DJ1499" i="3"/>
  <c r="DJ1500" i="3"/>
  <c r="DJ1501" i="3"/>
  <c r="DJ1502" i="3"/>
  <c r="DJ1503" i="3"/>
  <c r="DJ1504" i="3"/>
  <c r="DJ1505" i="3"/>
  <c r="DJ1506" i="3"/>
  <c r="DJ1507" i="3"/>
  <c r="DJ1508" i="3"/>
  <c r="DJ1509" i="3"/>
  <c r="DJ1510" i="3"/>
  <c r="DJ1511" i="3"/>
  <c r="DJ1512" i="3"/>
  <c r="DJ1513" i="3"/>
  <c r="DJ1514" i="3"/>
  <c r="DJ1515" i="3"/>
  <c r="DJ1516" i="3"/>
  <c r="DJ1517" i="3"/>
  <c r="DJ1518" i="3"/>
  <c r="DJ1519" i="3"/>
  <c r="DJ1520" i="3"/>
  <c r="DJ1521" i="3"/>
  <c r="DJ1522" i="3"/>
  <c r="DJ1523" i="3"/>
  <c r="DJ1524" i="3"/>
  <c r="DJ1525" i="3"/>
  <c r="DJ1526" i="3"/>
  <c r="DJ1527" i="3"/>
  <c r="DJ1528" i="3"/>
  <c r="DJ1529" i="3"/>
  <c r="DJ1530" i="3"/>
  <c r="DJ1531" i="3"/>
  <c r="DJ1532" i="3"/>
  <c r="DJ1533" i="3"/>
  <c r="DJ1534" i="3"/>
  <c r="DJ1535" i="3"/>
  <c r="DJ1536" i="3"/>
  <c r="DJ1537" i="3"/>
  <c r="DJ1538" i="3"/>
  <c r="DJ1539" i="3"/>
  <c r="DJ1540" i="3"/>
  <c r="DJ1541" i="3"/>
  <c r="DJ1542" i="3"/>
  <c r="DJ1543" i="3"/>
  <c r="DJ1544" i="3"/>
  <c r="DJ1545" i="3"/>
  <c r="DJ1546" i="3"/>
  <c r="DJ1547" i="3"/>
  <c r="DJ1548" i="3"/>
  <c r="DJ1549" i="3"/>
  <c r="DJ1550" i="3"/>
  <c r="DJ1551" i="3"/>
  <c r="DJ1552" i="3"/>
  <c r="DJ1553" i="3"/>
  <c r="DJ1554" i="3"/>
  <c r="DJ1555" i="3"/>
  <c r="DJ1556" i="3"/>
  <c r="DJ1557" i="3"/>
  <c r="DJ1558" i="3"/>
  <c r="DJ1559" i="3"/>
  <c r="DJ1560" i="3"/>
  <c r="DJ1561" i="3"/>
  <c r="DJ1562" i="3"/>
  <c r="DJ1563" i="3"/>
  <c r="DJ1564" i="3"/>
  <c r="DJ1565" i="3"/>
  <c r="DJ1566" i="3"/>
  <c r="DJ1567" i="3"/>
  <c r="DJ1568" i="3"/>
  <c r="DJ1569" i="3"/>
  <c r="DJ1570" i="3"/>
  <c r="DJ1571" i="3"/>
  <c r="DJ1572" i="3"/>
  <c r="DJ1573" i="3"/>
  <c r="DJ1574" i="3"/>
  <c r="DJ1575" i="3"/>
  <c r="DJ1576" i="3"/>
  <c r="DJ1577" i="3"/>
  <c r="DJ1578" i="3"/>
  <c r="DJ1579" i="3"/>
  <c r="DJ1580" i="3"/>
  <c r="DJ1581" i="3"/>
  <c r="DJ1582" i="3"/>
  <c r="DJ1583" i="3"/>
  <c r="DJ1584" i="3"/>
  <c r="DJ1585" i="3"/>
  <c r="DJ1586" i="3"/>
  <c r="DJ1587" i="3"/>
  <c r="DJ1588" i="3"/>
  <c r="DJ1589" i="3"/>
  <c r="DJ1590" i="3"/>
  <c r="DJ1591" i="3"/>
  <c r="DJ1592" i="3"/>
  <c r="DJ1593" i="3"/>
  <c r="DJ1594" i="3"/>
  <c r="DJ1595" i="3"/>
  <c r="DJ1596" i="3"/>
  <c r="DJ1597" i="3"/>
  <c r="DJ1598" i="3"/>
  <c r="DJ1599" i="3"/>
  <c r="DJ1600" i="3"/>
  <c r="DJ1601" i="3"/>
  <c r="DJ1602" i="3"/>
  <c r="DJ1603" i="3"/>
  <c r="DJ1604" i="3"/>
  <c r="DJ1605" i="3"/>
  <c r="DJ1606" i="3"/>
  <c r="DJ1607" i="3"/>
  <c r="DJ1608" i="3"/>
  <c r="DJ1609" i="3"/>
  <c r="DJ1610" i="3"/>
  <c r="DJ1611" i="3"/>
  <c r="DJ1612" i="3"/>
  <c r="DJ1613" i="3"/>
  <c r="DJ1614" i="3"/>
  <c r="DJ1615" i="3"/>
  <c r="DJ1616" i="3"/>
  <c r="DJ1617" i="3"/>
  <c r="DJ1618" i="3"/>
  <c r="DJ1619" i="3"/>
  <c r="DJ1620" i="3"/>
  <c r="DJ1621" i="3"/>
  <c r="DJ1622" i="3"/>
  <c r="DJ1623" i="3"/>
  <c r="DJ1624" i="3"/>
  <c r="DJ1625" i="3"/>
  <c r="DJ1626" i="3"/>
  <c r="DJ1627" i="3"/>
  <c r="DJ1628" i="3"/>
  <c r="DJ1629" i="3"/>
  <c r="DJ1630" i="3"/>
  <c r="DJ1631" i="3"/>
  <c r="DJ1632" i="3"/>
  <c r="DJ1633" i="3"/>
  <c r="DJ1634" i="3"/>
  <c r="DJ1635" i="3"/>
  <c r="DJ1636" i="3"/>
  <c r="DJ1637" i="3"/>
  <c r="DJ1638" i="3"/>
  <c r="DJ1639" i="3"/>
  <c r="DJ1640" i="3"/>
  <c r="DJ1641" i="3"/>
  <c r="DJ1642" i="3"/>
  <c r="DJ1643" i="3"/>
  <c r="DJ1644" i="3"/>
  <c r="DJ1645" i="3"/>
  <c r="DJ1646" i="3"/>
  <c r="DJ1647" i="3"/>
  <c r="DJ1648" i="3"/>
  <c r="DJ1649" i="3"/>
  <c r="DJ1650" i="3"/>
  <c r="DJ1651" i="3"/>
  <c r="DJ1652" i="3"/>
  <c r="DJ1653" i="3"/>
  <c r="DJ1654" i="3"/>
  <c r="DJ1655" i="3"/>
  <c r="DJ1656" i="3"/>
  <c r="DJ1657" i="3"/>
  <c r="DJ1658" i="3"/>
  <c r="DJ1659" i="3"/>
  <c r="DJ1660" i="3"/>
  <c r="DJ1661" i="3"/>
  <c r="DJ1662" i="3"/>
  <c r="DJ1663" i="3"/>
  <c r="DJ1664" i="3"/>
  <c r="DJ1665" i="3"/>
  <c r="DJ1666" i="3"/>
  <c r="DJ1667" i="3"/>
  <c r="DJ1668" i="3"/>
  <c r="DJ1669" i="3"/>
  <c r="DJ1670" i="3"/>
  <c r="DJ1671" i="3"/>
  <c r="DJ1672" i="3"/>
  <c r="DJ1673" i="3"/>
  <c r="DJ1674" i="3"/>
  <c r="DJ1675" i="3"/>
  <c r="DJ1676" i="3"/>
  <c r="DJ1677" i="3"/>
  <c r="DJ1678" i="3"/>
  <c r="DJ1679" i="3"/>
  <c r="DJ1680" i="3"/>
  <c r="DJ1681" i="3"/>
  <c r="DJ1682" i="3"/>
  <c r="DJ1683" i="3"/>
  <c r="DJ1684" i="3"/>
  <c r="DJ1685" i="3"/>
  <c r="DJ1686" i="3"/>
  <c r="DJ1687" i="3"/>
  <c r="DJ1688" i="3"/>
  <c r="DJ1689" i="3"/>
  <c r="DJ1690" i="3"/>
  <c r="DJ1691" i="3"/>
  <c r="DJ1692" i="3"/>
  <c r="DJ1693" i="3"/>
  <c r="DJ1694" i="3"/>
  <c r="DJ1695" i="3"/>
  <c r="DJ1696" i="3"/>
  <c r="DJ1697" i="3"/>
  <c r="DJ1698" i="3"/>
  <c r="DJ1699" i="3"/>
  <c r="DJ1700" i="3"/>
  <c r="DJ1701" i="3"/>
  <c r="DJ1702" i="3"/>
  <c r="DJ1703" i="3"/>
  <c r="DJ1704" i="3"/>
  <c r="DJ1705" i="3"/>
  <c r="DJ1706" i="3"/>
  <c r="DJ1707" i="3"/>
  <c r="DJ1708" i="3"/>
  <c r="DJ1709" i="3"/>
  <c r="DJ1710" i="3"/>
  <c r="DJ1711" i="3"/>
  <c r="DJ1712" i="3"/>
  <c r="DJ1713" i="3"/>
  <c r="DJ1714" i="3"/>
  <c r="DJ1715" i="3"/>
  <c r="DJ1716" i="3"/>
  <c r="DJ1717" i="3"/>
  <c r="DJ1718" i="3"/>
  <c r="DJ1719" i="3"/>
  <c r="DJ1720" i="3"/>
  <c r="DJ1721" i="3"/>
  <c r="DJ1722" i="3"/>
  <c r="DJ1723" i="3"/>
  <c r="DJ1724" i="3"/>
  <c r="DJ1725" i="3"/>
  <c r="DJ1726" i="3"/>
  <c r="DJ1727" i="3"/>
  <c r="DJ1728" i="3"/>
  <c r="DJ1729" i="3"/>
  <c r="DJ1730" i="3"/>
  <c r="DJ1731" i="3"/>
  <c r="DJ1732" i="3"/>
  <c r="DJ1733" i="3"/>
  <c r="DJ1734" i="3"/>
  <c r="DJ1735" i="3"/>
  <c r="DJ1736" i="3"/>
  <c r="DJ1737" i="3"/>
  <c r="DJ1738" i="3"/>
  <c r="DJ1739" i="3"/>
  <c r="DJ1740" i="3"/>
  <c r="DJ1741" i="3"/>
  <c r="DJ1742" i="3"/>
  <c r="DJ1743" i="3"/>
  <c r="DJ1744" i="3"/>
  <c r="DJ1745" i="3"/>
  <c r="DJ1746" i="3"/>
  <c r="DJ1747" i="3"/>
  <c r="DJ1748" i="3"/>
  <c r="DJ1749" i="3"/>
  <c r="DJ1750" i="3"/>
  <c r="DJ1751" i="3"/>
  <c r="DJ1752" i="3"/>
  <c r="DJ1753" i="3"/>
  <c r="DJ1754" i="3"/>
  <c r="DJ1755" i="3"/>
  <c r="DJ1756" i="3"/>
  <c r="DJ1757" i="3"/>
  <c r="DJ1758" i="3"/>
  <c r="DJ1759" i="3"/>
  <c r="DJ1760" i="3"/>
  <c r="DJ1761" i="3"/>
  <c r="DJ1762" i="3"/>
  <c r="DJ1763" i="3"/>
  <c r="DJ1764" i="3"/>
  <c r="DJ1765" i="3"/>
  <c r="DJ1766" i="3"/>
  <c r="DJ1767" i="3"/>
  <c r="DJ1768" i="3"/>
  <c r="DJ1769" i="3"/>
  <c r="DJ1770" i="3"/>
  <c r="DJ1771" i="3"/>
  <c r="DJ1772" i="3"/>
  <c r="DJ1773" i="3"/>
  <c r="DJ1774" i="3"/>
  <c r="DJ1775" i="3"/>
  <c r="DJ1776" i="3"/>
  <c r="DJ1777" i="3"/>
  <c r="DJ1778" i="3"/>
  <c r="DJ1779" i="3"/>
  <c r="DJ1780" i="3"/>
  <c r="DJ1781" i="3"/>
  <c r="DJ1782" i="3"/>
  <c r="DJ1783" i="3"/>
  <c r="DJ1784" i="3"/>
  <c r="DJ1785" i="3"/>
  <c r="DJ1786" i="3"/>
  <c r="DJ1787" i="3"/>
  <c r="DJ1788" i="3"/>
  <c r="DJ1789" i="3"/>
  <c r="DJ1790" i="3"/>
  <c r="DJ1791" i="3"/>
  <c r="DJ1792" i="3"/>
  <c r="DJ1793" i="3"/>
  <c r="DJ1794" i="3"/>
  <c r="DJ1795" i="3"/>
  <c r="DJ1796" i="3"/>
  <c r="DJ1797" i="3"/>
  <c r="DJ1798" i="3"/>
  <c r="DJ1799" i="3"/>
  <c r="DJ1800" i="3"/>
  <c r="DJ1801" i="3"/>
  <c r="DJ1802" i="3"/>
  <c r="DJ1803" i="3"/>
  <c r="DJ1804" i="3"/>
  <c r="DJ1805" i="3"/>
  <c r="DJ1806" i="3"/>
  <c r="DJ1807" i="3"/>
  <c r="DJ1808" i="3"/>
  <c r="DJ1809" i="3"/>
  <c r="DJ1810" i="3"/>
  <c r="DJ1811" i="3"/>
  <c r="DJ1812" i="3"/>
  <c r="DJ1813" i="3"/>
  <c r="DJ1814" i="3"/>
  <c r="DJ1815" i="3"/>
  <c r="DJ1816" i="3"/>
  <c r="DJ1817" i="3"/>
  <c r="DJ1818" i="3"/>
  <c r="DJ1819" i="3"/>
  <c r="DJ1820" i="3"/>
  <c r="DJ1821" i="3"/>
  <c r="DJ1822" i="3"/>
  <c r="DJ1823" i="3"/>
  <c r="DJ1824" i="3"/>
  <c r="DJ1825" i="3"/>
  <c r="DJ1826" i="3"/>
  <c r="DJ1827" i="3"/>
  <c r="DJ1828" i="3"/>
  <c r="DJ1829" i="3"/>
  <c r="DJ1830" i="3"/>
  <c r="DJ1831" i="3"/>
  <c r="DJ1832" i="3"/>
  <c r="DJ1833" i="3"/>
  <c r="DJ1834" i="3"/>
  <c r="DJ1835" i="3"/>
  <c r="DJ1836" i="3"/>
  <c r="DJ1837" i="3"/>
  <c r="DJ1838" i="3"/>
  <c r="DJ1839" i="3"/>
  <c r="DJ1840" i="3"/>
  <c r="DJ1841" i="3"/>
  <c r="DJ1842" i="3"/>
  <c r="DJ1843" i="3"/>
  <c r="DJ1844" i="3"/>
  <c r="DJ1845" i="3"/>
  <c r="DJ1846" i="3"/>
  <c r="DJ1847" i="3"/>
  <c r="DJ1848" i="3"/>
  <c r="DJ1849" i="3"/>
  <c r="DJ1850" i="3"/>
  <c r="DJ1851" i="3"/>
  <c r="DJ1852" i="3"/>
  <c r="DJ1853" i="3"/>
  <c r="DJ1854" i="3"/>
  <c r="DJ1855" i="3"/>
  <c r="DJ1856" i="3"/>
  <c r="DJ1857" i="3"/>
  <c r="DJ1858" i="3"/>
  <c r="DJ1859" i="3"/>
  <c r="DJ1860" i="3"/>
  <c r="DJ1861" i="3"/>
  <c r="DJ1862" i="3"/>
  <c r="DJ1863" i="3"/>
  <c r="DJ1864" i="3"/>
  <c r="DJ1865" i="3"/>
  <c r="DJ1866" i="3"/>
  <c r="DJ1867" i="3"/>
  <c r="DJ1868" i="3"/>
  <c r="DJ1869" i="3"/>
  <c r="DJ1870" i="3"/>
  <c r="DJ1871" i="3"/>
  <c r="DJ1872" i="3"/>
  <c r="DJ1873" i="3"/>
  <c r="DJ1874" i="3"/>
  <c r="DJ1875" i="3"/>
  <c r="DJ1876" i="3"/>
  <c r="DJ1877" i="3"/>
  <c r="DJ1878" i="3"/>
  <c r="DJ1879" i="3"/>
  <c r="DJ1880" i="3"/>
  <c r="DJ1881" i="3"/>
  <c r="DJ1882" i="3"/>
  <c r="DJ1883" i="3"/>
  <c r="DJ1884" i="3"/>
  <c r="DJ1885" i="3"/>
  <c r="DJ1886" i="3"/>
  <c r="DJ1887" i="3"/>
  <c r="DJ1888" i="3"/>
  <c r="DJ1889" i="3"/>
  <c r="DJ1890" i="3"/>
  <c r="DJ1891" i="3"/>
  <c r="DJ1892" i="3"/>
  <c r="DJ1893" i="3"/>
  <c r="DJ1894" i="3"/>
  <c r="DJ1895" i="3"/>
  <c r="DJ1896" i="3"/>
  <c r="DJ1897" i="3"/>
  <c r="DJ1898" i="3"/>
  <c r="DJ1899" i="3"/>
  <c r="DJ1900" i="3"/>
  <c r="DJ1901" i="3"/>
  <c r="DJ1902" i="3"/>
  <c r="DJ1903" i="3"/>
  <c r="DJ1904" i="3"/>
  <c r="DJ1905" i="3"/>
  <c r="DJ1906" i="3"/>
  <c r="DJ1907" i="3"/>
  <c r="DJ1908" i="3"/>
  <c r="DJ1909" i="3"/>
  <c r="DJ1910" i="3"/>
  <c r="DJ1911" i="3"/>
  <c r="DJ1912" i="3"/>
  <c r="DJ1913" i="3"/>
  <c r="DJ1914" i="3"/>
  <c r="DJ1915" i="3"/>
  <c r="DJ1916" i="3"/>
  <c r="DJ1917" i="3"/>
  <c r="DJ1918" i="3"/>
  <c r="DJ1919" i="3"/>
  <c r="DJ1920" i="3"/>
  <c r="DJ1921" i="3"/>
  <c r="DJ1922" i="3"/>
  <c r="DJ1923" i="3"/>
  <c r="DJ1924" i="3"/>
  <c r="DJ1925" i="3"/>
  <c r="DJ1926" i="3"/>
  <c r="DJ1927" i="3"/>
  <c r="DJ1928" i="3"/>
  <c r="DJ1929" i="3"/>
  <c r="DJ1930" i="3"/>
  <c r="DJ1931" i="3"/>
  <c r="DJ1932" i="3"/>
  <c r="DJ1933" i="3"/>
  <c r="DJ1934" i="3"/>
  <c r="DJ1935" i="3"/>
  <c r="DJ1936" i="3"/>
  <c r="DJ1937" i="3"/>
  <c r="DJ1938" i="3"/>
  <c r="DJ1939" i="3"/>
  <c r="DJ1940" i="3"/>
  <c r="DJ1941" i="3"/>
  <c r="DJ1942" i="3"/>
  <c r="DJ1943" i="3"/>
  <c r="DJ1944" i="3"/>
  <c r="DJ1945" i="3"/>
  <c r="DJ1946" i="3"/>
  <c r="DJ1947" i="3"/>
  <c r="DJ1948" i="3"/>
  <c r="DJ1949" i="3"/>
  <c r="DJ1950" i="3"/>
  <c r="DJ1951" i="3"/>
  <c r="DJ1952" i="3"/>
  <c r="DJ1953" i="3"/>
  <c r="DJ1954" i="3"/>
  <c r="DJ1955" i="3"/>
  <c r="DJ1956" i="3"/>
  <c r="DJ1957" i="3"/>
  <c r="DJ1958" i="3"/>
  <c r="DJ1959" i="3"/>
  <c r="DJ1960" i="3"/>
  <c r="DJ1961" i="3"/>
  <c r="DJ1962" i="3"/>
  <c r="DJ1963" i="3"/>
  <c r="DJ1964" i="3"/>
  <c r="DJ1965" i="3"/>
  <c r="DJ1966" i="3"/>
  <c r="DJ1967" i="3"/>
  <c r="DJ1968" i="3"/>
  <c r="DJ1969" i="3"/>
  <c r="DJ1970" i="3"/>
  <c r="DJ1971" i="3"/>
  <c r="DJ1972" i="3"/>
  <c r="DJ1973" i="3"/>
  <c r="DJ1974" i="3"/>
  <c r="DJ1975" i="3"/>
  <c r="DJ1976" i="3"/>
  <c r="DJ1977" i="3"/>
  <c r="DJ1978" i="3"/>
  <c r="DJ1979" i="3"/>
  <c r="DJ1980" i="3"/>
  <c r="DJ1981" i="3"/>
  <c r="DJ1982" i="3"/>
  <c r="DJ1983" i="3"/>
  <c r="DJ1984" i="3"/>
  <c r="DJ1985" i="3"/>
  <c r="DJ1986" i="3"/>
  <c r="DJ1987" i="3"/>
  <c r="DJ1988" i="3"/>
  <c r="DJ1989" i="3"/>
  <c r="DJ1990" i="3"/>
  <c r="DJ1991" i="3"/>
  <c r="DJ1992" i="3"/>
  <c r="DJ1993" i="3"/>
  <c r="DJ1994" i="3"/>
  <c r="DJ1995" i="3"/>
  <c r="DJ1996" i="3"/>
  <c r="DJ1997" i="3"/>
  <c r="DJ1998" i="3"/>
  <c r="DJ1999" i="3"/>
  <c r="DJ2000" i="3"/>
  <c r="DJ2001" i="3"/>
  <c r="DJ2002" i="3"/>
  <c r="DJ2003" i="3"/>
  <c r="DJ2004" i="3"/>
  <c r="DJ2005" i="3"/>
  <c r="DJ2006" i="3"/>
  <c r="DJ2007" i="3"/>
  <c r="DJ2008" i="3"/>
  <c r="DJ2009" i="3"/>
  <c r="DJ2010" i="3"/>
  <c r="DJ2011" i="3"/>
  <c r="DJ2012" i="3"/>
  <c r="DJ2013" i="3"/>
  <c r="DJ2014" i="3"/>
  <c r="DJ2015" i="3"/>
  <c r="DJ2016" i="3"/>
  <c r="DJ2017" i="3"/>
  <c r="DJ2018" i="3"/>
  <c r="DJ2019" i="3"/>
  <c r="DJ2020" i="3"/>
  <c r="DJ2021" i="3"/>
  <c r="DJ2022" i="3"/>
  <c r="DJ2023" i="3"/>
  <c r="DJ2024" i="3"/>
  <c r="DJ2025" i="3"/>
  <c r="DJ2026" i="3"/>
  <c r="DJ2027" i="3"/>
  <c r="DJ2028" i="3"/>
  <c r="DJ2029" i="3"/>
  <c r="DJ2030" i="3"/>
  <c r="DJ2031" i="3"/>
  <c r="DJ2032" i="3"/>
  <c r="DJ2033" i="3"/>
  <c r="DJ2034" i="3"/>
  <c r="DJ2035" i="3"/>
  <c r="DJ2036" i="3"/>
  <c r="DJ2037" i="3"/>
  <c r="DJ2038" i="3"/>
  <c r="DJ2039" i="3"/>
  <c r="DJ2040" i="3"/>
  <c r="DJ2041" i="3"/>
  <c r="DJ2042" i="3"/>
  <c r="DJ2043" i="3"/>
  <c r="DJ2044" i="3"/>
  <c r="DJ2045" i="3"/>
  <c r="DJ2046" i="3"/>
  <c r="DJ2047" i="3"/>
  <c r="DJ2048" i="3"/>
  <c r="DJ2049" i="3"/>
  <c r="DJ2050" i="3"/>
  <c r="DJ2051" i="3"/>
  <c r="DJ2052" i="3"/>
  <c r="DJ2053" i="3"/>
  <c r="DJ2054" i="3"/>
  <c r="DJ2055" i="3"/>
  <c r="DJ2056" i="3"/>
  <c r="DJ2057" i="3"/>
  <c r="DJ2058" i="3"/>
  <c r="DJ2059" i="3"/>
  <c r="DJ2060" i="3"/>
  <c r="DJ2061" i="3"/>
  <c r="DJ2062" i="3"/>
  <c r="DJ2063" i="3"/>
  <c r="DJ2064" i="3"/>
  <c r="DJ2065" i="3"/>
  <c r="DJ2066" i="3"/>
  <c r="DJ2067" i="3"/>
  <c r="DJ2068" i="3"/>
  <c r="DJ2069" i="3"/>
  <c r="DJ2070" i="3"/>
  <c r="DJ2071" i="3"/>
  <c r="DJ2072" i="3"/>
  <c r="DJ2073" i="3"/>
  <c r="DJ2074" i="3"/>
  <c r="DJ2075" i="3"/>
  <c r="DJ2076" i="3"/>
  <c r="DJ2077" i="3"/>
  <c r="DJ2078" i="3"/>
  <c r="DJ2079" i="3"/>
  <c r="DJ2080" i="3"/>
  <c r="DJ2081" i="3"/>
  <c r="DJ2082" i="3"/>
  <c r="DJ2083" i="3"/>
  <c r="DJ2084" i="3"/>
  <c r="DJ2085" i="3"/>
  <c r="DJ2086" i="3"/>
  <c r="DJ2087" i="3"/>
  <c r="DJ2088" i="3"/>
  <c r="DJ2089" i="3"/>
  <c r="DJ2090" i="3"/>
  <c r="DJ2091" i="3"/>
  <c r="DJ2092" i="3"/>
  <c r="DJ2093" i="3"/>
  <c r="DJ2094" i="3"/>
  <c r="DJ2095" i="3"/>
  <c r="DJ2096" i="3"/>
  <c r="DJ2097" i="3"/>
  <c r="DJ2098" i="3"/>
  <c r="DJ2099" i="3"/>
  <c r="DJ2100" i="3"/>
  <c r="DJ2101" i="3"/>
  <c r="DJ2102" i="3"/>
  <c r="DJ2103" i="3"/>
  <c r="DJ2104" i="3"/>
  <c r="DJ2105" i="3"/>
  <c r="DJ2106" i="3"/>
  <c r="DJ2107" i="3"/>
  <c r="DJ2108" i="3"/>
  <c r="DJ2109" i="3"/>
  <c r="DJ2110" i="3"/>
  <c r="DJ2111" i="3"/>
  <c r="DJ2112" i="3"/>
  <c r="DJ2113" i="3"/>
  <c r="DJ2114" i="3"/>
  <c r="DJ2115" i="3"/>
  <c r="DJ2116" i="3"/>
  <c r="DJ2117" i="3"/>
  <c r="DJ2118" i="3"/>
  <c r="DJ2119" i="3"/>
  <c r="DJ2120" i="3"/>
  <c r="DJ2121" i="3"/>
  <c r="DJ2122" i="3"/>
  <c r="DJ2123" i="3"/>
  <c r="DJ2124" i="3"/>
  <c r="DJ2125" i="3"/>
  <c r="DJ2126" i="3"/>
  <c r="DJ2127" i="3"/>
  <c r="DJ2128" i="3"/>
  <c r="DJ2129" i="3"/>
  <c r="DJ2130" i="3"/>
  <c r="DJ2131" i="3"/>
  <c r="DJ2132" i="3"/>
  <c r="DJ2133" i="3"/>
  <c r="DJ2134" i="3"/>
  <c r="DJ2135" i="3"/>
  <c r="DJ2136" i="3"/>
  <c r="DJ2137" i="3"/>
  <c r="DJ2138" i="3"/>
  <c r="DJ2139" i="3"/>
  <c r="DJ2140" i="3"/>
  <c r="DJ2141" i="3"/>
  <c r="DJ2142" i="3"/>
  <c r="DJ2143" i="3"/>
  <c r="DJ2144" i="3"/>
  <c r="DJ2145" i="3"/>
  <c r="DJ2146" i="3"/>
  <c r="DJ2147" i="3"/>
  <c r="DJ2148" i="3"/>
  <c r="DJ2149" i="3"/>
  <c r="DJ2150" i="3"/>
  <c r="DJ2151" i="3"/>
  <c r="DJ2152" i="3"/>
  <c r="DJ2153" i="3"/>
  <c r="DJ2154" i="3"/>
  <c r="DJ2155" i="3"/>
  <c r="DJ2156" i="3"/>
  <c r="DJ2157" i="3"/>
  <c r="DJ2158" i="3"/>
  <c r="DJ2159" i="3"/>
  <c r="DJ2160" i="3"/>
  <c r="DJ2161" i="3"/>
  <c r="DJ2162" i="3"/>
  <c r="DJ2163" i="3"/>
  <c r="DJ2164" i="3"/>
  <c r="DJ2165" i="3"/>
  <c r="DJ2166" i="3"/>
  <c r="DJ2167" i="3"/>
  <c r="DJ2168" i="3"/>
  <c r="DJ2169" i="3"/>
  <c r="DJ2170" i="3"/>
  <c r="DJ2171" i="3"/>
  <c r="DJ2172" i="3"/>
  <c r="DJ2173" i="3"/>
  <c r="DJ2174" i="3"/>
  <c r="DJ2175" i="3"/>
  <c r="DJ2176" i="3"/>
  <c r="DJ2177" i="3"/>
  <c r="DJ2178" i="3"/>
  <c r="DJ2179" i="3"/>
  <c r="DJ2180" i="3"/>
  <c r="DJ2181" i="3"/>
  <c r="DJ2182" i="3"/>
  <c r="DJ2183" i="3"/>
  <c r="DJ2184" i="3"/>
  <c r="DJ2185" i="3"/>
  <c r="DJ2186" i="3"/>
  <c r="DJ2187" i="3"/>
  <c r="DJ2188" i="3"/>
  <c r="DJ2189" i="3"/>
  <c r="DJ2190" i="3"/>
  <c r="DJ2191" i="3"/>
  <c r="DJ2192" i="3"/>
  <c r="DJ2193" i="3"/>
  <c r="DJ2194" i="3"/>
  <c r="DJ2195" i="3"/>
  <c r="DJ2196" i="3"/>
  <c r="DJ2197" i="3"/>
  <c r="DJ2198" i="3"/>
  <c r="DJ2199" i="3"/>
  <c r="DJ2200" i="3"/>
  <c r="DJ2201" i="3"/>
  <c r="DJ2202" i="3"/>
  <c r="DJ2203" i="3"/>
  <c r="DJ2204" i="3"/>
  <c r="DJ2205" i="3"/>
  <c r="DJ2206" i="3"/>
  <c r="DJ2207" i="3"/>
  <c r="DJ2208" i="3"/>
  <c r="DJ2209" i="3"/>
  <c r="DJ2210" i="3"/>
  <c r="DJ2211" i="3"/>
  <c r="DJ2212" i="3"/>
  <c r="DJ2213" i="3"/>
  <c r="DJ2214" i="3"/>
  <c r="DJ2215" i="3"/>
  <c r="DJ2216" i="3"/>
  <c r="DJ2217" i="3"/>
  <c r="DJ2218" i="3"/>
  <c r="DJ2219" i="3"/>
  <c r="DJ2220" i="3"/>
  <c r="DJ2221" i="3"/>
  <c r="DJ2222" i="3"/>
  <c r="DJ2223" i="3"/>
  <c r="DJ2224" i="3"/>
  <c r="DJ2225" i="3"/>
  <c r="DJ2226" i="3"/>
  <c r="DJ2227" i="3"/>
  <c r="DJ2228" i="3"/>
  <c r="DJ2229" i="3"/>
  <c r="DJ2230" i="3"/>
  <c r="DJ2231" i="3"/>
  <c r="DJ2232" i="3"/>
  <c r="DJ2233" i="3"/>
  <c r="DJ2234" i="3"/>
  <c r="DJ2235" i="3"/>
  <c r="DJ2236" i="3"/>
  <c r="DJ2237" i="3"/>
  <c r="DJ2238" i="3"/>
  <c r="DJ2239" i="3"/>
  <c r="DJ2240" i="3"/>
  <c r="DJ2241" i="3"/>
  <c r="DJ2242" i="3"/>
  <c r="DJ2243" i="3"/>
  <c r="DJ2244" i="3"/>
  <c r="DJ2245" i="3"/>
  <c r="DJ2246" i="3"/>
  <c r="DJ2247" i="3"/>
  <c r="DJ2248" i="3"/>
  <c r="DJ2249" i="3"/>
  <c r="DJ2250" i="3"/>
  <c r="DJ2251" i="3"/>
  <c r="DJ2252" i="3"/>
  <c r="DJ2253" i="3"/>
  <c r="DJ2254" i="3"/>
  <c r="DJ2255" i="3"/>
  <c r="DJ2256" i="3"/>
  <c r="DJ2257" i="3"/>
  <c r="DJ2258" i="3"/>
  <c r="DJ2259" i="3"/>
  <c r="DJ2260" i="3"/>
  <c r="DJ2261" i="3"/>
  <c r="DJ2262" i="3"/>
  <c r="DJ2263" i="3"/>
  <c r="DJ2264" i="3"/>
  <c r="DJ2265" i="3"/>
  <c r="DJ2266" i="3"/>
  <c r="DJ2267" i="3"/>
  <c r="DJ2268" i="3"/>
  <c r="DJ2269" i="3"/>
  <c r="DJ2270" i="3"/>
  <c r="DJ2271" i="3"/>
  <c r="DJ2272" i="3"/>
  <c r="DJ2273" i="3"/>
  <c r="DJ2274" i="3"/>
  <c r="DJ2275" i="3"/>
  <c r="DJ2276" i="3"/>
  <c r="DJ2277" i="3"/>
  <c r="DJ2278" i="3"/>
  <c r="DJ2279" i="3"/>
  <c r="DJ2280" i="3"/>
  <c r="DJ2281" i="3"/>
  <c r="DJ2282" i="3"/>
  <c r="DJ2283" i="3"/>
  <c r="DJ2284" i="3"/>
  <c r="DJ2285" i="3"/>
  <c r="DJ2286" i="3"/>
  <c r="DJ2287" i="3"/>
  <c r="DJ2288" i="3"/>
  <c r="DJ2289" i="3"/>
  <c r="DJ2290" i="3"/>
  <c r="DJ2291" i="3"/>
  <c r="DJ2292" i="3"/>
  <c r="DJ2293" i="3"/>
  <c r="DJ2294" i="3"/>
  <c r="DJ2295" i="3"/>
  <c r="DJ2296" i="3"/>
  <c r="DJ2297" i="3"/>
  <c r="DJ2298" i="3"/>
  <c r="DJ2299" i="3"/>
  <c r="DJ2300" i="3"/>
  <c r="DJ2301" i="3"/>
  <c r="DJ2302" i="3"/>
  <c r="DJ2303" i="3"/>
  <c r="DJ2304" i="3"/>
  <c r="DJ2305" i="3"/>
  <c r="DJ2306" i="3"/>
  <c r="DJ2307" i="3"/>
  <c r="DJ2308" i="3"/>
  <c r="DJ2309" i="3"/>
  <c r="DJ2310" i="3"/>
  <c r="DJ2311" i="3"/>
  <c r="DJ2312" i="3"/>
  <c r="DJ2313" i="3"/>
  <c r="DJ2314" i="3"/>
  <c r="DJ2315" i="3"/>
  <c r="DJ2316" i="3"/>
  <c r="DJ2317" i="3"/>
  <c r="DJ2318" i="3"/>
  <c r="DJ2319" i="3"/>
  <c r="DJ2320" i="3"/>
  <c r="DJ2321" i="3"/>
  <c r="DJ2322" i="3"/>
  <c r="DJ2323" i="3"/>
  <c r="DJ2324" i="3"/>
  <c r="DJ2325" i="3"/>
  <c r="DJ2326" i="3"/>
  <c r="DJ2327" i="3"/>
  <c r="DJ2328" i="3"/>
  <c r="DJ2329" i="3"/>
  <c r="DJ2330" i="3"/>
  <c r="DJ2331" i="3"/>
  <c r="DJ2332" i="3"/>
  <c r="DJ2333" i="3"/>
  <c r="DJ2334" i="3"/>
  <c r="DJ2335" i="3"/>
  <c r="DJ2336" i="3"/>
  <c r="DJ2337" i="3"/>
  <c r="DJ2338" i="3"/>
  <c r="DJ2339" i="3"/>
  <c r="DJ2340" i="3"/>
  <c r="DJ2341" i="3"/>
  <c r="DJ2342" i="3"/>
  <c r="DJ2343" i="3"/>
  <c r="DJ2344" i="3"/>
  <c r="DJ2345" i="3"/>
  <c r="DJ2346" i="3"/>
  <c r="DJ2347" i="3"/>
  <c r="DJ2348" i="3"/>
  <c r="DJ2349" i="3"/>
  <c r="DJ2350" i="3"/>
  <c r="DJ2351" i="3"/>
  <c r="DJ2352" i="3"/>
  <c r="DJ2353" i="3"/>
  <c r="DJ2354" i="3"/>
  <c r="DJ2355" i="3"/>
  <c r="DJ2356" i="3"/>
  <c r="DJ2357" i="3"/>
  <c r="DJ2358" i="3"/>
  <c r="DJ2359" i="3"/>
  <c r="DJ2360" i="3"/>
  <c r="DJ2361" i="3"/>
  <c r="DJ2362" i="3"/>
  <c r="DJ2363" i="3"/>
  <c r="DJ2364" i="3"/>
  <c r="DJ2365" i="3"/>
  <c r="DJ2366" i="3"/>
  <c r="DJ2367" i="3"/>
  <c r="DJ2368" i="3"/>
  <c r="DJ2369" i="3"/>
  <c r="DJ2370" i="3"/>
  <c r="DJ2371" i="3"/>
  <c r="DJ2372" i="3"/>
  <c r="DJ2373" i="3"/>
  <c r="DJ2374" i="3"/>
  <c r="DJ2375" i="3"/>
  <c r="DJ2376" i="3"/>
  <c r="DJ2377" i="3"/>
  <c r="DJ2378" i="3"/>
  <c r="DJ2379" i="3"/>
  <c r="DJ2380" i="3"/>
  <c r="DJ2381" i="3"/>
  <c r="DJ2382" i="3"/>
  <c r="DJ2383" i="3"/>
  <c r="DJ2384" i="3"/>
  <c r="DJ2385" i="3"/>
  <c r="DJ2386" i="3"/>
  <c r="DJ2387" i="3"/>
  <c r="DJ2388" i="3"/>
  <c r="DJ2389" i="3"/>
  <c r="DJ2390" i="3"/>
  <c r="DJ2391" i="3"/>
  <c r="DJ2392" i="3"/>
  <c r="DJ2393" i="3"/>
  <c r="DJ2394" i="3"/>
  <c r="DJ2395" i="3"/>
  <c r="DJ2396" i="3"/>
  <c r="DJ2397" i="3"/>
  <c r="DJ2398" i="3"/>
  <c r="DJ2399" i="3"/>
  <c r="DJ2400" i="3"/>
  <c r="DJ2401" i="3"/>
  <c r="DJ2402" i="3"/>
  <c r="DJ2403" i="3"/>
  <c r="DJ2404" i="3"/>
  <c r="DJ2405" i="3"/>
  <c r="DJ2406" i="3"/>
  <c r="DJ2407" i="3"/>
  <c r="DJ2408" i="3"/>
  <c r="DJ2409" i="3"/>
  <c r="DJ2410" i="3"/>
  <c r="DJ2411" i="3"/>
  <c r="DJ2412" i="3"/>
  <c r="DJ2413" i="3"/>
  <c r="DJ2414" i="3"/>
  <c r="DJ2415" i="3"/>
  <c r="DJ2416" i="3"/>
  <c r="DJ2417" i="3"/>
  <c r="DJ2418" i="3"/>
  <c r="DJ2419" i="3"/>
  <c r="DJ2420" i="3"/>
  <c r="DJ2421" i="3"/>
  <c r="DJ2422" i="3"/>
  <c r="DJ2423" i="3"/>
  <c r="DJ2424" i="3"/>
  <c r="DJ2425" i="3"/>
  <c r="DJ2426" i="3"/>
  <c r="DJ2427" i="3"/>
  <c r="DJ2428" i="3"/>
  <c r="DJ2429" i="3"/>
  <c r="DJ2430" i="3"/>
  <c r="DJ2431" i="3"/>
  <c r="DJ2432" i="3"/>
  <c r="DJ2433" i="3"/>
  <c r="DJ2434" i="3"/>
  <c r="DJ2435" i="3"/>
  <c r="DJ2436" i="3"/>
  <c r="DJ2437" i="3"/>
  <c r="DJ2438" i="3"/>
  <c r="DJ2439" i="3"/>
  <c r="DJ2440" i="3"/>
  <c r="DJ2441" i="3"/>
  <c r="DJ2442" i="3"/>
  <c r="DJ2443" i="3"/>
  <c r="DJ2444" i="3"/>
  <c r="DJ2445" i="3"/>
  <c r="DJ2446" i="3"/>
  <c r="DJ2447" i="3"/>
  <c r="DJ2448" i="3"/>
  <c r="DJ2449" i="3"/>
  <c r="DJ2450" i="3"/>
  <c r="DJ2451" i="3"/>
  <c r="DJ2452" i="3"/>
  <c r="DJ2453" i="3"/>
  <c r="DJ2454" i="3"/>
  <c r="DJ2455" i="3"/>
  <c r="DJ2456" i="3"/>
  <c r="DJ2457" i="3"/>
  <c r="DJ2458" i="3"/>
  <c r="DJ2459" i="3"/>
  <c r="DJ2460" i="3"/>
  <c r="DJ2461" i="3"/>
  <c r="DJ2462" i="3"/>
  <c r="DJ2463" i="3"/>
  <c r="DJ2464" i="3"/>
  <c r="DJ2465" i="3"/>
  <c r="DJ2466" i="3"/>
  <c r="DJ2467" i="3"/>
  <c r="DJ2468" i="3"/>
  <c r="DJ2469" i="3"/>
  <c r="DJ2470" i="3"/>
  <c r="DJ2471" i="3"/>
  <c r="DJ2472" i="3"/>
  <c r="DJ2473" i="3"/>
  <c r="DJ2474" i="3"/>
  <c r="DJ2475" i="3"/>
  <c r="DJ2476" i="3"/>
  <c r="DJ2477" i="3"/>
  <c r="DJ2478" i="3"/>
  <c r="DJ2479" i="3"/>
  <c r="DJ2480" i="3"/>
  <c r="DJ2481" i="3"/>
  <c r="DJ2482" i="3"/>
  <c r="DJ2483" i="3"/>
  <c r="DJ2484" i="3"/>
  <c r="DJ2485" i="3"/>
  <c r="DJ2486" i="3"/>
  <c r="DJ2487" i="3"/>
  <c r="DJ2488" i="3"/>
  <c r="DJ2489" i="3"/>
  <c r="DJ2490" i="3"/>
  <c r="DJ2491" i="3"/>
  <c r="DJ2492" i="3"/>
  <c r="DJ2493" i="3"/>
  <c r="DJ2494" i="3"/>
  <c r="DJ2495" i="3"/>
  <c r="DJ2496" i="3"/>
  <c r="DJ2497" i="3"/>
  <c r="DJ2498" i="3"/>
  <c r="DJ2499" i="3"/>
  <c r="DJ2500" i="3"/>
  <c r="DJ2501" i="3"/>
  <c r="DJ2502" i="3"/>
  <c r="DJ2503" i="3"/>
  <c r="DJ2504" i="3"/>
  <c r="DJ2505" i="3"/>
  <c r="DJ2506" i="3"/>
  <c r="DJ2507" i="3"/>
  <c r="DJ2508" i="3"/>
  <c r="DJ2509" i="3"/>
  <c r="DJ2510" i="3"/>
  <c r="DJ2511" i="3"/>
  <c r="DJ2512" i="3"/>
  <c r="DJ2513" i="3"/>
  <c r="DJ2514" i="3"/>
  <c r="DJ2515" i="3"/>
  <c r="DJ2516" i="3"/>
  <c r="DJ2517" i="3"/>
  <c r="DJ2518" i="3"/>
  <c r="DJ2519" i="3"/>
  <c r="DJ2520" i="3"/>
  <c r="DJ2521" i="3"/>
  <c r="DJ2522" i="3"/>
  <c r="DJ2523" i="3"/>
  <c r="DJ2524" i="3"/>
  <c r="DJ2525" i="3"/>
  <c r="DJ2526" i="3"/>
  <c r="DJ2527" i="3"/>
  <c r="DJ2528" i="3"/>
  <c r="DJ2529" i="3"/>
  <c r="DJ2530" i="3"/>
  <c r="DJ2531" i="3"/>
  <c r="DJ2532" i="3"/>
  <c r="DJ2533" i="3"/>
  <c r="DJ2534" i="3"/>
  <c r="DJ2535" i="3"/>
  <c r="DJ2536" i="3"/>
  <c r="DJ2537" i="3"/>
  <c r="DJ2538" i="3"/>
  <c r="DJ2539" i="3"/>
  <c r="DJ2540" i="3"/>
  <c r="DJ2541" i="3"/>
  <c r="DJ2542" i="3"/>
  <c r="DJ2543" i="3"/>
  <c r="DJ2544" i="3"/>
  <c r="DJ2545" i="3"/>
  <c r="DJ2546" i="3"/>
  <c r="DJ2547" i="3"/>
  <c r="DJ2548" i="3"/>
  <c r="DJ2549" i="3"/>
  <c r="DJ2550" i="3"/>
  <c r="DJ2551" i="3"/>
  <c r="DJ2552" i="3"/>
  <c r="DJ2553" i="3"/>
  <c r="DJ2554" i="3"/>
  <c r="DJ2555" i="3"/>
  <c r="DJ2556" i="3"/>
  <c r="DJ2557" i="3"/>
  <c r="DJ2558" i="3"/>
  <c r="DJ2559" i="3"/>
  <c r="DJ2560" i="3"/>
  <c r="DJ2561" i="3"/>
  <c r="DJ2562" i="3"/>
  <c r="DJ2563" i="3"/>
  <c r="DJ2564" i="3"/>
  <c r="DJ2565" i="3"/>
  <c r="DJ2566" i="3"/>
  <c r="DJ2567" i="3"/>
  <c r="DJ2568" i="3"/>
  <c r="DJ2569" i="3"/>
  <c r="DJ2570" i="3"/>
  <c r="DJ2571" i="3"/>
  <c r="DJ2572" i="3"/>
  <c r="DJ2573" i="3"/>
  <c r="DJ2574" i="3"/>
  <c r="DJ2575" i="3"/>
  <c r="DJ2576" i="3"/>
  <c r="DJ2577" i="3"/>
  <c r="DJ2578" i="3"/>
  <c r="DJ2579" i="3"/>
  <c r="DJ2580" i="3"/>
  <c r="DJ2581" i="3"/>
  <c r="DJ2582" i="3"/>
  <c r="DJ2583" i="3"/>
  <c r="DJ2584" i="3"/>
  <c r="DJ2585" i="3"/>
  <c r="DJ2586" i="3"/>
  <c r="DJ2587" i="3"/>
  <c r="DJ2588" i="3"/>
  <c r="DJ2589" i="3"/>
  <c r="DJ2590" i="3"/>
  <c r="DJ2591" i="3"/>
  <c r="DJ2592" i="3"/>
  <c r="DJ2593" i="3"/>
  <c r="DJ2594" i="3"/>
  <c r="DJ2595" i="3"/>
  <c r="DJ2596" i="3"/>
  <c r="DJ2597" i="3"/>
  <c r="DJ2598" i="3"/>
  <c r="DJ2599" i="3"/>
  <c r="DJ2600" i="3"/>
  <c r="DJ2601" i="3"/>
  <c r="DJ2602" i="3"/>
  <c r="DJ2603" i="3"/>
  <c r="DJ2604" i="3"/>
  <c r="DJ2605" i="3"/>
  <c r="DJ2606" i="3"/>
  <c r="DJ2607" i="3"/>
  <c r="DJ2608" i="3"/>
  <c r="DJ2609" i="3"/>
  <c r="DJ2610" i="3"/>
  <c r="DJ2611" i="3"/>
  <c r="DJ2612" i="3"/>
  <c r="DJ2613" i="3"/>
  <c r="DJ2614" i="3"/>
  <c r="DJ2615" i="3"/>
  <c r="DJ2616" i="3"/>
  <c r="DJ2617" i="3"/>
  <c r="DJ2618" i="3"/>
  <c r="DJ2619" i="3"/>
  <c r="DJ2620" i="3"/>
  <c r="DJ2621" i="3"/>
  <c r="DJ2622" i="3"/>
  <c r="DJ2623" i="3"/>
  <c r="DJ2624" i="3"/>
  <c r="DJ2625" i="3"/>
  <c r="DJ2626" i="3"/>
  <c r="DJ2627" i="3"/>
  <c r="DJ2628" i="3"/>
  <c r="DJ2629" i="3"/>
  <c r="DJ2630" i="3"/>
  <c r="DJ2631" i="3"/>
  <c r="DJ2632" i="3"/>
  <c r="DJ2633" i="3"/>
  <c r="DJ2634" i="3"/>
  <c r="DJ2635" i="3"/>
  <c r="DJ2636" i="3"/>
  <c r="DJ2637" i="3"/>
  <c r="DJ2638" i="3"/>
  <c r="DJ2639" i="3"/>
  <c r="DJ2640" i="3"/>
  <c r="DJ2641" i="3"/>
  <c r="DJ2642" i="3"/>
  <c r="DJ2643" i="3"/>
  <c r="DJ2644" i="3"/>
  <c r="DJ2645" i="3"/>
  <c r="DJ2646" i="3"/>
  <c r="DJ2647" i="3"/>
  <c r="DJ2648" i="3"/>
  <c r="DJ2649" i="3"/>
  <c r="DJ2650" i="3"/>
  <c r="DJ2651" i="3"/>
  <c r="DJ2652" i="3"/>
  <c r="DJ2653" i="3"/>
  <c r="DJ2654" i="3"/>
  <c r="DJ2655" i="3"/>
  <c r="DJ2656" i="3"/>
  <c r="DJ2657" i="3"/>
  <c r="DJ2658" i="3"/>
  <c r="DJ2659" i="3"/>
  <c r="DJ2660" i="3"/>
  <c r="DJ2661" i="3"/>
  <c r="DJ2662" i="3"/>
  <c r="DJ2663" i="3"/>
  <c r="DJ2664" i="3"/>
  <c r="DJ2665" i="3"/>
  <c r="DJ2666" i="3"/>
  <c r="DJ2667" i="3"/>
  <c r="DJ2668" i="3"/>
  <c r="DJ2669" i="3"/>
  <c r="DJ2670" i="3"/>
  <c r="DJ2671" i="3"/>
  <c r="DJ2672" i="3"/>
  <c r="DJ2673" i="3"/>
  <c r="DJ2674" i="3"/>
  <c r="DJ2675" i="3"/>
  <c r="DJ2676" i="3"/>
  <c r="DJ2677" i="3"/>
  <c r="DJ2678" i="3"/>
  <c r="DJ2679" i="3"/>
  <c r="DJ2680" i="3"/>
  <c r="DJ2681" i="3"/>
  <c r="DJ2682" i="3"/>
  <c r="DJ2683" i="3"/>
  <c r="DJ2684" i="3"/>
  <c r="DJ2685" i="3"/>
  <c r="DJ2686" i="3"/>
  <c r="DJ2687" i="3"/>
  <c r="DJ2688" i="3"/>
  <c r="DJ2689" i="3"/>
  <c r="DJ2690" i="3"/>
  <c r="DJ2691" i="3"/>
  <c r="DJ2692" i="3"/>
  <c r="DJ2693" i="3"/>
  <c r="DJ2694" i="3"/>
  <c r="DJ2695" i="3"/>
  <c r="DJ2696" i="3"/>
  <c r="DJ2697" i="3"/>
  <c r="DJ2698" i="3"/>
  <c r="DJ2699" i="3"/>
  <c r="DJ2700" i="3"/>
  <c r="DJ2701" i="3"/>
  <c r="DJ2702" i="3"/>
  <c r="DJ2703" i="3"/>
  <c r="DJ2704" i="3"/>
  <c r="DJ2705" i="3"/>
  <c r="DJ2706" i="3"/>
  <c r="DJ2707" i="3"/>
  <c r="DJ2708" i="3"/>
  <c r="DJ2709" i="3"/>
  <c r="DJ2710" i="3"/>
  <c r="DJ2711" i="3"/>
  <c r="DJ2712" i="3"/>
  <c r="DJ2713" i="3"/>
  <c r="DJ2714" i="3"/>
  <c r="DJ2715" i="3"/>
  <c r="DJ2716" i="3"/>
  <c r="DJ2717" i="3"/>
  <c r="DJ2718" i="3"/>
  <c r="DJ2719" i="3"/>
  <c r="DJ2720" i="3"/>
  <c r="DJ2721" i="3"/>
  <c r="DJ2722" i="3"/>
  <c r="DJ2723" i="3"/>
  <c r="DJ2724" i="3"/>
  <c r="DJ2725" i="3"/>
  <c r="DJ2726" i="3"/>
  <c r="DJ2727" i="3"/>
  <c r="DJ2728" i="3"/>
  <c r="DJ2729" i="3"/>
  <c r="DJ2730" i="3"/>
  <c r="DJ2731" i="3"/>
  <c r="DJ2732" i="3"/>
  <c r="DJ2733" i="3"/>
  <c r="DJ2734" i="3"/>
  <c r="DJ2735" i="3"/>
  <c r="DJ2736" i="3"/>
  <c r="DJ2737" i="3"/>
  <c r="DJ2738" i="3"/>
  <c r="DJ2739" i="3"/>
  <c r="DJ2740" i="3"/>
  <c r="DJ2741" i="3"/>
  <c r="DJ2742" i="3"/>
  <c r="DJ2743" i="3"/>
  <c r="DJ2744" i="3"/>
  <c r="DJ2745" i="3"/>
  <c r="DJ2746" i="3"/>
  <c r="DJ2747" i="3"/>
  <c r="DJ2748" i="3"/>
  <c r="DJ2749" i="3"/>
  <c r="DJ2750" i="3"/>
  <c r="DJ2751" i="3"/>
  <c r="DJ2752" i="3"/>
  <c r="DJ2753" i="3"/>
  <c r="DJ2754" i="3"/>
  <c r="DJ2755" i="3"/>
  <c r="DJ2756" i="3"/>
  <c r="DJ2757" i="3"/>
  <c r="DJ2758" i="3"/>
  <c r="DJ2759" i="3"/>
  <c r="DJ2760" i="3"/>
  <c r="DJ2761" i="3"/>
  <c r="DJ2762" i="3"/>
  <c r="DJ2763" i="3"/>
  <c r="DJ2764" i="3"/>
  <c r="DJ2765" i="3"/>
  <c r="DJ2766" i="3"/>
  <c r="DJ2767" i="3"/>
  <c r="DJ2768" i="3"/>
  <c r="DJ2769" i="3"/>
  <c r="DJ2770" i="3"/>
  <c r="DJ2771" i="3"/>
  <c r="DJ2772" i="3"/>
  <c r="DJ2773" i="3"/>
  <c r="DJ2774" i="3"/>
  <c r="DJ2775" i="3"/>
  <c r="DJ2776" i="3"/>
  <c r="DJ2777" i="3"/>
  <c r="DJ2778" i="3"/>
  <c r="DJ2779" i="3"/>
  <c r="DJ2780" i="3"/>
  <c r="DJ2781" i="3"/>
  <c r="DJ2782" i="3"/>
  <c r="DJ2783" i="3"/>
  <c r="DJ2784" i="3"/>
  <c r="DJ2785" i="3"/>
  <c r="DJ2786" i="3"/>
  <c r="DJ2787" i="3"/>
  <c r="DJ2788" i="3"/>
  <c r="DJ2789" i="3"/>
  <c r="DJ2790" i="3"/>
  <c r="DJ2791" i="3"/>
  <c r="DJ2792" i="3"/>
  <c r="DJ2793" i="3"/>
  <c r="DJ2794" i="3"/>
  <c r="DJ2795" i="3"/>
  <c r="DJ2796" i="3"/>
  <c r="DJ2797" i="3"/>
  <c r="DJ2798" i="3"/>
  <c r="DJ2799" i="3"/>
  <c r="DJ2800" i="3"/>
  <c r="DJ2801" i="3"/>
  <c r="DJ2802" i="3"/>
  <c r="DJ2803" i="3"/>
  <c r="DJ2804" i="3"/>
  <c r="DJ2805" i="3"/>
  <c r="DJ2806" i="3"/>
  <c r="DJ2807" i="3"/>
  <c r="DJ2808" i="3"/>
  <c r="DJ2809" i="3"/>
  <c r="DJ2810" i="3"/>
  <c r="DJ2811" i="3"/>
  <c r="DJ2812" i="3"/>
  <c r="DJ2813" i="3"/>
  <c r="DJ2814" i="3"/>
  <c r="DJ2815" i="3"/>
  <c r="DJ2816" i="3"/>
  <c r="DJ2817" i="3"/>
  <c r="DJ2818" i="3"/>
  <c r="DJ2819" i="3"/>
  <c r="DJ2820" i="3"/>
  <c r="DJ2821" i="3"/>
  <c r="DJ2822" i="3"/>
  <c r="DJ2823" i="3"/>
  <c r="DJ2824" i="3"/>
  <c r="DJ2825" i="3"/>
  <c r="DJ2826" i="3"/>
  <c r="DJ2827" i="3"/>
  <c r="DJ2828" i="3"/>
  <c r="DJ2829" i="3"/>
  <c r="DJ2830" i="3"/>
  <c r="DJ2831" i="3"/>
  <c r="DJ2832" i="3"/>
  <c r="DJ2833" i="3"/>
  <c r="DJ2834" i="3"/>
  <c r="DJ2835" i="3"/>
  <c r="DJ2836" i="3"/>
  <c r="DJ2837" i="3"/>
  <c r="DJ2838" i="3"/>
  <c r="DJ2839" i="3"/>
  <c r="DJ2840" i="3"/>
  <c r="DJ2841" i="3"/>
  <c r="DJ2842" i="3"/>
  <c r="DJ2843" i="3"/>
  <c r="DJ2844" i="3"/>
  <c r="DJ2845" i="3"/>
  <c r="DJ2846" i="3"/>
  <c r="DJ2847" i="3"/>
  <c r="DJ2848" i="3"/>
  <c r="DJ2849" i="3"/>
  <c r="DJ2850" i="3"/>
  <c r="DJ2851" i="3"/>
  <c r="DJ2852" i="3"/>
  <c r="DJ2853" i="3"/>
  <c r="DJ2854" i="3"/>
  <c r="DJ2855" i="3"/>
  <c r="DJ2856" i="3"/>
  <c r="DJ2857" i="3"/>
  <c r="DJ2858" i="3"/>
  <c r="DJ2859" i="3"/>
  <c r="DJ2860" i="3"/>
  <c r="DJ2861" i="3"/>
  <c r="DJ2862" i="3"/>
  <c r="DJ2863" i="3"/>
  <c r="DJ2864" i="3"/>
  <c r="DJ2865" i="3"/>
  <c r="DJ2866" i="3"/>
  <c r="DJ2867" i="3"/>
  <c r="DJ2868" i="3"/>
  <c r="DJ2869" i="3"/>
  <c r="DJ2870" i="3"/>
  <c r="DJ2871" i="3"/>
  <c r="DJ2872" i="3"/>
  <c r="DJ2873" i="3"/>
  <c r="DJ2874" i="3"/>
  <c r="DJ2875" i="3"/>
  <c r="DJ2876" i="3"/>
  <c r="DJ2877" i="3"/>
  <c r="DJ2878" i="3"/>
  <c r="DJ2879" i="3"/>
  <c r="DJ2880" i="3"/>
  <c r="DJ2881" i="3"/>
  <c r="DJ2882" i="3"/>
  <c r="DJ2883" i="3"/>
  <c r="DJ2884" i="3"/>
  <c r="DJ2885" i="3"/>
  <c r="DJ2886" i="3"/>
  <c r="DJ2887" i="3"/>
  <c r="DJ2888" i="3"/>
  <c r="DJ2889" i="3"/>
  <c r="DJ2890" i="3"/>
  <c r="DJ2891" i="3"/>
  <c r="DJ2892" i="3"/>
  <c r="DJ2893" i="3"/>
  <c r="DJ2894" i="3"/>
  <c r="DJ2895" i="3"/>
  <c r="DJ2896" i="3"/>
  <c r="DJ2897" i="3"/>
  <c r="DJ2898" i="3"/>
  <c r="DJ2899" i="3"/>
  <c r="DJ2900" i="3"/>
  <c r="DJ2901" i="3"/>
  <c r="DJ2902" i="3"/>
  <c r="DJ2903" i="3"/>
  <c r="DJ2904" i="3"/>
  <c r="DJ2905" i="3"/>
  <c r="DJ2906" i="3"/>
  <c r="DJ2907" i="3"/>
  <c r="DJ2908" i="3"/>
  <c r="DJ2909" i="3"/>
  <c r="DJ2910" i="3"/>
  <c r="DJ2911" i="3"/>
  <c r="DJ2912" i="3"/>
  <c r="DJ2913" i="3"/>
  <c r="DJ2914" i="3"/>
  <c r="DJ2915" i="3"/>
  <c r="DJ2916" i="3"/>
  <c r="DJ2917" i="3"/>
  <c r="DJ2918" i="3"/>
  <c r="DJ2919" i="3"/>
  <c r="DJ2920" i="3"/>
  <c r="DJ2921" i="3"/>
  <c r="DJ2922" i="3"/>
  <c r="DJ2923" i="3"/>
  <c r="DJ2924" i="3"/>
  <c r="DJ2925" i="3"/>
  <c r="DJ2926" i="3"/>
  <c r="DJ2927" i="3"/>
  <c r="DJ2928" i="3"/>
  <c r="DJ2929" i="3"/>
  <c r="DJ2930" i="3"/>
  <c r="DJ2931" i="3"/>
  <c r="DJ2932" i="3"/>
  <c r="DJ2933" i="3"/>
  <c r="DJ2934" i="3"/>
  <c r="DJ2935" i="3"/>
  <c r="DJ2936" i="3"/>
  <c r="DJ2937" i="3"/>
  <c r="DJ2938" i="3"/>
  <c r="DJ2939" i="3"/>
  <c r="DJ2940" i="3"/>
  <c r="DJ2941" i="3"/>
  <c r="DJ2942" i="3"/>
  <c r="DJ2943" i="3"/>
  <c r="DJ2944" i="3"/>
  <c r="DJ2945" i="3"/>
  <c r="DJ2946" i="3"/>
  <c r="DJ2947" i="3"/>
  <c r="DJ2948" i="3"/>
  <c r="DJ2949" i="3"/>
  <c r="DJ2950" i="3"/>
  <c r="DJ2951" i="3"/>
  <c r="DJ2952" i="3"/>
  <c r="DJ2953" i="3"/>
  <c r="DJ2954" i="3"/>
  <c r="DJ2955" i="3"/>
  <c r="DJ2956" i="3"/>
  <c r="DJ2957" i="3"/>
  <c r="DJ2958" i="3"/>
  <c r="DJ2959" i="3"/>
  <c r="DJ2960" i="3"/>
  <c r="DJ2961" i="3"/>
  <c r="DJ2962" i="3"/>
  <c r="DJ2963" i="3"/>
  <c r="DJ2964" i="3"/>
  <c r="DJ2965" i="3"/>
  <c r="DJ2966" i="3"/>
  <c r="DJ2967" i="3"/>
  <c r="DJ2968" i="3"/>
  <c r="DJ2969" i="3"/>
  <c r="DJ2970" i="3"/>
  <c r="DJ2971" i="3"/>
  <c r="DJ2972" i="3"/>
  <c r="DJ2973" i="3"/>
  <c r="DJ2974" i="3"/>
  <c r="DJ2975" i="3"/>
  <c r="DJ2976" i="3"/>
  <c r="DJ2977" i="3"/>
  <c r="DJ2978" i="3"/>
  <c r="DJ2979" i="3"/>
  <c r="DJ2980" i="3"/>
  <c r="DJ2981" i="3"/>
  <c r="DJ2982" i="3"/>
  <c r="DJ2983" i="3"/>
  <c r="DJ2984" i="3"/>
  <c r="DJ2985" i="3"/>
  <c r="DJ2986" i="3"/>
  <c r="DJ2987" i="3"/>
  <c r="DJ2988" i="3"/>
  <c r="DJ2989" i="3"/>
  <c r="DJ2990" i="3"/>
  <c r="DJ2991" i="3"/>
  <c r="DJ2992" i="3"/>
  <c r="DJ2993" i="3"/>
  <c r="DJ2994" i="3"/>
  <c r="DJ2995" i="3"/>
  <c r="DJ2996" i="3"/>
  <c r="DJ2997" i="3"/>
  <c r="DJ2998" i="3"/>
  <c r="DJ2999" i="3"/>
  <c r="DJ3000" i="3"/>
  <c r="DJ3001" i="3"/>
  <c r="DJ3002" i="3"/>
  <c r="DJ3003" i="3"/>
  <c r="DJ3004" i="3"/>
  <c r="DJ3005" i="3"/>
  <c r="DJ3006" i="3"/>
  <c r="DJ3007" i="3"/>
  <c r="DJ3008" i="3"/>
  <c r="DJ3009" i="3"/>
  <c r="DJ3010" i="3"/>
  <c r="DJ3011" i="3"/>
  <c r="DJ3012" i="3"/>
  <c r="DJ3013" i="3"/>
  <c r="DJ3014" i="3"/>
  <c r="DJ3015" i="3"/>
  <c r="DJ3016" i="3"/>
  <c r="DJ3017" i="3"/>
  <c r="DJ3018" i="3"/>
  <c r="DJ3019" i="3"/>
  <c r="DJ3020" i="3"/>
  <c r="DJ3021" i="3"/>
  <c r="DJ3022" i="3"/>
  <c r="DJ3023" i="3"/>
  <c r="DJ3024" i="3"/>
  <c r="DJ3025" i="3"/>
  <c r="DJ3026" i="3"/>
  <c r="DJ3027" i="3"/>
  <c r="DJ3028" i="3"/>
  <c r="DJ3029" i="3"/>
  <c r="DJ3030" i="3"/>
  <c r="DJ3031" i="3"/>
  <c r="DJ3032" i="3"/>
  <c r="DJ3033" i="3"/>
  <c r="DJ3034" i="3"/>
  <c r="DJ3035" i="3"/>
  <c r="DJ3036" i="3"/>
  <c r="DJ3037" i="3"/>
  <c r="DJ3038" i="3"/>
  <c r="DJ3039" i="3"/>
  <c r="DJ3040" i="3"/>
  <c r="DJ3041" i="3"/>
  <c r="DJ3042" i="3"/>
  <c r="DJ3043" i="3"/>
  <c r="DJ3044" i="3"/>
  <c r="DJ3045" i="3"/>
  <c r="DJ3046" i="3"/>
  <c r="DJ3047" i="3"/>
  <c r="DJ3048" i="3"/>
  <c r="DJ3049" i="3"/>
  <c r="DJ3050" i="3"/>
  <c r="DJ3051" i="3"/>
  <c r="DJ3052" i="3"/>
  <c r="DJ3053" i="3"/>
  <c r="DJ3054" i="3"/>
  <c r="DJ3055" i="3"/>
  <c r="DJ3056" i="3"/>
  <c r="DJ3057" i="3"/>
  <c r="DJ3058" i="3"/>
  <c r="DJ3059" i="3"/>
  <c r="DJ3060" i="3"/>
  <c r="DJ3061" i="3"/>
  <c r="DJ3062" i="3"/>
  <c r="DJ3063" i="3"/>
  <c r="DJ3064" i="3"/>
  <c r="DJ3065" i="3"/>
  <c r="DJ3066" i="3"/>
  <c r="DJ3067" i="3"/>
  <c r="DJ3068" i="3"/>
  <c r="DJ3069" i="3"/>
  <c r="DJ3070" i="3"/>
  <c r="DJ3071" i="3"/>
  <c r="DJ3072" i="3"/>
  <c r="DJ3073" i="3"/>
  <c r="DJ3074" i="3"/>
  <c r="DJ3075" i="3"/>
  <c r="DJ3076" i="3"/>
  <c r="DJ3077" i="3"/>
  <c r="DJ3078" i="3"/>
  <c r="DJ3079" i="3"/>
  <c r="DJ3080" i="3"/>
  <c r="DJ3081" i="3"/>
  <c r="DJ3082" i="3"/>
  <c r="DJ3083" i="3"/>
  <c r="DJ3084" i="3"/>
  <c r="DJ3085" i="3"/>
  <c r="DJ3086" i="3"/>
  <c r="DJ3087" i="3"/>
  <c r="DJ3088" i="3"/>
  <c r="DJ3089" i="3"/>
  <c r="DJ3090" i="3"/>
  <c r="DJ3091" i="3"/>
  <c r="DJ3092" i="3"/>
  <c r="DJ3093" i="3"/>
  <c r="DJ3094" i="3"/>
  <c r="DJ3095" i="3"/>
  <c r="DJ3096" i="3"/>
  <c r="DJ3097" i="3"/>
  <c r="DJ3098" i="3"/>
  <c r="DJ3099" i="3"/>
  <c r="DJ3100" i="3"/>
  <c r="DJ3101" i="3"/>
  <c r="DJ3102" i="3"/>
  <c r="DJ3103" i="3"/>
  <c r="DJ3104" i="3"/>
  <c r="DJ3105" i="3"/>
  <c r="DJ3106" i="3"/>
  <c r="DJ3107" i="3"/>
  <c r="DJ3108" i="3"/>
  <c r="DJ3109" i="3"/>
  <c r="DJ3110" i="3"/>
  <c r="DJ3111" i="3"/>
  <c r="DJ3112" i="3"/>
  <c r="DJ3113" i="3"/>
  <c r="DJ3114" i="3"/>
  <c r="DJ3115" i="3"/>
  <c r="DJ3116" i="3"/>
  <c r="DJ3117" i="3"/>
  <c r="DJ3118" i="3"/>
  <c r="DJ3119" i="3"/>
  <c r="DJ3120" i="3"/>
  <c r="DJ3121" i="3"/>
  <c r="DJ3122" i="3"/>
  <c r="DJ3123" i="3"/>
  <c r="DJ3124" i="3"/>
  <c r="DJ3125" i="3"/>
  <c r="DJ3126" i="3"/>
  <c r="DJ3127" i="3"/>
  <c r="DJ3128" i="3"/>
  <c r="DJ3129" i="3"/>
  <c r="DJ3130" i="3"/>
  <c r="DJ3131" i="3"/>
  <c r="DJ3132" i="3"/>
  <c r="DJ3133" i="3"/>
  <c r="DJ3134" i="3"/>
  <c r="DJ3135" i="3"/>
  <c r="DJ3136" i="3"/>
  <c r="DJ3137" i="3"/>
  <c r="DJ3138" i="3"/>
  <c r="DJ3139" i="3"/>
  <c r="DJ3140" i="3"/>
  <c r="DJ3141" i="3"/>
  <c r="DJ3142" i="3"/>
  <c r="DJ3143" i="3"/>
  <c r="DJ3144" i="3"/>
  <c r="DJ3145" i="3"/>
  <c r="DJ3146" i="3"/>
  <c r="DJ3147" i="3"/>
  <c r="DJ3148" i="3"/>
  <c r="DJ3149" i="3"/>
  <c r="DJ3150" i="3"/>
  <c r="DJ3151" i="3"/>
  <c r="DJ3152" i="3"/>
  <c r="DJ3153" i="3"/>
  <c r="DJ3154" i="3"/>
  <c r="DJ3155" i="3"/>
  <c r="DJ3156" i="3"/>
  <c r="DJ3157" i="3"/>
  <c r="DJ3158" i="3"/>
  <c r="DJ3159" i="3"/>
  <c r="DJ3160" i="3"/>
  <c r="DJ3161" i="3"/>
  <c r="DJ3162" i="3"/>
  <c r="DJ3163" i="3"/>
  <c r="DJ3164" i="3"/>
  <c r="DJ3165" i="3"/>
  <c r="DJ3166" i="3"/>
  <c r="DJ3167" i="3"/>
  <c r="DJ3168" i="3"/>
  <c r="DJ3169" i="3"/>
  <c r="DJ3170" i="3"/>
  <c r="DJ3171" i="3"/>
  <c r="DJ3172" i="3"/>
  <c r="DJ3173" i="3"/>
  <c r="DJ3174" i="3"/>
  <c r="DJ3175" i="3"/>
  <c r="DJ3176" i="3"/>
  <c r="DJ3177" i="3"/>
  <c r="DJ3178" i="3"/>
  <c r="DJ3179" i="3"/>
  <c r="DJ3180" i="3"/>
  <c r="DJ3181" i="3"/>
  <c r="DJ3182" i="3"/>
  <c r="DJ3183" i="3"/>
  <c r="DJ3184" i="3"/>
  <c r="DJ3185" i="3"/>
  <c r="DJ3186" i="3"/>
  <c r="DJ3187" i="3"/>
  <c r="DJ3188" i="3"/>
  <c r="DJ3189" i="3"/>
  <c r="DJ3190" i="3"/>
  <c r="DJ3191" i="3"/>
  <c r="DJ3192" i="3"/>
  <c r="DJ3193" i="3"/>
  <c r="DJ3194" i="3"/>
  <c r="DJ3195" i="3"/>
  <c r="DJ3196" i="3"/>
  <c r="DJ3197" i="3"/>
  <c r="DJ3198" i="3"/>
  <c r="DJ3199" i="3"/>
  <c r="DJ3200" i="3"/>
  <c r="DJ3201" i="3"/>
  <c r="DJ3202" i="3"/>
  <c r="DJ3203" i="3"/>
  <c r="DJ3204" i="3"/>
  <c r="DJ3205" i="3"/>
  <c r="DJ3206" i="3"/>
  <c r="DJ3207" i="3"/>
  <c r="DJ3208" i="3"/>
  <c r="DJ3209" i="3"/>
  <c r="DJ3210" i="3"/>
  <c r="DJ3211" i="3"/>
  <c r="DJ3212" i="3"/>
  <c r="DJ3213" i="3"/>
  <c r="DJ3214" i="3"/>
  <c r="DJ3215" i="3"/>
  <c r="DJ3216" i="3"/>
  <c r="DJ3217" i="3"/>
  <c r="DJ3218" i="3"/>
  <c r="DJ3219" i="3"/>
  <c r="DJ3220" i="3"/>
  <c r="DJ3221" i="3"/>
  <c r="DJ3222" i="3"/>
  <c r="DJ3223" i="3"/>
  <c r="DJ3224" i="3"/>
  <c r="DJ3225" i="3"/>
  <c r="DJ3226" i="3"/>
  <c r="DJ3227" i="3"/>
  <c r="DJ3228" i="3"/>
  <c r="DJ3229" i="3"/>
  <c r="DJ3230" i="3"/>
  <c r="DJ3231" i="3"/>
  <c r="DJ3232" i="3"/>
  <c r="DJ3233" i="3"/>
  <c r="DJ3234" i="3"/>
  <c r="DJ3235" i="3"/>
  <c r="DJ3236" i="3"/>
  <c r="DJ3237" i="3"/>
  <c r="DJ3238" i="3"/>
  <c r="DJ3239" i="3"/>
  <c r="DJ3240" i="3"/>
  <c r="DJ3241" i="3"/>
  <c r="DJ3242" i="3"/>
  <c r="DJ3243" i="3"/>
  <c r="DJ3244" i="3"/>
  <c r="DJ3245" i="3"/>
  <c r="DJ3246" i="3"/>
  <c r="DJ3247" i="3"/>
  <c r="DJ3248" i="3"/>
  <c r="DJ3249" i="3"/>
  <c r="DJ3250" i="3"/>
  <c r="DJ3251" i="3"/>
  <c r="DJ3252" i="3"/>
  <c r="DJ3253" i="3"/>
  <c r="DJ3254" i="3"/>
  <c r="DJ3255" i="3"/>
  <c r="DJ3256" i="3"/>
  <c r="DJ3257" i="3"/>
  <c r="DJ3258" i="3"/>
  <c r="DJ3259" i="3"/>
  <c r="DJ3260" i="3"/>
  <c r="DJ3261" i="3"/>
  <c r="DJ3262" i="3"/>
  <c r="DJ3263" i="3"/>
  <c r="DJ3264" i="3"/>
  <c r="DJ3265" i="3"/>
  <c r="DJ3266" i="3"/>
  <c r="DJ3267" i="3"/>
  <c r="DJ3268" i="3"/>
  <c r="DJ3269" i="3"/>
  <c r="DJ3270" i="3"/>
  <c r="DJ3271" i="3"/>
  <c r="DJ3272" i="3"/>
  <c r="DJ3273" i="3"/>
  <c r="DJ3274" i="3"/>
  <c r="DJ3275" i="3"/>
  <c r="DJ3276" i="3"/>
  <c r="DJ3277" i="3"/>
  <c r="DJ3278" i="3"/>
  <c r="DJ3279" i="3"/>
  <c r="DJ3280" i="3"/>
  <c r="DJ3281" i="3"/>
  <c r="DJ3282" i="3"/>
  <c r="DJ3283" i="3"/>
  <c r="DJ3284" i="3"/>
  <c r="DJ3285" i="3"/>
  <c r="DJ3286" i="3"/>
  <c r="DJ3287" i="3"/>
  <c r="DJ3288" i="3"/>
  <c r="DJ3289" i="3"/>
  <c r="DJ3290" i="3"/>
  <c r="DJ3291" i="3"/>
  <c r="DJ3292" i="3"/>
  <c r="DJ3293" i="3"/>
  <c r="DJ3294" i="3"/>
  <c r="DJ3295" i="3"/>
  <c r="DJ3296" i="3"/>
  <c r="DJ3297" i="3"/>
  <c r="DJ3298" i="3"/>
  <c r="DJ3299" i="3"/>
  <c r="DJ3300" i="3"/>
  <c r="DJ3301" i="3"/>
  <c r="DJ3302" i="3"/>
  <c r="DJ3303" i="3"/>
  <c r="DJ3304" i="3"/>
  <c r="DJ3305" i="3"/>
  <c r="DJ3306" i="3"/>
  <c r="DJ3307" i="3"/>
  <c r="DJ3308" i="3"/>
  <c r="DJ3309" i="3"/>
  <c r="DJ3310" i="3"/>
  <c r="DJ3311" i="3"/>
  <c r="DJ3312" i="3"/>
  <c r="DJ3313" i="3"/>
  <c r="DJ3314" i="3"/>
  <c r="DJ3315" i="3"/>
  <c r="DJ3316" i="3"/>
  <c r="DJ3317" i="3"/>
  <c r="DJ3318" i="3"/>
  <c r="DJ3319" i="3"/>
  <c r="DJ3320" i="3"/>
  <c r="DJ3321" i="3"/>
  <c r="DJ3322" i="3"/>
  <c r="DJ3323" i="3"/>
  <c r="DJ3324" i="3"/>
  <c r="DJ3325" i="3"/>
  <c r="DJ3326" i="3"/>
  <c r="DJ3327" i="3"/>
  <c r="DJ3328" i="3"/>
  <c r="DJ3329" i="3"/>
  <c r="DJ3330" i="3"/>
  <c r="DJ3331" i="3"/>
  <c r="DJ3332" i="3"/>
  <c r="DJ3333" i="3"/>
  <c r="DJ3334" i="3"/>
  <c r="DJ3335" i="3"/>
  <c r="DJ3336" i="3"/>
  <c r="DJ3337" i="3"/>
  <c r="DJ3338" i="3"/>
  <c r="DJ3339" i="3"/>
  <c r="DJ3340" i="3"/>
  <c r="DJ3341" i="3"/>
  <c r="DJ3342" i="3"/>
  <c r="DJ3343" i="3"/>
  <c r="DJ3344" i="3"/>
  <c r="DJ3345" i="3"/>
  <c r="DJ3346" i="3"/>
  <c r="DJ3347" i="3"/>
  <c r="DJ3348" i="3"/>
  <c r="DJ3349" i="3"/>
  <c r="DJ3350" i="3"/>
  <c r="DJ3351" i="3"/>
  <c r="DJ3352" i="3"/>
  <c r="DJ3353" i="3"/>
  <c r="DJ3354" i="3"/>
  <c r="DJ3355" i="3"/>
  <c r="DJ3356" i="3"/>
  <c r="DJ3357" i="3"/>
  <c r="DJ3358" i="3"/>
  <c r="DJ3359" i="3"/>
  <c r="DJ3360" i="3"/>
  <c r="DJ3361" i="3"/>
  <c r="DJ3362" i="3"/>
  <c r="DJ3363" i="3"/>
  <c r="DJ3364" i="3"/>
  <c r="DJ3365" i="3"/>
  <c r="DJ3366" i="3"/>
  <c r="DJ3367" i="3"/>
  <c r="DJ3368" i="3"/>
  <c r="DJ3369" i="3"/>
  <c r="DJ3370" i="3"/>
  <c r="DJ3371" i="3"/>
  <c r="DJ3372" i="3"/>
  <c r="DJ3373" i="3"/>
  <c r="DJ3374" i="3"/>
  <c r="DJ3375" i="3"/>
  <c r="DJ3376" i="3"/>
  <c r="DJ3377" i="3"/>
  <c r="DJ3378" i="3"/>
  <c r="DJ3379" i="3"/>
  <c r="DJ3380" i="3"/>
  <c r="DJ3381" i="3"/>
  <c r="DJ3382" i="3"/>
  <c r="DJ3383" i="3"/>
  <c r="DJ3384" i="3"/>
  <c r="DJ3385" i="3"/>
  <c r="DJ3386" i="3"/>
  <c r="DJ3387" i="3"/>
  <c r="DJ3388" i="3"/>
  <c r="DJ3389" i="3"/>
  <c r="DJ3390" i="3"/>
  <c r="DJ3391" i="3"/>
  <c r="DJ3392" i="3"/>
  <c r="DJ3393" i="3"/>
  <c r="DJ3394" i="3"/>
  <c r="DJ3395" i="3"/>
  <c r="DJ3396" i="3"/>
  <c r="DJ3397" i="3"/>
  <c r="DJ3398" i="3"/>
  <c r="DJ3399" i="3"/>
  <c r="DJ3400" i="3"/>
  <c r="DJ3401" i="3"/>
  <c r="DJ3402" i="3"/>
  <c r="DJ3403" i="3"/>
  <c r="DJ3404" i="3"/>
  <c r="DJ3405" i="3"/>
  <c r="DJ3406" i="3"/>
  <c r="DJ3407" i="3"/>
  <c r="DJ3408" i="3"/>
  <c r="DJ3409" i="3"/>
  <c r="DJ3410" i="3"/>
  <c r="DJ3411" i="3"/>
  <c r="DJ3412" i="3"/>
  <c r="DJ3413" i="3"/>
  <c r="DJ3414" i="3"/>
  <c r="DJ3415" i="3"/>
  <c r="DJ3416" i="3"/>
  <c r="DJ3417" i="3"/>
  <c r="DJ3418" i="3"/>
  <c r="DJ3419" i="3"/>
  <c r="DJ3420" i="3"/>
  <c r="DJ3421" i="3"/>
  <c r="DJ3422" i="3"/>
  <c r="DJ3423" i="3"/>
  <c r="DJ3424" i="3"/>
  <c r="DJ3425" i="3"/>
  <c r="DJ3426" i="3"/>
  <c r="DJ3427" i="3"/>
  <c r="DJ3428" i="3"/>
  <c r="DJ3429" i="3"/>
  <c r="DJ3430" i="3"/>
  <c r="DJ3431" i="3"/>
  <c r="DJ3432" i="3"/>
  <c r="DJ3433" i="3"/>
  <c r="DJ3434" i="3"/>
  <c r="DJ3435" i="3"/>
  <c r="DJ3436" i="3"/>
  <c r="DJ3437" i="3"/>
  <c r="DJ3438" i="3"/>
  <c r="DJ3439" i="3"/>
  <c r="DJ3440" i="3"/>
  <c r="DJ3441" i="3"/>
  <c r="DJ3442" i="3"/>
  <c r="DJ3443" i="3"/>
  <c r="DJ3444" i="3"/>
  <c r="DJ3445" i="3"/>
  <c r="DJ3446" i="3"/>
  <c r="DJ3447" i="3"/>
  <c r="DJ3448" i="3"/>
  <c r="DJ3449" i="3"/>
  <c r="DJ3450" i="3"/>
  <c r="DJ3451" i="3"/>
  <c r="DJ3452" i="3"/>
  <c r="DJ3453" i="3"/>
  <c r="DJ3454" i="3"/>
  <c r="DJ3455" i="3"/>
  <c r="DJ3456" i="3"/>
  <c r="DJ3457" i="3"/>
  <c r="DJ3458" i="3"/>
  <c r="DJ3459" i="3"/>
  <c r="DJ3460" i="3"/>
  <c r="DJ3461" i="3"/>
  <c r="DJ3462" i="3"/>
  <c r="DJ3463" i="3"/>
  <c r="DJ3464" i="3"/>
  <c r="DJ3465" i="3"/>
  <c r="DJ3466" i="3"/>
  <c r="DJ3467" i="3"/>
  <c r="DJ3468" i="3"/>
  <c r="DJ3469" i="3"/>
  <c r="DJ3470" i="3"/>
  <c r="DJ3471" i="3"/>
  <c r="DJ3472" i="3"/>
  <c r="DJ3473" i="3"/>
  <c r="DJ3474" i="3"/>
  <c r="DJ3475" i="3"/>
  <c r="DJ3476" i="3"/>
  <c r="DJ3477" i="3"/>
  <c r="DJ3478" i="3"/>
  <c r="DJ3479" i="3"/>
  <c r="DJ3480" i="3"/>
  <c r="DJ3481" i="3"/>
  <c r="DJ3482" i="3"/>
  <c r="DJ3483" i="3"/>
  <c r="DJ3484" i="3"/>
  <c r="DJ3485" i="3"/>
  <c r="DJ3486" i="3"/>
  <c r="DJ3487" i="3"/>
  <c r="DJ3488" i="3"/>
  <c r="DJ3489" i="3"/>
  <c r="DJ3490" i="3"/>
  <c r="DJ3491" i="3"/>
  <c r="DJ3492" i="3"/>
  <c r="DJ3493" i="3"/>
  <c r="DJ3494" i="3"/>
  <c r="DJ3495" i="3"/>
  <c r="DJ3496" i="3"/>
  <c r="DJ3497" i="3"/>
  <c r="DJ3498" i="3"/>
  <c r="DJ3499" i="3"/>
  <c r="DJ3500" i="3"/>
  <c r="DJ3501" i="3"/>
  <c r="DJ3502" i="3"/>
  <c r="DJ3503" i="3"/>
  <c r="DJ3504" i="3"/>
  <c r="DJ3505" i="3"/>
  <c r="DJ3506" i="3"/>
  <c r="DJ3507" i="3"/>
  <c r="DJ3508" i="3"/>
  <c r="DJ3509" i="3"/>
  <c r="DJ3510" i="3"/>
  <c r="DJ3511" i="3"/>
  <c r="DJ3512" i="3"/>
  <c r="DJ3513" i="3"/>
  <c r="DJ3514" i="3"/>
  <c r="DJ3515" i="3"/>
  <c r="DJ3516" i="3"/>
  <c r="DJ3517" i="3"/>
  <c r="DJ3518" i="3"/>
  <c r="DJ3519" i="3"/>
  <c r="DJ3520" i="3"/>
  <c r="DJ3521" i="3"/>
  <c r="DJ3522" i="3"/>
  <c r="DJ3523" i="3"/>
  <c r="DJ3524" i="3"/>
  <c r="DJ3525" i="3"/>
  <c r="DJ3526" i="3"/>
  <c r="DJ3527" i="3"/>
  <c r="DJ3528" i="3"/>
  <c r="DJ3529" i="3"/>
  <c r="DJ3530" i="3"/>
  <c r="DJ3531" i="3"/>
  <c r="DJ3532" i="3"/>
  <c r="DJ3533" i="3"/>
  <c r="DJ3534" i="3"/>
  <c r="DJ3535" i="3"/>
  <c r="DJ3536" i="3"/>
  <c r="DJ3537" i="3"/>
  <c r="DJ3538" i="3"/>
  <c r="DJ3539" i="3"/>
  <c r="DJ3540" i="3"/>
  <c r="DJ3541" i="3"/>
  <c r="DJ3542" i="3"/>
  <c r="DJ3543" i="3"/>
  <c r="DJ3544" i="3"/>
  <c r="DJ3545" i="3"/>
  <c r="DJ3546" i="3"/>
  <c r="DJ3547" i="3"/>
  <c r="DJ3548" i="3"/>
  <c r="DJ3549" i="3"/>
  <c r="DJ3550" i="3"/>
  <c r="DJ3551" i="3"/>
  <c r="DJ3552" i="3"/>
  <c r="DJ3553" i="3"/>
  <c r="DJ3554" i="3"/>
  <c r="DJ3555" i="3"/>
  <c r="DJ3556" i="3"/>
  <c r="DJ3557" i="3"/>
  <c r="DJ3558" i="3"/>
  <c r="DJ3559" i="3"/>
  <c r="DJ3560" i="3"/>
  <c r="DJ3561" i="3"/>
  <c r="DJ3562" i="3"/>
  <c r="DJ3563" i="3"/>
  <c r="DJ3564" i="3"/>
  <c r="DJ3565" i="3"/>
  <c r="DJ3566" i="3"/>
  <c r="DJ3567" i="3"/>
  <c r="DJ3568" i="3"/>
  <c r="DJ3569" i="3"/>
  <c r="DJ3570" i="3"/>
  <c r="DJ3571" i="3"/>
  <c r="DJ3572" i="3"/>
  <c r="DJ3573" i="3"/>
  <c r="DJ3574" i="3"/>
  <c r="DJ3575" i="3"/>
  <c r="DJ3576" i="3"/>
  <c r="DJ3577" i="3"/>
  <c r="DJ3578" i="3"/>
  <c r="DJ3579" i="3"/>
  <c r="DJ3580" i="3"/>
  <c r="DJ3581" i="3"/>
  <c r="DJ3582" i="3"/>
  <c r="DJ3583" i="3"/>
  <c r="DJ3584" i="3"/>
  <c r="DJ3585" i="3"/>
  <c r="DJ3586" i="3"/>
  <c r="DJ3587" i="3"/>
  <c r="DJ3588" i="3"/>
  <c r="DJ3589" i="3"/>
  <c r="DJ3590" i="3"/>
  <c r="DJ3591" i="3"/>
  <c r="DJ3592" i="3"/>
  <c r="DJ3593" i="3"/>
  <c r="DJ3594" i="3"/>
  <c r="DJ3595" i="3"/>
  <c r="DJ3596" i="3"/>
  <c r="DJ3597" i="3"/>
  <c r="DJ3598" i="3"/>
  <c r="DJ3599" i="3"/>
  <c r="DJ3600" i="3"/>
  <c r="DJ3601" i="3"/>
  <c r="DJ3602" i="3"/>
  <c r="DJ3603" i="3"/>
  <c r="DJ3604" i="3"/>
  <c r="DJ3605" i="3"/>
  <c r="DJ3606" i="3"/>
  <c r="DJ3607" i="3"/>
  <c r="DJ3608" i="3"/>
  <c r="DJ3609" i="3"/>
  <c r="DJ3610" i="3"/>
  <c r="DJ3611" i="3"/>
  <c r="DJ3612" i="3"/>
  <c r="DJ3613" i="3"/>
  <c r="DJ3614" i="3"/>
  <c r="DJ3615" i="3"/>
  <c r="DJ3616" i="3"/>
  <c r="DJ3617" i="3"/>
  <c r="DJ3618" i="3"/>
  <c r="DJ3619" i="3"/>
  <c r="DJ3620" i="3"/>
  <c r="DJ3621" i="3"/>
  <c r="DJ3622" i="3"/>
  <c r="DJ3623" i="3"/>
  <c r="DJ3624" i="3"/>
  <c r="DJ3625" i="3"/>
  <c r="DJ3626" i="3"/>
  <c r="DJ3627" i="3"/>
  <c r="DJ3628" i="3"/>
  <c r="DJ3629" i="3"/>
  <c r="DJ3630" i="3"/>
  <c r="DJ3631" i="3"/>
  <c r="DJ3632" i="3"/>
  <c r="DJ3633" i="3"/>
  <c r="DJ3634" i="3"/>
  <c r="DJ3635" i="3"/>
  <c r="DJ3636" i="3"/>
  <c r="DJ3637" i="3"/>
  <c r="DJ3638" i="3"/>
  <c r="DJ3639" i="3"/>
  <c r="DJ3640" i="3"/>
  <c r="DJ3641" i="3"/>
  <c r="DJ3642" i="3"/>
  <c r="DJ3643" i="3"/>
  <c r="DJ3644" i="3"/>
  <c r="DJ3645" i="3"/>
  <c r="DJ3646" i="3"/>
  <c r="DJ3647" i="3"/>
  <c r="DJ3648" i="3"/>
  <c r="DJ3649" i="3"/>
  <c r="DJ3650" i="3"/>
  <c r="DJ3651" i="3"/>
  <c r="DJ3652" i="3"/>
  <c r="DJ3653" i="3"/>
  <c r="DJ3654" i="3"/>
  <c r="DJ3655" i="3"/>
  <c r="DJ3656" i="3"/>
  <c r="DJ3657" i="3"/>
  <c r="DJ3658" i="3"/>
  <c r="DJ3659" i="3"/>
  <c r="DJ3660" i="3"/>
  <c r="DJ3661" i="3"/>
  <c r="DJ3662" i="3"/>
  <c r="DJ3663" i="3"/>
  <c r="DJ3664" i="3"/>
  <c r="DJ3665" i="3"/>
  <c r="DJ3666" i="3"/>
  <c r="DJ3667" i="3"/>
  <c r="DJ3668" i="3"/>
  <c r="DJ3669" i="3"/>
  <c r="DJ3670" i="3"/>
  <c r="DJ3671" i="3"/>
  <c r="DJ3672" i="3"/>
  <c r="DJ3673" i="3"/>
  <c r="DJ3674" i="3"/>
  <c r="DJ3675" i="3"/>
  <c r="DJ3676" i="3"/>
  <c r="DJ3677" i="3"/>
  <c r="DJ3678" i="3"/>
  <c r="DJ3679" i="3"/>
  <c r="DJ3680" i="3"/>
  <c r="DJ3681" i="3"/>
  <c r="DJ3682" i="3"/>
  <c r="DJ3683" i="3"/>
  <c r="DJ3684" i="3"/>
  <c r="DJ3685" i="3"/>
  <c r="DJ3686" i="3"/>
  <c r="DJ3687" i="3"/>
  <c r="DJ3688" i="3"/>
  <c r="DJ3689" i="3"/>
  <c r="DJ3690" i="3"/>
  <c r="DJ3691" i="3"/>
  <c r="DJ3692" i="3"/>
  <c r="DJ3693" i="3"/>
  <c r="DJ3694" i="3"/>
  <c r="DJ3695" i="3"/>
  <c r="DJ3696" i="3"/>
  <c r="DJ3697" i="3"/>
  <c r="DJ3698" i="3"/>
  <c r="DJ3699" i="3"/>
  <c r="DJ3700" i="3"/>
  <c r="DJ3701" i="3"/>
  <c r="DJ3702" i="3"/>
  <c r="DJ3703" i="3"/>
  <c r="DJ3704" i="3"/>
  <c r="DJ3705" i="3"/>
  <c r="DJ3706" i="3"/>
  <c r="DJ3707" i="3"/>
  <c r="DJ3708" i="3"/>
  <c r="DJ3709" i="3"/>
  <c r="DJ3710" i="3"/>
  <c r="DJ3711" i="3"/>
  <c r="DJ3712" i="3"/>
  <c r="DJ3713" i="3"/>
  <c r="DJ3714" i="3"/>
  <c r="DJ3715" i="3"/>
  <c r="DJ3716" i="3"/>
  <c r="DJ3717" i="3"/>
  <c r="DJ3718" i="3"/>
  <c r="DJ3719" i="3"/>
  <c r="DJ3720" i="3"/>
  <c r="DJ3721" i="3"/>
  <c r="DJ3722" i="3"/>
  <c r="DJ3723" i="3"/>
  <c r="DJ3724" i="3"/>
  <c r="DJ3725" i="3"/>
  <c r="DJ3726" i="3"/>
  <c r="DJ3727" i="3"/>
  <c r="DJ3728" i="3"/>
  <c r="DJ3729" i="3"/>
  <c r="DJ3730" i="3"/>
  <c r="DJ3731" i="3"/>
  <c r="DJ3732" i="3"/>
  <c r="DJ3733" i="3"/>
  <c r="DJ3734" i="3"/>
  <c r="DJ3735" i="3"/>
  <c r="DJ3736" i="3"/>
  <c r="DJ3737" i="3"/>
  <c r="DJ3738" i="3"/>
  <c r="DJ3739" i="3"/>
  <c r="DJ3740" i="3"/>
  <c r="DJ3741" i="3"/>
  <c r="DJ3742" i="3"/>
  <c r="DJ3743" i="3"/>
  <c r="DJ3744" i="3"/>
  <c r="DJ3745" i="3"/>
  <c r="DJ3746" i="3"/>
  <c r="DJ3747" i="3"/>
  <c r="DJ3748" i="3"/>
  <c r="DJ3749" i="3"/>
  <c r="DJ3750" i="3"/>
  <c r="DJ3751" i="3"/>
  <c r="DJ3752" i="3"/>
  <c r="DJ3753" i="3"/>
  <c r="DJ3754" i="3"/>
  <c r="DJ3755" i="3"/>
  <c r="DJ3756" i="3"/>
  <c r="DJ3757" i="3"/>
  <c r="DJ3758" i="3"/>
  <c r="DJ3759" i="3"/>
  <c r="DJ3760" i="3"/>
  <c r="DJ3761" i="3"/>
  <c r="DJ3762" i="3"/>
  <c r="DJ3763" i="3"/>
  <c r="DJ3764" i="3"/>
  <c r="DJ3765" i="3"/>
  <c r="DJ3766" i="3"/>
  <c r="DJ3767" i="3"/>
  <c r="DJ3768" i="3"/>
  <c r="DJ3769" i="3"/>
  <c r="DJ3770" i="3"/>
  <c r="DJ3771" i="3"/>
  <c r="DJ3772" i="3"/>
  <c r="DJ3773" i="3"/>
  <c r="DJ3774" i="3"/>
  <c r="DJ3775" i="3"/>
  <c r="DJ3776" i="3"/>
  <c r="DJ3777" i="3"/>
  <c r="DJ3778" i="3"/>
  <c r="DJ3779" i="3"/>
  <c r="DJ3780" i="3"/>
  <c r="DJ3781" i="3"/>
  <c r="DJ3782" i="3"/>
  <c r="DJ3783" i="3"/>
  <c r="DJ3784" i="3"/>
  <c r="DJ3785" i="3"/>
  <c r="DJ3786" i="3"/>
  <c r="DJ3787" i="3"/>
  <c r="DJ3788" i="3"/>
  <c r="DJ3789" i="3"/>
  <c r="DJ3790" i="3"/>
  <c r="DJ3791" i="3"/>
  <c r="DJ3792" i="3"/>
  <c r="DJ3793" i="3"/>
  <c r="DJ3794" i="3"/>
  <c r="DJ3795" i="3"/>
  <c r="DJ3796" i="3"/>
  <c r="DJ3797" i="3"/>
  <c r="DJ3798" i="3"/>
  <c r="DJ3799" i="3"/>
  <c r="DJ3800" i="3"/>
  <c r="DJ3801" i="3"/>
  <c r="DJ3802" i="3"/>
  <c r="DJ3803" i="3"/>
  <c r="DJ3804" i="3"/>
  <c r="DJ3805" i="3"/>
  <c r="DJ3806" i="3"/>
  <c r="DJ3807" i="3"/>
  <c r="DJ3808" i="3"/>
  <c r="DJ3809" i="3"/>
  <c r="DJ3810" i="3"/>
  <c r="DJ3811" i="3"/>
  <c r="DJ3812" i="3"/>
  <c r="DJ3813" i="3"/>
  <c r="DJ3814" i="3"/>
  <c r="DJ3815" i="3"/>
  <c r="DJ3816" i="3"/>
  <c r="DJ3817" i="3"/>
  <c r="DJ3818" i="3"/>
  <c r="DJ3819" i="3"/>
  <c r="DJ3820" i="3"/>
  <c r="DJ3821" i="3"/>
  <c r="DJ3822" i="3"/>
  <c r="DJ3823" i="3"/>
  <c r="DJ3824" i="3"/>
  <c r="DJ3825" i="3"/>
  <c r="DJ3826" i="3"/>
  <c r="DJ3827" i="3"/>
  <c r="DJ3828" i="3"/>
  <c r="DJ3829" i="3"/>
  <c r="DJ3830" i="3"/>
  <c r="DJ3831" i="3"/>
  <c r="DJ3832" i="3"/>
  <c r="DJ3833" i="3"/>
  <c r="DJ3834" i="3"/>
  <c r="DJ3835" i="3"/>
  <c r="DJ3836" i="3"/>
  <c r="DJ3837" i="3"/>
  <c r="DJ3838" i="3"/>
  <c r="DJ3839" i="3"/>
  <c r="DJ3840" i="3"/>
  <c r="DJ3841" i="3"/>
  <c r="DJ3842" i="3"/>
  <c r="DJ3843" i="3"/>
  <c r="DJ3844" i="3"/>
  <c r="DJ3845" i="3"/>
  <c r="DJ3846" i="3"/>
  <c r="DJ3847" i="3"/>
  <c r="DJ3848" i="3"/>
  <c r="DJ3849" i="3"/>
  <c r="DJ3850" i="3"/>
  <c r="DJ3851" i="3"/>
  <c r="DJ3852" i="3"/>
  <c r="DJ3853" i="3"/>
  <c r="DJ3854" i="3"/>
  <c r="DJ3855" i="3"/>
  <c r="DJ3856" i="3"/>
  <c r="DJ3857" i="3"/>
  <c r="DJ3858" i="3"/>
  <c r="DJ3859" i="3"/>
  <c r="DJ3860" i="3"/>
  <c r="DJ3861" i="3"/>
  <c r="DJ3862" i="3"/>
  <c r="DJ3863" i="3"/>
  <c r="DJ3864" i="3"/>
  <c r="DJ3865" i="3"/>
  <c r="DJ3866" i="3"/>
  <c r="DJ3867" i="3"/>
  <c r="DJ3868" i="3"/>
  <c r="DJ3869" i="3"/>
  <c r="DJ3870" i="3"/>
  <c r="DJ3871" i="3"/>
  <c r="DJ3872" i="3"/>
  <c r="DJ3873" i="3"/>
  <c r="DJ3874" i="3"/>
  <c r="DJ3875" i="3"/>
  <c r="DJ3876" i="3"/>
  <c r="DJ3877" i="3"/>
  <c r="DJ3878" i="3"/>
  <c r="DJ3879" i="3"/>
  <c r="DJ3880" i="3"/>
  <c r="DJ3881" i="3"/>
  <c r="DJ3882" i="3"/>
  <c r="DJ3883" i="3"/>
  <c r="DJ3884" i="3"/>
  <c r="DJ3885" i="3"/>
  <c r="DJ3886" i="3"/>
  <c r="DJ3887" i="3"/>
  <c r="DJ3888" i="3"/>
  <c r="DJ3889" i="3"/>
  <c r="DJ3890" i="3"/>
  <c r="DJ3891" i="3"/>
  <c r="DJ3892" i="3"/>
  <c r="DJ3893" i="3"/>
  <c r="DJ3894" i="3"/>
  <c r="DJ3895" i="3"/>
  <c r="DJ3896" i="3"/>
  <c r="DJ3897" i="3"/>
  <c r="DJ3898" i="3"/>
  <c r="DJ3899" i="3"/>
  <c r="DJ3900" i="3"/>
  <c r="DJ3901" i="3"/>
  <c r="DJ3902" i="3"/>
  <c r="DJ3903" i="3"/>
  <c r="DJ3904" i="3"/>
  <c r="DJ3905" i="3"/>
  <c r="DJ3906" i="3"/>
  <c r="DJ3907" i="3"/>
  <c r="DJ3908" i="3"/>
  <c r="DJ3909" i="3"/>
  <c r="DJ3910" i="3"/>
  <c r="DJ3911" i="3"/>
  <c r="DJ3912" i="3"/>
  <c r="DJ3913" i="3"/>
  <c r="DJ3914" i="3"/>
  <c r="DJ3915" i="3"/>
  <c r="DJ3916" i="3"/>
  <c r="DJ3917" i="3"/>
  <c r="DJ3918" i="3"/>
  <c r="DJ3919" i="3"/>
  <c r="DJ3920" i="3"/>
  <c r="DJ3921" i="3"/>
  <c r="DJ3922" i="3"/>
  <c r="DJ3923" i="3"/>
  <c r="DJ3924" i="3"/>
  <c r="DJ3925" i="3"/>
  <c r="DJ3926" i="3"/>
  <c r="DJ3927" i="3"/>
  <c r="DJ3928" i="3"/>
  <c r="DJ3929" i="3"/>
  <c r="DJ3930" i="3"/>
  <c r="DJ3931" i="3"/>
  <c r="DJ3932" i="3"/>
  <c r="DJ3933" i="3"/>
  <c r="DJ3934" i="3"/>
  <c r="DJ3935" i="3"/>
  <c r="DJ3936" i="3"/>
  <c r="DJ3937" i="3"/>
  <c r="DJ3938" i="3"/>
  <c r="DJ3939" i="3"/>
  <c r="DJ3940" i="3"/>
  <c r="DJ3941" i="3"/>
  <c r="DJ3942" i="3"/>
  <c r="DJ3943" i="3"/>
  <c r="DJ3944" i="3"/>
  <c r="DJ3945" i="3"/>
  <c r="DJ3946" i="3"/>
  <c r="DJ3947" i="3"/>
  <c r="DJ3948" i="3"/>
  <c r="DJ3949" i="3"/>
  <c r="DJ3950" i="3"/>
  <c r="DJ3951" i="3"/>
  <c r="DJ3952" i="3"/>
  <c r="DJ3953" i="3"/>
  <c r="DJ3954" i="3"/>
  <c r="DJ3955" i="3"/>
  <c r="DJ3956" i="3"/>
  <c r="DJ3957" i="3"/>
  <c r="DJ3958" i="3"/>
  <c r="DJ3959" i="3"/>
  <c r="DJ3960" i="3"/>
  <c r="DJ3961" i="3"/>
  <c r="DJ3962" i="3"/>
  <c r="DJ3963" i="3"/>
  <c r="DJ3964" i="3"/>
  <c r="DJ3965" i="3"/>
  <c r="DJ3966" i="3"/>
  <c r="DJ3967" i="3"/>
  <c r="DJ3968" i="3"/>
  <c r="DJ3969" i="3"/>
  <c r="DJ3970" i="3"/>
  <c r="DJ3971" i="3"/>
  <c r="DJ3972" i="3"/>
  <c r="DJ3973" i="3"/>
  <c r="DJ3974" i="3"/>
  <c r="DJ3975" i="3"/>
  <c r="DJ3976" i="3"/>
  <c r="DJ3977" i="3"/>
  <c r="DJ3978" i="3"/>
  <c r="DJ3979" i="3"/>
  <c r="DJ3980" i="3"/>
  <c r="DJ3981" i="3"/>
  <c r="DJ3982" i="3"/>
  <c r="DJ3983" i="3"/>
  <c r="DJ3984" i="3"/>
  <c r="DJ3985" i="3"/>
  <c r="DJ3986" i="3"/>
  <c r="DJ3987" i="3"/>
  <c r="DJ3988" i="3"/>
  <c r="DJ3989" i="3"/>
  <c r="DJ3990" i="3"/>
  <c r="DJ3991" i="3"/>
  <c r="DJ3992" i="3"/>
  <c r="DJ3993" i="3"/>
  <c r="DJ3994" i="3"/>
  <c r="DJ3995" i="3"/>
  <c r="DJ3996" i="3"/>
  <c r="DJ3997" i="3"/>
  <c r="DJ3998" i="3"/>
  <c r="DJ3999" i="3"/>
  <c r="DJ4000" i="3"/>
  <c r="DJ4001" i="3"/>
  <c r="DJ4002" i="3"/>
  <c r="DJ4003" i="3"/>
  <c r="DJ4004" i="3"/>
  <c r="DJ4005" i="3"/>
  <c r="DJ4006" i="3"/>
  <c r="DJ4007" i="3"/>
  <c r="DJ4008" i="3"/>
  <c r="DJ4009" i="3"/>
  <c r="DJ4010" i="3"/>
  <c r="DJ4011" i="3"/>
  <c r="DJ4012" i="3"/>
  <c r="DJ4013" i="3"/>
  <c r="DJ4014" i="3"/>
  <c r="DJ4015" i="3"/>
  <c r="DJ4016" i="3"/>
  <c r="DJ4017" i="3"/>
  <c r="DJ4018" i="3"/>
  <c r="DJ4019" i="3"/>
  <c r="DJ4020" i="3"/>
  <c r="DJ4021" i="3"/>
  <c r="DJ4022" i="3"/>
  <c r="DJ4023" i="3"/>
  <c r="DJ4024" i="3"/>
  <c r="DJ4025" i="3"/>
  <c r="DJ4026" i="3"/>
  <c r="DJ4027" i="3"/>
  <c r="DJ4028" i="3"/>
  <c r="DJ4029" i="3"/>
  <c r="DJ4030" i="3"/>
  <c r="DJ4031" i="3"/>
  <c r="DJ4032" i="3"/>
  <c r="DJ4033" i="3"/>
  <c r="DJ4034" i="3"/>
  <c r="DJ4035" i="3"/>
  <c r="DJ4036" i="3"/>
  <c r="DJ4037" i="3"/>
  <c r="DJ4038" i="3"/>
  <c r="DJ4039" i="3"/>
  <c r="DJ4040" i="3"/>
  <c r="DJ4041" i="3"/>
  <c r="DJ4042" i="3"/>
  <c r="DJ4043" i="3"/>
  <c r="DJ4044" i="3"/>
  <c r="DJ4045" i="3"/>
  <c r="DJ4046" i="3"/>
  <c r="DJ4047" i="3"/>
  <c r="DJ4048" i="3"/>
  <c r="DJ4049" i="3"/>
  <c r="DJ4050" i="3"/>
  <c r="DJ4051" i="3"/>
  <c r="DJ4052" i="3"/>
  <c r="DJ4053" i="3"/>
  <c r="DJ4054" i="3"/>
  <c r="DJ4055" i="3"/>
  <c r="DJ4056" i="3"/>
  <c r="DJ4057" i="3"/>
  <c r="DJ4058" i="3"/>
  <c r="DJ4059" i="3"/>
  <c r="DJ4060" i="3"/>
  <c r="DJ4061" i="3"/>
  <c r="DJ4062" i="3"/>
  <c r="DJ4063" i="3"/>
  <c r="DJ4064" i="3"/>
  <c r="DJ4065" i="3"/>
  <c r="DJ4066" i="3"/>
  <c r="DJ4067" i="3"/>
  <c r="DJ4068" i="3"/>
  <c r="DJ4069" i="3"/>
  <c r="DJ4070" i="3"/>
  <c r="DJ4071" i="3"/>
  <c r="DJ4072" i="3"/>
  <c r="DJ4073" i="3"/>
  <c r="DJ4074" i="3"/>
  <c r="DJ4075" i="3"/>
  <c r="DJ4076" i="3"/>
  <c r="DJ4077" i="3"/>
  <c r="DJ4078" i="3"/>
  <c r="DJ4079" i="3"/>
  <c r="DJ4080" i="3"/>
  <c r="DJ4081" i="3"/>
  <c r="DJ4082" i="3"/>
  <c r="DJ4083" i="3"/>
  <c r="DJ4084" i="3"/>
  <c r="DJ4085" i="3"/>
  <c r="DJ4086" i="3"/>
  <c r="DJ4087" i="3"/>
  <c r="DJ4088" i="3"/>
  <c r="DJ4089" i="3"/>
  <c r="DJ4090" i="3"/>
  <c r="DJ4091" i="3"/>
  <c r="DJ4092" i="3"/>
  <c r="DJ4093" i="3"/>
  <c r="DJ4094" i="3"/>
  <c r="DJ4095" i="3"/>
  <c r="DJ4096" i="3"/>
  <c r="DJ4097" i="3"/>
  <c r="DJ4098" i="3"/>
  <c r="DJ4099" i="3"/>
  <c r="DJ4100" i="3"/>
  <c r="DJ4101" i="3"/>
  <c r="DJ4102" i="3"/>
  <c r="DJ4103" i="3"/>
  <c r="DJ4104" i="3"/>
  <c r="DJ4105" i="3"/>
  <c r="DJ4106" i="3"/>
  <c r="DJ4107" i="3"/>
  <c r="DJ4108" i="3"/>
  <c r="DJ4109" i="3"/>
  <c r="DJ4110" i="3"/>
  <c r="DJ4111" i="3"/>
  <c r="DJ4112" i="3"/>
  <c r="DJ4113" i="3"/>
  <c r="DJ4114" i="3"/>
  <c r="DJ4115" i="3"/>
  <c r="DJ4116" i="3"/>
  <c r="DJ4117" i="3"/>
  <c r="DJ4118" i="3"/>
  <c r="DJ4119" i="3"/>
  <c r="DJ4120" i="3"/>
  <c r="DJ4121" i="3"/>
  <c r="DJ4122" i="3"/>
  <c r="DJ4123" i="3"/>
  <c r="DJ4124" i="3"/>
  <c r="DJ4125" i="3"/>
  <c r="DJ4126" i="3"/>
  <c r="DJ4127" i="3"/>
  <c r="DJ4128" i="3"/>
  <c r="DJ4129" i="3"/>
  <c r="DJ4130" i="3"/>
  <c r="DJ4131" i="3"/>
  <c r="DJ4132" i="3"/>
  <c r="DJ4133" i="3"/>
  <c r="DJ4134" i="3"/>
  <c r="DJ4135" i="3"/>
  <c r="DJ4136" i="3"/>
  <c r="DJ4137" i="3"/>
  <c r="DJ4138" i="3"/>
  <c r="DJ4139" i="3"/>
  <c r="DJ4140" i="3"/>
  <c r="DJ4141" i="3"/>
  <c r="DJ4142" i="3"/>
  <c r="DJ4143" i="3"/>
  <c r="DJ4144" i="3"/>
  <c r="DJ4145" i="3"/>
  <c r="DJ4146" i="3"/>
  <c r="DJ4147" i="3"/>
  <c r="DJ4148" i="3"/>
  <c r="DJ4149" i="3"/>
  <c r="DJ4150" i="3"/>
  <c r="DJ4151" i="3"/>
  <c r="DJ4152" i="3"/>
  <c r="DJ4153" i="3"/>
  <c r="DJ4154" i="3"/>
  <c r="DJ4155" i="3"/>
  <c r="DJ4156" i="3"/>
  <c r="DJ4157" i="3"/>
  <c r="DJ4158" i="3"/>
  <c r="DJ4159" i="3"/>
  <c r="DJ4160" i="3"/>
  <c r="DJ4161" i="3"/>
  <c r="DJ4162" i="3"/>
  <c r="DJ4163" i="3"/>
  <c r="DJ4164" i="3"/>
  <c r="DJ4165" i="3"/>
  <c r="DJ4166" i="3"/>
  <c r="DJ4167" i="3"/>
  <c r="DJ4168" i="3"/>
  <c r="DJ4169" i="3"/>
  <c r="DJ4170" i="3"/>
  <c r="DJ4171" i="3"/>
  <c r="DJ4172" i="3"/>
  <c r="DJ4173" i="3"/>
  <c r="DJ4174" i="3"/>
  <c r="DJ4175" i="3"/>
  <c r="DJ4176" i="3"/>
  <c r="DJ4177" i="3"/>
  <c r="DJ4178" i="3"/>
  <c r="DJ4179" i="3"/>
  <c r="DJ4180" i="3"/>
  <c r="DJ4181" i="3"/>
  <c r="DJ4182" i="3"/>
  <c r="DJ4183" i="3"/>
  <c r="DJ4184" i="3"/>
  <c r="DJ4185" i="3"/>
  <c r="DJ4186" i="3"/>
  <c r="DJ4187" i="3"/>
  <c r="DJ4188" i="3"/>
  <c r="DJ4189" i="3"/>
  <c r="DJ4190" i="3"/>
  <c r="DJ4191" i="3"/>
  <c r="DJ4192" i="3"/>
  <c r="DJ4193" i="3"/>
  <c r="DJ4194" i="3"/>
  <c r="DJ4195" i="3"/>
  <c r="DJ4196" i="3"/>
  <c r="DJ4197" i="3"/>
  <c r="DJ4198" i="3"/>
  <c r="DJ4199" i="3"/>
  <c r="DJ4200" i="3"/>
  <c r="DJ4201" i="3"/>
  <c r="DJ4202" i="3"/>
  <c r="DJ4203" i="3"/>
  <c r="DJ4204" i="3"/>
  <c r="DJ4205" i="3"/>
  <c r="DJ4206" i="3"/>
  <c r="DJ4207" i="3"/>
  <c r="DJ4208" i="3"/>
  <c r="DJ4209" i="3"/>
  <c r="DJ4210" i="3"/>
  <c r="DJ4211" i="3"/>
  <c r="DJ4212" i="3"/>
  <c r="DJ4213" i="3"/>
  <c r="DJ4214" i="3"/>
  <c r="DJ4215" i="3"/>
  <c r="DJ4216" i="3"/>
  <c r="DJ4217" i="3"/>
  <c r="DJ4218" i="3"/>
  <c r="DJ4219" i="3"/>
  <c r="DJ4220" i="3"/>
  <c r="DJ4221" i="3"/>
  <c r="DJ4222" i="3"/>
  <c r="DJ4223" i="3"/>
  <c r="DJ4224" i="3"/>
  <c r="DJ4225" i="3"/>
  <c r="DJ4226" i="3"/>
  <c r="DJ4227" i="3"/>
  <c r="DJ4228" i="3"/>
  <c r="DJ4229" i="3"/>
  <c r="DJ4230" i="3"/>
  <c r="DJ4231" i="3"/>
  <c r="DJ4232" i="3"/>
  <c r="DJ4233" i="3"/>
  <c r="DJ4234" i="3"/>
  <c r="DJ4235" i="3"/>
  <c r="DJ4236" i="3"/>
  <c r="DJ4237" i="3"/>
  <c r="DJ4238" i="3"/>
  <c r="DJ4239" i="3"/>
  <c r="DJ4240" i="3"/>
  <c r="DJ4241" i="3"/>
  <c r="DJ4242" i="3"/>
  <c r="DJ4243" i="3"/>
  <c r="DJ4244" i="3"/>
  <c r="DJ4245" i="3"/>
  <c r="DJ4246" i="3"/>
  <c r="DJ4247" i="3"/>
  <c r="DJ4248" i="3"/>
  <c r="DJ4249" i="3"/>
  <c r="DJ4250" i="3"/>
  <c r="DJ4251" i="3"/>
  <c r="DJ4252" i="3"/>
  <c r="DJ4253" i="3"/>
  <c r="DJ4254" i="3"/>
  <c r="DJ4255" i="3"/>
  <c r="DJ4256" i="3"/>
  <c r="DJ4257" i="3"/>
  <c r="DJ4258" i="3"/>
  <c r="DJ4259" i="3"/>
  <c r="DJ4260" i="3"/>
  <c r="DJ4261" i="3"/>
  <c r="DJ4262" i="3"/>
  <c r="DJ4263" i="3"/>
  <c r="DJ4264" i="3"/>
  <c r="DJ4265" i="3"/>
  <c r="DJ4266" i="3"/>
  <c r="DJ4267" i="3"/>
  <c r="DJ4268" i="3"/>
  <c r="DJ4269" i="3"/>
  <c r="DJ4270" i="3"/>
  <c r="DJ4271" i="3"/>
  <c r="DJ4272" i="3"/>
  <c r="DJ4273" i="3"/>
  <c r="DJ4274" i="3"/>
  <c r="DJ4275" i="3"/>
  <c r="DJ4276" i="3"/>
  <c r="DJ4277" i="3"/>
  <c r="DJ4278" i="3"/>
  <c r="DJ4279" i="3"/>
  <c r="DJ4280" i="3"/>
  <c r="DJ4281" i="3"/>
  <c r="DJ4282" i="3"/>
  <c r="DJ4283" i="3"/>
  <c r="DJ4284" i="3"/>
  <c r="DJ4285" i="3"/>
  <c r="DJ4286" i="3"/>
  <c r="DJ4287" i="3"/>
  <c r="DJ4288" i="3"/>
  <c r="DJ4289" i="3"/>
  <c r="DJ4290" i="3"/>
  <c r="DJ4291" i="3"/>
  <c r="DJ4292" i="3"/>
  <c r="DJ4293" i="3"/>
  <c r="DJ4294" i="3"/>
  <c r="DJ4295" i="3"/>
  <c r="DJ4296" i="3"/>
  <c r="DJ4297" i="3"/>
  <c r="DJ4298" i="3"/>
  <c r="DJ4299" i="3"/>
  <c r="DJ4300" i="3"/>
  <c r="DJ4301" i="3"/>
  <c r="DJ4302" i="3"/>
  <c r="DJ4303" i="3"/>
  <c r="DJ4304" i="3"/>
  <c r="DJ4305" i="3"/>
  <c r="DJ4306" i="3"/>
  <c r="DJ4307" i="3"/>
  <c r="DJ4308" i="3"/>
  <c r="DJ4309" i="3"/>
  <c r="DJ4310" i="3"/>
  <c r="DJ4311" i="3"/>
  <c r="DJ4312" i="3"/>
  <c r="DJ4313" i="3"/>
  <c r="DJ2" i="3"/>
  <c r="DU11" i="3"/>
  <c r="AB2" i="2"/>
  <c r="AC2" i="2"/>
  <c r="AD2" i="2"/>
  <c r="AE2" i="2"/>
  <c r="AF2" i="2"/>
  <c r="AG2" i="2"/>
  <c r="AH2" i="2"/>
  <c r="AI2" i="2"/>
  <c r="AJ2" i="2"/>
  <c r="AK2" i="2"/>
  <c r="AL2" i="2"/>
  <c r="AM2" i="2"/>
  <c r="AN2" i="2"/>
  <c r="AO2" i="2"/>
  <c r="AP2" i="2"/>
  <c r="AQ2" i="2"/>
  <c r="AR2" i="2"/>
  <c r="AS2" i="2"/>
  <c r="AB3" i="2"/>
  <c r="AC3" i="2"/>
  <c r="AD3" i="2"/>
  <c r="AE3" i="2"/>
  <c r="AF3" i="2"/>
  <c r="AG3" i="2"/>
  <c r="AH3" i="2"/>
  <c r="AI3" i="2"/>
  <c r="AJ3" i="2"/>
  <c r="AK3" i="2"/>
  <c r="AL3" i="2"/>
  <c r="AM3" i="2"/>
  <c r="AN3" i="2"/>
  <c r="AO3" i="2"/>
  <c r="AP3" i="2"/>
  <c r="AQ3" i="2"/>
  <c r="AR3" i="2"/>
  <c r="AS3" i="2"/>
  <c r="AB4" i="2"/>
  <c r="AC4" i="2"/>
  <c r="AD4" i="2"/>
  <c r="AE4" i="2"/>
  <c r="AF4" i="2"/>
  <c r="AG4" i="2"/>
  <c r="AH4" i="2"/>
  <c r="AI4" i="2"/>
  <c r="AJ4" i="2"/>
  <c r="AK4" i="2"/>
  <c r="AL4" i="2"/>
  <c r="AM4" i="2"/>
  <c r="AN4" i="2"/>
  <c r="AO4" i="2"/>
  <c r="AP4" i="2"/>
  <c r="AQ4" i="2"/>
  <c r="AR4" i="2"/>
  <c r="AS4" i="2"/>
  <c r="AB5" i="2"/>
  <c r="AC5" i="2"/>
  <c r="AD5" i="2"/>
  <c r="AE5" i="2"/>
  <c r="AF5" i="2"/>
  <c r="AG5" i="2"/>
  <c r="AH5" i="2"/>
  <c r="AI5" i="2"/>
  <c r="AJ5" i="2"/>
  <c r="AK5" i="2"/>
  <c r="AL5" i="2"/>
  <c r="AM5" i="2"/>
  <c r="AN5" i="2"/>
  <c r="AO5" i="2"/>
  <c r="AP5" i="2"/>
  <c r="AQ5" i="2"/>
  <c r="AR5" i="2"/>
  <c r="AS5" i="2"/>
  <c r="AB6" i="2"/>
  <c r="AC6" i="2"/>
  <c r="AD6" i="2"/>
  <c r="AE6" i="2"/>
  <c r="AF6" i="2"/>
  <c r="AG6" i="2"/>
  <c r="AH6" i="2"/>
  <c r="AI6" i="2"/>
  <c r="AJ6" i="2"/>
  <c r="AK6" i="2"/>
  <c r="AL6" i="2"/>
  <c r="AM6" i="2"/>
  <c r="AN6" i="2"/>
  <c r="AO6" i="2"/>
  <c r="AP6" i="2"/>
  <c r="AQ6" i="2"/>
  <c r="AR6" i="2"/>
  <c r="AS6" i="2"/>
  <c r="AB7" i="2"/>
  <c r="AC7" i="2"/>
  <c r="AD7" i="2"/>
  <c r="AE7" i="2"/>
  <c r="AF7" i="2"/>
  <c r="AG7" i="2"/>
  <c r="AH7" i="2"/>
  <c r="AI7" i="2"/>
  <c r="AJ7" i="2"/>
  <c r="AK7" i="2"/>
  <c r="AL7" i="2"/>
  <c r="AM7" i="2"/>
  <c r="AN7" i="2"/>
  <c r="AO7" i="2"/>
  <c r="AP7" i="2"/>
  <c r="AQ7" i="2"/>
  <c r="AR7" i="2"/>
  <c r="AS7" i="2"/>
  <c r="AB8" i="2"/>
  <c r="AC8" i="2"/>
  <c r="AD8" i="2"/>
  <c r="AE8" i="2"/>
  <c r="AF8" i="2"/>
  <c r="AG8" i="2"/>
  <c r="AH8" i="2"/>
  <c r="AI8" i="2"/>
  <c r="AJ8" i="2"/>
  <c r="AK8" i="2"/>
  <c r="AL8" i="2"/>
  <c r="AM8" i="2"/>
  <c r="AN8" i="2"/>
  <c r="AO8" i="2"/>
  <c r="AP8" i="2"/>
  <c r="AQ8" i="2"/>
  <c r="AR8" i="2"/>
  <c r="AS8" i="2"/>
  <c r="AB9" i="2"/>
  <c r="AC9" i="2"/>
  <c r="AD9" i="2"/>
  <c r="AE9" i="2"/>
  <c r="AF9" i="2"/>
  <c r="AG9" i="2"/>
  <c r="AH9" i="2"/>
  <c r="AI9" i="2"/>
  <c r="AJ9" i="2"/>
  <c r="AK9" i="2"/>
  <c r="AL9" i="2"/>
  <c r="AM9" i="2"/>
  <c r="AN9" i="2"/>
  <c r="AO9" i="2"/>
  <c r="AP9" i="2"/>
  <c r="AQ9" i="2"/>
  <c r="AR9" i="2"/>
  <c r="AS9" i="2"/>
  <c r="AB10" i="2"/>
  <c r="AC10" i="2"/>
  <c r="AD10" i="2"/>
  <c r="AE10" i="2"/>
  <c r="AF10" i="2"/>
  <c r="AG10" i="2"/>
  <c r="AH10" i="2"/>
  <c r="AI10" i="2"/>
  <c r="AJ10" i="2"/>
  <c r="AK10" i="2"/>
  <c r="AL10" i="2"/>
  <c r="AM10" i="2"/>
  <c r="AN10" i="2"/>
  <c r="AO10" i="2"/>
  <c r="AP10" i="2"/>
  <c r="AQ10" i="2"/>
  <c r="AR10" i="2"/>
  <c r="AS10" i="2"/>
  <c r="AB11" i="2"/>
  <c r="AC11" i="2"/>
  <c r="AD11" i="2"/>
  <c r="AE11" i="2"/>
  <c r="AF11" i="2"/>
  <c r="AG11" i="2"/>
  <c r="AH11" i="2"/>
  <c r="AI11" i="2"/>
  <c r="AJ11" i="2"/>
  <c r="AK11" i="2"/>
  <c r="AL11" i="2"/>
  <c r="AM11" i="2"/>
  <c r="AN11" i="2"/>
  <c r="AO11" i="2"/>
  <c r="AP11" i="2"/>
  <c r="AQ11" i="2"/>
  <c r="AR11" i="2"/>
  <c r="AS11" i="2"/>
  <c r="AB12" i="2"/>
  <c r="AC12" i="2"/>
  <c r="AD12" i="2"/>
  <c r="AE12" i="2"/>
  <c r="AF12" i="2"/>
  <c r="AG12" i="2"/>
  <c r="AH12" i="2"/>
  <c r="AI12" i="2"/>
  <c r="AJ12" i="2"/>
  <c r="AK12" i="2"/>
  <c r="AL12" i="2"/>
  <c r="AM12" i="2"/>
  <c r="AN12" i="2"/>
  <c r="AO12" i="2"/>
  <c r="AP12" i="2"/>
  <c r="AQ12" i="2"/>
  <c r="AR12" i="2"/>
  <c r="AS12" i="2"/>
  <c r="AB13" i="2"/>
  <c r="AC13" i="2"/>
  <c r="AD13" i="2"/>
  <c r="AE13" i="2"/>
  <c r="AF13" i="2"/>
  <c r="AG13" i="2"/>
  <c r="AH13" i="2"/>
  <c r="AI13" i="2"/>
  <c r="AJ13" i="2"/>
  <c r="AK13" i="2"/>
  <c r="AL13" i="2"/>
  <c r="AM13" i="2"/>
  <c r="AN13" i="2"/>
  <c r="AO13" i="2"/>
  <c r="AP13" i="2"/>
  <c r="AQ13" i="2"/>
  <c r="AR13" i="2"/>
  <c r="AS13" i="2"/>
  <c r="AB14" i="2"/>
  <c r="AC14" i="2"/>
  <c r="AD14" i="2"/>
  <c r="AE14" i="2"/>
  <c r="AF14" i="2"/>
  <c r="AG14" i="2"/>
  <c r="AH14" i="2"/>
  <c r="AI14" i="2"/>
  <c r="AJ14" i="2"/>
  <c r="AK14" i="2"/>
  <c r="AL14" i="2"/>
  <c r="AM14" i="2"/>
  <c r="AN14" i="2"/>
  <c r="AO14" i="2"/>
  <c r="AP14" i="2"/>
  <c r="AQ14" i="2"/>
  <c r="AR14" i="2"/>
  <c r="AS14" i="2"/>
  <c r="AB15" i="2"/>
  <c r="AC15" i="2"/>
  <c r="AD15" i="2"/>
  <c r="AE15" i="2"/>
  <c r="AF15" i="2"/>
  <c r="AG15" i="2"/>
  <c r="AH15" i="2"/>
  <c r="AI15" i="2"/>
  <c r="AJ15" i="2"/>
  <c r="AK15" i="2"/>
  <c r="AL15" i="2"/>
  <c r="AM15" i="2"/>
  <c r="AN15" i="2"/>
  <c r="AO15" i="2"/>
  <c r="AP15" i="2"/>
  <c r="AQ15" i="2"/>
  <c r="AR15" i="2"/>
  <c r="AS15" i="2"/>
  <c r="AB16" i="2"/>
  <c r="AC16" i="2"/>
  <c r="AD16" i="2"/>
  <c r="AE16" i="2"/>
  <c r="AF16" i="2"/>
  <c r="AG16" i="2"/>
  <c r="AH16" i="2"/>
  <c r="AI16" i="2"/>
  <c r="AJ16" i="2"/>
  <c r="AK16" i="2"/>
  <c r="AL16" i="2"/>
  <c r="AM16" i="2"/>
  <c r="AN16" i="2"/>
  <c r="AO16" i="2"/>
  <c r="AP16" i="2"/>
  <c r="AQ16" i="2"/>
  <c r="AR16" i="2"/>
  <c r="AS16" i="2"/>
  <c r="AB17" i="2"/>
  <c r="AC17" i="2"/>
  <c r="AD17" i="2"/>
  <c r="AE17" i="2"/>
  <c r="AF17" i="2"/>
  <c r="AG17" i="2"/>
  <c r="AH17" i="2"/>
  <c r="AI17" i="2"/>
  <c r="AJ17" i="2"/>
  <c r="AK17" i="2"/>
  <c r="AL17" i="2"/>
  <c r="AM17" i="2"/>
  <c r="AN17" i="2"/>
  <c r="AO17" i="2"/>
  <c r="AP17" i="2"/>
  <c r="AQ17" i="2"/>
  <c r="AR17" i="2"/>
  <c r="AS17" i="2"/>
  <c r="AB18" i="2"/>
  <c r="AC18" i="2"/>
  <c r="AD18" i="2"/>
  <c r="AE18" i="2"/>
  <c r="AF18" i="2"/>
  <c r="AG18" i="2"/>
  <c r="AH18" i="2"/>
  <c r="AI18" i="2"/>
  <c r="AJ18" i="2"/>
  <c r="AK18" i="2"/>
  <c r="AL18" i="2"/>
  <c r="AM18" i="2"/>
  <c r="AN18" i="2"/>
  <c r="AO18" i="2"/>
  <c r="AP18" i="2"/>
  <c r="AQ18" i="2"/>
  <c r="AR18" i="2"/>
  <c r="AS18" i="2"/>
  <c r="AB19" i="2"/>
  <c r="AC19" i="2"/>
  <c r="AD19" i="2"/>
  <c r="AE19" i="2"/>
  <c r="AF19" i="2"/>
  <c r="AG19" i="2"/>
  <c r="AH19" i="2"/>
  <c r="AI19" i="2"/>
  <c r="AJ19" i="2"/>
  <c r="AK19" i="2"/>
  <c r="AL19" i="2"/>
  <c r="AM19" i="2"/>
  <c r="AN19" i="2"/>
  <c r="AO19" i="2"/>
  <c r="AP19" i="2"/>
  <c r="AQ19" i="2"/>
  <c r="AR19" i="2"/>
  <c r="AS19" i="2"/>
  <c r="AB20" i="2"/>
  <c r="AC20" i="2"/>
  <c r="AD20" i="2"/>
  <c r="AE20" i="2"/>
  <c r="AF20" i="2"/>
  <c r="AG20" i="2"/>
  <c r="AH20" i="2"/>
  <c r="AI20" i="2"/>
  <c r="AJ20" i="2"/>
  <c r="AK20" i="2"/>
  <c r="AL20" i="2"/>
  <c r="AM20" i="2"/>
  <c r="AN20" i="2"/>
  <c r="AO20" i="2"/>
  <c r="AP20" i="2"/>
  <c r="AQ20" i="2"/>
  <c r="AR20" i="2"/>
  <c r="AS20" i="2"/>
  <c r="AB21" i="2"/>
  <c r="AC21" i="2"/>
  <c r="AD21" i="2"/>
  <c r="AE21" i="2"/>
  <c r="AF21" i="2"/>
  <c r="AG21" i="2"/>
  <c r="AH21" i="2"/>
  <c r="AI21" i="2"/>
  <c r="AJ21" i="2"/>
  <c r="AK21" i="2"/>
  <c r="AL21" i="2"/>
  <c r="AM21" i="2"/>
  <c r="AN21" i="2"/>
  <c r="AO21" i="2"/>
  <c r="AP21" i="2"/>
  <c r="AQ21" i="2"/>
  <c r="AR21" i="2"/>
  <c r="AS21" i="2"/>
  <c r="AB22" i="2"/>
  <c r="AC22" i="2"/>
  <c r="AD22" i="2"/>
  <c r="AE22" i="2"/>
  <c r="AF22" i="2"/>
  <c r="AG22" i="2"/>
  <c r="AH22" i="2"/>
  <c r="AI22" i="2"/>
  <c r="AJ22" i="2"/>
  <c r="AK22" i="2"/>
  <c r="AL22" i="2"/>
  <c r="AM22" i="2"/>
  <c r="AN22" i="2"/>
  <c r="AO22" i="2"/>
  <c r="AP22" i="2"/>
  <c r="AQ22" i="2"/>
  <c r="AR22" i="2"/>
  <c r="AS22" i="2"/>
  <c r="AB23" i="2"/>
  <c r="AC23" i="2"/>
  <c r="AD23" i="2"/>
  <c r="AE23" i="2"/>
  <c r="AF23" i="2"/>
  <c r="AG23" i="2"/>
  <c r="AH23" i="2"/>
  <c r="AI23" i="2"/>
  <c r="AJ23" i="2"/>
  <c r="AK23" i="2"/>
  <c r="AL23" i="2"/>
  <c r="AM23" i="2"/>
  <c r="AN23" i="2"/>
  <c r="AO23" i="2"/>
  <c r="AP23" i="2"/>
  <c r="AQ23" i="2"/>
  <c r="AR23" i="2"/>
  <c r="AS23" i="2"/>
  <c r="AB24" i="2"/>
  <c r="AC24" i="2"/>
  <c r="AD24" i="2"/>
  <c r="AE24" i="2"/>
  <c r="AF24" i="2"/>
  <c r="AG24" i="2"/>
  <c r="AH24" i="2"/>
  <c r="AI24" i="2"/>
  <c r="AJ24" i="2"/>
  <c r="AK24" i="2"/>
  <c r="AL24" i="2"/>
  <c r="AM24" i="2"/>
  <c r="AN24" i="2"/>
  <c r="AO24" i="2"/>
  <c r="AP24" i="2"/>
  <c r="AQ24" i="2"/>
  <c r="AR24" i="2"/>
  <c r="AS24" i="2"/>
  <c r="AB25" i="2"/>
  <c r="AC25" i="2"/>
  <c r="AD25" i="2"/>
  <c r="AE25" i="2"/>
  <c r="AF25" i="2"/>
  <c r="AG25" i="2"/>
  <c r="AH25" i="2"/>
  <c r="AI25" i="2"/>
  <c r="AJ25" i="2"/>
  <c r="AK25" i="2"/>
  <c r="AL25" i="2"/>
  <c r="AM25" i="2"/>
  <c r="AN25" i="2"/>
  <c r="AO25" i="2"/>
  <c r="AP25" i="2"/>
  <c r="AQ25" i="2"/>
  <c r="AR25" i="2"/>
  <c r="AS25" i="2"/>
  <c r="AB26" i="2"/>
  <c r="AC26" i="2"/>
  <c r="AD26" i="2"/>
  <c r="AE26" i="2"/>
  <c r="AF26" i="2"/>
  <c r="AG26" i="2"/>
  <c r="AH26" i="2"/>
  <c r="AI26" i="2"/>
  <c r="AJ26" i="2"/>
  <c r="AK26" i="2"/>
  <c r="AL26" i="2"/>
  <c r="AM26" i="2"/>
  <c r="AN26" i="2"/>
  <c r="AO26" i="2"/>
  <c r="AP26" i="2"/>
  <c r="AQ26" i="2"/>
  <c r="AR26" i="2"/>
  <c r="AS26" i="2"/>
  <c r="AB27" i="2"/>
  <c r="AC27" i="2"/>
  <c r="AD27" i="2"/>
  <c r="AE27" i="2"/>
  <c r="AF27" i="2"/>
  <c r="AG27" i="2"/>
  <c r="AH27" i="2"/>
  <c r="AI27" i="2"/>
  <c r="AJ27" i="2"/>
  <c r="AK27" i="2"/>
  <c r="AL27" i="2"/>
  <c r="AM27" i="2"/>
  <c r="AN27" i="2"/>
  <c r="AO27" i="2"/>
  <c r="AP27" i="2"/>
  <c r="AQ27" i="2"/>
  <c r="AR27" i="2"/>
  <c r="AS27" i="2"/>
  <c r="AB28" i="2"/>
  <c r="AC28" i="2"/>
  <c r="AD28" i="2"/>
  <c r="AE28" i="2"/>
  <c r="AF28" i="2"/>
  <c r="AG28" i="2"/>
  <c r="AH28" i="2"/>
  <c r="AI28" i="2"/>
  <c r="AJ28" i="2"/>
  <c r="AK28" i="2"/>
  <c r="AL28" i="2"/>
  <c r="AM28" i="2"/>
  <c r="AN28" i="2"/>
  <c r="AO28" i="2"/>
  <c r="AP28" i="2"/>
  <c r="AQ28" i="2"/>
  <c r="AR28" i="2"/>
  <c r="AS28" i="2"/>
  <c r="AB29" i="2"/>
  <c r="AC29" i="2"/>
  <c r="AD29" i="2"/>
  <c r="AE29" i="2"/>
  <c r="AF29" i="2"/>
  <c r="AG29" i="2"/>
  <c r="AH29" i="2"/>
  <c r="AI29" i="2"/>
  <c r="AJ29" i="2"/>
  <c r="AK29" i="2"/>
  <c r="AL29" i="2"/>
  <c r="AM29" i="2"/>
  <c r="AN29" i="2"/>
  <c r="AO29" i="2"/>
  <c r="AP29" i="2"/>
  <c r="AQ29" i="2"/>
  <c r="AR29" i="2"/>
  <c r="AS29" i="2"/>
  <c r="AB30" i="2"/>
  <c r="AC30" i="2"/>
  <c r="AD30" i="2"/>
  <c r="AE30" i="2"/>
  <c r="AF30" i="2"/>
  <c r="AG30" i="2"/>
  <c r="AH30" i="2"/>
  <c r="AI30" i="2"/>
  <c r="AJ30" i="2"/>
  <c r="AK30" i="2"/>
  <c r="AL30" i="2"/>
  <c r="AM30" i="2"/>
  <c r="AN30" i="2"/>
  <c r="AO30" i="2"/>
  <c r="AP30" i="2"/>
  <c r="AQ30" i="2"/>
  <c r="AR30" i="2"/>
  <c r="AS30" i="2"/>
  <c r="AB31" i="2"/>
  <c r="AC31" i="2"/>
  <c r="AD31" i="2"/>
  <c r="AE31" i="2"/>
  <c r="AF31" i="2"/>
  <c r="AG31" i="2"/>
  <c r="AH31" i="2"/>
  <c r="AI31" i="2"/>
  <c r="AJ31" i="2"/>
  <c r="AK31" i="2"/>
  <c r="AL31" i="2"/>
  <c r="AM31" i="2"/>
  <c r="AN31" i="2"/>
  <c r="AO31" i="2"/>
  <c r="AP31" i="2"/>
  <c r="AQ31" i="2"/>
  <c r="AR31" i="2"/>
  <c r="AS31" i="2"/>
  <c r="AB32" i="2"/>
  <c r="AC32" i="2"/>
  <c r="AD32" i="2"/>
  <c r="AE32" i="2"/>
  <c r="AF32" i="2"/>
  <c r="AG32" i="2"/>
  <c r="AH32" i="2"/>
  <c r="AI32" i="2"/>
  <c r="AJ32" i="2"/>
  <c r="AK32" i="2"/>
  <c r="AL32" i="2"/>
  <c r="AM32" i="2"/>
  <c r="AN32" i="2"/>
  <c r="AO32" i="2"/>
  <c r="AP32" i="2"/>
  <c r="AQ32" i="2"/>
  <c r="AR32" i="2"/>
  <c r="AS32" i="2"/>
  <c r="AB33" i="2"/>
  <c r="AC33" i="2"/>
  <c r="AD33" i="2"/>
  <c r="AE33" i="2"/>
  <c r="AF33" i="2"/>
  <c r="AG33" i="2"/>
  <c r="AH33" i="2"/>
  <c r="AI33" i="2"/>
  <c r="AJ33" i="2"/>
  <c r="AK33" i="2"/>
  <c r="AL33" i="2"/>
  <c r="AM33" i="2"/>
  <c r="AN33" i="2"/>
  <c r="AO33" i="2"/>
  <c r="AP33" i="2"/>
  <c r="AQ33" i="2"/>
  <c r="AR33" i="2"/>
  <c r="AS33" i="2"/>
  <c r="AB34" i="2"/>
  <c r="AC34" i="2"/>
  <c r="AD34" i="2"/>
  <c r="AE34" i="2"/>
  <c r="AF34" i="2"/>
  <c r="AG34" i="2"/>
  <c r="AH34" i="2"/>
  <c r="AI34" i="2"/>
  <c r="AJ34" i="2"/>
  <c r="AK34" i="2"/>
  <c r="AL34" i="2"/>
  <c r="AM34" i="2"/>
  <c r="AN34" i="2"/>
  <c r="AO34" i="2"/>
  <c r="AP34" i="2"/>
  <c r="AQ34" i="2"/>
  <c r="AR34" i="2"/>
  <c r="AS34" i="2"/>
  <c r="AB35" i="2"/>
  <c r="AC35" i="2"/>
  <c r="AD35" i="2"/>
  <c r="AE35" i="2"/>
  <c r="AF35" i="2"/>
  <c r="AG35" i="2"/>
  <c r="AH35" i="2"/>
  <c r="AI35" i="2"/>
  <c r="AJ35" i="2"/>
  <c r="AK35" i="2"/>
  <c r="AL35" i="2"/>
  <c r="AM35" i="2"/>
  <c r="AN35" i="2"/>
  <c r="AO35" i="2"/>
  <c r="AP35" i="2"/>
  <c r="AQ35" i="2"/>
  <c r="AR35" i="2"/>
  <c r="AS35" i="2"/>
  <c r="AB36" i="2"/>
  <c r="AC36" i="2"/>
  <c r="AD36" i="2"/>
  <c r="AE36" i="2"/>
  <c r="AF36" i="2"/>
  <c r="AG36" i="2"/>
  <c r="AH36" i="2"/>
  <c r="AI36" i="2"/>
  <c r="AJ36" i="2"/>
  <c r="AK36" i="2"/>
  <c r="AL36" i="2"/>
  <c r="AM36" i="2"/>
  <c r="AN36" i="2"/>
  <c r="AO36" i="2"/>
  <c r="AP36" i="2"/>
  <c r="AQ36" i="2"/>
  <c r="AR36" i="2"/>
  <c r="AS36" i="2"/>
  <c r="AB37" i="2"/>
  <c r="AC37" i="2"/>
  <c r="AD37" i="2"/>
  <c r="AE37" i="2"/>
  <c r="AF37" i="2"/>
  <c r="AG37" i="2"/>
  <c r="AH37" i="2"/>
  <c r="AI37" i="2"/>
  <c r="AJ37" i="2"/>
  <c r="AK37" i="2"/>
  <c r="AL37" i="2"/>
  <c r="AM37" i="2"/>
  <c r="AN37" i="2"/>
  <c r="AO37" i="2"/>
  <c r="AP37" i="2"/>
  <c r="AQ37" i="2"/>
  <c r="AR37" i="2"/>
  <c r="AS37" i="2"/>
  <c r="AB38" i="2"/>
  <c r="AC38" i="2"/>
  <c r="AD38" i="2"/>
  <c r="AE38" i="2"/>
  <c r="AF38" i="2"/>
  <c r="AG38" i="2"/>
  <c r="AH38" i="2"/>
  <c r="AI38" i="2"/>
  <c r="AJ38" i="2"/>
  <c r="AK38" i="2"/>
  <c r="AL38" i="2"/>
  <c r="AM38" i="2"/>
  <c r="AN38" i="2"/>
  <c r="AO38" i="2"/>
  <c r="AP38" i="2"/>
  <c r="AQ38" i="2"/>
  <c r="AR38" i="2"/>
  <c r="AS38" i="2"/>
  <c r="AB39" i="2"/>
  <c r="AC39" i="2"/>
  <c r="AD39" i="2"/>
  <c r="AE39" i="2"/>
  <c r="AF39" i="2"/>
  <c r="AG39" i="2"/>
  <c r="AH39" i="2"/>
  <c r="AI39" i="2"/>
  <c r="AJ39" i="2"/>
  <c r="AK39" i="2"/>
  <c r="AL39" i="2"/>
  <c r="AM39" i="2"/>
  <c r="AN39" i="2"/>
  <c r="AO39" i="2"/>
  <c r="AP39" i="2"/>
  <c r="AQ39" i="2"/>
  <c r="AR39" i="2"/>
  <c r="AS39" i="2"/>
  <c r="AB40" i="2"/>
  <c r="AC40" i="2"/>
  <c r="AD40" i="2"/>
  <c r="AE40" i="2"/>
  <c r="AF40" i="2"/>
  <c r="AG40" i="2"/>
  <c r="AH40" i="2"/>
  <c r="AI40" i="2"/>
  <c r="AJ40" i="2"/>
  <c r="AK40" i="2"/>
  <c r="AL40" i="2"/>
  <c r="AM40" i="2"/>
  <c r="AN40" i="2"/>
  <c r="AO40" i="2"/>
  <c r="AP40" i="2"/>
  <c r="AQ40" i="2"/>
  <c r="AR40" i="2"/>
  <c r="AS40" i="2"/>
  <c r="AB41" i="2"/>
  <c r="AC41" i="2"/>
  <c r="AD41" i="2"/>
  <c r="AE41" i="2"/>
  <c r="AF41" i="2"/>
  <c r="AG41" i="2"/>
  <c r="AH41" i="2"/>
  <c r="AI41" i="2"/>
  <c r="AJ41" i="2"/>
  <c r="AK41" i="2"/>
  <c r="AL41" i="2"/>
  <c r="AM41" i="2"/>
  <c r="AN41" i="2"/>
  <c r="AO41" i="2"/>
  <c r="AP41" i="2"/>
  <c r="AQ41" i="2"/>
  <c r="AR41" i="2"/>
  <c r="AS41" i="2"/>
  <c r="AB42" i="2"/>
  <c r="AC42" i="2"/>
  <c r="AD42" i="2"/>
  <c r="AE42" i="2"/>
  <c r="AF42" i="2"/>
  <c r="AG42" i="2"/>
  <c r="AH42" i="2"/>
  <c r="AI42" i="2"/>
  <c r="AJ42" i="2"/>
  <c r="AK42" i="2"/>
  <c r="AL42" i="2"/>
  <c r="AM42" i="2"/>
  <c r="AN42" i="2"/>
  <c r="AO42" i="2"/>
  <c r="AP42" i="2"/>
  <c r="AQ42" i="2"/>
  <c r="AR42" i="2"/>
  <c r="AS42" i="2"/>
  <c r="AB43" i="2"/>
  <c r="AC43" i="2"/>
  <c r="AD43" i="2"/>
  <c r="AE43" i="2"/>
  <c r="AF43" i="2"/>
  <c r="AG43" i="2"/>
  <c r="AH43" i="2"/>
  <c r="AI43" i="2"/>
  <c r="AJ43" i="2"/>
  <c r="AK43" i="2"/>
  <c r="AL43" i="2"/>
  <c r="AM43" i="2"/>
  <c r="AN43" i="2"/>
  <c r="AO43" i="2"/>
  <c r="AP43" i="2"/>
  <c r="AQ43" i="2"/>
  <c r="AR43" i="2"/>
  <c r="AS43" i="2"/>
  <c r="AB44" i="2"/>
  <c r="AC44" i="2"/>
  <c r="AD44" i="2"/>
  <c r="AE44" i="2"/>
  <c r="AF44" i="2"/>
  <c r="AG44" i="2"/>
  <c r="AH44" i="2"/>
  <c r="AI44" i="2"/>
  <c r="AJ44" i="2"/>
  <c r="AK44" i="2"/>
  <c r="AL44" i="2"/>
  <c r="AM44" i="2"/>
  <c r="AN44" i="2"/>
  <c r="AO44" i="2"/>
  <c r="AP44" i="2"/>
  <c r="AQ44" i="2"/>
  <c r="AR44" i="2"/>
  <c r="AS44" i="2"/>
  <c r="AB45" i="2"/>
  <c r="AC45" i="2"/>
  <c r="AD45" i="2"/>
  <c r="AE45" i="2"/>
  <c r="AF45" i="2"/>
  <c r="AG45" i="2"/>
  <c r="AH45" i="2"/>
  <c r="AI45" i="2"/>
  <c r="AJ45" i="2"/>
  <c r="AK45" i="2"/>
  <c r="AL45" i="2"/>
  <c r="AM45" i="2"/>
  <c r="AN45" i="2"/>
  <c r="AO45" i="2"/>
  <c r="AP45" i="2"/>
  <c r="AQ45" i="2"/>
  <c r="AR45" i="2"/>
  <c r="AS45" i="2"/>
  <c r="AB46" i="2"/>
  <c r="AC46" i="2"/>
  <c r="AD46" i="2"/>
  <c r="AE46" i="2"/>
  <c r="AF46" i="2"/>
  <c r="AG46" i="2"/>
  <c r="AH46" i="2"/>
  <c r="AI46" i="2"/>
  <c r="AJ46" i="2"/>
  <c r="AK46" i="2"/>
  <c r="AL46" i="2"/>
  <c r="AM46" i="2"/>
  <c r="AN46" i="2"/>
  <c r="AO46" i="2"/>
  <c r="AP46" i="2"/>
  <c r="AQ46" i="2"/>
  <c r="AR46" i="2"/>
  <c r="AS46" i="2"/>
  <c r="AB47" i="2"/>
  <c r="AC47" i="2"/>
  <c r="AD47" i="2"/>
  <c r="AE47" i="2"/>
  <c r="AF47" i="2"/>
  <c r="AG47" i="2"/>
  <c r="AH47" i="2"/>
  <c r="AI47" i="2"/>
  <c r="AJ47" i="2"/>
  <c r="AK47" i="2"/>
  <c r="AL47" i="2"/>
  <c r="AM47" i="2"/>
  <c r="AN47" i="2"/>
  <c r="AO47" i="2"/>
  <c r="AP47" i="2"/>
  <c r="AQ47" i="2"/>
  <c r="AR47" i="2"/>
  <c r="AS47" i="2"/>
  <c r="AB48" i="2"/>
  <c r="AC48" i="2"/>
  <c r="AD48" i="2"/>
  <c r="AE48" i="2"/>
  <c r="AF48" i="2"/>
  <c r="AG48" i="2"/>
  <c r="AH48" i="2"/>
  <c r="AI48" i="2"/>
  <c r="AJ48" i="2"/>
  <c r="AK48" i="2"/>
  <c r="AL48" i="2"/>
  <c r="AM48" i="2"/>
  <c r="AN48" i="2"/>
  <c r="AO48" i="2"/>
  <c r="AP48" i="2"/>
  <c r="AQ48" i="2"/>
  <c r="AR48" i="2"/>
  <c r="AS48" i="2"/>
  <c r="AB49" i="2"/>
  <c r="AC49" i="2"/>
  <c r="AD49" i="2"/>
  <c r="AE49" i="2"/>
  <c r="AF49" i="2"/>
  <c r="AG49" i="2"/>
  <c r="AH49" i="2"/>
  <c r="AI49" i="2"/>
  <c r="AJ49" i="2"/>
  <c r="AK49" i="2"/>
  <c r="AL49" i="2"/>
  <c r="AM49" i="2"/>
  <c r="AN49" i="2"/>
  <c r="AO49" i="2"/>
  <c r="AP49" i="2"/>
  <c r="AQ49" i="2"/>
  <c r="AR49" i="2"/>
  <c r="AS49" i="2"/>
  <c r="AB50" i="2"/>
  <c r="AC50" i="2"/>
  <c r="AD50" i="2"/>
  <c r="AE50" i="2"/>
  <c r="AF50" i="2"/>
  <c r="AG50" i="2"/>
  <c r="AH50" i="2"/>
  <c r="AI50" i="2"/>
  <c r="AJ50" i="2"/>
  <c r="AK50" i="2"/>
  <c r="AL50" i="2"/>
  <c r="AM50" i="2"/>
  <c r="AN50" i="2"/>
  <c r="AO50" i="2"/>
  <c r="AP50" i="2"/>
  <c r="AQ50" i="2"/>
  <c r="AR50" i="2"/>
  <c r="AS50" i="2"/>
  <c r="AB51" i="2"/>
  <c r="AC51" i="2"/>
  <c r="AD51" i="2"/>
  <c r="AE51" i="2"/>
  <c r="AF51" i="2"/>
  <c r="AG51" i="2"/>
  <c r="AH51" i="2"/>
  <c r="AI51" i="2"/>
  <c r="AJ51" i="2"/>
  <c r="AK51" i="2"/>
  <c r="AL51" i="2"/>
  <c r="AM51" i="2"/>
  <c r="AN51" i="2"/>
  <c r="AO51" i="2"/>
  <c r="AP51" i="2"/>
  <c r="AQ51" i="2"/>
  <c r="AR51" i="2"/>
  <c r="AS51" i="2"/>
  <c r="AB52" i="2"/>
  <c r="AC52" i="2"/>
  <c r="AD52" i="2"/>
  <c r="AE52" i="2"/>
  <c r="AF52" i="2"/>
  <c r="AG52" i="2"/>
  <c r="AH52" i="2"/>
  <c r="AI52" i="2"/>
  <c r="AJ52" i="2"/>
  <c r="AK52" i="2"/>
  <c r="AL52" i="2"/>
  <c r="AM52" i="2"/>
  <c r="AN52" i="2"/>
  <c r="AO52" i="2"/>
  <c r="AP52" i="2"/>
  <c r="AQ52" i="2"/>
  <c r="AR52" i="2"/>
  <c r="AS52" i="2"/>
  <c r="AB53" i="2"/>
  <c r="AC53" i="2"/>
  <c r="AD53" i="2"/>
  <c r="AE53" i="2"/>
  <c r="AF53" i="2"/>
  <c r="AG53" i="2"/>
  <c r="AH53" i="2"/>
  <c r="AI53" i="2"/>
  <c r="AJ53" i="2"/>
  <c r="AK53" i="2"/>
  <c r="AL53" i="2"/>
  <c r="AM53" i="2"/>
  <c r="AN53" i="2"/>
  <c r="AO53" i="2"/>
  <c r="AP53" i="2"/>
  <c r="AQ53" i="2"/>
  <c r="AR53" i="2"/>
  <c r="AS53" i="2"/>
  <c r="AB54" i="2"/>
  <c r="AC54" i="2"/>
  <c r="AD54" i="2"/>
  <c r="AE54" i="2"/>
  <c r="AF54" i="2"/>
  <c r="AG54" i="2"/>
  <c r="AH54" i="2"/>
  <c r="AI54" i="2"/>
  <c r="AJ54" i="2"/>
  <c r="AK54" i="2"/>
  <c r="AL54" i="2"/>
  <c r="AM54" i="2"/>
  <c r="AN54" i="2"/>
  <c r="AO54" i="2"/>
  <c r="AP54" i="2"/>
  <c r="AQ54" i="2"/>
  <c r="AR54" i="2"/>
  <c r="AS54" i="2"/>
  <c r="AB55" i="2"/>
  <c r="AC55" i="2"/>
  <c r="AD55" i="2"/>
  <c r="AE55" i="2"/>
  <c r="AF55" i="2"/>
  <c r="AG55" i="2"/>
  <c r="AH55" i="2"/>
  <c r="AI55" i="2"/>
  <c r="AJ55" i="2"/>
  <c r="AK55" i="2"/>
  <c r="AL55" i="2"/>
  <c r="AM55" i="2"/>
  <c r="AN55" i="2"/>
  <c r="AO55" i="2"/>
  <c r="AP55" i="2"/>
  <c r="AQ55" i="2"/>
  <c r="AR55" i="2"/>
  <c r="AS55" i="2"/>
  <c r="AB56" i="2"/>
  <c r="AC56" i="2"/>
  <c r="AD56" i="2"/>
  <c r="AE56" i="2"/>
  <c r="AF56" i="2"/>
  <c r="AG56" i="2"/>
  <c r="AH56" i="2"/>
  <c r="AI56" i="2"/>
  <c r="AJ56" i="2"/>
  <c r="AK56" i="2"/>
  <c r="AL56" i="2"/>
  <c r="AM56" i="2"/>
  <c r="AN56" i="2"/>
  <c r="AO56" i="2"/>
  <c r="AP56" i="2"/>
  <c r="AQ56" i="2"/>
  <c r="AR56" i="2"/>
  <c r="AS56" i="2"/>
  <c r="AB57" i="2"/>
  <c r="AC57" i="2"/>
  <c r="AD57" i="2"/>
  <c r="AE57" i="2"/>
  <c r="AF57" i="2"/>
  <c r="AG57" i="2"/>
  <c r="AH57" i="2"/>
  <c r="AI57" i="2"/>
  <c r="AJ57" i="2"/>
  <c r="AK57" i="2"/>
  <c r="AL57" i="2"/>
  <c r="AM57" i="2"/>
  <c r="AN57" i="2"/>
  <c r="AO57" i="2"/>
  <c r="AP57" i="2"/>
  <c r="AQ57" i="2"/>
  <c r="AR57" i="2"/>
  <c r="AS57" i="2"/>
  <c r="AB58" i="2"/>
  <c r="AC58" i="2"/>
  <c r="AD58" i="2"/>
  <c r="AE58" i="2"/>
  <c r="AF58" i="2"/>
  <c r="AG58" i="2"/>
  <c r="AH58" i="2"/>
  <c r="AI58" i="2"/>
  <c r="AJ58" i="2"/>
  <c r="AK58" i="2"/>
  <c r="AL58" i="2"/>
  <c r="AM58" i="2"/>
  <c r="AN58" i="2"/>
  <c r="AO58" i="2"/>
  <c r="AP58" i="2"/>
  <c r="AQ58" i="2"/>
  <c r="AR58" i="2"/>
  <c r="AS58" i="2"/>
  <c r="AB59" i="2"/>
  <c r="AC59" i="2"/>
  <c r="AD59" i="2"/>
  <c r="AE59" i="2"/>
  <c r="AF59" i="2"/>
  <c r="AG59" i="2"/>
  <c r="AH59" i="2"/>
  <c r="AI59" i="2"/>
  <c r="AJ59" i="2"/>
  <c r="AK59" i="2"/>
  <c r="AL59" i="2"/>
  <c r="AM59" i="2"/>
  <c r="AN59" i="2"/>
  <c r="AO59" i="2"/>
  <c r="AP59" i="2"/>
  <c r="AQ59" i="2"/>
  <c r="AR59" i="2"/>
  <c r="AS59" i="2"/>
  <c r="AB60" i="2"/>
  <c r="AC60" i="2"/>
  <c r="AD60" i="2"/>
  <c r="AE60" i="2"/>
  <c r="AF60" i="2"/>
  <c r="AG60" i="2"/>
  <c r="AH60" i="2"/>
  <c r="AI60" i="2"/>
  <c r="AJ60" i="2"/>
  <c r="AK60" i="2"/>
  <c r="AL60" i="2"/>
  <c r="AM60" i="2"/>
  <c r="AN60" i="2"/>
  <c r="AO60" i="2"/>
  <c r="AP60" i="2"/>
  <c r="AQ60" i="2"/>
  <c r="AR60" i="2"/>
  <c r="AS60" i="2"/>
  <c r="AB61" i="2"/>
  <c r="AC61" i="2"/>
  <c r="AD61" i="2"/>
  <c r="AE61" i="2"/>
  <c r="AF61" i="2"/>
  <c r="AG61" i="2"/>
  <c r="AH61" i="2"/>
  <c r="AI61" i="2"/>
  <c r="AJ61" i="2"/>
  <c r="AK61" i="2"/>
  <c r="AL61" i="2"/>
  <c r="AM61" i="2"/>
  <c r="AN61" i="2"/>
  <c r="AO61" i="2"/>
  <c r="AP61" i="2"/>
  <c r="AQ61" i="2"/>
  <c r="AR61" i="2"/>
  <c r="AS61" i="2"/>
  <c r="AB62" i="2"/>
  <c r="AC62" i="2"/>
  <c r="AD62" i="2"/>
  <c r="AE62" i="2"/>
  <c r="AF62" i="2"/>
  <c r="AG62" i="2"/>
  <c r="AH62" i="2"/>
  <c r="AI62" i="2"/>
  <c r="AJ62" i="2"/>
  <c r="AK62" i="2"/>
  <c r="AL62" i="2"/>
  <c r="AM62" i="2"/>
  <c r="AN62" i="2"/>
  <c r="AO62" i="2"/>
  <c r="AP62" i="2"/>
  <c r="AQ62" i="2"/>
  <c r="AR62" i="2"/>
  <c r="AS62" i="2"/>
  <c r="AB63" i="2"/>
  <c r="AC63" i="2"/>
  <c r="AD63" i="2"/>
  <c r="AE63" i="2"/>
  <c r="AF63" i="2"/>
  <c r="AG63" i="2"/>
  <c r="AH63" i="2"/>
  <c r="AI63" i="2"/>
  <c r="AJ63" i="2"/>
  <c r="AK63" i="2"/>
  <c r="AL63" i="2"/>
  <c r="AM63" i="2"/>
  <c r="AN63" i="2"/>
  <c r="AO63" i="2"/>
  <c r="AP63" i="2"/>
  <c r="AQ63" i="2"/>
  <c r="AR63" i="2"/>
  <c r="AS63" i="2"/>
  <c r="AB64" i="2"/>
  <c r="AC64" i="2"/>
  <c r="AD64" i="2"/>
  <c r="AE64" i="2"/>
  <c r="AF64" i="2"/>
  <c r="AG64" i="2"/>
  <c r="AH64" i="2"/>
  <c r="AI64" i="2"/>
  <c r="AJ64" i="2"/>
  <c r="AK64" i="2"/>
  <c r="AL64" i="2"/>
  <c r="AM64" i="2"/>
  <c r="AN64" i="2"/>
  <c r="AO64" i="2"/>
  <c r="AP64" i="2"/>
  <c r="AQ64" i="2"/>
  <c r="AR64" i="2"/>
  <c r="AS64" i="2"/>
  <c r="AB65" i="2"/>
  <c r="AC65" i="2"/>
  <c r="AD65" i="2"/>
  <c r="AE65" i="2"/>
  <c r="AF65" i="2"/>
  <c r="AG65" i="2"/>
  <c r="AH65" i="2"/>
  <c r="AI65" i="2"/>
  <c r="AJ65" i="2"/>
  <c r="AK65" i="2"/>
  <c r="AL65" i="2"/>
  <c r="AM65" i="2"/>
  <c r="AN65" i="2"/>
  <c r="AO65" i="2"/>
  <c r="AP65" i="2"/>
  <c r="AQ65" i="2"/>
  <c r="AR65" i="2"/>
  <c r="AS65" i="2"/>
  <c r="AB66" i="2"/>
  <c r="AC66" i="2"/>
  <c r="AD66" i="2"/>
  <c r="AE66" i="2"/>
  <c r="AF66" i="2"/>
  <c r="AG66" i="2"/>
  <c r="AH66" i="2"/>
  <c r="AI66" i="2"/>
  <c r="AJ66" i="2"/>
  <c r="AK66" i="2"/>
  <c r="AL66" i="2"/>
  <c r="AM66" i="2"/>
  <c r="AN66" i="2"/>
  <c r="AO66" i="2"/>
  <c r="AP66" i="2"/>
  <c r="AQ66" i="2"/>
  <c r="AR66" i="2"/>
  <c r="AS66" i="2"/>
  <c r="AB67" i="2"/>
  <c r="AC67" i="2"/>
  <c r="AD67" i="2"/>
  <c r="AE67" i="2"/>
  <c r="AF67" i="2"/>
  <c r="AG67" i="2"/>
  <c r="AH67" i="2"/>
  <c r="AI67" i="2"/>
  <c r="AJ67" i="2"/>
  <c r="AK67" i="2"/>
  <c r="AL67" i="2"/>
  <c r="AM67" i="2"/>
  <c r="AN67" i="2"/>
  <c r="AO67" i="2"/>
  <c r="AP67" i="2"/>
  <c r="AQ67" i="2"/>
  <c r="AR67" i="2"/>
  <c r="AS67" i="2"/>
  <c r="AB68" i="2"/>
  <c r="AC68" i="2"/>
  <c r="AD68" i="2"/>
  <c r="AE68" i="2"/>
  <c r="AF68" i="2"/>
  <c r="AG68" i="2"/>
  <c r="AH68" i="2"/>
  <c r="AI68" i="2"/>
  <c r="AJ68" i="2"/>
  <c r="AK68" i="2"/>
  <c r="AL68" i="2"/>
  <c r="AM68" i="2"/>
  <c r="AN68" i="2"/>
  <c r="AO68" i="2"/>
  <c r="AP68" i="2"/>
  <c r="AQ68" i="2"/>
  <c r="AR68" i="2"/>
  <c r="AS68" i="2"/>
  <c r="AB69" i="2"/>
  <c r="AC69" i="2"/>
  <c r="AD69" i="2"/>
  <c r="AE69" i="2"/>
  <c r="AF69" i="2"/>
  <c r="AG69" i="2"/>
  <c r="AH69" i="2"/>
  <c r="AI69" i="2"/>
  <c r="AJ69" i="2"/>
  <c r="AK69" i="2"/>
  <c r="AL69" i="2"/>
  <c r="AM69" i="2"/>
  <c r="AN69" i="2"/>
  <c r="AO69" i="2"/>
  <c r="AP69" i="2"/>
  <c r="AQ69" i="2"/>
  <c r="AR69" i="2"/>
  <c r="AS69" i="2"/>
  <c r="AB70" i="2"/>
  <c r="AC70" i="2"/>
  <c r="AD70" i="2"/>
  <c r="AE70" i="2"/>
  <c r="AF70" i="2"/>
  <c r="AG70" i="2"/>
  <c r="AH70" i="2"/>
  <c r="AI70" i="2"/>
  <c r="AJ70" i="2"/>
  <c r="AK70" i="2"/>
  <c r="AL70" i="2"/>
  <c r="AM70" i="2"/>
  <c r="AN70" i="2"/>
  <c r="AO70" i="2"/>
  <c r="AP70" i="2"/>
  <c r="AQ70" i="2"/>
  <c r="AR70" i="2"/>
  <c r="AS70" i="2"/>
  <c r="AB71" i="2"/>
  <c r="AC71" i="2"/>
  <c r="AD71" i="2"/>
  <c r="AE71" i="2"/>
  <c r="AF71" i="2"/>
  <c r="AG71" i="2"/>
  <c r="AH71" i="2"/>
  <c r="AI71" i="2"/>
  <c r="AJ71" i="2"/>
  <c r="AK71" i="2"/>
  <c r="AL71" i="2"/>
  <c r="AM71" i="2"/>
  <c r="AN71" i="2"/>
  <c r="AO71" i="2"/>
  <c r="AP71" i="2"/>
  <c r="AQ71" i="2"/>
  <c r="AR71" i="2"/>
  <c r="AS71" i="2"/>
  <c r="AB72" i="2"/>
  <c r="AC72" i="2"/>
  <c r="AD72" i="2"/>
  <c r="AE72" i="2"/>
  <c r="AF72" i="2"/>
  <c r="AG72" i="2"/>
  <c r="AH72" i="2"/>
  <c r="AI72" i="2"/>
  <c r="AJ72" i="2"/>
  <c r="AK72" i="2"/>
  <c r="AL72" i="2"/>
  <c r="AM72" i="2"/>
  <c r="AN72" i="2"/>
  <c r="AO72" i="2"/>
  <c r="AP72" i="2"/>
  <c r="AQ72" i="2"/>
  <c r="AR72" i="2"/>
  <c r="AS72" i="2"/>
  <c r="AB73" i="2"/>
  <c r="AC73" i="2"/>
  <c r="AD73" i="2"/>
  <c r="AE73" i="2"/>
  <c r="AF73" i="2"/>
  <c r="AG73" i="2"/>
  <c r="AH73" i="2"/>
  <c r="AI73" i="2"/>
  <c r="AJ73" i="2"/>
  <c r="AK73" i="2"/>
  <c r="AL73" i="2"/>
  <c r="AM73" i="2"/>
  <c r="AN73" i="2"/>
  <c r="AO73" i="2"/>
  <c r="AP73" i="2"/>
  <c r="AQ73" i="2"/>
  <c r="AR73" i="2"/>
  <c r="AS73" i="2"/>
  <c r="AB74" i="2"/>
  <c r="AC74" i="2"/>
  <c r="AD74" i="2"/>
  <c r="AE74" i="2"/>
  <c r="AF74" i="2"/>
  <c r="AG74" i="2"/>
  <c r="AH74" i="2"/>
  <c r="AI74" i="2"/>
  <c r="AJ74" i="2"/>
  <c r="AK74" i="2"/>
  <c r="AL74" i="2"/>
  <c r="AM74" i="2"/>
  <c r="AN74" i="2"/>
  <c r="AO74" i="2"/>
  <c r="AP74" i="2"/>
  <c r="AQ74" i="2"/>
  <c r="AR74" i="2"/>
  <c r="AS74" i="2"/>
  <c r="AB75" i="2"/>
  <c r="AC75" i="2"/>
  <c r="AD75" i="2"/>
  <c r="AE75" i="2"/>
  <c r="AF75" i="2"/>
  <c r="AG75" i="2"/>
  <c r="AH75" i="2"/>
  <c r="AI75" i="2"/>
  <c r="AJ75" i="2"/>
  <c r="AK75" i="2"/>
  <c r="AL75" i="2"/>
  <c r="AM75" i="2"/>
  <c r="AN75" i="2"/>
  <c r="AO75" i="2"/>
  <c r="AP75" i="2"/>
  <c r="AQ75" i="2"/>
  <c r="AR75" i="2"/>
  <c r="AS75" i="2"/>
  <c r="AB76" i="2"/>
  <c r="AC76" i="2"/>
  <c r="AD76" i="2"/>
  <c r="AE76" i="2"/>
  <c r="AF76" i="2"/>
  <c r="AG76" i="2"/>
  <c r="AH76" i="2"/>
  <c r="AI76" i="2"/>
  <c r="AJ76" i="2"/>
  <c r="AK76" i="2"/>
  <c r="AL76" i="2"/>
  <c r="AM76" i="2"/>
  <c r="AN76" i="2"/>
  <c r="AO76" i="2"/>
  <c r="AP76" i="2"/>
  <c r="AQ76" i="2"/>
  <c r="AR76" i="2"/>
  <c r="AS76" i="2"/>
  <c r="AB77" i="2"/>
  <c r="AC77" i="2"/>
  <c r="AD77" i="2"/>
  <c r="AE77" i="2"/>
  <c r="AF77" i="2"/>
  <c r="AG77" i="2"/>
  <c r="AH77" i="2"/>
  <c r="AI77" i="2"/>
  <c r="AJ77" i="2"/>
  <c r="AK77" i="2"/>
  <c r="AL77" i="2"/>
  <c r="AM77" i="2"/>
  <c r="AN77" i="2"/>
  <c r="AO77" i="2"/>
  <c r="AP77" i="2"/>
  <c r="AQ77" i="2"/>
  <c r="AR77" i="2"/>
  <c r="AS77" i="2"/>
  <c r="AB78" i="2"/>
  <c r="AC78" i="2"/>
  <c r="AD78" i="2"/>
  <c r="AE78" i="2"/>
  <c r="AF78" i="2"/>
  <c r="AG78" i="2"/>
  <c r="AH78" i="2"/>
  <c r="AI78" i="2"/>
  <c r="AJ78" i="2"/>
  <c r="AK78" i="2"/>
  <c r="AL78" i="2"/>
  <c r="AM78" i="2"/>
  <c r="AN78" i="2"/>
  <c r="AO78" i="2"/>
  <c r="AP78" i="2"/>
  <c r="AQ78" i="2"/>
  <c r="AR78" i="2"/>
  <c r="AS78" i="2"/>
  <c r="AB79" i="2"/>
  <c r="AC79" i="2"/>
  <c r="AD79" i="2"/>
  <c r="AE79" i="2"/>
  <c r="AF79" i="2"/>
  <c r="AG79" i="2"/>
  <c r="AH79" i="2"/>
  <c r="AI79" i="2"/>
  <c r="AJ79" i="2"/>
  <c r="AK79" i="2"/>
  <c r="AL79" i="2"/>
  <c r="AM79" i="2"/>
  <c r="AN79" i="2"/>
  <c r="AO79" i="2"/>
  <c r="AP79" i="2"/>
  <c r="AQ79" i="2"/>
  <c r="AR79" i="2"/>
  <c r="AS79" i="2"/>
  <c r="AB80" i="2"/>
  <c r="AC80" i="2"/>
  <c r="AD80" i="2"/>
  <c r="AE80" i="2"/>
  <c r="AF80" i="2"/>
  <c r="AG80" i="2"/>
  <c r="AH80" i="2"/>
  <c r="AI80" i="2"/>
  <c r="AJ80" i="2"/>
  <c r="AK80" i="2"/>
  <c r="AL80" i="2"/>
  <c r="AM80" i="2"/>
  <c r="AN80" i="2"/>
  <c r="AO80" i="2"/>
  <c r="AP80" i="2"/>
  <c r="AQ80" i="2"/>
  <c r="AR80" i="2"/>
  <c r="AS80" i="2"/>
  <c r="AB81" i="2"/>
  <c r="AC81" i="2"/>
  <c r="AD81" i="2"/>
  <c r="AE81" i="2"/>
  <c r="AF81" i="2"/>
  <c r="AG81" i="2"/>
  <c r="AH81" i="2"/>
  <c r="AI81" i="2"/>
  <c r="AJ81" i="2"/>
  <c r="AK81" i="2"/>
  <c r="AL81" i="2"/>
  <c r="AM81" i="2"/>
  <c r="AN81" i="2"/>
  <c r="AO81" i="2"/>
  <c r="AP81" i="2"/>
  <c r="AQ81" i="2"/>
  <c r="AR81" i="2"/>
  <c r="AS81" i="2"/>
  <c r="AB82" i="2"/>
  <c r="AC82" i="2"/>
  <c r="AD82" i="2"/>
  <c r="AE82" i="2"/>
  <c r="AF82" i="2"/>
  <c r="AG82" i="2"/>
  <c r="AH82" i="2"/>
  <c r="AI82" i="2"/>
  <c r="AJ82" i="2"/>
  <c r="AK82" i="2"/>
  <c r="AL82" i="2"/>
  <c r="AM82" i="2"/>
  <c r="AN82" i="2"/>
  <c r="AO82" i="2"/>
  <c r="AP82" i="2"/>
  <c r="AQ82" i="2"/>
  <c r="AR82" i="2"/>
  <c r="AS82" i="2"/>
  <c r="AB83" i="2"/>
  <c r="AC83" i="2"/>
  <c r="AD83" i="2"/>
  <c r="AE83" i="2"/>
  <c r="AF83" i="2"/>
  <c r="AG83" i="2"/>
  <c r="AH83" i="2"/>
  <c r="AI83" i="2"/>
  <c r="AJ83" i="2"/>
  <c r="AK83" i="2"/>
  <c r="AL83" i="2"/>
  <c r="AM83" i="2"/>
  <c r="AN83" i="2"/>
  <c r="AO83" i="2"/>
  <c r="AP83" i="2"/>
  <c r="AQ83" i="2"/>
  <c r="AR83" i="2"/>
  <c r="AS83" i="2"/>
  <c r="AB84" i="2"/>
  <c r="AC84" i="2"/>
  <c r="AD84" i="2"/>
  <c r="AE84" i="2"/>
  <c r="AF84" i="2"/>
  <c r="AG84" i="2"/>
  <c r="AH84" i="2"/>
  <c r="AI84" i="2"/>
  <c r="AJ84" i="2"/>
  <c r="AK84" i="2"/>
  <c r="AL84" i="2"/>
  <c r="AM84" i="2"/>
  <c r="AN84" i="2"/>
  <c r="AO84" i="2"/>
  <c r="AP84" i="2"/>
  <c r="AQ84" i="2"/>
  <c r="AR84" i="2"/>
  <c r="AS84" i="2"/>
  <c r="AB85" i="2"/>
  <c r="AC85" i="2"/>
  <c r="AD85" i="2"/>
  <c r="AE85" i="2"/>
  <c r="AF85" i="2"/>
  <c r="AG85" i="2"/>
  <c r="AH85" i="2"/>
  <c r="AI85" i="2"/>
  <c r="AJ85" i="2"/>
  <c r="AK85" i="2"/>
  <c r="AL85" i="2"/>
  <c r="AM85" i="2"/>
  <c r="AN85" i="2"/>
  <c r="AO85" i="2"/>
  <c r="AP85" i="2"/>
  <c r="AQ85" i="2"/>
  <c r="AR85" i="2"/>
  <c r="AS85" i="2"/>
  <c r="AB86" i="2"/>
  <c r="AC86" i="2"/>
  <c r="AD86" i="2"/>
  <c r="AE86" i="2"/>
  <c r="AF86" i="2"/>
  <c r="AG86" i="2"/>
  <c r="AH86" i="2"/>
  <c r="AI86" i="2"/>
  <c r="AJ86" i="2"/>
  <c r="AK86" i="2"/>
  <c r="AL86" i="2"/>
  <c r="AM86" i="2"/>
  <c r="AN86" i="2"/>
  <c r="AO86" i="2"/>
  <c r="AP86" i="2"/>
  <c r="AQ86" i="2"/>
  <c r="AR86" i="2"/>
  <c r="AS86" i="2"/>
  <c r="AB87" i="2"/>
  <c r="AC87" i="2"/>
  <c r="AD87" i="2"/>
  <c r="AE87" i="2"/>
  <c r="AF87" i="2"/>
  <c r="AG87" i="2"/>
  <c r="AH87" i="2"/>
  <c r="AI87" i="2"/>
  <c r="AJ87" i="2"/>
  <c r="AK87" i="2"/>
  <c r="AL87" i="2"/>
  <c r="AM87" i="2"/>
  <c r="AN87" i="2"/>
  <c r="AO87" i="2"/>
  <c r="AP87" i="2"/>
  <c r="AQ87" i="2"/>
  <c r="AR87" i="2"/>
  <c r="AS87" i="2"/>
  <c r="AB88" i="2"/>
  <c r="AC88" i="2"/>
  <c r="AD88" i="2"/>
  <c r="AE88" i="2"/>
  <c r="AF88" i="2"/>
  <c r="AG88" i="2"/>
  <c r="AH88" i="2"/>
  <c r="AI88" i="2"/>
  <c r="AJ88" i="2"/>
  <c r="AK88" i="2"/>
  <c r="AL88" i="2"/>
  <c r="AM88" i="2"/>
  <c r="AN88" i="2"/>
  <c r="AO88" i="2"/>
  <c r="AP88" i="2"/>
  <c r="AQ88" i="2"/>
  <c r="AR88" i="2"/>
  <c r="AS88" i="2"/>
  <c r="AB89" i="2"/>
  <c r="AC89" i="2"/>
  <c r="AD89" i="2"/>
  <c r="AE89" i="2"/>
  <c r="AF89" i="2"/>
  <c r="AG89" i="2"/>
  <c r="AH89" i="2"/>
  <c r="AI89" i="2"/>
  <c r="AJ89" i="2"/>
  <c r="AK89" i="2"/>
  <c r="AL89" i="2"/>
  <c r="AM89" i="2"/>
  <c r="AN89" i="2"/>
  <c r="AO89" i="2"/>
  <c r="AP89" i="2"/>
  <c r="AQ89" i="2"/>
  <c r="AR89" i="2"/>
  <c r="AS89" i="2"/>
  <c r="AB90" i="2"/>
  <c r="AC90" i="2"/>
  <c r="AD90" i="2"/>
  <c r="AE90" i="2"/>
  <c r="AF90" i="2"/>
  <c r="AG90" i="2"/>
  <c r="AH90" i="2"/>
  <c r="AI90" i="2"/>
  <c r="AJ90" i="2"/>
  <c r="AK90" i="2"/>
  <c r="AL90" i="2"/>
  <c r="AM90" i="2"/>
  <c r="AN90" i="2"/>
  <c r="AO90" i="2"/>
  <c r="AP90" i="2"/>
  <c r="AQ90" i="2"/>
  <c r="AR90" i="2"/>
  <c r="AS90" i="2"/>
  <c r="AB91" i="2"/>
  <c r="AC91" i="2"/>
  <c r="AD91" i="2"/>
  <c r="AE91" i="2"/>
  <c r="AF91" i="2"/>
  <c r="AG91" i="2"/>
  <c r="AH91" i="2"/>
  <c r="AI91" i="2"/>
  <c r="AJ91" i="2"/>
  <c r="AK91" i="2"/>
  <c r="AL91" i="2"/>
  <c r="AM91" i="2"/>
  <c r="AN91" i="2"/>
  <c r="AO91" i="2"/>
  <c r="AP91" i="2"/>
  <c r="AQ91" i="2"/>
  <c r="AR91" i="2"/>
  <c r="AS91" i="2"/>
  <c r="AB92" i="2"/>
  <c r="AC92" i="2"/>
  <c r="AD92" i="2"/>
  <c r="AE92" i="2"/>
  <c r="AF92" i="2"/>
  <c r="AG92" i="2"/>
  <c r="AH92" i="2"/>
  <c r="AI92" i="2"/>
  <c r="AJ92" i="2"/>
  <c r="AK92" i="2"/>
  <c r="AL92" i="2"/>
  <c r="AM92" i="2"/>
  <c r="AN92" i="2"/>
  <c r="AO92" i="2"/>
  <c r="AP92" i="2"/>
  <c r="AQ92" i="2"/>
  <c r="AR92" i="2"/>
  <c r="AS92" i="2"/>
  <c r="AB93" i="2"/>
  <c r="AC93" i="2"/>
  <c r="AD93" i="2"/>
  <c r="AE93" i="2"/>
  <c r="AF93" i="2"/>
  <c r="AG93" i="2"/>
  <c r="AH93" i="2"/>
  <c r="AI93" i="2"/>
  <c r="AJ93" i="2"/>
  <c r="AK93" i="2"/>
  <c r="AL93" i="2"/>
  <c r="AM93" i="2"/>
  <c r="AN93" i="2"/>
  <c r="AO93" i="2"/>
  <c r="AP93" i="2"/>
  <c r="AQ93" i="2"/>
  <c r="AR93" i="2"/>
  <c r="AS93" i="2"/>
  <c r="AB94" i="2"/>
  <c r="AC94" i="2"/>
  <c r="AD94" i="2"/>
  <c r="AE94" i="2"/>
  <c r="AF94" i="2"/>
  <c r="AG94" i="2"/>
  <c r="AH94" i="2"/>
  <c r="AI94" i="2"/>
  <c r="AJ94" i="2"/>
  <c r="AK94" i="2"/>
  <c r="AL94" i="2"/>
  <c r="AM94" i="2"/>
  <c r="AN94" i="2"/>
  <c r="AO94" i="2"/>
  <c r="AP94" i="2"/>
  <c r="AQ94" i="2"/>
  <c r="AR94" i="2"/>
  <c r="AS94" i="2"/>
  <c r="AB95" i="2"/>
  <c r="AC95" i="2"/>
  <c r="AD95" i="2"/>
  <c r="AE95" i="2"/>
  <c r="AF95" i="2"/>
  <c r="AG95" i="2"/>
  <c r="AH95" i="2"/>
  <c r="AI95" i="2"/>
  <c r="AJ95" i="2"/>
  <c r="AK95" i="2"/>
  <c r="AL95" i="2"/>
  <c r="AM95" i="2"/>
  <c r="AN95" i="2"/>
  <c r="AO95" i="2"/>
  <c r="AP95" i="2"/>
  <c r="AQ95" i="2"/>
  <c r="AR95" i="2"/>
  <c r="AS95" i="2"/>
  <c r="AB96" i="2"/>
  <c r="AC96" i="2"/>
  <c r="AD96" i="2"/>
  <c r="AE96" i="2"/>
  <c r="AF96" i="2"/>
  <c r="AG96" i="2"/>
  <c r="AH96" i="2"/>
  <c r="AI96" i="2"/>
  <c r="AJ96" i="2"/>
  <c r="AK96" i="2"/>
  <c r="AL96" i="2"/>
  <c r="AM96" i="2"/>
  <c r="AN96" i="2"/>
  <c r="AO96" i="2"/>
  <c r="AP96" i="2"/>
  <c r="AQ96" i="2"/>
  <c r="AR96" i="2"/>
  <c r="AS96" i="2"/>
  <c r="AB97" i="2"/>
  <c r="AC97" i="2"/>
  <c r="AD97" i="2"/>
  <c r="AE97" i="2"/>
  <c r="AF97" i="2"/>
  <c r="AG97" i="2"/>
  <c r="AH97" i="2"/>
  <c r="AI97" i="2"/>
  <c r="AJ97" i="2"/>
  <c r="AK97" i="2"/>
  <c r="AL97" i="2"/>
  <c r="AM97" i="2"/>
  <c r="AN97" i="2"/>
  <c r="AO97" i="2"/>
  <c r="AP97" i="2"/>
  <c r="AQ97" i="2"/>
  <c r="AR97" i="2"/>
  <c r="AS97" i="2"/>
  <c r="AB98" i="2"/>
  <c r="AC98" i="2"/>
  <c r="AD98" i="2"/>
  <c r="AE98" i="2"/>
  <c r="AF98" i="2"/>
  <c r="AG98" i="2"/>
  <c r="AH98" i="2"/>
  <c r="AI98" i="2"/>
  <c r="AJ98" i="2"/>
  <c r="AK98" i="2"/>
  <c r="AL98" i="2"/>
  <c r="AM98" i="2"/>
  <c r="AN98" i="2"/>
  <c r="AO98" i="2"/>
  <c r="AP98" i="2"/>
  <c r="AQ98" i="2"/>
  <c r="AR98" i="2"/>
  <c r="AS98" i="2"/>
  <c r="AB99" i="2"/>
  <c r="AC99" i="2"/>
  <c r="AD99" i="2"/>
  <c r="AE99" i="2"/>
  <c r="AF99" i="2"/>
  <c r="AG99" i="2"/>
  <c r="AH99" i="2"/>
  <c r="AI99" i="2"/>
  <c r="AJ99" i="2"/>
  <c r="AK99" i="2"/>
  <c r="AL99" i="2"/>
  <c r="AM99" i="2"/>
  <c r="AN99" i="2"/>
  <c r="AO99" i="2"/>
  <c r="AP99" i="2"/>
  <c r="AQ99" i="2"/>
  <c r="AR99" i="2"/>
  <c r="AS99" i="2"/>
  <c r="AB100" i="2"/>
  <c r="AC100" i="2"/>
  <c r="AD100" i="2"/>
  <c r="AE100" i="2"/>
  <c r="AF100" i="2"/>
  <c r="AG100" i="2"/>
  <c r="AH100" i="2"/>
  <c r="AI100" i="2"/>
  <c r="AJ100" i="2"/>
  <c r="AK100" i="2"/>
  <c r="AL100" i="2"/>
  <c r="AM100" i="2"/>
  <c r="AN100" i="2"/>
  <c r="AO100" i="2"/>
  <c r="AP100" i="2"/>
  <c r="AQ100" i="2"/>
  <c r="AR100" i="2"/>
  <c r="AS100" i="2"/>
  <c r="AB101" i="2"/>
  <c r="AC101" i="2"/>
  <c r="AD101" i="2"/>
  <c r="AE101" i="2"/>
  <c r="AF101" i="2"/>
  <c r="AG101" i="2"/>
  <c r="AH101" i="2"/>
  <c r="AI101" i="2"/>
  <c r="AJ101" i="2"/>
  <c r="AK101" i="2"/>
  <c r="AL101" i="2"/>
  <c r="AM101" i="2"/>
  <c r="AN101" i="2"/>
  <c r="AO101" i="2"/>
  <c r="AP101" i="2"/>
  <c r="AQ101" i="2"/>
  <c r="AR101" i="2"/>
  <c r="AS101" i="2"/>
  <c r="AB102" i="2"/>
  <c r="AC102" i="2"/>
  <c r="AD102" i="2"/>
  <c r="AE102" i="2"/>
  <c r="AF102" i="2"/>
  <c r="AG102" i="2"/>
  <c r="AH102" i="2"/>
  <c r="AI102" i="2"/>
  <c r="AJ102" i="2"/>
  <c r="AK102" i="2"/>
  <c r="AL102" i="2"/>
  <c r="AM102" i="2"/>
  <c r="AN102" i="2"/>
  <c r="AO102" i="2"/>
  <c r="AP102" i="2"/>
  <c r="AQ102" i="2"/>
  <c r="AR102" i="2"/>
  <c r="AS102" i="2"/>
  <c r="AB103" i="2"/>
  <c r="AC103" i="2"/>
  <c r="AD103" i="2"/>
  <c r="AE103" i="2"/>
  <c r="AF103" i="2"/>
  <c r="AG103" i="2"/>
  <c r="AH103" i="2"/>
  <c r="AI103" i="2"/>
  <c r="AJ103" i="2"/>
  <c r="AK103" i="2"/>
  <c r="AL103" i="2"/>
  <c r="AM103" i="2"/>
  <c r="AN103" i="2"/>
  <c r="AO103" i="2"/>
  <c r="AP103" i="2"/>
  <c r="AQ103" i="2"/>
  <c r="AR103" i="2"/>
  <c r="AS103" i="2"/>
  <c r="AB104" i="2"/>
  <c r="AC104" i="2"/>
  <c r="AD104" i="2"/>
  <c r="AE104" i="2"/>
  <c r="AF104" i="2"/>
  <c r="AG104" i="2"/>
  <c r="AH104" i="2"/>
  <c r="AI104" i="2"/>
  <c r="AJ104" i="2"/>
  <c r="AK104" i="2"/>
  <c r="AL104" i="2"/>
  <c r="AM104" i="2"/>
  <c r="AN104" i="2"/>
  <c r="AO104" i="2"/>
  <c r="AP104" i="2"/>
  <c r="AQ104" i="2"/>
  <c r="AR104" i="2"/>
  <c r="AS104" i="2"/>
  <c r="AB105" i="2"/>
  <c r="AC105" i="2"/>
  <c r="AD105" i="2"/>
  <c r="AE105" i="2"/>
  <c r="AF105" i="2"/>
  <c r="AG105" i="2"/>
  <c r="AH105" i="2"/>
  <c r="AI105" i="2"/>
  <c r="AJ105" i="2"/>
  <c r="AK105" i="2"/>
  <c r="AL105" i="2"/>
  <c r="AM105" i="2"/>
  <c r="AN105" i="2"/>
  <c r="AO105" i="2"/>
  <c r="AP105" i="2"/>
  <c r="AQ105" i="2"/>
  <c r="AR105" i="2"/>
  <c r="AS105" i="2"/>
  <c r="AB106" i="2"/>
  <c r="AC106" i="2"/>
  <c r="AD106" i="2"/>
  <c r="AE106" i="2"/>
  <c r="AF106" i="2"/>
  <c r="AG106" i="2"/>
  <c r="AH106" i="2"/>
  <c r="AI106" i="2"/>
  <c r="AJ106" i="2"/>
  <c r="AK106" i="2"/>
  <c r="AL106" i="2"/>
  <c r="AM106" i="2"/>
  <c r="AN106" i="2"/>
  <c r="AO106" i="2"/>
  <c r="AP106" i="2"/>
  <c r="AQ106" i="2"/>
  <c r="AR106" i="2"/>
  <c r="AS106" i="2"/>
  <c r="AB107" i="2"/>
  <c r="AC107" i="2"/>
  <c r="AD107" i="2"/>
  <c r="AE107" i="2"/>
  <c r="AF107" i="2"/>
  <c r="AG107" i="2"/>
  <c r="AH107" i="2"/>
  <c r="AI107" i="2"/>
  <c r="AJ107" i="2"/>
  <c r="AK107" i="2"/>
  <c r="AL107" i="2"/>
  <c r="AM107" i="2"/>
  <c r="AN107" i="2"/>
  <c r="AO107" i="2"/>
  <c r="AP107" i="2"/>
  <c r="AQ107" i="2"/>
  <c r="AR107" i="2"/>
  <c r="AS107" i="2"/>
  <c r="AB108" i="2"/>
  <c r="AC108" i="2"/>
  <c r="AD108" i="2"/>
  <c r="AE108" i="2"/>
  <c r="AF108" i="2"/>
  <c r="AG108" i="2"/>
  <c r="AH108" i="2"/>
  <c r="AI108" i="2"/>
  <c r="AJ108" i="2"/>
  <c r="AK108" i="2"/>
  <c r="AL108" i="2"/>
  <c r="AM108" i="2"/>
  <c r="AN108" i="2"/>
  <c r="AO108" i="2"/>
  <c r="AP108" i="2"/>
  <c r="AQ108" i="2"/>
  <c r="AR108" i="2"/>
  <c r="AS108" i="2"/>
  <c r="AB109" i="2"/>
  <c r="AC109" i="2"/>
  <c r="AD109" i="2"/>
  <c r="AE109" i="2"/>
  <c r="AF109" i="2"/>
  <c r="AG109" i="2"/>
  <c r="AH109" i="2"/>
  <c r="AI109" i="2"/>
  <c r="AJ109" i="2"/>
  <c r="AK109" i="2"/>
  <c r="AL109" i="2"/>
  <c r="AM109" i="2"/>
  <c r="AN109" i="2"/>
  <c r="AO109" i="2"/>
  <c r="AP109" i="2"/>
  <c r="AQ109" i="2"/>
  <c r="AR109" i="2"/>
  <c r="AS109" i="2"/>
  <c r="AB110" i="2"/>
  <c r="AC110" i="2"/>
  <c r="AD110" i="2"/>
  <c r="AE110" i="2"/>
  <c r="AF110" i="2"/>
  <c r="AG110" i="2"/>
  <c r="AH110" i="2"/>
  <c r="AI110" i="2"/>
  <c r="AJ110" i="2"/>
  <c r="AK110" i="2"/>
  <c r="AL110" i="2"/>
  <c r="AM110" i="2"/>
  <c r="AN110" i="2"/>
  <c r="AO110" i="2"/>
  <c r="AP110" i="2"/>
  <c r="AQ110" i="2"/>
  <c r="AR110" i="2"/>
  <c r="AS110" i="2"/>
  <c r="AB111" i="2"/>
  <c r="AC111" i="2"/>
  <c r="AD111" i="2"/>
  <c r="AE111" i="2"/>
  <c r="AF111" i="2"/>
  <c r="AG111" i="2"/>
  <c r="AH111" i="2"/>
  <c r="AI111" i="2"/>
  <c r="AJ111" i="2"/>
  <c r="AK111" i="2"/>
  <c r="AL111" i="2"/>
  <c r="AM111" i="2"/>
  <c r="AN111" i="2"/>
  <c r="AO111" i="2"/>
  <c r="AP111" i="2"/>
  <c r="AQ111" i="2"/>
  <c r="AR111" i="2"/>
  <c r="AS111" i="2"/>
  <c r="AB112" i="2"/>
  <c r="AC112" i="2"/>
  <c r="AD112" i="2"/>
  <c r="AE112" i="2"/>
  <c r="AF112" i="2"/>
  <c r="AG112" i="2"/>
  <c r="AH112" i="2"/>
  <c r="AI112" i="2"/>
  <c r="AJ112" i="2"/>
  <c r="AK112" i="2"/>
  <c r="AL112" i="2"/>
  <c r="AM112" i="2"/>
  <c r="AN112" i="2"/>
  <c r="AO112" i="2"/>
  <c r="AP112" i="2"/>
  <c r="AQ112" i="2"/>
  <c r="AR112" i="2"/>
  <c r="AS112" i="2"/>
  <c r="AB113" i="2"/>
  <c r="AC113" i="2"/>
  <c r="AD113" i="2"/>
  <c r="AE113" i="2"/>
  <c r="AF113" i="2"/>
  <c r="AG113" i="2"/>
  <c r="AH113" i="2"/>
  <c r="AI113" i="2"/>
  <c r="AJ113" i="2"/>
  <c r="AK113" i="2"/>
  <c r="AL113" i="2"/>
  <c r="AM113" i="2"/>
  <c r="AN113" i="2"/>
  <c r="AO113" i="2"/>
  <c r="AP113" i="2"/>
  <c r="AQ113" i="2"/>
  <c r="AR113" i="2"/>
  <c r="AS113" i="2"/>
  <c r="AB114" i="2"/>
  <c r="AC114" i="2"/>
  <c r="AD114" i="2"/>
  <c r="AE114" i="2"/>
  <c r="AF114" i="2"/>
  <c r="AG114" i="2"/>
  <c r="AH114" i="2"/>
  <c r="AI114" i="2"/>
  <c r="AJ114" i="2"/>
  <c r="AK114" i="2"/>
  <c r="AL114" i="2"/>
  <c r="AM114" i="2"/>
  <c r="AN114" i="2"/>
  <c r="AO114" i="2"/>
  <c r="AP114" i="2"/>
  <c r="AQ114" i="2"/>
  <c r="AR114" i="2"/>
  <c r="AS114" i="2"/>
  <c r="AB115" i="2"/>
  <c r="AC115" i="2"/>
  <c r="AD115" i="2"/>
  <c r="AE115" i="2"/>
  <c r="AF115" i="2"/>
  <c r="AG115" i="2"/>
  <c r="AH115" i="2"/>
  <c r="AI115" i="2"/>
  <c r="AJ115" i="2"/>
  <c r="AK115" i="2"/>
  <c r="AL115" i="2"/>
  <c r="AM115" i="2"/>
  <c r="AN115" i="2"/>
  <c r="AO115" i="2"/>
  <c r="AP115" i="2"/>
  <c r="AQ115" i="2"/>
  <c r="AR115" i="2"/>
  <c r="AS115" i="2"/>
  <c r="AB116" i="2"/>
  <c r="AC116" i="2"/>
  <c r="AD116" i="2"/>
  <c r="AE116" i="2"/>
  <c r="AF116" i="2"/>
  <c r="AG116" i="2"/>
  <c r="AH116" i="2"/>
  <c r="AI116" i="2"/>
  <c r="AJ116" i="2"/>
  <c r="AK116" i="2"/>
  <c r="AL116" i="2"/>
  <c r="AM116" i="2"/>
  <c r="AN116" i="2"/>
  <c r="AO116" i="2"/>
  <c r="AP116" i="2"/>
  <c r="AQ116" i="2"/>
  <c r="AR116" i="2"/>
  <c r="AS116" i="2"/>
  <c r="AB117" i="2"/>
  <c r="AC117" i="2"/>
  <c r="AD117" i="2"/>
  <c r="AE117" i="2"/>
  <c r="AF117" i="2"/>
  <c r="AG117" i="2"/>
  <c r="AH117" i="2"/>
  <c r="AI117" i="2"/>
  <c r="AJ117" i="2"/>
  <c r="AK117" i="2"/>
  <c r="AL117" i="2"/>
  <c r="AM117" i="2"/>
  <c r="AN117" i="2"/>
  <c r="AO117" i="2"/>
  <c r="AP117" i="2"/>
  <c r="AQ117" i="2"/>
  <c r="AR117" i="2"/>
  <c r="AS117" i="2"/>
  <c r="AB118" i="2"/>
  <c r="AC118" i="2"/>
  <c r="AD118" i="2"/>
  <c r="AE118" i="2"/>
  <c r="AF118" i="2"/>
  <c r="AG118" i="2"/>
  <c r="AH118" i="2"/>
  <c r="AI118" i="2"/>
  <c r="AJ118" i="2"/>
  <c r="AK118" i="2"/>
  <c r="AL118" i="2"/>
  <c r="AM118" i="2"/>
  <c r="AN118" i="2"/>
  <c r="AO118" i="2"/>
  <c r="AP118" i="2"/>
  <c r="AQ118" i="2"/>
  <c r="AR118" i="2"/>
  <c r="AS118" i="2"/>
  <c r="AB119" i="2"/>
  <c r="AC119" i="2"/>
  <c r="AD119" i="2"/>
  <c r="AE119" i="2"/>
  <c r="AF119" i="2"/>
  <c r="AG119" i="2"/>
  <c r="AH119" i="2"/>
  <c r="AI119" i="2"/>
  <c r="AJ119" i="2"/>
  <c r="AK119" i="2"/>
  <c r="AL119" i="2"/>
  <c r="AM119" i="2"/>
  <c r="AN119" i="2"/>
  <c r="AO119" i="2"/>
  <c r="AP119" i="2"/>
  <c r="AQ119" i="2"/>
  <c r="AR119" i="2"/>
  <c r="AS119" i="2"/>
  <c r="AB120" i="2"/>
  <c r="AC120" i="2"/>
  <c r="AD120" i="2"/>
  <c r="AE120" i="2"/>
  <c r="AF120" i="2"/>
  <c r="AG120" i="2"/>
  <c r="AH120" i="2"/>
  <c r="AI120" i="2"/>
  <c r="AJ120" i="2"/>
  <c r="AK120" i="2"/>
  <c r="AL120" i="2"/>
  <c r="AM120" i="2"/>
  <c r="AN120" i="2"/>
  <c r="AO120" i="2"/>
  <c r="AP120" i="2"/>
  <c r="AQ120" i="2"/>
  <c r="AR120" i="2"/>
  <c r="AS120" i="2"/>
  <c r="AB121" i="2"/>
  <c r="AC121" i="2"/>
  <c r="AD121" i="2"/>
  <c r="AE121" i="2"/>
  <c r="AF121" i="2"/>
  <c r="AG121" i="2"/>
  <c r="AH121" i="2"/>
  <c r="AI121" i="2"/>
  <c r="AJ121" i="2"/>
  <c r="AK121" i="2"/>
  <c r="AL121" i="2"/>
  <c r="AM121" i="2"/>
  <c r="AN121" i="2"/>
  <c r="AO121" i="2"/>
  <c r="AP121" i="2"/>
  <c r="AQ121" i="2"/>
  <c r="AR121" i="2"/>
  <c r="AS121" i="2"/>
  <c r="AB122" i="2"/>
  <c r="AC122" i="2"/>
  <c r="AD122" i="2"/>
  <c r="AE122" i="2"/>
  <c r="AF122" i="2"/>
  <c r="AG122" i="2"/>
  <c r="AH122" i="2"/>
  <c r="AI122" i="2"/>
  <c r="AJ122" i="2"/>
  <c r="AK122" i="2"/>
  <c r="AL122" i="2"/>
  <c r="AM122" i="2"/>
  <c r="AN122" i="2"/>
  <c r="AO122" i="2"/>
  <c r="AP122" i="2"/>
  <c r="AQ122" i="2"/>
  <c r="AR122" i="2"/>
  <c r="AS122" i="2"/>
  <c r="AB123" i="2"/>
  <c r="AC123" i="2"/>
  <c r="AD123" i="2"/>
  <c r="AE123" i="2"/>
  <c r="AF123" i="2"/>
  <c r="AG123" i="2"/>
  <c r="AH123" i="2"/>
  <c r="AI123" i="2"/>
  <c r="AJ123" i="2"/>
  <c r="AK123" i="2"/>
  <c r="AL123" i="2"/>
  <c r="AM123" i="2"/>
  <c r="AN123" i="2"/>
  <c r="AO123" i="2"/>
  <c r="AP123" i="2"/>
  <c r="AQ123" i="2"/>
  <c r="AR123" i="2"/>
  <c r="AS123" i="2"/>
  <c r="AB124" i="2"/>
  <c r="AC124" i="2"/>
  <c r="AD124" i="2"/>
  <c r="AE124" i="2"/>
  <c r="AF124" i="2"/>
  <c r="AG124" i="2"/>
  <c r="AH124" i="2"/>
  <c r="AI124" i="2"/>
  <c r="AJ124" i="2"/>
  <c r="AK124" i="2"/>
  <c r="AL124" i="2"/>
  <c r="AM124" i="2"/>
  <c r="AN124" i="2"/>
  <c r="AO124" i="2"/>
  <c r="AP124" i="2"/>
  <c r="AQ124" i="2"/>
  <c r="AR124" i="2"/>
  <c r="AS124" i="2"/>
  <c r="AB125" i="2"/>
  <c r="AC125" i="2"/>
  <c r="AD125" i="2"/>
  <c r="AE125" i="2"/>
  <c r="AF125" i="2"/>
  <c r="AG125" i="2"/>
  <c r="AH125" i="2"/>
  <c r="AI125" i="2"/>
  <c r="AJ125" i="2"/>
  <c r="AK125" i="2"/>
  <c r="AL125" i="2"/>
  <c r="AM125" i="2"/>
  <c r="AN125" i="2"/>
  <c r="AO125" i="2"/>
  <c r="AP125" i="2"/>
  <c r="AQ125" i="2"/>
  <c r="AR125" i="2"/>
  <c r="AS125" i="2"/>
  <c r="AB126" i="2"/>
  <c r="AC126" i="2"/>
  <c r="AD126" i="2"/>
  <c r="AE126" i="2"/>
  <c r="AF126" i="2"/>
  <c r="AG126" i="2"/>
  <c r="AH126" i="2"/>
  <c r="AI126" i="2"/>
  <c r="AJ126" i="2"/>
  <c r="AK126" i="2"/>
  <c r="AL126" i="2"/>
  <c r="AM126" i="2"/>
  <c r="AN126" i="2"/>
  <c r="AO126" i="2"/>
  <c r="AP126" i="2"/>
  <c r="AQ126" i="2"/>
  <c r="AR126" i="2"/>
  <c r="AS126" i="2"/>
  <c r="AB127" i="2"/>
  <c r="AC127" i="2"/>
  <c r="AD127" i="2"/>
  <c r="AE127" i="2"/>
  <c r="AF127" i="2"/>
  <c r="AG127" i="2"/>
  <c r="AH127" i="2"/>
  <c r="AI127" i="2"/>
  <c r="AJ127" i="2"/>
  <c r="AK127" i="2"/>
  <c r="AL127" i="2"/>
  <c r="AM127" i="2"/>
  <c r="AN127" i="2"/>
  <c r="AO127" i="2"/>
  <c r="AP127" i="2"/>
  <c r="AQ127" i="2"/>
  <c r="AR127" i="2"/>
  <c r="AS127" i="2"/>
  <c r="AB128" i="2"/>
  <c r="AC128" i="2"/>
  <c r="AD128" i="2"/>
  <c r="AE128" i="2"/>
  <c r="AF128" i="2"/>
  <c r="AG128" i="2"/>
  <c r="AH128" i="2"/>
  <c r="AI128" i="2"/>
  <c r="AJ128" i="2"/>
  <c r="AK128" i="2"/>
  <c r="AL128" i="2"/>
  <c r="AM128" i="2"/>
  <c r="AN128" i="2"/>
  <c r="AO128" i="2"/>
  <c r="AP128" i="2"/>
  <c r="AQ128" i="2"/>
  <c r="AR128" i="2"/>
  <c r="AS128" i="2"/>
  <c r="AB129" i="2"/>
  <c r="AC129" i="2"/>
  <c r="AD129" i="2"/>
  <c r="AE129" i="2"/>
  <c r="AF129" i="2"/>
  <c r="AG129" i="2"/>
  <c r="AH129" i="2"/>
  <c r="AI129" i="2"/>
  <c r="AJ129" i="2"/>
  <c r="AK129" i="2"/>
  <c r="AL129" i="2"/>
  <c r="AM129" i="2"/>
  <c r="AN129" i="2"/>
  <c r="AO129" i="2"/>
  <c r="AP129" i="2"/>
  <c r="AQ129" i="2"/>
  <c r="AR129" i="2"/>
  <c r="AS129" i="2"/>
  <c r="AB130" i="2"/>
  <c r="AC130" i="2"/>
  <c r="AD130" i="2"/>
  <c r="AE130" i="2"/>
  <c r="AF130" i="2"/>
  <c r="AG130" i="2"/>
  <c r="AH130" i="2"/>
  <c r="AI130" i="2"/>
  <c r="AJ130" i="2"/>
  <c r="AK130" i="2"/>
  <c r="AL130" i="2"/>
  <c r="AM130" i="2"/>
  <c r="AN130" i="2"/>
  <c r="AO130" i="2"/>
  <c r="AP130" i="2"/>
  <c r="AQ130" i="2"/>
  <c r="AR130" i="2"/>
  <c r="AS130" i="2"/>
  <c r="AB131" i="2"/>
  <c r="AC131" i="2"/>
  <c r="AD131" i="2"/>
  <c r="AE131" i="2"/>
  <c r="AF131" i="2"/>
  <c r="AG131" i="2"/>
  <c r="AH131" i="2"/>
  <c r="AI131" i="2"/>
  <c r="AJ131" i="2"/>
  <c r="AK131" i="2"/>
  <c r="AL131" i="2"/>
  <c r="AM131" i="2"/>
  <c r="AN131" i="2"/>
  <c r="AO131" i="2"/>
  <c r="AP131" i="2"/>
  <c r="AQ131" i="2"/>
  <c r="AR131" i="2"/>
  <c r="AS131" i="2"/>
  <c r="AB132" i="2"/>
  <c r="AC132" i="2"/>
  <c r="AD132" i="2"/>
  <c r="AE132" i="2"/>
  <c r="AF132" i="2"/>
  <c r="AG132" i="2"/>
  <c r="AH132" i="2"/>
  <c r="AI132" i="2"/>
  <c r="AJ132" i="2"/>
  <c r="AK132" i="2"/>
  <c r="AL132" i="2"/>
  <c r="AM132" i="2"/>
  <c r="AN132" i="2"/>
  <c r="AO132" i="2"/>
  <c r="AP132" i="2"/>
  <c r="AQ132" i="2"/>
  <c r="AR132" i="2"/>
  <c r="AS132" i="2"/>
  <c r="AB133" i="2"/>
  <c r="AC133" i="2"/>
  <c r="AD133" i="2"/>
  <c r="AE133" i="2"/>
  <c r="AF133" i="2"/>
  <c r="AG133" i="2"/>
  <c r="AH133" i="2"/>
  <c r="AI133" i="2"/>
  <c r="AJ133" i="2"/>
  <c r="AK133" i="2"/>
  <c r="AL133" i="2"/>
  <c r="AM133" i="2"/>
  <c r="AN133" i="2"/>
  <c r="AO133" i="2"/>
  <c r="AP133" i="2"/>
  <c r="AQ133" i="2"/>
  <c r="AR133" i="2"/>
  <c r="AS133" i="2"/>
  <c r="AB134" i="2"/>
  <c r="AC134" i="2"/>
  <c r="AD134" i="2"/>
  <c r="AE134" i="2"/>
  <c r="AF134" i="2"/>
  <c r="AG134" i="2"/>
  <c r="AH134" i="2"/>
  <c r="AI134" i="2"/>
  <c r="AJ134" i="2"/>
  <c r="AK134" i="2"/>
  <c r="AL134" i="2"/>
  <c r="AM134" i="2"/>
  <c r="AN134" i="2"/>
  <c r="AO134" i="2"/>
  <c r="AP134" i="2"/>
  <c r="AQ134" i="2"/>
  <c r="AR134" i="2"/>
  <c r="AS134" i="2"/>
  <c r="AB135" i="2"/>
  <c r="AC135" i="2"/>
  <c r="AD135" i="2"/>
  <c r="AE135" i="2"/>
  <c r="AF135" i="2"/>
  <c r="AG135" i="2"/>
  <c r="AH135" i="2"/>
  <c r="AI135" i="2"/>
  <c r="AJ135" i="2"/>
  <c r="AK135" i="2"/>
  <c r="AL135" i="2"/>
  <c r="AM135" i="2"/>
  <c r="AN135" i="2"/>
  <c r="AO135" i="2"/>
  <c r="AP135" i="2"/>
  <c r="AQ135" i="2"/>
  <c r="AR135" i="2"/>
  <c r="AS135" i="2"/>
  <c r="AB136" i="2"/>
  <c r="AC136" i="2"/>
  <c r="AD136" i="2"/>
  <c r="AE136" i="2"/>
  <c r="AF136" i="2"/>
  <c r="AG136" i="2"/>
  <c r="AH136" i="2"/>
  <c r="AI136" i="2"/>
  <c r="AJ136" i="2"/>
  <c r="AK136" i="2"/>
  <c r="AL136" i="2"/>
  <c r="AM136" i="2"/>
  <c r="AN136" i="2"/>
  <c r="AO136" i="2"/>
  <c r="AP136" i="2"/>
  <c r="AQ136" i="2"/>
  <c r="AR136" i="2"/>
  <c r="AS136" i="2"/>
  <c r="AB137" i="2"/>
  <c r="AC137" i="2"/>
  <c r="AD137" i="2"/>
  <c r="AE137" i="2"/>
  <c r="AF137" i="2"/>
  <c r="AG137" i="2"/>
  <c r="AH137" i="2"/>
  <c r="AI137" i="2"/>
  <c r="AJ137" i="2"/>
  <c r="AK137" i="2"/>
  <c r="AL137" i="2"/>
  <c r="AM137" i="2"/>
  <c r="AN137" i="2"/>
  <c r="AO137" i="2"/>
  <c r="AP137" i="2"/>
  <c r="AQ137" i="2"/>
  <c r="AR137" i="2"/>
  <c r="AS137" i="2"/>
  <c r="AB138" i="2"/>
  <c r="AC138" i="2"/>
  <c r="AD138" i="2"/>
  <c r="AE138" i="2"/>
  <c r="AF138" i="2"/>
  <c r="AG138" i="2"/>
  <c r="AH138" i="2"/>
  <c r="AI138" i="2"/>
  <c r="AJ138" i="2"/>
  <c r="AK138" i="2"/>
  <c r="AL138" i="2"/>
  <c r="AM138" i="2"/>
  <c r="AN138" i="2"/>
  <c r="AO138" i="2"/>
  <c r="AP138" i="2"/>
  <c r="AQ138" i="2"/>
  <c r="AR138" i="2"/>
  <c r="AS138" i="2"/>
  <c r="AB139" i="2"/>
  <c r="AC139" i="2"/>
  <c r="AD139" i="2"/>
  <c r="AE139" i="2"/>
  <c r="AF139" i="2"/>
  <c r="AG139" i="2"/>
  <c r="AH139" i="2"/>
  <c r="AI139" i="2"/>
  <c r="AJ139" i="2"/>
  <c r="AK139" i="2"/>
  <c r="AL139" i="2"/>
  <c r="AM139" i="2"/>
  <c r="AN139" i="2"/>
  <c r="AO139" i="2"/>
  <c r="AP139" i="2"/>
  <c r="AQ139" i="2"/>
  <c r="AR139" i="2"/>
  <c r="AS139" i="2"/>
  <c r="AB140" i="2"/>
  <c r="AC140" i="2"/>
  <c r="AD140" i="2"/>
  <c r="AE140" i="2"/>
  <c r="AF140" i="2"/>
  <c r="AG140" i="2"/>
  <c r="AH140" i="2"/>
  <c r="AI140" i="2"/>
  <c r="AJ140" i="2"/>
  <c r="AK140" i="2"/>
  <c r="AL140" i="2"/>
  <c r="AM140" i="2"/>
  <c r="AN140" i="2"/>
  <c r="AO140" i="2"/>
  <c r="AP140" i="2"/>
  <c r="AQ140" i="2"/>
  <c r="AR140" i="2"/>
  <c r="AS140" i="2"/>
  <c r="AB141" i="2"/>
  <c r="AC141" i="2"/>
  <c r="AD141" i="2"/>
  <c r="AE141" i="2"/>
  <c r="AF141" i="2"/>
  <c r="AG141" i="2"/>
  <c r="AH141" i="2"/>
  <c r="AI141" i="2"/>
  <c r="AJ141" i="2"/>
  <c r="AK141" i="2"/>
  <c r="AL141" i="2"/>
  <c r="AM141" i="2"/>
  <c r="AN141" i="2"/>
  <c r="AO141" i="2"/>
  <c r="AP141" i="2"/>
  <c r="AQ141" i="2"/>
  <c r="AR141" i="2"/>
  <c r="AS141" i="2"/>
  <c r="AB142" i="2"/>
  <c r="AC142" i="2"/>
  <c r="AD142" i="2"/>
  <c r="AE142" i="2"/>
  <c r="AF142" i="2"/>
  <c r="AG142" i="2"/>
  <c r="AH142" i="2"/>
  <c r="AI142" i="2"/>
  <c r="AJ142" i="2"/>
  <c r="AK142" i="2"/>
  <c r="AL142" i="2"/>
  <c r="AM142" i="2"/>
  <c r="AN142" i="2"/>
  <c r="AO142" i="2"/>
  <c r="AP142" i="2"/>
  <c r="AQ142" i="2"/>
  <c r="AR142" i="2"/>
  <c r="AS142" i="2"/>
  <c r="AB143" i="2"/>
  <c r="AC143" i="2"/>
  <c r="AD143" i="2"/>
  <c r="AE143" i="2"/>
  <c r="AF143" i="2"/>
  <c r="AG143" i="2"/>
  <c r="AH143" i="2"/>
  <c r="AI143" i="2"/>
  <c r="AJ143" i="2"/>
  <c r="AK143" i="2"/>
  <c r="AL143" i="2"/>
  <c r="AM143" i="2"/>
  <c r="AN143" i="2"/>
  <c r="AO143" i="2"/>
  <c r="AP143" i="2"/>
  <c r="AQ143" i="2"/>
  <c r="AR143" i="2"/>
  <c r="AS143" i="2"/>
  <c r="AB144" i="2"/>
  <c r="AC144" i="2"/>
  <c r="AD144" i="2"/>
  <c r="AE144" i="2"/>
  <c r="AF144" i="2"/>
  <c r="AG144" i="2"/>
  <c r="AH144" i="2"/>
  <c r="AI144" i="2"/>
  <c r="AJ144" i="2"/>
  <c r="AK144" i="2"/>
  <c r="AL144" i="2"/>
  <c r="AM144" i="2"/>
  <c r="AN144" i="2"/>
  <c r="AO144" i="2"/>
  <c r="AP144" i="2"/>
  <c r="AQ144" i="2"/>
  <c r="AR144" i="2"/>
  <c r="AS144" i="2"/>
  <c r="AB145" i="2"/>
  <c r="AC145" i="2"/>
  <c r="AD145" i="2"/>
  <c r="AE145" i="2"/>
  <c r="AF145" i="2"/>
  <c r="AG145" i="2"/>
  <c r="AH145" i="2"/>
  <c r="AI145" i="2"/>
  <c r="AJ145" i="2"/>
  <c r="AK145" i="2"/>
  <c r="AL145" i="2"/>
  <c r="AM145" i="2"/>
  <c r="AN145" i="2"/>
  <c r="AO145" i="2"/>
  <c r="AP145" i="2"/>
  <c r="AQ145" i="2"/>
  <c r="AR145" i="2"/>
  <c r="AS145" i="2"/>
  <c r="AB146" i="2"/>
  <c r="AC146" i="2"/>
  <c r="AD146" i="2"/>
  <c r="AE146" i="2"/>
  <c r="AF146" i="2"/>
  <c r="AG146" i="2"/>
  <c r="AH146" i="2"/>
  <c r="AI146" i="2"/>
  <c r="AJ146" i="2"/>
  <c r="AK146" i="2"/>
  <c r="AL146" i="2"/>
  <c r="AM146" i="2"/>
  <c r="AN146" i="2"/>
  <c r="AO146" i="2"/>
  <c r="AP146" i="2"/>
  <c r="AQ146" i="2"/>
  <c r="AR146" i="2"/>
  <c r="AS146" i="2"/>
  <c r="AB147" i="2"/>
  <c r="AC147" i="2"/>
  <c r="AD147" i="2"/>
  <c r="AE147" i="2"/>
  <c r="AF147" i="2"/>
  <c r="AG147" i="2"/>
  <c r="AH147" i="2"/>
  <c r="AI147" i="2"/>
  <c r="AJ147" i="2"/>
  <c r="AK147" i="2"/>
  <c r="AL147" i="2"/>
  <c r="AM147" i="2"/>
  <c r="AN147" i="2"/>
  <c r="AO147" i="2"/>
  <c r="AP147" i="2"/>
  <c r="AQ147" i="2"/>
  <c r="AR147" i="2"/>
  <c r="AS147" i="2"/>
  <c r="AB148" i="2"/>
  <c r="AC148" i="2"/>
  <c r="AD148" i="2"/>
  <c r="AE148" i="2"/>
  <c r="AF148" i="2"/>
  <c r="AG148" i="2"/>
  <c r="AH148" i="2"/>
  <c r="AI148" i="2"/>
  <c r="AJ148" i="2"/>
  <c r="AK148" i="2"/>
  <c r="AL148" i="2"/>
  <c r="AM148" i="2"/>
  <c r="AN148" i="2"/>
  <c r="AO148" i="2"/>
  <c r="AP148" i="2"/>
  <c r="AQ148" i="2"/>
  <c r="AR148" i="2"/>
  <c r="AS148" i="2"/>
  <c r="AB149" i="2"/>
  <c r="AC149" i="2"/>
  <c r="AD149" i="2"/>
  <c r="AE149" i="2"/>
  <c r="AF149" i="2"/>
  <c r="AG149" i="2"/>
  <c r="AH149" i="2"/>
  <c r="AI149" i="2"/>
  <c r="AJ149" i="2"/>
  <c r="AK149" i="2"/>
  <c r="AL149" i="2"/>
  <c r="AM149" i="2"/>
  <c r="AN149" i="2"/>
  <c r="AO149" i="2"/>
  <c r="AP149" i="2"/>
  <c r="AQ149" i="2"/>
  <c r="AR149" i="2"/>
  <c r="AS149" i="2"/>
  <c r="AB150" i="2"/>
  <c r="AC150" i="2"/>
  <c r="AD150" i="2"/>
  <c r="AE150" i="2"/>
  <c r="AF150" i="2"/>
  <c r="AG150" i="2"/>
  <c r="AH150" i="2"/>
  <c r="AI150" i="2"/>
  <c r="AJ150" i="2"/>
  <c r="AK150" i="2"/>
  <c r="AL150" i="2"/>
  <c r="AM150" i="2"/>
  <c r="AN150" i="2"/>
  <c r="AO150" i="2"/>
  <c r="AP150" i="2"/>
  <c r="AQ150" i="2"/>
  <c r="AR150" i="2"/>
  <c r="AS150" i="2"/>
  <c r="AB151" i="2"/>
  <c r="AC151" i="2"/>
  <c r="AD151" i="2"/>
  <c r="AE151" i="2"/>
  <c r="AF151" i="2"/>
  <c r="AG151" i="2"/>
  <c r="AH151" i="2"/>
  <c r="AI151" i="2"/>
  <c r="AJ151" i="2"/>
  <c r="AK151" i="2"/>
  <c r="AL151" i="2"/>
  <c r="AM151" i="2"/>
  <c r="AN151" i="2"/>
  <c r="AO151" i="2"/>
  <c r="AP151" i="2"/>
  <c r="AQ151" i="2"/>
  <c r="AR151" i="2"/>
  <c r="AS151" i="2"/>
  <c r="AB152" i="2"/>
  <c r="AC152" i="2"/>
  <c r="AD152" i="2"/>
  <c r="AE152" i="2"/>
  <c r="AF152" i="2"/>
  <c r="AG152" i="2"/>
  <c r="AH152" i="2"/>
  <c r="AI152" i="2"/>
  <c r="AJ152" i="2"/>
  <c r="AK152" i="2"/>
  <c r="AL152" i="2"/>
  <c r="AM152" i="2"/>
  <c r="AN152" i="2"/>
  <c r="AO152" i="2"/>
  <c r="AP152" i="2"/>
  <c r="AQ152" i="2"/>
  <c r="AR152" i="2"/>
  <c r="AS152" i="2"/>
  <c r="AB153" i="2"/>
  <c r="AC153" i="2"/>
  <c r="AD153" i="2"/>
  <c r="AE153" i="2"/>
  <c r="AF153" i="2"/>
  <c r="AG153" i="2"/>
  <c r="AH153" i="2"/>
  <c r="AI153" i="2"/>
  <c r="AJ153" i="2"/>
  <c r="AK153" i="2"/>
  <c r="AL153" i="2"/>
  <c r="AM153" i="2"/>
  <c r="AN153" i="2"/>
  <c r="AO153" i="2"/>
  <c r="AP153" i="2"/>
  <c r="AQ153" i="2"/>
  <c r="AR153" i="2"/>
  <c r="AS153" i="2"/>
  <c r="AB154" i="2"/>
  <c r="AC154" i="2"/>
  <c r="AD154" i="2"/>
  <c r="AE154" i="2"/>
  <c r="AF154" i="2"/>
  <c r="AG154" i="2"/>
  <c r="AH154" i="2"/>
  <c r="AI154" i="2"/>
  <c r="AJ154" i="2"/>
  <c r="AK154" i="2"/>
  <c r="AL154" i="2"/>
  <c r="AM154" i="2"/>
  <c r="AN154" i="2"/>
  <c r="AO154" i="2"/>
  <c r="AP154" i="2"/>
  <c r="AQ154" i="2"/>
  <c r="AR154" i="2"/>
  <c r="AS154" i="2"/>
  <c r="AB155" i="2"/>
  <c r="AC155" i="2"/>
  <c r="AD155" i="2"/>
  <c r="AE155" i="2"/>
  <c r="AF155" i="2"/>
  <c r="AG155" i="2"/>
  <c r="AH155" i="2"/>
  <c r="AI155" i="2"/>
  <c r="AJ155" i="2"/>
  <c r="AK155" i="2"/>
  <c r="AL155" i="2"/>
  <c r="AM155" i="2"/>
  <c r="AN155" i="2"/>
  <c r="AO155" i="2"/>
  <c r="AP155" i="2"/>
  <c r="AQ155" i="2"/>
  <c r="AR155" i="2"/>
  <c r="AS155" i="2"/>
  <c r="AB156" i="2"/>
  <c r="AC156" i="2"/>
  <c r="AD156" i="2"/>
  <c r="AE156" i="2"/>
  <c r="AF156" i="2"/>
  <c r="AG156" i="2"/>
  <c r="AH156" i="2"/>
  <c r="AI156" i="2"/>
  <c r="AJ156" i="2"/>
  <c r="AK156" i="2"/>
  <c r="AL156" i="2"/>
  <c r="AM156" i="2"/>
  <c r="AN156" i="2"/>
  <c r="AO156" i="2"/>
  <c r="AP156" i="2"/>
  <c r="AQ156" i="2"/>
  <c r="AR156" i="2"/>
  <c r="AS156" i="2"/>
  <c r="AB157" i="2"/>
  <c r="AC157" i="2"/>
  <c r="AD157" i="2"/>
  <c r="AE157" i="2"/>
  <c r="AF157" i="2"/>
  <c r="AG157" i="2"/>
  <c r="AH157" i="2"/>
  <c r="AI157" i="2"/>
  <c r="AJ157" i="2"/>
  <c r="AK157" i="2"/>
  <c r="AL157" i="2"/>
  <c r="AM157" i="2"/>
  <c r="AN157" i="2"/>
  <c r="AO157" i="2"/>
  <c r="AP157" i="2"/>
  <c r="AQ157" i="2"/>
  <c r="AR157" i="2"/>
  <c r="AS157" i="2"/>
  <c r="AB158" i="2"/>
  <c r="AC158" i="2"/>
  <c r="AD158" i="2"/>
  <c r="AE158" i="2"/>
  <c r="AF158" i="2"/>
  <c r="AG158" i="2"/>
  <c r="AH158" i="2"/>
  <c r="AI158" i="2"/>
  <c r="AJ158" i="2"/>
  <c r="AK158" i="2"/>
  <c r="AL158" i="2"/>
  <c r="AM158" i="2"/>
  <c r="AN158" i="2"/>
  <c r="AO158" i="2"/>
  <c r="AP158" i="2"/>
  <c r="AQ158" i="2"/>
  <c r="AR158" i="2"/>
  <c r="AS158" i="2"/>
  <c r="AB159" i="2"/>
  <c r="AC159" i="2"/>
  <c r="AD159" i="2"/>
  <c r="AE159" i="2"/>
  <c r="AF159" i="2"/>
  <c r="AG159" i="2"/>
  <c r="AH159" i="2"/>
  <c r="AI159" i="2"/>
  <c r="AJ159" i="2"/>
  <c r="AK159" i="2"/>
  <c r="AL159" i="2"/>
  <c r="AM159" i="2"/>
  <c r="AN159" i="2"/>
  <c r="AO159" i="2"/>
  <c r="AP159" i="2"/>
  <c r="AQ159" i="2"/>
  <c r="AR159" i="2"/>
  <c r="AS159" i="2"/>
  <c r="AB160" i="2"/>
  <c r="AC160" i="2"/>
  <c r="AD160" i="2"/>
  <c r="AE160" i="2"/>
  <c r="AF160" i="2"/>
  <c r="AG160" i="2"/>
  <c r="AH160" i="2"/>
  <c r="AI160" i="2"/>
  <c r="AJ160" i="2"/>
  <c r="AK160" i="2"/>
  <c r="AL160" i="2"/>
  <c r="AM160" i="2"/>
  <c r="AN160" i="2"/>
  <c r="AO160" i="2"/>
  <c r="AP160" i="2"/>
  <c r="AQ160" i="2"/>
  <c r="AR160" i="2"/>
  <c r="AS160" i="2"/>
  <c r="AB161" i="2"/>
  <c r="AC161" i="2"/>
  <c r="AD161" i="2"/>
  <c r="AE161" i="2"/>
  <c r="AF161" i="2"/>
  <c r="AG161" i="2"/>
  <c r="AH161" i="2"/>
  <c r="AI161" i="2"/>
  <c r="AJ161" i="2"/>
  <c r="AK161" i="2"/>
  <c r="AL161" i="2"/>
  <c r="AM161" i="2"/>
  <c r="AN161" i="2"/>
  <c r="AO161" i="2"/>
  <c r="AP161" i="2"/>
  <c r="AQ161" i="2"/>
  <c r="AR161" i="2"/>
  <c r="AS161" i="2"/>
  <c r="AB162" i="2"/>
  <c r="AC162" i="2"/>
  <c r="AD162" i="2"/>
  <c r="AE162" i="2"/>
  <c r="AF162" i="2"/>
  <c r="AG162" i="2"/>
  <c r="AH162" i="2"/>
  <c r="AI162" i="2"/>
  <c r="AJ162" i="2"/>
  <c r="AK162" i="2"/>
  <c r="AL162" i="2"/>
  <c r="AM162" i="2"/>
  <c r="AN162" i="2"/>
  <c r="AO162" i="2"/>
  <c r="AP162" i="2"/>
  <c r="AQ162" i="2"/>
  <c r="AR162" i="2"/>
  <c r="AS162" i="2"/>
  <c r="AB163" i="2"/>
  <c r="AC163" i="2"/>
  <c r="AD163" i="2"/>
  <c r="AE163" i="2"/>
  <c r="AF163" i="2"/>
  <c r="AG163" i="2"/>
  <c r="AH163" i="2"/>
  <c r="AI163" i="2"/>
  <c r="AJ163" i="2"/>
  <c r="AK163" i="2"/>
  <c r="AL163" i="2"/>
  <c r="AM163" i="2"/>
  <c r="AN163" i="2"/>
  <c r="AO163" i="2"/>
  <c r="AP163" i="2"/>
  <c r="AQ163" i="2"/>
  <c r="AR163" i="2"/>
  <c r="AS163" i="2"/>
  <c r="AB164" i="2"/>
  <c r="AC164" i="2"/>
  <c r="AD164" i="2"/>
  <c r="AE164" i="2"/>
  <c r="AF164" i="2"/>
  <c r="AG164" i="2"/>
  <c r="AH164" i="2"/>
  <c r="AI164" i="2"/>
  <c r="AJ164" i="2"/>
  <c r="AK164" i="2"/>
  <c r="AL164" i="2"/>
  <c r="AM164" i="2"/>
  <c r="AN164" i="2"/>
  <c r="AO164" i="2"/>
  <c r="AP164" i="2"/>
  <c r="AQ164" i="2"/>
  <c r="AR164" i="2"/>
  <c r="AS164" i="2"/>
  <c r="AB165" i="2"/>
  <c r="AC165" i="2"/>
  <c r="AD165" i="2"/>
  <c r="AE165" i="2"/>
  <c r="AF165" i="2"/>
  <c r="AG165" i="2"/>
  <c r="AH165" i="2"/>
  <c r="AI165" i="2"/>
  <c r="AJ165" i="2"/>
  <c r="AK165" i="2"/>
  <c r="AL165" i="2"/>
  <c r="AM165" i="2"/>
  <c r="AN165" i="2"/>
  <c r="AO165" i="2"/>
  <c r="AP165" i="2"/>
  <c r="AQ165" i="2"/>
  <c r="AR165" i="2"/>
  <c r="AS165" i="2"/>
  <c r="AB166" i="2"/>
  <c r="AC166" i="2"/>
  <c r="AD166" i="2"/>
  <c r="AE166" i="2"/>
  <c r="AF166" i="2"/>
  <c r="AG166" i="2"/>
  <c r="AH166" i="2"/>
  <c r="AI166" i="2"/>
  <c r="AJ166" i="2"/>
  <c r="AK166" i="2"/>
  <c r="AL166" i="2"/>
  <c r="AM166" i="2"/>
  <c r="AN166" i="2"/>
  <c r="AO166" i="2"/>
  <c r="AP166" i="2"/>
  <c r="AQ166" i="2"/>
  <c r="AR166" i="2"/>
  <c r="AS166" i="2"/>
  <c r="AB167" i="2"/>
  <c r="AC167" i="2"/>
  <c r="AD167" i="2"/>
  <c r="AE167" i="2"/>
  <c r="AF167" i="2"/>
  <c r="AG167" i="2"/>
  <c r="AH167" i="2"/>
  <c r="AI167" i="2"/>
  <c r="AJ167" i="2"/>
  <c r="AK167" i="2"/>
  <c r="AL167" i="2"/>
  <c r="AM167" i="2"/>
  <c r="AN167" i="2"/>
  <c r="AO167" i="2"/>
  <c r="AP167" i="2"/>
  <c r="AQ167" i="2"/>
  <c r="AR167" i="2"/>
  <c r="AS167" i="2"/>
  <c r="AB168" i="2"/>
  <c r="AC168" i="2"/>
  <c r="AD168" i="2"/>
  <c r="AE168" i="2"/>
  <c r="AF168" i="2"/>
  <c r="AG168" i="2"/>
  <c r="AH168" i="2"/>
  <c r="AI168" i="2"/>
  <c r="AJ168" i="2"/>
  <c r="AK168" i="2"/>
  <c r="AL168" i="2"/>
  <c r="AM168" i="2"/>
  <c r="AN168" i="2"/>
  <c r="AO168" i="2"/>
  <c r="AP168" i="2"/>
  <c r="AQ168" i="2"/>
  <c r="AR168" i="2"/>
  <c r="AS168" i="2"/>
  <c r="AB169" i="2"/>
  <c r="AC169" i="2"/>
  <c r="AD169" i="2"/>
  <c r="AE169" i="2"/>
  <c r="AF169" i="2"/>
  <c r="AG169" i="2"/>
  <c r="AH169" i="2"/>
  <c r="AI169" i="2"/>
  <c r="AJ169" i="2"/>
  <c r="AK169" i="2"/>
  <c r="AL169" i="2"/>
  <c r="AM169" i="2"/>
  <c r="AN169" i="2"/>
  <c r="AO169" i="2"/>
  <c r="AP169" i="2"/>
  <c r="AQ169" i="2"/>
  <c r="AR169" i="2"/>
  <c r="AS169" i="2"/>
  <c r="AB170" i="2"/>
  <c r="AC170" i="2"/>
  <c r="AD170" i="2"/>
  <c r="AE170" i="2"/>
  <c r="AF170" i="2"/>
  <c r="AG170" i="2"/>
  <c r="AH170" i="2"/>
  <c r="AI170" i="2"/>
  <c r="AJ170" i="2"/>
  <c r="AK170" i="2"/>
  <c r="AL170" i="2"/>
  <c r="AM170" i="2"/>
  <c r="AN170" i="2"/>
  <c r="AO170" i="2"/>
  <c r="AP170" i="2"/>
  <c r="AQ170" i="2"/>
  <c r="AR170" i="2"/>
  <c r="AS170" i="2"/>
  <c r="AB171" i="2"/>
  <c r="AC171" i="2"/>
  <c r="AD171" i="2"/>
  <c r="AE171" i="2"/>
  <c r="AF171" i="2"/>
  <c r="AG171" i="2"/>
  <c r="AH171" i="2"/>
  <c r="AI171" i="2"/>
  <c r="AJ171" i="2"/>
  <c r="AK171" i="2"/>
  <c r="AL171" i="2"/>
  <c r="AM171" i="2"/>
  <c r="AN171" i="2"/>
  <c r="AO171" i="2"/>
  <c r="AP171" i="2"/>
  <c r="AQ171" i="2"/>
  <c r="AR171" i="2"/>
  <c r="AS171" i="2"/>
  <c r="AB172" i="2"/>
  <c r="AC172" i="2"/>
  <c r="AD172" i="2"/>
  <c r="AE172" i="2"/>
  <c r="AF172" i="2"/>
  <c r="AG172" i="2"/>
  <c r="AH172" i="2"/>
  <c r="AI172" i="2"/>
  <c r="AJ172" i="2"/>
  <c r="AK172" i="2"/>
  <c r="AL172" i="2"/>
  <c r="AM172" i="2"/>
  <c r="AN172" i="2"/>
  <c r="AO172" i="2"/>
  <c r="AP172" i="2"/>
  <c r="AQ172" i="2"/>
  <c r="AR172" i="2"/>
  <c r="AS172" i="2"/>
  <c r="AB173" i="2"/>
  <c r="AC173" i="2"/>
  <c r="AD173" i="2"/>
  <c r="AE173" i="2"/>
  <c r="AF173" i="2"/>
  <c r="AG173" i="2"/>
  <c r="AH173" i="2"/>
  <c r="AI173" i="2"/>
  <c r="AJ173" i="2"/>
  <c r="AK173" i="2"/>
  <c r="AL173" i="2"/>
  <c r="AM173" i="2"/>
  <c r="AN173" i="2"/>
  <c r="AO173" i="2"/>
  <c r="AP173" i="2"/>
  <c r="AQ173" i="2"/>
  <c r="AR173" i="2"/>
  <c r="AS173" i="2"/>
  <c r="AB174" i="2"/>
  <c r="AC174" i="2"/>
  <c r="AD174" i="2"/>
  <c r="AE174" i="2"/>
  <c r="AF174" i="2"/>
  <c r="AG174" i="2"/>
  <c r="AH174" i="2"/>
  <c r="AI174" i="2"/>
  <c r="AJ174" i="2"/>
  <c r="AK174" i="2"/>
  <c r="AL174" i="2"/>
  <c r="AM174" i="2"/>
  <c r="AN174" i="2"/>
  <c r="AO174" i="2"/>
  <c r="AP174" i="2"/>
  <c r="AQ174" i="2"/>
  <c r="AR174" i="2"/>
  <c r="AS174" i="2"/>
  <c r="AB175" i="2"/>
  <c r="AC175" i="2"/>
  <c r="AD175" i="2"/>
  <c r="AE175" i="2"/>
  <c r="AF175" i="2"/>
  <c r="AG175" i="2"/>
  <c r="AH175" i="2"/>
  <c r="AI175" i="2"/>
  <c r="AJ175" i="2"/>
  <c r="AK175" i="2"/>
  <c r="AL175" i="2"/>
  <c r="AM175" i="2"/>
  <c r="AN175" i="2"/>
  <c r="AO175" i="2"/>
  <c r="AP175" i="2"/>
  <c r="AQ175" i="2"/>
  <c r="AR175" i="2"/>
  <c r="AS175" i="2"/>
  <c r="AB176" i="2"/>
  <c r="AC176" i="2"/>
  <c r="AD176" i="2"/>
  <c r="AE176" i="2"/>
  <c r="AF176" i="2"/>
  <c r="AG176" i="2"/>
  <c r="AH176" i="2"/>
  <c r="AI176" i="2"/>
  <c r="AJ176" i="2"/>
  <c r="AK176" i="2"/>
  <c r="AL176" i="2"/>
  <c r="AM176" i="2"/>
  <c r="AN176" i="2"/>
  <c r="AO176" i="2"/>
  <c r="AP176" i="2"/>
  <c r="AQ176" i="2"/>
  <c r="AR176" i="2"/>
  <c r="AS176" i="2"/>
  <c r="AB177" i="2"/>
  <c r="AC177" i="2"/>
  <c r="AD177" i="2"/>
  <c r="AE177" i="2"/>
  <c r="AF177" i="2"/>
  <c r="AG177" i="2"/>
  <c r="AH177" i="2"/>
  <c r="AI177" i="2"/>
  <c r="AJ177" i="2"/>
  <c r="AK177" i="2"/>
  <c r="AL177" i="2"/>
  <c r="AM177" i="2"/>
  <c r="AN177" i="2"/>
  <c r="AO177" i="2"/>
  <c r="AP177" i="2"/>
  <c r="AQ177" i="2"/>
  <c r="AR177" i="2"/>
  <c r="AS177" i="2"/>
  <c r="AB178" i="2"/>
  <c r="AC178" i="2"/>
  <c r="AD178" i="2"/>
  <c r="AE178" i="2"/>
  <c r="AF178" i="2"/>
  <c r="AG178" i="2"/>
  <c r="AH178" i="2"/>
  <c r="AI178" i="2"/>
  <c r="AJ178" i="2"/>
  <c r="AK178" i="2"/>
  <c r="AL178" i="2"/>
  <c r="AM178" i="2"/>
  <c r="AN178" i="2"/>
  <c r="AO178" i="2"/>
  <c r="AP178" i="2"/>
  <c r="AQ178" i="2"/>
  <c r="AR178" i="2"/>
  <c r="AS178" i="2"/>
  <c r="AB179" i="2"/>
  <c r="AC179" i="2"/>
  <c r="AD179" i="2"/>
  <c r="AE179" i="2"/>
  <c r="AF179" i="2"/>
  <c r="AG179" i="2"/>
  <c r="AH179" i="2"/>
  <c r="AI179" i="2"/>
  <c r="AJ179" i="2"/>
  <c r="AK179" i="2"/>
  <c r="AL179" i="2"/>
  <c r="AM179" i="2"/>
  <c r="AN179" i="2"/>
  <c r="AO179" i="2"/>
  <c r="AP179" i="2"/>
  <c r="AQ179" i="2"/>
  <c r="AR179" i="2"/>
  <c r="AS179" i="2"/>
  <c r="AB180" i="2"/>
  <c r="AC180" i="2"/>
  <c r="AD180" i="2"/>
  <c r="AE180" i="2"/>
  <c r="AF180" i="2"/>
  <c r="AG180" i="2"/>
  <c r="AH180" i="2"/>
  <c r="AI180" i="2"/>
  <c r="AJ180" i="2"/>
  <c r="AK180" i="2"/>
  <c r="AL180" i="2"/>
  <c r="AM180" i="2"/>
  <c r="AN180" i="2"/>
  <c r="AO180" i="2"/>
  <c r="AP180" i="2"/>
  <c r="AQ180" i="2"/>
  <c r="AR180" i="2"/>
  <c r="AS180" i="2"/>
  <c r="AB181" i="2"/>
  <c r="AC181" i="2"/>
  <c r="AD181" i="2"/>
  <c r="AE181" i="2"/>
  <c r="AF181" i="2"/>
  <c r="AG181" i="2"/>
  <c r="AH181" i="2"/>
  <c r="AI181" i="2"/>
  <c r="AJ181" i="2"/>
  <c r="AK181" i="2"/>
  <c r="AL181" i="2"/>
  <c r="AM181" i="2"/>
  <c r="AN181" i="2"/>
  <c r="AO181" i="2"/>
  <c r="AP181" i="2"/>
  <c r="AQ181" i="2"/>
  <c r="AR181" i="2"/>
  <c r="AS181" i="2"/>
  <c r="AB182" i="2"/>
  <c r="AC182" i="2"/>
  <c r="AD182" i="2"/>
  <c r="AE182" i="2"/>
  <c r="AF182" i="2"/>
  <c r="AG182" i="2"/>
  <c r="AH182" i="2"/>
  <c r="AI182" i="2"/>
  <c r="AJ182" i="2"/>
  <c r="AK182" i="2"/>
  <c r="AL182" i="2"/>
  <c r="AM182" i="2"/>
  <c r="AN182" i="2"/>
  <c r="AO182" i="2"/>
  <c r="AP182" i="2"/>
  <c r="AQ182" i="2"/>
  <c r="AR182" i="2"/>
  <c r="AS182" i="2"/>
  <c r="AB183" i="2"/>
  <c r="AC183" i="2"/>
  <c r="AD183" i="2"/>
  <c r="AE183" i="2"/>
  <c r="AF183" i="2"/>
  <c r="AG183" i="2"/>
  <c r="AH183" i="2"/>
  <c r="AI183" i="2"/>
  <c r="AJ183" i="2"/>
  <c r="AK183" i="2"/>
  <c r="AL183" i="2"/>
  <c r="AM183" i="2"/>
  <c r="AN183" i="2"/>
  <c r="AO183" i="2"/>
  <c r="AP183" i="2"/>
  <c r="AQ183" i="2"/>
  <c r="AR183" i="2"/>
  <c r="AS183" i="2"/>
  <c r="AB184" i="2"/>
  <c r="AC184" i="2"/>
  <c r="AD184" i="2"/>
  <c r="AE184" i="2"/>
  <c r="AF184" i="2"/>
  <c r="AG184" i="2"/>
  <c r="AH184" i="2"/>
  <c r="AI184" i="2"/>
  <c r="AJ184" i="2"/>
  <c r="AK184" i="2"/>
  <c r="AL184" i="2"/>
  <c r="AM184" i="2"/>
  <c r="AN184" i="2"/>
  <c r="AO184" i="2"/>
  <c r="AP184" i="2"/>
  <c r="AQ184" i="2"/>
  <c r="AR184" i="2"/>
  <c r="AS184" i="2"/>
  <c r="AB185" i="2"/>
  <c r="AC185" i="2"/>
  <c r="AD185" i="2"/>
  <c r="AE185" i="2"/>
  <c r="AF185" i="2"/>
  <c r="AG185" i="2"/>
  <c r="AH185" i="2"/>
  <c r="AI185" i="2"/>
  <c r="AJ185" i="2"/>
  <c r="AK185" i="2"/>
  <c r="AL185" i="2"/>
  <c r="AM185" i="2"/>
  <c r="AN185" i="2"/>
  <c r="AO185" i="2"/>
  <c r="AP185" i="2"/>
  <c r="AQ185" i="2"/>
  <c r="AR185" i="2"/>
  <c r="AS185" i="2"/>
  <c r="AB186" i="2"/>
  <c r="AC186" i="2"/>
  <c r="AD186" i="2"/>
  <c r="AE186" i="2"/>
  <c r="AF186" i="2"/>
  <c r="AG186" i="2"/>
  <c r="AH186" i="2"/>
  <c r="AI186" i="2"/>
  <c r="AJ186" i="2"/>
  <c r="AK186" i="2"/>
  <c r="AL186" i="2"/>
  <c r="AM186" i="2"/>
  <c r="AN186" i="2"/>
  <c r="AO186" i="2"/>
  <c r="AP186" i="2"/>
  <c r="AQ186" i="2"/>
  <c r="AR186" i="2"/>
  <c r="AS186" i="2"/>
  <c r="AB187" i="2"/>
  <c r="AC187" i="2"/>
  <c r="AD187" i="2"/>
  <c r="AE187" i="2"/>
  <c r="AF187" i="2"/>
  <c r="AG187" i="2"/>
  <c r="AH187" i="2"/>
  <c r="AI187" i="2"/>
  <c r="AJ187" i="2"/>
  <c r="AK187" i="2"/>
  <c r="AL187" i="2"/>
  <c r="AM187" i="2"/>
  <c r="AN187" i="2"/>
  <c r="AO187" i="2"/>
  <c r="AP187" i="2"/>
  <c r="AQ187" i="2"/>
  <c r="AR187" i="2"/>
  <c r="AS187" i="2"/>
  <c r="AB188" i="2"/>
  <c r="AC188" i="2"/>
  <c r="AD188" i="2"/>
  <c r="AE188" i="2"/>
  <c r="AF188" i="2"/>
  <c r="AG188" i="2"/>
  <c r="AH188" i="2"/>
  <c r="AI188" i="2"/>
  <c r="AJ188" i="2"/>
  <c r="AK188" i="2"/>
  <c r="AL188" i="2"/>
  <c r="AM188" i="2"/>
  <c r="AN188" i="2"/>
  <c r="AO188" i="2"/>
  <c r="AP188" i="2"/>
  <c r="AQ188" i="2"/>
  <c r="AR188" i="2"/>
  <c r="AS188" i="2"/>
  <c r="AB189" i="2"/>
  <c r="AC189" i="2"/>
  <c r="AD189" i="2"/>
  <c r="AE189" i="2"/>
  <c r="AF189" i="2"/>
  <c r="AG189" i="2"/>
  <c r="AH189" i="2"/>
  <c r="AI189" i="2"/>
  <c r="AJ189" i="2"/>
  <c r="AK189" i="2"/>
  <c r="AL189" i="2"/>
  <c r="AM189" i="2"/>
  <c r="AN189" i="2"/>
  <c r="AO189" i="2"/>
  <c r="AP189" i="2"/>
  <c r="AQ189" i="2"/>
  <c r="AR189" i="2"/>
  <c r="AS189" i="2"/>
  <c r="AB190" i="2"/>
  <c r="AC190" i="2"/>
  <c r="AD190" i="2"/>
  <c r="AE190" i="2"/>
  <c r="AF190" i="2"/>
  <c r="AG190" i="2"/>
  <c r="AH190" i="2"/>
  <c r="AI190" i="2"/>
  <c r="AJ190" i="2"/>
  <c r="AK190" i="2"/>
  <c r="AL190" i="2"/>
  <c r="AM190" i="2"/>
  <c r="AN190" i="2"/>
  <c r="AO190" i="2"/>
  <c r="AP190" i="2"/>
  <c r="AQ190" i="2"/>
  <c r="AR190" i="2"/>
  <c r="AS190" i="2"/>
  <c r="AB191" i="2"/>
  <c r="AC191" i="2"/>
  <c r="AD191" i="2"/>
  <c r="AE191" i="2"/>
  <c r="AF191" i="2"/>
  <c r="AG191" i="2"/>
  <c r="AH191" i="2"/>
  <c r="AI191" i="2"/>
  <c r="AJ191" i="2"/>
  <c r="AK191" i="2"/>
  <c r="AL191" i="2"/>
  <c r="AM191" i="2"/>
  <c r="AN191" i="2"/>
  <c r="AO191" i="2"/>
  <c r="AP191" i="2"/>
  <c r="AQ191" i="2"/>
  <c r="AR191" i="2"/>
  <c r="AS191" i="2"/>
  <c r="AB192" i="2"/>
  <c r="AC192" i="2"/>
  <c r="AD192" i="2"/>
  <c r="AE192" i="2"/>
  <c r="AF192" i="2"/>
  <c r="AG192" i="2"/>
  <c r="AH192" i="2"/>
  <c r="AI192" i="2"/>
  <c r="AJ192" i="2"/>
  <c r="AK192" i="2"/>
  <c r="AL192" i="2"/>
  <c r="AM192" i="2"/>
  <c r="AN192" i="2"/>
  <c r="AO192" i="2"/>
  <c r="AP192" i="2"/>
  <c r="AQ192" i="2"/>
  <c r="AR192" i="2"/>
  <c r="AS192" i="2"/>
  <c r="AB193" i="2"/>
  <c r="AC193" i="2"/>
  <c r="AD193" i="2"/>
  <c r="AE193" i="2"/>
  <c r="AF193" i="2"/>
  <c r="AG193" i="2"/>
  <c r="AH193" i="2"/>
  <c r="AI193" i="2"/>
  <c r="AJ193" i="2"/>
  <c r="AK193" i="2"/>
  <c r="AL193" i="2"/>
  <c r="AM193" i="2"/>
  <c r="AN193" i="2"/>
  <c r="AO193" i="2"/>
  <c r="AP193" i="2"/>
  <c r="AQ193" i="2"/>
  <c r="AR193" i="2"/>
  <c r="AS193" i="2"/>
  <c r="AB194" i="2"/>
  <c r="AC194" i="2"/>
  <c r="AD194" i="2"/>
  <c r="AE194" i="2"/>
  <c r="AF194" i="2"/>
  <c r="AG194" i="2"/>
  <c r="AH194" i="2"/>
  <c r="AI194" i="2"/>
  <c r="AJ194" i="2"/>
  <c r="AK194" i="2"/>
  <c r="AL194" i="2"/>
  <c r="AM194" i="2"/>
  <c r="AN194" i="2"/>
  <c r="AO194" i="2"/>
  <c r="AP194" i="2"/>
  <c r="AQ194" i="2"/>
  <c r="AR194" i="2"/>
  <c r="AS194" i="2"/>
  <c r="AB195" i="2"/>
  <c r="AC195" i="2"/>
  <c r="AD195" i="2"/>
  <c r="AE195" i="2"/>
  <c r="AF195" i="2"/>
  <c r="AG195" i="2"/>
  <c r="AH195" i="2"/>
  <c r="AI195" i="2"/>
  <c r="AJ195" i="2"/>
  <c r="AK195" i="2"/>
  <c r="AL195" i="2"/>
  <c r="AM195" i="2"/>
  <c r="AN195" i="2"/>
  <c r="AO195" i="2"/>
  <c r="AP195" i="2"/>
  <c r="AQ195" i="2"/>
  <c r="AR195" i="2"/>
  <c r="AS195" i="2"/>
  <c r="AB196" i="2"/>
  <c r="AC196" i="2"/>
  <c r="AD196" i="2"/>
  <c r="AE196" i="2"/>
  <c r="AF196" i="2"/>
  <c r="AG196" i="2"/>
  <c r="AH196" i="2"/>
  <c r="AI196" i="2"/>
  <c r="AJ196" i="2"/>
  <c r="AK196" i="2"/>
  <c r="AL196" i="2"/>
  <c r="AM196" i="2"/>
  <c r="AN196" i="2"/>
  <c r="AO196" i="2"/>
  <c r="AP196" i="2"/>
  <c r="AQ196" i="2"/>
  <c r="AR196" i="2"/>
  <c r="AS196" i="2"/>
  <c r="AB197" i="2"/>
  <c r="AC197" i="2"/>
  <c r="AD197" i="2"/>
  <c r="AE197" i="2"/>
  <c r="AF197" i="2"/>
  <c r="AG197" i="2"/>
  <c r="AH197" i="2"/>
  <c r="AI197" i="2"/>
  <c r="AJ197" i="2"/>
  <c r="AK197" i="2"/>
  <c r="AL197" i="2"/>
  <c r="AM197" i="2"/>
  <c r="AN197" i="2"/>
  <c r="AO197" i="2"/>
  <c r="AP197" i="2"/>
  <c r="AQ197" i="2"/>
  <c r="AR197" i="2"/>
  <c r="AS197" i="2"/>
  <c r="AB198" i="2"/>
  <c r="AC198" i="2"/>
  <c r="AD198" i="2"/>
  <c r="AE198" i="2"/>
  <c r="AF198" i="2"/>
  <c r="AG198" i="2"/>
  <c r="AH198" i="2"/>
  <c r="AI198" i="2"/>
  <c r="AJ198" i="2"/>
  <c r="AK198" i="2"/>
  <c r="AL198" i="2"/>
  <c r="AM198" i="2"/>
  <c r="AN198" i="2"/>
  <c r="AO198" i="2"/>
  <c r="AP198" i="2"/>
  <c r="AQ198" i="2"/>
  <c r="AR198" i="2"/>
  <c r="AS198" i="2"/>
  <c r="AB199" i="2"/>
  <c r="AC199" i="2"/>
  <c r="AD199" i="2"/>
  <c r="AE199" i="2"/>
  <c r="AF199" i="2"/>
  <c r="AG199" i="2"/>
  <c r="AH199" i="2"/>
  <c r="AI199" i="2"/>
  <c r="AJ199" i="2"/>
  <c r="AK199" i="2"/>
  <c r="AL199" i="2"/>
  <c r="AM199" i="2"/>
  <c r="AN199" i="2"/>
  <c r="AO199" i="2"/>
  <c r="AP199" i="2"/>
  <c r="AQ199" i="2"/>
  <c r="AR199" i="2"/>
  <c r="AS199" i="2"/>
  <c r="AB200" i="2"/>
  <c r="AC200" i="2"/>
  <c r="AD200" i="2"/>
  <c r="AE200" i="2"/>
  <c r="AF200" i="2"/>
  <c r="AG200" i="2"/>
  <c r="AH200" i="2"/>
  <c r="AI200" i="2"/>
  <c r="AJ200" i="2"/>
  <c r="AK200" i="2"/>
  <c r="AL200" i="2"/>
  <c r="AM200" i="2"/>
  <c r="AN200" i="2"/>
  <c r="AO200" i="2"/>
  <c r="AP200" i="2"/>
  <c r="AQ200" i="2"/>
  <c r="AR200" i="2"/>
  <c r="AS200" i="2"/>
  <c r="AB201" i="2"/>
  <c r="AC201" i="2"/>
  <c r="AD201" i="2"/>
  <c r="AE201" i="2"/>
  <c r="AF201" i="2"/>
  <c r="AG201" i="2"/>
  <c r="AH201" i="2"/>
  <c r="AI201" i="2"/>
  <c r="AJ201" i="2"/>
  <c r="AK201" i="2"/>
  <c r="AL201" i="2"/>
  <c r="AM201" i="2"/>
  <c r="AN201" i="2"/>
  <c r="AO201" i="2"/>
  <c r="AP201" i="2"/>
  <c r="AQ201" i="2"/>
  <c r="AR201" i="2"/>
  <c r="AS201" i="2"/>
  <c r="AB202" i="2"/>
  <c r="AC202" i="2"/>
  <c r="AD202" i="2"/>
  <c r="AE202" i="2"/>
  <c r="AF202" i="2"/>
  <c r="AG202" i="2"/>
  <c r="AH202" i="2"/>
  <c r="AI202" i="2"/>
  <c r="AJ202" i="2"/>
  <c r="AK202" i="2"/>
  <c r="AL202" i="2"/>
  <c r="AM202" i="2"/>
  <c r="AN202" i="2"/>
  <c r="AO202" i="2"/>
  <c r="AP202" i="2"/>
  <c r="AQ202" i="2"/>
  <c r="AR202" i="2"/>
  <c r="AS202" i="2"/>
  <c r="AB203" i="2"/>
  <c r="AC203" i="2"/>
  <c r="AD203" i="2"/>
  <c r="AE203" i="2"/>
  <c r="AF203" i="2"/>
  <c r="AG203" i="2"/>
  <c r="AH203" i="2"/>
  <c r="AI203" i="2"/>
  <c r="AJ203" i="2"/>
  <c r="AK203" i="2"/>
  <c r="AL203" i="2"/>
  <c r="AM203" i="2"/>
  <c r="AN203" i="2"/>
  <c r="AO203" i="2"/>
  <c r="AP203" i="2"/>
  <c r="AQ203" i="2"/>
  <c r="AR203" i="2"/>
  <c r="AS203" i="2"/>
  <c r="AB204" i="2"/>
  <c r="AC204" i="2"/>
  <c r="AD204" i="2"/>
  <c r="AE204" i="2"/>
  <c r="AF204" i="2"/>
  <c r="AG204" i="2"/>
  <c r="AH204" i="2"/>
  <c r="AI204" i="2"/>
  <c r="AJ204" i="2"/>
  <c r="AK204" i="2"/>
  <c r="AL204" i="2"/>
  <c r="AM204" i="2"/>
  <c r="AN204" i="2"/>
  <c r="AO204" i="2"/>
  <c r="AP204" i="2"/>
  <c r="AQ204" i="2"/>
  <c r="AR204" i="2"/>
  <c r="AS204" i="2"/>
  <c r="AB205" i="2"/>
  <c r="AC205" i="2"/>
  <c r="AD205" i="2"/>
  <c r="AE205" i="2"/>
  <c r="AF205" i="2"/>
  <c r="AG205" i="2"/>
  <c r="AH205" i="2"/>
  <c r="AI205" i="2"/>
  <c r="AJ205" i="2"/>
  <c r="AK205" i="2"/>
  <c r="AL205" i="2"/>
  <c r="AM205" i="2"/>
  <c r="AN205" i="2"/>
  <c r="AO205" i="2"/>
  <c r="AP205" i="2"/>
  <c r="AQ205" i="2"/>
  <c r="AR205" i="2"/>
  <c r="AS205" i="2"/>
  <c r="AB206" i="2"/>
  <c r="AC206" i="2"/>
  <c r="AD206" i="2"/>
  <c r="AE206" i="2"/>
  <c r="AF206" i="2"/>
  <c r="AG206" i="2"/>
  <c r="AH206" i="2"/>
  <c r="AI206" i="2"/>
  <c r="AJ206" i="2"/>
  <c r="AK206" i="2"/>
  <c r="AL206" i="2"/>
  <c r="AM206" i="2"/>
  <c r="AN206" i="2"/>
  <c r="AO206" i="2"/>
  <c r="AP206" i="2"/>
  <c r="AQ206" i="2"/>
  <c r="AR206" i="2"/>
  <c r="AS206" i="2"/>
  <c r="AB207" i="2"/>
  <c r="AC207" i="2"/>
  <c r="AD207" i="2"/>
  <c r="AE207" i="2"/>
  <c r="AF207" i="2"/>
  <c r="AG207" i="2"/>
  <c r="AH207" i="2"/>
  <c r="AI207" i="2"/>
  <c r="AJ207" i="2"/>
  <c r="AK207" i="2"/>
  <c r="AL207" i="2"/>
  <c r="AM207" i="2"/>
  <c r="AN207" i="2"/>
  <c r="AO207" i="2"/>
  <c r="AP207" i="2"/>
  <c r="AQ207" i="2"/>
  <c r="AR207" i="2"/>
  <c r="AS207" i="2"/>
  <c r="AB208" i="2"/>
  <c r="AC208" i="2"/>
  <c r="AD208" i="2"/>
  <c r="AE208" i="2"/>
  <c r="AF208" i="2"/>
  <c r="AG208" i="2"/>
  <c r="AH208" i="2"/>
  <c r="AI208" i="2"/>
  <c r="AJ208" i="2"/>
  <c r="AK208" i="2"/>
  <c r="AL208" i="2"/>
  <c r="AM208" i="2"/>
  <c r="AN208" i="2"/>
  <c r="AO208" i="2"/>
  <c r="AP208" i="2"/>
  <c r="AQ208" i="2"/>
  <c r="AR208" i="2"/>
  <c r="AS208" i="2"/>
  <c r="AB209" i="2"/>
  <c r="AC209" i="2"/>
  <c r="AD209" i="2"/>
  <c r="AE209" i="2"/>
  <c r="AF209" i="2"/>
  <c r="AG209" i="2"/>
  <c r="AH209" i="2"/>
  <c r="AI209" i="2"/>
  <c r="AJ209" i="2"/>
  <c r="AK209" i="2"/>
  <c r="AL209" i="2"/>
  <c r="AM209" i="2"/>
  <c r="AN209" i="2"/>
  <c r="AO209" i="2"/>
  <c r="AP209" i="2"/>
  <c r="AQ209" i="2"/>
  <c r="AR209" i="2"/>
  <c r="AS209" i="2"/>
  <c r="AB210" i="2"/>
  <c r="AC210" i="2"/>
  <c r="AD210" i="2"/>
  <c r="AE210" i="2"/>
  <c r="AF210" i="2"/>
  <c r="AG210" i="2"/>
  <c r="AH210" i="2"/>
  <c r="AI210" i="2"/>
  <c r="AJ210" i="2"/>
  <c r="AK210" i="2"/>
  <c r="AL210" i="2"/>
  <c r="AM210" i="2"/>
  <c r="AN210" i="2"/>
  <c r="AO210" i="2"/>
  <c r="AP210" i="2"/>
  <c r="AQ210" i="2"/>
  <c r="AR210" i="2"/>
  <c r="AS210" i="2"/>
  <c r="AB211" i="2"/>
  <c r="AC211" i="2"/>
  <c r="AD211" i="2"/>
  <c r="AE211" i="2"/>
  <c r="AF211" i="2"/>
  <c r="AG211" i="2"/>
  <c r="AH211" i="2"/>
  <c r="AI211" i="2"/>
  <c r="AJ211" i="2"/>
  <c r="AK211" i="2"/>
  <c r="AL211" i="2"/>
  <c r="AM211" i="2"/>
  <c r="AN211" i="2"/>
  <c r="AO211" i="2"/>
  <c r="AP211" i="2"/>
  <c r="AQ211" i="2"/>
  <c r="AR211" i="2"/>
  <c r="AS211" i="2"/>
  <c r="AB212" i="2"/>
  <c r="AC212" i="2"/>
  <c r="AD212" i="2"/>
  <c r="AE212" i="2"/>
  <c r="AF212" i="2"/>
  <c r="AG212" i="2"/>
  <c r="AH212" i="2"/>
  <c r="AI212" i="2"/>
  <c r="AJ212" i="2"/>
  <c r="AK212" i="2"/>
  <c r="AL212" i="2"/>
  <c r="AM212" i="2"/>
  <c r="AN212" i="2"/>
  <c r="AO212" i="2"/>
  <c r="AP212" i="2"/>
  <c r="AQ212" i="2"/>
  <c r="AR212" i="2"/>
  <c r="AS212" i="2"/>
  <c r="AB213" i="2"/>
  <c r="AC213" i="2"/>
  <c r="AD213" i="2"/>
  <c r="AE213" i="2"/>
  <c r="AF213" i="2"/>
  <c r="AG213" i="2"/>
  <c r="AH213" i="2"/>
  <c r="AI213" i="2"/>
  <c r="AJ213" i="2"/>
  <c r="AK213" i="2"/>
  <c r="AL213" i="2"/>
  <c r="AM213" i="2"/>
  <c r="AN213" i="2"/>
  <c r="AO213" i="2"/>
  <c r="AP213" i="2"/>
  <c r="AQ213" i="2"/>
  <c r="AR213" i="2"/>
  <c r="AS213" i="2"/>
  <c r="AB214" i="2"/>
  <c r="AC214" i="2"/>
  <c r="AD214" i="2"/>
  <c r="AE214" i="2"/>
  <c r="AF214" i="2"/>
  <c r="AG214" i="2"/>
  <c r="AH214" i="2"/>
  <c r="AI214" i="2"/>
  <c r="AJ214" i="2"/>
  <c r="AK214" i="2"/>
  <c r="AL214" i="2"/>
  <c r="AM214" i="2"/>
  <c r="AN214" i="2"/>
  <c r="AO214" i="2"/>
  <c r="AP214" i="2"/>
  <c r="AQ214" i="2"/>
  <c r="AR214" i="2"/>
  <c r="AS214" i="2"/>
  <c r="AB215" i="2"/>
  <c r="AC215" i="2"/>
  <c r="AD215" i="2"/>
  <c r="AE215" i="2"/>
  <c r="AF215" i="2"/>
  <c r="AG215" i="2"/>
  <c r="AH215" i="2"/>
  <c r="AI215" i="2"/>
  <c r="AJ215" i="2"/>
  <c r="AK215" i="2"/>
  <c r="AL215" i="2"/>
  <c r="AM215" i="2"/>
  <c r="AN215" i="2"/>
  <c r="AO215" i="2"/>
  <c r="AP215" i="2"/>
  <c r="AQ215" i="2"/>
  <c r="AR215" i="2"/>
  <c r="AS215" i="2"/>
  <c r="AB216" i="2"/>
  <c r="AC216" i="2"/>
  <c r="AD216" i="2"/>
  <c r="AE216" i="2"/>
  <c r="AF216" i="2"/>
  <c r="AG216" i="2"/>
  <c r="AH216" i="2"/>
  <c r="AI216" i="2"/>
  <c r="AJ216" i="2"/>
  <c r="AK216" i="2"/>
  <c r="AL216" i="2"/>
  <c r="AM216" i="2"/>
  <c r="AN216" i="2"/>
  <c r="AO216" i="2"/>
  <c r="AP216" i="2"/>
  <c r="AQ216" i="2"/>
  <c r="AR216" i="2"/>
  <c r="AS216" i="2"/>
  <c r="AB217" i="2"/>
  <c r="AC217" i="2"/>
  <c r="AD217" i="2"/>
  <c r="AE217" i="2"/>
  <c r="AF217" i="2"/>
  <c r="AG217" i="2"/>
  <c r="AH217" i="2"/>
  <c r="AI217" i="2"/>
  <c r="AJ217" i="2"/>
  <c r="AK217" i="2"/>
  <c r="AL217" i="2"/>
  <c r="AM217" i="2"/>
  <c r="AN217" i="2"/>
  <c r="AO217" i="2"/>
  <c r="AP217" i="2"/>
  <c r="AQ217" i="2"/>
  <c r="AR217" i="2"/>
  <c r="AS217" i="2"/>
  <c r="AB218" i="2"/>
  <c r="AC218" i="2"/>
  <c r="AD218" i="2"/>
  <c r="AE218" i="2"/>
  <c r="AF218" i="2"/>
  <c r="AG218" i="2"/>
  <c r="AH218" i="2"/>
  <c r="AI218" i="2"/>
  <c r="AJ218" i="2"/>
  <c r="AK218" i="2"/>
  <c r="AL218" i="2"/>
  <c r="AM218" i="2"/>
  <c r="AN218" i="2"/>
  <c r="AO218" i="2"/>
  <c r="AP218" i="2"/>
  <c r="AQ218" i="2"/>
  <c r="AR218" i="2"/>
  <c r="AS218" i="2"/>
  <c r="AB219" i="2"/>
  <c r="AC219" i="2"/>
  <c r="AD219" i="2"/>
  <c r="AE219" i="2"/>
  <c r="AF219" i="2"/>
  <c r="AG219" i="2"/>
  <c r="AH219" i="2"/>
  <c r="AI219" i="2"/>
  <c r="AJ219" i="2"/>
  <c r="AK219" i="2"/>
  <c r="AL219" i="2"/>
  <c r="AM219" i="2"/>
  <c r="AN219" i="2"/>
  <c r="AO219" i="2"/>
  <c r="AP219" i="2"/>
  <c r="AQ219" i="2"/>
  <c r="AR219" i="2"/>
  <c r="AS219" i="2"/>
  <c r="AB220" i="2"/>
  <c r="AC220" i="2"/>
  <c r="AD220" i="2"/>
  <c r="AE220" i="2"/>
  <c r="AF220" i="2"/>
  <c r="AG220" i="2"/>
  <c r="AH220" i="2"/>
  <c r="AI220" i="2"/>
  <c r="AJ220" i="2"/>
  <c r="AK220" i="2"/>
  <c r="AL220" i="2"/>
  <c r="AM220" i="2"/>
  <c r="AN220" i="2"/>
  <c r="AO220" i="2"/>
  <c r="AP220" i="2"/>
  <c r="AQ220" i="2"/>
  <c r="AR220" i="2"/>
  <c r="AS220" i="2"/>
  <c r="AB221" i="2"/>
  <c r="AC221" i="2"/>
  <c r="AD221" i="2"/>
  <c r="AE221" i="2"/>
  <c r="AF221" i="2"/>
  <c r="AG221" i="2"/>
  <c r="AH221" i="2"/>
  <c r="AI221" i="2"/>
  <c r="AJ221" i="2"/>
  <c r="AK221" i="2"/>
  <c r="AL221" i="2"/>
  <c r="AM221" i="2"/>
  <c r="AN221" i="2"/>
  <c r="AO221" i="2"/>
  <c r="AP221" i="2"/>
  <c r="AQ221" i="2"/>
  <c r="AR221" i="2"/>
  <c r="AS221" i="2"/>
  <c r="AB222" i="2"/>
  <c r="AC222" i="2"/>
  <c r="AD222" i="2"/>
  <c r="AE222" i="2"/>
  <c r="AF222" i="2"/>
  <c r="AG222" i="2"/>
  <c r="AH222" i="2"/>
  <c r="AI222" i="2"/>
  <c r="AJ222" i="2"/>
  <c r="AK222" i="2"/>
  <c r="AL222" i="2"/>
  <c r="AM222" i="2"/>
  <c r="AN222" i="2"/>
  <c r="AO222" i="2"/>
  <c r="AP222" i="2"/>
  <c r="AQ222" i="2"/>
  <c r="AR222" i="2"/>
  <c r="AS222" i="2"/>
  <c r="AB223" i="2"/>
  <c r="AC223" i="2"/>
  <c r="AD223" i="2"/>
  <c r="AE223" i="2"/>
  <c r="AF223" i="2"/>
  <c r="AG223" i="2"/>
  <c r="AH223" i="2"/>
  <c r="AI223" i="2"/>
  <c r="AJ223" i="2"/>
  <c r="AK223" i="2"/>
  <c r="AL223" i="2"/>
  <c r="AM223" i="2"/>
  <c r="AN223" i="2"/>
  <c r="AO223" i="2"/>
  <c r="AP223" i="2"/>
  <c r="AQ223" i="2"/>
  <c r="AR223" i="2"/>
  <c r="AS223" i="2"/>
  <c r="AB224" i="2"/>
  <c r="AC224" i="2"/>
  <c r="AD224" i="2"/>
  <c r="AE224" i="2"/>
  <c r="AF224" i="2"/>
  <c r="AG224" i="2"/>
  <c r="AH224" i="2"/>
  <c r="AI224" i="2"/>
  <c r="AJ224" i="2"/>
  <c r="AK224" i="2"/>
  <c r="AL224" i="2"/>
  <c r="AM224" i="2"/>
  <c r="AN224" i="2"/>
  <c r="AO224" i="2"/>
  <c r="AP224" i="2"/>
  <c r="AQ224" i="2"/>
  <c r="AR224" i="2"/>
  <c r="AS224" i="2"/>
  <c r="AB225" i="2"/>
  <c r="AC225" i="2"/>
  <c r="AD225" i="2"/>
  <c r="AE225" i="2"/>
  <c r="AF225" i="2"/>
  <c r="AG225" i="2"/>
  <c r="AH225" i="2"/>
  <c r="AI225" i="2"/>
  <c r="AJ225" i="2"/>
  <c r="AK225" i="2"/>
  <c r="AL225" i="2"/>
  <c r="AM225" i="2"/>
  <c r="AN225" i="2"/>
  <c r="AO225" i="2"/>
  <c r="AP225" i="2"/>
  <c r="AQ225" i="2"/>
  <c r="AR225" i="2"/>
  <c r="AS225" i="2"/>
  <c r="AB226" i="2"/>
  <c r="AC226" i="2"/>
  <c r="AD226" i="2"/>
  <c r="AE226" i="2"/>
  <c r="AF226" i="2"/>
  <c r="AG226" i="2"/>
  <c r="AH226" i="2"/>
  <c r="AI226" i="2"/>
  <c r="AJ226" i="2"/>
  <c r="AK226" i="2"/>
  <c r="AL226" i="2"/>
  <c r="AM226" i="2"/>
  <c r="AN226" i="2"/>
  <c r="AO226" i="2"/>
  <c r="AP226" i="2"/>
  <c r="AQ226" i="2"/>
  <c r="AR226" i="2"/>
  <c r="AS226" i="2"/>
  <c r="AB227" i="2"/>
  <c r="AC227" i="2"/>
  <c r="AD227" i="2"/>
  <c r="AE227" i="2"/>
  <c r="AF227" i="2"/>
  <c r="AG227" i="2"/>
  <c r="AH227" i="2"/>
  <c r="AI227" i="2"/>
  <c r="AJ227" i="2"/>
  <c r="AK227" i="2"/>
  <c r="AL227" i="2"/>
  <c r="AM227" i="2"/>
  <c r="AN227" i="2"/>
  <c r="AO227" i="2"/>
  <c r="AP227" i="2"/>
  <c r="AQ227" i="2"/>
  <c r="AR227" i="2"/>
  <c r="AS227" i="2"/>
  <c r="AB228" i="2"/>
  <c r="AC228" i="2"/>
  <c r="AD228" i="2"/>
  <c r="AE228" i="2"/>
  <c r="AF228" i="2"/>
  <c r="AG228" i="2"/>
  <c r="AH228" i="2"/>
  <c r="AI228" i="2"/>
  <c r="AJ228" i="2"/>
  <c r="AK228" i="2"/>
  <c r="AL228" i="2"/>
  <c r="AM228" i="2"/>
  <c r="AN228" i="2"/>
  <c r="AO228" i="2"/>
  <c r="AP228" i="2"/>
  <c r="AQ228" i="2"/>
  <c r="AR228" i="2"/>
  <c r="AS228"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 i="2"/>
  <c r="Z1" i="2"/>
  <c r="EL62" i="3" l="1"/>
  <c r="EM62" i="3"/>
  <c r="EK62" i="3"/>
  <c r="DT52" i="3"/>
  <c r="EM61" i="3" s="1"/>
  <c r="EN62" i="3"/>
  <c r="DQ53" i="3"/>
  <c r="DU53" i="3" s="1"/>
  <c r="DU32" i="3"/>
  <c r="DW32" i="3"/>
  <c r="DT32" i="3"/>
  <c r="E3" i="2"/>
  <c r="E4" i="2"/>
  <c r="E26" i="2"/>
  <c r="E27" i="2"/>
  <c r="E53" i="2"/>
  <c r="E5" i="2"/>
  <c r="E6" i="2"/>
  <c r="E7" i="2"/>
  <c r="E8" i="2"/>
  <c r="E9" i="2"/>
  <c r="E10" i="2"/>
  <c r="E28" i="2"/>
  <c r="E29" i="2"/>
  <c r="E30" i="2"/>
  <c r="E31" i="2"/>
  <c r="E54" i="2"/>
  <c r="E55" i="2"/>
  <c r="E56" i="2"/>
  <c r="E78" i="2"/>
  <c r="E79" i="2"/>
  <c r="E100" i="2"/>
  <c r="E101" i="2"/>
  <c r="E119" i="2"/>
  <c r="E145" i="2"/>
  <c r="E11" i="2"/>
  <c r="E12" i="2"/>
  <c r="E13" i="2"/>
  <c r="E14" i="2"/>
  <c r="E15" i="2"/>
  <c r="E16" i="2"/>
  <c r="E17" i="2"/>
  <c r="E18" i="2"/>
  <c r="E19" i="2"/>
  <c r="E32" i="2"/>
  <c r="E33" i="2"/>
  <c r="E34" i="2"/>
  <c r="E35" i="2"/>
  <c r="E36" i="2"/>
  <c r="E57" i="2"/>
  <c r="E58" i="2"/>
  <c r="E59" i="2"/>
  <c r="E60" i="2"/>
  <c r="E61" i="2"/>
  <c r="E80" i="2"/>
  <c r="E81" i="2"/>
  <c r="E82" i="2"/>
  <c r="E83" i="2"/>
  <c r="E84" i="2"/>
  <c r="E102" i="2"/>
  <c r="E103" i="2"/>
  <c r="E104" i="2"/>
  <c r="E120" i="2"/>
  <c r="E121" i="2"/>
  <c r="E122" i="2"/>
  <c r="E146" i="2"/>
  <c r="E147" i="2"/>
  <c r="E148" i="2"/>
  <c r="E174" i="2"/>
  <c r="E175" i="2"/>
  <c r="E200" i="2"/>
  <c r="E201" i="2"/>
  <c r="E37" i="2"/>
  <c r="E38" i="2"/>
  <c r="E39" i="2"/>
  <c r="E40" i="2"/>
  <c r="E41" i="2"/>
  <c r="E42" i="2"/>
  <c r="E43" i="2"/>
  <c r="E44" i="2"/>
  <c r="E45" i="2"/>
  <c r="E46" i="2"/>
  <c r="E62" i="2"/>
  <c r="E63" i="2"/>
  <c r="E64" i="2"/>
  <c r="E65" i="2"/>
  <c r="E66" i="2"/>
  <c r="E67" i="2"/>
  <c r="E68" i="2"/>
  <c r="E69" i="2"/>
  <c r="E70" i="2"/>
  <c r="E71" i="2"/>
  <c r="E85" i="2"/>
  <c r="E86" i="2"/>
  <c r="E87" i="2"/>
  <c r="E88" i="2"/>
  <c r="E89" i="2"/>
  <c r="E90" i="2"/>
  <c r="E91" i="2"/>
  <c r="E92" i="2"/>
  <c r="E93" i="2"/>
  <c r="E105" i="2"/>
  <c r="E106" i="2"/>
  <c r="E107" i="2"/>
  <c r="E108" i="2"/>
  <c r="E109" i="2"/>
  <c r="E110" i="2"/>
  <c r="E111" i="2"/>
  <c r="E112" i="2"/>
  <c r="E123" i="2"/>
  <c r="E124" i="2"/>
  <c r="E125" i="2"/>
  <c r="E126" i="2"/>
  <c r="E127" i="2"/>
  <c r="E128" i="2"/>
  <c r="E129" i="2"/>
  <c r="E130" i="2"/>
  <c r="E149" i="2"/>
  <c r="E150" i="2"/>
  <c r="E151" i="2"/>
  <c r="E152" i="2"/>
  <c r="E153" i="2"/>
  <c r="E154" i="2"/>
  <c r="E155" i="2"/>
  <c r="E156" i="2"/>
  <c r="E157" i="2"/>
  <c r="E176" i="2"/>
  <c r="E177" i="2"/>
  <c r="E178" i="2"/>
  <c r="E179" i="2"/>
  <c r="E180" i="2"/>
  <c r="E181" i="2"/>
  <c r="E182" i="2"/>
  <c r="E183" i="2"/>
  <c r="E184" i="2"/>
  <c r="E202" i="2"/>
  <c r="E203" i="2"/>
  <c r="E204" i="2"/>
  <c r="E205" i="2"/>
  <c r="E206" i="2"/>
  <c r="E207" i="2"/>
  <c r="E208" i="2"/>
  <c r="E209" i="2"/>
  <c r="E210" i="2"/>
  <c r="E211" i="2"/>
  <c r="E131" i="2"/>
  <c r="E132" i="2"/>
  <c r="E133" i="2"/>
  <c r="E134" i="2"/>
  <c r="E135" i="2"/>
  <c r="E136" i="2"/>
  <c r="E137" i="2"/>
  <c r="E138" i="2"/>
  <c r="E139" i="2"/>
  <c r="E158" i="2"/>
  <c r="E159" i="2"/>
  <c r="E160" i="2"/>
  <c r="E161" i="2"/>
  <c r="E162" i="2"/>
  <c r="E163" i="2"/>
  <c r="E164" i="2"/>
  <c r="E165" i="2"/>
  <c r="E166" i="2"/>
  <c r="E167" i="2"/>
  <c r="E168" i="2"/>
  <c r="E169" i="2"/>
  <c r="E185" i="2"/>
  <c r="E186" i="2"/>
  <c r="E187" i="2"/>
  <c r="E188" i="2"/>
  <c r="E189" i="2"/>
  <c r="E190" i="2"/>
  <c r="E191" i="2"/>
  <c r="E192" i="2"/>
  <c r="E193" i="2"/>
  <c r="E194" i="2"/>
  <c r="E195" i="2"/>
  <c r="E212" i="2"/>
  <c r="E213" i="2"/>
  <c r="E214" i="2"/>
  <c r="E215" i="2"/>
  <c r="E216" i="2"/>
  <c r="E217" i="2"/>
  <c r="E218" i="2"/>
  <c r="E219" i="2"/>
  <c r="E220" i="2"/>
  <c r="E221" i="2"/>
  <c r="E222" i="2"/>
  <c r="E223" i="2"/>
  <c r="E20" i="2"/>
  <c r="E21" i="2"/>
  <c r="E22" i="2"/>
  <c r="E23" i="2"/>
  <c r="E24" i="2"/>
  <c r="E25" i="2"/>
  <c r="E47" i="2"/>
  <c r="E48" i="2"/>
  <c r="E49" i="2"/>
  <c r="E50" i="2"/>
  <c r="E51" i="2"/>
  <c r="E52" i="2"/>
  <c r="E72" i="2"/>
  <c r="E73" i="2"/>
  <c r="E74" i="2"/>
  <c r="E75" i="2"/>
  <c r="E76" i="2"/>
  <c r="E77" i="2"/>
  <c r="E94" i="2"/>
  <c r="E95" i="2"/>
  <c r="E96" i="2"/>
  <c r="E97" i="2"/>
  <c r="E98" i="2"/>
  <c r="E99" i="2"/>
  <c r="E113" i="2"/>
  <c r="E114" i="2"/>
  <c r="E115" i="2"/>
  <c r="E116" i="2"/>
  <c r="E117" i="2"/>
  <c r="E118" i="2"/>
  <c r="E140" i="2"/>
  <c r="E141" i="2"/>
  <c r="E142" i="2"/>
  <c r="E143" i="2"/>
  <c r="E144" i="2"/>
  <c r="E170" i="2"/>
  <c r="E171" i="2"/>
  <c r="E172" i="2"/>
  <c r="E173" i="2"/>
  <c r="E196" i="2"/>
  <c r="E197" i="2"/>
  <c r="E198" i="2"/>
  <c r="E199" i="2"/>
  <c r="E224" i="2"/>
  <c r="E225" i="2"/>
  <c r="E226" i="2"/>
  <c r="E227" i="2"/>
  <c r="E228" i="2"/>
  <c r="E2" i="2"/>
  <c r="DL40" i="3"/>
  <c r="DK59" i="3"/>
  <c r="DL116" i="3"/>
  <c r="DK135" i="3"/>
  <c r="DK192" i="3"/>
  <c r="DK211" i="3"/>
  <c r="DK287" i="3"/>
  <c r="DL344" i="3"/>
  <c r="DK363" i="3"/>
  <c r="DL420" i="3"/>
  <c r="DK439" i="3"/>
  <c r="DK496" i="3"/>
  <c r="DK515" i="3"/>
  <c r="DK591" i="3"/>
  <c r="DL648" i="3"/>
  <c r="DK667" i="3"/>
  <c r="DL724" i="3"/>
  <c r="DK743" i="3"/>
  <c r="DK800" i="3"/>
  <c r="DL819" i="3"/>
  <c r="DK895" i="3"/>
  <c r="DL952" i="3"/>
  <c r="DL971" i="3"/>
  <c r="DL1028" i="3"/>
  <c r="DK1104" i="3"/>
  <c r="DL1256" i="3"/>
  <c r="DL1332" i="3"/>
  <c r="DK1408" i="3"/>
  <c r="DK1522" i="3"/>
  <c r="DK1541" i="3"/>
  <c r="DK1560" i="3"/>
  <c r="DK1598" i="3"/>
  <c r="DK1617" i="3"/>
  <c r="DK1636" i="3"/>
  <c r="DK1674" i="3"/>
  <c r="DK1693" i="3"/>
  <c r="DK1712" i="3"/>
  <c r="DK1750" i="3"/>
  <c r="DK1769" i="3"/>
  <c r="DK1788" i="3"/>
  <c r="DK1826" i="3"/>
  <c r="DK1845" i="3"/>
  <c r="DL1864" i="3"/>
  <c r="DK1921" i="3"/>
  <c r="DL1940" i="3"/>
  <c r="DK1997" i="3"/>
  <c r="DK2073" i="3"/>
  <c r="DK2092" i="3"/>
  <c r="DK2149" i="3"/>
  <c r="DL2168" i="3"/>
  <c r="DK2225" i="3"/>
  <c r="DL2244" i="3"/>
  <c r="DK2301" i="3"/>
  <c r="DK2453" i="3"/>
  <c r="DK2472" i="3"/>
  <c r="DL2548" i="3"/>
  <c r="DK2605" i="3"/>
  <c r="DK2624" i="3"/>
  <c r="DK2681" i="3"/>
  <c r="DK2700" i="3"/>
  <c r="DK2757" i="3"/>
  <c r="DL2776" i="3"/>
  <c r="DK2833" i="3"/>
  <c r="DK2852" i="3"/>
  <c r="DK2909" i="3"/>
  <c r="DK3004" i="3"/>
  <c r="DK3061" i="3"/>
  <c r="DL3080" i="3"/>
  <c r="DL3156" i="3"/>
  <c r="DK3175" i="3"/>
  <c r="DK3213" i="3"/>
  <c r="DK3232" i="3"/>
  <c r="DK3251" i="3"/>
  <c r="DK3327" i="3"/>
  <c r="DK3365" i="3"/>
  <c r="DL3384" i="3"/>
  <c r="DK3403" i="3"/>
  <c r="DK3441" i="3"/>
  <c r="DK3479" i="3"/>
  <c r="DK3517" i="3"/>
  <c r="DK3536" i="3"/>
  <c r="DK3555" i="3"/>
  <c r="DK3593" i="3"/>
  <c r="DK3612" i="3"/>
  <c r="DK3631" i="3"/>
  <c r="DK3669" i="3"/>
  <c r="DK3707" i="3"/>
  <c r="DL3764" i="3"/>
  <c r="DK3783" i="3"/>
  <c r="DK3821" i="3"/>
  <c r="DK3859" i="3"/>
  <c r="DK3935" i="3"/>
  <c r="DK3973" i="3"/>
  <c r="DK3992" i="3"/>
  <c r="DK4011" i="3"/>
  <c r="DL4068" i="3"/>
  <c r="DK4087" i="3"/>
  <c r="DK4125" i="3"/>
  <c r="DK4144" i="3"/>
  <c r="DK4163" i="3"/>
  <c r="DK4201" i="3"/>
  <c r="DK4220" i="3"/>
  <c r="DK4239" i="3"/>
  <c r="DL4296" i="3"/>
  <c r="DK2" i="3"/>
  <c r="DI1494" i="3"/>
  <c r="DI1495" i="3"/>
  <c r="DI1496" i="3"/>
  <c r="DI1497" i="3"/>
  <c r="DI1498" i="3"/>
  <c r="DI1499" i="3"/>
  <c r="DI1500" i="3"/>
  <c r="DI1501" i="3"/>
  <c r="DI1502" i="3"/>
  <c r="DI1503" i="3"/>
  <c r="DI1504" i="3"/>
  <c r="DI1505" i="3"/>
  <c r="DI1506" i="3"/>
  <c r="DI1507" i="3"/>
  <c r="DI1508" i="3"/>
  <c r="DI1509" i="3"/>
  <c r="DI1510" i="3"/>
  <c r="DI1511" i="3"/>
  <c r="DI1512" i="3"/>
  <c r="DI1513" i="3"/>
  <c r="DI1514" i="3"/>
  <c r="DI1515" i="3"/>
  <c r="DI1516" i="3"/>
  <c r="DI1517" i="3"/>
  <c r="DI1518" i="3"/>
  <c r="DI1519" i="3"/>
  <c r="DI1520" i="3"/>
  <c r="DI1521" i="3"/>
  <c r="DI1522" i="3"/>
  <c r="DI1523" i="3"/>
  <c r="DI1524" i="3"/>
  <c r="DI1525" i="3"/>
  <c r="DI1526" i="3"/>
  <c r="DI1527" i="3"/>
  <c r="DI1528" i="3"/>
  <c r="DI1529" i="3"/>
  <c r="DI1530" i="3"/>
  <c r="DI1531" i="3"/>
  <c r="DI1532" i="3"/>
  <c r="DI1533" i="3"/>
  <c r="DI1534" i="3"/>
  <c r="DI1535" i="3"/>
  <c r="DI1536" i="3"/>
  <c r="DI1537" i="3"/>
  <c r="DI1538" i="3"/>
  <c r="DI1539" i="3"/>
  <c r="DI1540" i="3"/>
  <c r="DI1541" i="3"/>
  <c r="DI1542" i="3"/>
  <c r="DI1543" i="3"/>
  <c r="DI1544" i="3"/>
  <c r="DI1545" i="3"/>
  <c r="DI1546" i="3"/>
  <c r="DI1547" i="3"/>
  <c r="DI1548" i="3"/>
  <c r="DI1549" i="3"/>
  <c r="DI1550" i="3"/>
  <c r="DI1551" i="3"/>
  <c r="DI1552" i="3"/>
  <c r="DI1553" i="3"/>
  <c r="DI1554" i="3"/>
  <c r="DI1555" i="3"/>
  <c r="DI1556" i="3"/>
  <c r="DI1557" i="3"/>
  <c r="DI1558" i="3"/>
  <c r="DI1559" i="3"/>
  <c r="DI1560" i="3"/>
  <c r="DI1561" i="3"/>
  <c r="DI1562" i="3"/>
  <c r="DI1563" i="3"/>
  <c r="DI1564" i="3"/>
  <c r="DI1565" i="3"/>
  <c r="DI1566" i="3"/>
  <c r="DI1567" i="3"/>
  <c r="DI1568" i="3"/>
  <c r="DI1569" i="3"/>
  <c r="DI1570" i="3"/>
  <c r="DI1571" i="3"/>
  <c r="DI1572" i="3"/>
  <c r="DI1573" i="3"/>
  <c r="DI1574" i="3"/>
  <c r="DI1575" i="3"/>
  <c r="DI1576" i="3"/>
  <c r="DI1577" i="3"/>
  <c r="DI1578" i="3"/>
  <c r="DI1579" i="3"/>
  <c r="DI1580" i="3"/>
  <c r="DI1581" i="3"/>
  <c r="DI1582" i="3"/>
  <c r="DI1583" i="3"/>
  <c r="DI1584" i="3"/>
  <c r="DI1585" i="3"/>
  <c r="DI1586" i="3"/>
  <c r="DI1587" i="3"/>
  <c r="DI1588" i="3"/>
  <c r="DI1589" i="3"/>
  <c r="DI1590" i="3"/>
  <c r="DI1591" i="3"/>
  <c r="DI1592" i="3"/>
  <c r="DI1593" i="3"/>
  <c r="DI1594" i="3"/>
  <c r="DI1595" i="3"/>
  <c r="DI1596" i="3"/>
  <c r="DI1597" i="3"/>
  <c r="DI1598" i="3"/>
  <c r="DI1599" i="3"/>
  <c r="DI1600" i="3"/>
  <c r="DI1601" i="3"/>
  <c r="DI1602" i="3"/>
  <c r="DI1603" i="3"/>
  <c r="DI1604" i="3"/>
  <c r="DI1605" i="3"/>
  <c r="DI1606" i="3"/>
  <c r="DI1607" i="3"/>
  <c r="DI1608" i="3"/>
  <c r="DI1609" i="3"/>
  <c r="DI1610" i="3"/>
  <c r="DI1611" i="3"/>
  <c r="DI1612" i="3"/>
  <c r="DI1613" i="3"/>
  <c r="DI1614" i="3"/>
  <c r="DI1615" i="3"/>
  <c r="DI1616" i="3"/>
  <c r="DI1617" i="3"/>
  <c r="DI1618" i="3"/>
  <c r="DI1619" i="3"/>
  <c r="DI1620" i="3"/>
  <c r="DI1621" i="3"/>
  <c r="DI1622" i="3"/>
  <c r="DI1623" i="3"/>
  <c r="DI1624" i="3"/>
  <c r="DI1625" i="3"/>
  <c r="DI1626" i="3"/>
  <c r="DI1627" i="3"/>
  <c r="DI1628" i="3"/>
  <c r="DI1629" i="3"/>
  <c r="DI1630" i="3"/>
  <c r="DI1631" i="3"/>
  <c r="DI1632" i="3"/>
  <c r="DI1633" i="3"/>
  <c r="DI1634" i="3"/>
  <c r="DI1635" i="3"/>
  <c r="DI1636" i="3"/>
  <c r="DI1637" i="3"/>
  <c r="DI1638" i="3"/>
  <c r="DI1639" i="3"/>
  <c r="DI1640" i="3"/>
  <c r="DI1641" i="3"/>
  <c r="DI1642" i="3"/>
  <c r="DI1643" i="3"/>
  <c r="DI1644" i="3"/>
  <c r="DI1645" i="3"/>
  <c r="DI1646" i="3"/>
  <c r="DI1647" i="3"/>
  <c r="DI1648" i="3"/>
  <c r="DI1649" i="3"/>
  <c r="DI1650" i="3"/>
  <c r="DI1651" i="3"/>
  <c r="DI1652" i="3"/>
  <c r="DI1653" i="3"/>
  <c r="DI1654" i="3"/>
  <c r="DI1655" i="3"/>
  <c r="DI1656" i="3"/>
  <c r="DI1657" i="3"/>
  <c r="DI1658" i="3"/>
  <c r="DI1659" i="3"/>
  <c r="DI1660" i="3"/>
  <c r="DI1661" i="3"/>
  <c r="DI1662" i="3"/>
  <c r="DI1663" i="3"/>
  <c r="DI1664" i="3"/>
  <c r="DI1665" i="3"/>
  <c r="DI1666" i="3"/>
  <c r="DI1667" i="3"/>
  <c r="DI1668" i="3"/>
  <c r="DI1669" i="3"/>
  <c r="DI1670" i="3"/>
  <c r="DI1671" i="3"/>
  <c r="DI1672" i="3"/>
  <c r="DI1673" i="3"/>
  <c r="DI1674" i="3"/>
  <c r="DI1675" i="3"/>
  <c r="DI1676" i="3"/>
  <c r="DI1677" i="3"/>
  <c r="DI1678" i="3"/>
  <c r="DI1679" i="3"/>
  <c r="DI1680" i="3"/>
  <c r="DI1681" i="3"/>
  <c r="DI1682" i="3"/>
  <c r="DI1683" i="3"/>
  <c r="DI1684" i="3"/>
  <c r="DI1685" i="3"/>
  <c r="DI1686" i="3"/>
  <c r="DI1687" i="3"/>
  <c r="DI1688" i="3"/>
  <c r="DI1689" i="3"/>
  <c r="DI1690" i="3"/>
  <c r="DI1691" i="3"/>
  <c r="DI1692" i="3"/>
  <c r="DI1693" i="3"/>
  <c r="DI1694" i="3"/>
  <c r="DI1695" i="3"/>
  <c r="DI1696" i="3"/>
  <c r="DI1697" i="3"/>
  <c r="DI1698" i="3"/>
  <c r="DI1699" i="3"/>
  <c r="DI1700" i="3"/>
  <c r="DI1701" i="3"/>
  <c r="DI1702" i="3"/>
  <c r="DI1703" i="3"/>
  <c r="DI1704" i="3"/>
  <c r="DI1705" i="3"/>
  <c r="DI1706" i="3"/>
  <c r="DI1707" i="3"/>
  <c r="DI1708" i="3"/>
  <c r="DI1709" i="3"/>
  <c r="DI1710" i="3"/>
  <c r="DI1711" i="3"/>
  <c r="DI1712" i="3"/>
  <c r="DI1713" i="3"/>
  <c r="DI1714" i="3"/>
  <c r="DI1715" i="3"/>
  <c r="DI1716" i="3"/>
  <c r="DI1717" i="3"/>
  <c r="DI1718" i="3"/>
  <c r="DI1719" i="3"/>
  <c r="DI1720" i="3"/>
  <c r="DI1721" i="3"/>
  <c r="DI1722" i="3"/>
  <c r="DI1723" i="3"/>
  <c r="DI1724" i="3"/>
  <c r="DI1725" i="3"/>
  <c r="DI1726" i="3"/>
  <c r="DI1727" i="3"/>
  <c r="DI1728" i="3"/>
  <c r="DI1729" i="3"/>
  <c r="DI1730" i="3"/>
  <c r="DI1731" i="3"/>
  <c r="DI1732" i="3"/>
  <c r="DI1733" i="3"/>
  <c r="DI1734" i="3"/>
  <c r="DI1735" i="3"/>
  <c r="DI1736" i="3"/>
  <c r="DI1737" i="3"/>
  <c r="DI1738" i="3"/>
  <c r="DI1739" i="3"/>
  <c r="DI1740" i="3"/>
  <c r="DI1741" i="3"/>
  <c r="DI1742" i="3"/>
  <c r="DI1743" i="3"/>
  <c r="DI1744" i="3"/>
  <c r="DI1745" i="3"/>
  <c r="DI1746" i="3"/>
  <c r="DI1747" i="3"/>
  <c r="DI1748" i="3"/>
  <c r="DI1749" i="3"/>
  <c r="DI1750" i="3"/>
  <c r="DI1751" i="3"/>
  <c r="DI1752" i="3"/>
  <c r="DI1753" i="3"/>
  <c r="DI1754" i="3"/>
  <c r="DI1755" i="3"/>
  <c r="DI1756" i="3"/>
  <c r="DI1757" i="3"/>
  <c r="DI1758" i="3"/>
  <c r="DI1759" i="3"/>
  <c r="DI1760" i="3"/>
  <c r="DI1761" i="3"/>
  <c r="DI1762" i="3"/>
  <c r="DI1763" i="3"/>
  <c r="DI1764" i="3"/>
  <c r="DI1765" i="3"/>
  <c r="DI1766" i="3"/>
  <c r="DI1767" i="3"/>
  <c r="DI1768" i="3"/>
  <c r="DI1769" i="3"/>
  <c r="DI1770" i="3"/>
  <c r="DI1771" i="3"/>
  <c r="DI1772" i="3"/>
  <c r="DI1773" i="3"/>
  <c r="DI1774" i="3"/>
  <c r="DI1775" i="3"/>
  <c r="DI1776" i="3"/>
  <c r="DI1777" i="3"/>
  <c r="DI1778" i="3"/>
  <c r="DI1779" i="3"/>
  <c r="DI1780" i="3"/>
  <c r="DI1781" i="3"/>
  <c r="DI1782" i="3"/>
  <c r="DI1783" i="3"/>
  <c r="DI1784" i="3"/>
  <c r="DI1785" i="3"/>
  <c r="DI1786" i="3"/>
  <c r="DI1787" i="3"/>
  <c r="DI1788" i="3"/>
  <c r="DI1789" i="3"/>
  <c r="DI1790" i="3"/>
  <c r="DI1791" i="3"/>
  <c r="DI1792" i="3"/>
  <c r="DI1793" i="3"/>
  <c r="DI1794" i="3"/>
  <c r="DI1795" i="3"/>
  <c r="DI1796" i="3"/>
  <c r="DI1797" i="3"/>
  <c r="DI1798" i="3"/>
  <c r="DI1799" i="3"/>
  <c r="DI1800" i="3"/>
  <c r="DI1801" i="3"/>
  <c r="DI1802" i="3"/>
  <c r="DI1803" i="3"/>
  <c r="DI1804" i="3"/>
  <c r="DI1805" i="3"/>
  <c r="DI1806" i="3"/>
  <c r="DI1807" i="3"/>
  <c r="DI1808" i="3"/>
  <c r="DI1809" i="3"/>
  <c r="DI1810" i="3"/>
  <c r="DI1811" i="3"/>
  <c r="DI1812" i="3"/>
  <c r="DI1813" i="3"/>
  <c r="DI1814" i="3"/>
  <c r="DI1815" i="3"/>
  <c r="DI1816" i="3"/>
  <c r="DI1817" i="3"/>
  <c r="DI1818" i="3"/>
  <c r="DI1819" i="3"/>
  <c r="DI1820" i="3"/>
  <c r="DI1821" i="3"/>
  <c r="DI1822" i="3"/>
  <c r="DI1823" i="3"/>
  <c r="DI1824" i="3"/>
  <c r="DI1825" i="3"/>
  <c r="DI1826" i="3"/>
  <c r="DI1827" i="3"/>
  <c r="DI1828" i="3"/>
  <c r="DI1829" i="3"/>
  <c r="DI1830" i="3"/>
  <c r="DI1831" i="3"/>
  <c r="DI1832" i="3"/>
  <c r="DI1833" i="3"/>
  <c r="DI1834" i="3"/>
  <c r="DI1835" i="3"/>
  <c r="DI1836" i="3"/>
  <c r="DI1837" i="3"/>
  <c r="DI1838" i="3"/>
  <c r="DI1839" i="3"/>
  <c r="DI1840" i="3"/>
  <c r="DI1841" i="3"/>
  <c r="DI1842" i="3"/>
  <c r="DI1843" i="3"/>
  <c r="DI1844" i="3"/>
  <c r="DI1845" i="3"/>
  <c r="DI1846" i="3"/>
  <c r="DI1847" i="3"/>
  <c r="DI1848" i="3"/>
  <c r="DI1849" i="3"/>
  <c r="DI1850" i="3"/>
  <c r="DI1851" i="3"/>
  <c r="DI1852" i="3"/>
  <c r="DI1853" i="3"/>
  <c r="DI1854" i="3"/>
  <c r="DI1855" i="3"/>
  <c r="DI1856" i="3"/>
  <c r="DI1857" i="3"/>
  <c r="DI1858" i="3"/>
  <c r="DI1859" i="3"/>
  <c r="DI1860" i="3"/>
  <c r="DI1861" i="3"/>
  <c r="DI1862" i="3"/>
  <c r="DI1863" i="3"/>
  <c r="DI1864" i="3"/>
  <c r="DK1864" i="3"/>
  <c r="DI1865" i="3"/>
  <c r="DI1866" i="3"/>
  <c r="DI1867" i="3"/>
  <c r="DI1868" i="3"/>
  <c r="DI1869" i="3"/>
  <c r="DI1870" i="3"/>
  <c r="DI1871" i="3"/>
  <c r="DI1872" i="3"/>
  <c r="DI1873" i="3"/>
  <c r="DI1874" i="3"/>
  <c r="DI1875" i="3"/>
  <c r="DI1876" i="3"/>
  <c r="DI1877" i="3"/>
  <c r="DI1878" i="3"/>
  <c r="DI1879" i="3"/>
  <c r="DI1880" i="3"/>
  <c r="DI1881" i="3"/>
  <c r="DI1882" i="3"/>
  <c r="DI1883" i="3"/>
  <c r="DI1884" i="3"/>
  <c r="DI1885" i="3"/>
  <c r="DI1886" i="3"/>
  <c r="DI1887" i="3"/>
  <c r="DI1888" i="3"/>
  <c r="DI1889" i="3"/>
  <c r="DI1890" i="3"/>
  <c r="DI1891" i="3"/>
  <c r="DI1892" i="3"/>
  <c r="DI1893" i="3"/>
  <c r="DI1894" i="3"/>
  <c r="DI1895" i="3"/>
  <c r="DI1896" i="3"/>
  <c r="DI1897" i="3"/>
  <c r="DI1898" i="3"/>
  <c r="DI1899" i="3"/>
  <c r="DI1900" i="3"/>
  <c r="DI1901" i="3"/>
  <c r="DI1902" i="3"/>
  <c r="DK1902" i="3"/>
  <c r="DI1903" i="3"/>
  <c r="DI1904" i="3"/>
  <c r="DI1905" i="3"/>
  <c r="DI1906" i="3"/>
  <c r="DI1907" i="3"/>
  <c r="DI1908" i="3"/>
  <c r="DI1909" i="3"/>
  <c r="DI1910" i="3"/>
  <c r="DI1911" i="3"/>
  <c r="DI1912" i="3"/>
  <c r="DI1913" i="3"/>
  <c r="DI1914" i="3"/>
  <c r="DI1915" i="3"/>
  <c r="DI1916" i="3"/>
  <c r="DI1917" i="3"/>
  <c r="DI1918" i="3"/>
  <c r="DI1919" i="3"/>
  <c r="DI1920" i="3"/>
  <c r="DI1921" i="3"/>
  <c r="DI1922" i="3"/>
  <c r="DI1923" i="3"/>
  <c r="DI1924" i="3"/>
  <c r="DI1925" i="3"/>
  <c r="DI1926" i="3"/>
  <c r="DI1927" i="3"/>
  <c r="DI1928" i="3"/>
  <c r="DI1929" i="3"/>
  <c r="DI1930" i="3"/>
  <c r="DI1931" i="3"/>
  <c r="DI1932" i="3"/>
  <c r="DI1933" i="3"/>
  <c r="DI1934" i="3"/>
  <c r="DI1935" i="3"/>
  <c r="DI1936" i="3"/>
  <c r="DI1937" i="3"/>
  <c r="DI1938" i="3"/>
  <c r="DI1939" i="3"/>
  <c r="DI1940" i="3"/>
  <c r="DI1941" i="3"/>
  <c r="DI1942" i="3"/>
  <c r="DI1943" i="3"/>
  <c r="DI1944" i="3"/>
  <c r="DI1945" i="3"/>
  <c r="DI1946" i="3"/>
  <c r="DI1947" i="3"/>
  <c r="DI1948" i="3"/>
  <c r="DI1949" i="3"/>
  <c r="DI1950" i="3"/>
  <c r="DI1951" i="3"/>
  <c r="DI1952" i="3"/>
  <c r="DI1953" i="3"/>
  <c r="DI1954" i="3"/>
  <c r="DI1955" i="3"/>
  <c r="DI1956" i="3"/>
  <c r="DI1957" i="3"/>
  <c r="DI1958" i="3"/>
  <c r="DI1959" i="3"/>
  <c r="DI1960" i="3"/>
  <c r="DI1961" i="3"/>
  <c r="DI1962" i="3"/>
  <c r="DI1963" i="3"/>
  <c r="DI1964" i="3"/>
  <c r="DI1965" i="3"/>
  <c r="DI1966" i="3"/>
  <c r="DI1967" i="3"/>
  <c r="DI1968" i="3"/>
  <c r="DI1969" i="3"/>
  <c r="DI1970" i="3"/>
  <c r="DI1971" i="3"/>
  <c r="DI1972" i="3"/>
  <c r="DI1973" i="3"/>
  <c r="DI1974" i="3"/>
  <c r="DI1975" i="3"/>
  <c r="DI1976" i="3"/>
  <c r="DI1977" i="3"/>
  <c r="DI1978" i="3"/>
  <c r="DK1978" i="3"/>
  <c r="DI1979" i="3"/>
  <c r="DI1980" i="3"/>
  <c r="DI1981" i="3"/>
  <c r="DI1982" i="3"/>
  <c r="DI1983" i="3"/>
  <c r="DI1984" i="3"/>
  <c r="DI1985" i="3"/>
  <c r="DI1986" i="3"/>
  <c r="DI1987" i="3"/>
  <c r="DI1988" i="3"/>
  <c r="DI1989" i="3"/>
  <c r="DI1990" i="3"/>
  <c r="DI1991" i="3"/>
  <c r="DI1992" i="3"/>
  <c r="DI1993" i="3"/>
  <c r="DI1994" i="3"/>
  <c r="DI1995" i="3"/>
  <c r="DI1996" i="3"/>
  <c r="DI1997" i="3"/>
  <c r="DI1998" i="3"/>
  <c r="DI1999" i="3"/>
  <c r="DI2000" i="3"/>
  <c r="DI2001" i="3"/>
  <c r="DI2002" i="3"/>
  <c r="DI2003" i="3"/>
  <c r="DI2004" i="3"/>
  <c r="DI2005" i="3"/>
  <c r="DI2006" i="3"/>
  <c r="DI2007" i="3"/>
  <c r="DI2008" i="3"/>
  <c r="DI2009" i="3"/>
  <c r="DI2010" i="3"/>
  <c r="DI2011" i="3"/>
  <c r="DI2012" i="3"/>
  <c r="DI2013" i="3"/>
  <c r="DI2014" i="3"/>
  <c r="DI2015" i="3"/>
  <c r="DI2016" i="3"/>
  <c r="DK2016" i="3"/>
  <c r="DI2017" i="3"/>
  <c r="DI2018" i="3"/>
  <c r="DI2019" i="3"/>
  <c r="DI2020" i="3"/>
  <c r="DI2021" i="3"/>
  <c r="DI2022" i="3"/>
  <c r="DI2023" i="3"/>
  <c r="DI2024" i="3"/>
  <c r="DI2025" i="3"/>
  <c r="DI2026" i="3"/>
  <c r="DI2027" i="3"/>
  <c r="DI2028" i="3"/>
  <c r="DI2029" i="3"/>
  <c r="DI2030" i="3"/>
  <c r="DI2031" i="3"/>
  <c r="DI2032" i="3"/>
  <c r="DI2033" i="3"/>
  <c r="DI2034" i="3"/>
  <c r="DI2035" i="3"/>
  <c r="DI2036" i="3"/>
  <c r="DI2037" i="3"/>
  <c r="DI2038" i="3"/>
  <c r="DI2039" i="3"/>
  <c r="DI2040" i="3"/>
  <c r="DI2041" i="3"/>
  <c r="DI2042" i="3"/>
  <c r="DI2043" i="3"/>
  <c r="DI2044" i="3"/>
  <c r="DI2045" i="3"/>
  <c r="DI2046" i="3"/>
  <c r="DI2047" i="3"/>
  <c r="DI2048" i="3"/>
  <c r="DI2049" i="3"/>
  <c r="DI2050" i="3"/>
  <c r="DI2051" i="3"/>
  <c r="DI2052" i="3"/>
  <c r="DI2053" i="3"/>
  <c r="DI2054" i="3"/>
  <c r="DK2054" i="3"/>
  <c r="DI2055" i="3"/>
  <c r="DI2056" i="3"/>
  <c r="DI2057" i="3"/>
  <c r="DI2058" i="3"/>
  <c r="DI2059" i="3"/>
  <c r="DI2060" i="3"/>
  <c r="DI2061" i="3"/>
  <c r="DI2062" i="3"/>
  <c r="DI2063" i="3"/>
  <c r="DI2064" i="3"/>
  <c r="DI2065" i="3"/>
  <c r="DI2066" i="3"/>
  <c r="DI2067" i="3"/>
  <c r="DI2068" i="3"/>
  <c r="DI2069" i="3"/>
  <c r="DI2070" i="3"/>
  <c r="DI2071" i="3"/>
  <c r="DI2072" i="3"/>
  <c r="DI2073" i="3"/>
  <c r="DI2074" i="3"/>
  <c r="DI2075" i="3"/>
  <c r="DI2076" i="3"/>
  <c r="DI2077" i="3"/>
  <c r="DI2078" i="3"/>
  <c r="DI2079" i="3"/>
  <c r="DI2080" i="3"/>
  <c r="DI2081" i="3"/>
  <c r="DI2082" i="3"/>
  <c r="DI2083" i="3"/>
  <c r="DI2084" i="3"/>
  <c r="DI2085" i="3"/>
  <c r="DI2086" i="3"/>
  <c r="DI2087" i="3"/>
  <c r="DI2088" i="3"/>
  <c r="DI2089" i="3"/>
  <c r="DI2090" i="3"/>
  <c r="DI2091" i="3"/>
  <c r="DI2092" i="3"/>
  <c r="DI2093" i="3"/>
  <c r="DI2094" i="3"/>
  <c r="DI2095" i="3"/>
  <c r="DI2096" i="3"/>
  <c r="DI2097" i="3"/>
  <c r="DI2098" i="3"/>
  <c r="DI2099" i="3"/>
  <c r="DI2100" i="3"/>
  <c r="DI2101" i="3"/>
  <c r="DI2102" i="3"/>
  <c r="DI2103" i="3"/>
  <c r="DI2104" i="3"/>
  <c r="DI2105" i="3"/>
  <c r="DI2106" i="3"/>
  <c r="DI2107" i="3"/>
  <c r="DI2108" i="3"/>
  <c r="DI2109" i="3"/>
  <c r="DI2110" i="3"/>
  <c r="DI2111" i="3"/>
  <c r="DI2112" i="3"/>
  <c r="DI2113" i="3"/>
  <c r="DI2114" i="3"/>
  <c r="DI2115" i="3"/>
  <c r="DI2116" i="3"/>
  <c r="DI2117" i="3"/>
  <c r="DI2118" i="3"/>
  <c r="DI2119" i="3"/>
  <c r="DI2120" i="3"/>
  <c r="DI2121" i="3"/>
  <c r="DI2122" i="3"/>
  <c r="DI2123" i="3"/>
  <c r="DI2124" i="3"/>
  <c r="DI2125" i="3"/>
  <c r="DI2126" i="3"/>
  <c r="DI2127" i="3"/>
  <c r="DI2128" i="3"/>
  <c r="DI2129" i="3"/>
  <c r="DI2130" i="3"/>
  <c r="DK2130" i="3"/>
  <c r="DI2131" i="3"/>
  <c r="DI2132" i="3"/>
  <c r="DI2133" i="3"/>
  <c r="DI2134" i="3"/>
  <c r="DI2135" i="3"/>
  <c r="DI2136" i="3"/>
  <c r="DI2137" i="3"/>
  <c r="DI2138" i="3"/>
  <c r="DI2139" i="3"/>
  <c r="DI2140" i="3"/>
  <c r="DI2141" i="3"/>
  <c r="DI2142" i="3"/>
  <c r="DI2143" i="3"/>
  <c r="DI2144" i="3"/>
  <c r="DI2145" i="3"/>
  <c r="DI2146" i="3"/>
  <c r="DI2147" i="3"/>
  <c r="DI2148" i="3"/>
  <c r="DI2149" i="3"/>
  <c r="DI2150" i="3"/>
  <c r="DI2151" i="3"/>
  <c r="DI2152" i="3"/>
  <c r="DI2153" i="3"/>
  <c r="DI2154" i="3"/>
  <c r="DI2155" i="3"/>
  <c r="DI2156" i="3"/>
  <c r="DI2157" i="3"/>
  <c r="DI2158" i="3"/>
  <c r="DI2159" i="3"/>
  <c r="DI2160" i="3"/>
  <c r="DI2161" i="3"/>
  <c r="DI2162" i="3"/>
  <c r="DI2163" i="3"/>
  <c r="DI2164" i="3"/>
  <c r="DI2165" i="3"/>
  <c r="DI2166" i="3"/>
  <c r="DI2167" i="3"/>
  <c r="DI2168" i="3"/>
  <c r="DK2168" i="3"/>
  <c r="DI2169" i="3"/>
  <c r="DI2170" i="3"/>
  <c r="DI2171" i="3"/>
  <c r="DI2172" i="3"/>
  <c r="DI2173" i="3"/>
  <c r="DI2174" i="3"/>
  <c r="DI2175" i="3"/>
  <c r="DI2176" i="3"/>
  <c r="DI2177" i="3"/>
  <c r="DI2178" i="3"/>
  <c r="DI2179" i="3"/>
  <c r="DI2180" i="3"/>
  <c r="DI2181" i="3"/>
  <c r="DI2182" i="3"/>
  <c r="DI2183" i="3"/>
  <c r="DI2184" i="3"/>
  <c r="DI2185" i="3"/>
  <c r="DI2186" i="3"/>
  <c r="DI2187" i="3"/>
  <c r="DI2188" i="3"/>
  <c r="DI2189" i="3"/>
  <c r="DI2190" i="3"/>
  <c r="DI2191" i="3"/>
  <c r="DI2192" i="3"/>
  <c r="DI2193" i="3"/>
  <c r="DI2194" i="3"/>
  <c r="DI2195" i="3"/>
  <c r="DI2196" i="3"/>
  <c r="DI2197" i="3"/>
  <c r="DI2198" i="3"/>
  <c r="DI2199" i="3"/>
  <c r="DI2200" i="3"/>
  <c r="DI2201" i="3"/>
  <c r="DI2202" i="3"/>
  <c r="DI2203" i="3"/>
  <c r="DI2204" i="3"/>
  <c r="DI2205" i="3"/>
  <c r="DI2206" i="3"/>
  <c r="DK2206" i="3"/>
  <c r="DI2207" i="3"/>
  <c r="DI2208" i="3"/>
  <c r="DI2209" i="3"/>
  <c r="DI2210" i="3"/>
  <c r="DI2211" i="3"/>
  <c r="DI2212" i="3"/>
  <c r="DI2213" i="3"/>
  <c r="DI2214" i="3"/>
  <c r="DI2215" i="3"/>
  <c r="DI2216" i="3"/>
  <c r="DI2217" i="3"/>
  <c r="DI2218" i="3"/>
  <c r="DI2219" i="3"/>
  <c r="DI2220" i="3"/>
  <c r="DI2221" i="3"/>
  <c r="DI2222" i="3"/>
  <c r="DI2223" i="3"/>
  <c r="DI2224" i="3"/>
  <c r="DI2225" i="3"/>
  <c r="DI2226" i="3"/>
  <c r="DI2227" i="3"/>
  <c r="DI2228" i="3"/>
  <c r="DI2229" i="3"/>
  <c r="DI2230" i="3"/>
  <c r="DI2231" i="3"/>
  <c r="DI2232" i="3"/>
  <c r="DI2233" i="3"/>
  <c r="DI2234" i="3"/>
  <c r="DI2235" i="3"/>
  <c r="DI2236" i="3"/>
  <c r="DI2237" i="3"/>
  <c r="DI2238" i="3"/>
  <c r="DI2239" i="3"/>
  <c r="DI2240" i="3"/>
  <c r="DI2241" i="3"/>
  <c r="DI2242" i="3"/>
  <c r="DI2243" i="3"/>
  <c r="DI2244" i="3"/>
  <c r="DI2245" i="3"/>
  <c r="DI2246" i="3"/>
  <c r="DI2247" i="3"/>
  <c r="DI2248" i="3"/>
  <c r="DI2249" i="3"/>
  <c r="DI2250" i="3"/>
  <c r="DI2251" i="3"/>
  <c r="DI2252" i="3"/>
  <c r="DI2253" i="3"/>
  <c r="DI2254" i="3"/>
  <c r="DI2255" i="3"/>
  <c r="DI2256" i="3"/>
  <c r="DI2257" i="3"/>
  <c r="DI2258" i="3"/>
  <c r="DI2259" i="3"/>
  <c r="DI2260" i="3"/>
  <c r="DI2261" i="3"/>
  <c r="DI2262" i="3"/>
  <c r="DI2263" i="3"/>
  <c r="DI2264" i="3"/>
  <c r="DI2265" i="3"/>
  <c r="DI2266" i="3"/>
  <c r="DI2267" i="3"/>
  <c r="DI2268" i="3"/>
  <c r="DI2269" i="3"/>
  <c r="DI2270" i="3"/>
  <c r="DI2271" i="3"/>
  <c r="DI2272" i="3"/>
  <c r="DI2273" i="3"/>
  <c r="DI2274" i="3"/>
  <c r="DI2275" i="3"/>
  <c r="DI2276" i="3"/>
  <c r="DI2277" i="3"/>
  <c r="DI2278" i="3"/>
  <c r="DI2279" i="3"/>
  <c r="DI2280" i="3"/>
  <c r="DI2281" i="3"/>
  <c r="DI2282" i="3"/>
  <c r="DK2282" i="3"/>
  <c r="DI2283" i="3"/>
  <c r="DI2284" i="3"/>
  <c r="DI2285" i="3"/>
  <c r="DI2286" i="3"/>
  <c r="DI2287" i="3"/>
  <c r="DI2288" i="3"/>
  <c r="DI2289" i="3"/>
  <c r="DI2290" i="3"/>
  <c r="DI2291" i="3"/>
  <c r="DI2292" i="3"/>
  <c r="DI2293" i="3"/>
  <c r="DI2294" i="3"/>
  <c r="DI2295" i="3"/>
  <c r="DI2296" i="3"/>
  <c r="DI2297" i="3"/>
  <c r="DI2298" i="3"/>
  <c r="DI2299" i="3"/>
  <c r="DI2300" i="3"/>
  <c r="DI2301" i="3"/>
  <c r="DI2302" i="3"/>
  <c r="DI2303" i="3"/>
  <c r="DI2304" i="3"/>
  <c r="DI2305" i="3"/>
  <c r="DI2306" i="3"/>
  <c r="DI2307" i="3"/>
  <c r="DI2308" i="3"/>
  <c r="DI2309" i="3"/>
  <c r="DI2310" i="3"/>
  <c r="DI2311" i="3"/>
  <c r="DI2312" i="3"/>
  <c r="DI2313" i="3"/>
  <c r="DI2314" i="3"/>
  <c r="DI2315" i="3"/>
  <c r="DI2316" i="3"/>
  <c r="DI2317" i="3"/>
  <c r="DI2318" i="3"/>
  <c r="DI2319" i="3"/>
  <c r="DI2320" i="3"/>
  <c r="DK2320" i="3"/>
  <c r="DI2321" i="3"/>
  <c r="DI2322" i="3"/>
  <c r="DI2323" i="3"/>
  <c r="DI2324" i="3"/>
  <c r="DI2325" i="3"/>
  <c r="DI2326" i="3"/>
  <c r="DI2327" i="3"/>
  <c r="DI2328" i="3"/>
  <c r="DI2329" i="3"/>
  <c r="DI2330" i="3"/>
  <c r="DI2331" i="3"/>
  <c r="DI2332" i="3"/>
  <c r="DI2333" i="3"/>
  <c r="DI2334" i="3"/>
  <c r="DI2335" i="3"/>
  <c r="DI2336" i="3"/>
  <c r="DI2337" i="3"/>
  <c r="DI2338" i="3"/>
  <c r="DI2339" i="3"/>
  <c r="DI2340" i="3"/>
  <c r="DI2341" i="3"/>
  <c r="DI2342" i="3"/>
  <c r="DI2343" i="3"/>
  <c r="DI2344" i="3"/>
  <c r="DI2345" i="3"/>
  <c r="DI2346" i="3"/>
  <c r="DI2347" i="3"/>
  <c r="DI2348" i="3"/>
  <c r="DI2349" i="3"/>
  <c r="DI2350" i="3"/>
  <c r="DI2351" i="3"/>
  <c r="DI2352" i="3"/>
  <c r="DI2353" i="3"/>
  <c r="DI2354" i="3"/>
  <c r="DI2355" i="3"/>
  <c r="DI2356" i="3"/>
  <c r="DI2357" i="3"/>
  <c r="DI2358" i="3"/>
  <c r="DK2358" i="3"/>
  <c r="DI2359" i="3"/>
  <c r="DI2360" i="3"/>
  <c r="DI2361" i="3"/>
  <c r="DI2362" i="3"/>
  <c r="DI2363" i="3"/>
  <c r="DI2364" i="3"/>
  <c r="DI2365" i="3"/>
  <c r="DI2366" i="3"/>
  <c r="DI2367" i="3"/>
  <c r="DI2368" i="3"/>
  <c r="DI2369" i="3"/>
  <c r="DI2370" i="3"/>
  <c r="DI2371" i="3"/>
  <c r="DI2372" i="3"/>
  <c r="DI2373" i="3"/>
  <c r="DI2374" i="3"/>
  <c r="DI2375" i="3"/>
  <c r="DI2376" i="3"/>
  <c r="DI2377" i="3"/>
  <c r="DK2377" i="3"/>
  <c r="DI2378" i="3"/>
  <c r="DI2379" i="3"/>
  <c r="DI2380" i="3"/>
  <c r="DI2381" i="3"/>
  <c r="DI2382" i="3"/>
  <c r="DI2383" i="3"/>
  <c r="DI2384" i="3"/>
  <c r="DI2385" i="3"/>
  <c r="DI2386" i="3"/>
  <c r="DI2387" i="3"/>
  <c r="DI2388" i="3"/>
  <c r="DI2389" i="3"/>
  <c r="DI2390" i="3"/>
  <c r="DI2391" i="3"/>
  <c r="DI2392" i="3"/>
  <c r="DI2393" i="3"/>
  <c r="DI2394" i="3"/>
  <c r="DI2395" i="3"/>
  <c r="DI2396" i="3"/>
  <c r="DK2396" i="3"/>
  <c r="DI2397" i="3"/>
  <c r="DI2398" i="3"/>
  <c r="DI2399" i="3"/>
  <c r="DI2400" i="3"/>
  <c r="DI2401" i="3"/>
  <c r="DI2402" i="3"/>
  <c r="DI2403" i="3"/>
  <c r="DI2404" i="3"/>
  <c r="DI2405" i="3"/>
  <c r="DI2406" i="3"/>
  <c r="DI2407" i="3"/>
  <c r="DI2408" i="3"/>
  <c r="DI2409" i="3"/>
  <c r="DI2410" i="3"/>
  <c r="DI2411" i="3"/>
  <c r="DI2412" i="3"/>
  <c r="DI2413" i="3"/>
  <c r="DI2414" i="3"/>
  <c r="DI2415" i="3"/>
  <c r="DI2416" i="3"/>
  <c r="DI2417" i="3"/>
  <c r="DI2418" i="3"/>
  <c r="DI2419" i="3"/>
  <c r="DI2420" i="3"/>
  <c r="DI2421" i="3"/>
  <c r="DI2422" i="3"/>
  <c r="DI2423" i="3"/>
  <c r="DI2424" i="3"/>
  <c r="DI2425" i="3"/>
  <c r="DI2426" i="3"/>
  <c r="DI2427" i="3"/>
  <c r="DI2428" i="3"/>
  <c r="DI2429" i="3"/>
  <c r="DI2430" i="3"/>
  <c r="DI2431" i="3"/>
  <c r="DI2432" i="3"/>
  <c r="DI2433" i="3"/>
  <c r="DI2434" i="3"/>
  <c r="DK2434" i="3"/>
  <c r="DI2435" i="3"/>
  <c r="DI2436" i="3"/>
  <c r="DI2437" i="3"/>
  <c r="DI2438" i="3"/>
  <c r="DI2439" i="3"/>
  <c r="DI2440" i="3"/>
  <c r="DI2441" i="3"/>
  <c r="DI2442" i="3"/>
  <c r="DI2443" i="3"/>
  <c r="DI2444" i="3"/>
  <c r="DI2445" i="3"/>
  <c r="DI2446" i="3"/>
  <c r="DI2447" i="3"/>
  <c r="DI2448" i="3"/>
  <c r="DI2449" i="3"/>
  <c r="DI2450" i="3"/>
  <c r="DI2451" i="3"/>
  <c r="DI2452" i="3"/>
  <c r="DI2453" i="3"/>
  <c r="DI2454" i="3"/>
  <c r="DI2455" i="3"/>
  <c r="DI2456" i="3"/>
  <c r="DI2457" i="3"/>
  <c r="DI2458" i="3"/>
  <c r="DI2459" i="3"/>
  <c r="DI2460" i="3"/>
  <c r="DI2461" i="3"/>
  <c r="DI2462" i="3"/>
  <c r="DI2463" i="3"/>
  <c r="DI2464" i="3"/>
  <c r="DI2465" i="3"/>
  <c r="DI2466" i="3"/>
  <c r="DI2467" i="3"/>
  <c r="DI2468" i="3"/>
  <c r="DI2469" i="3"/>
  <c r="DI2470" i="3"/>
  <c r="DI2471" i="3"/>
  <c r="DI2472" i="3"/>
  <c r="DI2473" i="3"/>
  <c r="DI2474" i="3"/>
  <c r="DI2475" i="3"/>
  <c r="DI2476" i="3"/>
  <c r="DI2477" i="3"/>
  <c r="DI2478" i="3"/>
  <c r="DI2479" i="3"/>
  <c r="DI2480" i="3"/>
  <c r="DI2481" i="3"/>
  <c r="DI2482" i="3"/>
  <c r="DI2483" i="3"/>
  <c r="DI2484" i="3"/>
  <c r="DI2485" i="3"/>
  <c r="DI2486" i="3"/>
  <c r="DI2487" i="3"/>
  <c r="DI2488" i="3"/>
  <c r="DI2489" i="3"/>
  <c r="DI2490" i="3"/>
  <c r="DI2491" i="3"/>
  <c r="DI2492" i="3"/>
  <c r="DI2493" i="3"/>
  <c r="DI2494" i="3"/>
  <c r="DI2495" i="3"/>
  <c r="DI2496" i="3"/>
  <c r="DI2497" i="3"/>
  <c r="DI2498" i="3"/>
  <c r="DI2499" i="3"/>
  <c r="DI2500" i="3"/>
  <c r="DI2501" i="3"/>
  <c r="DI2502" i="3"/>
  <c r="DI2503" i="3"/>
  <c r="DI2504" i="3"/>
  <c r="DI2505" i="3"/>
  <c r="DI2506" i="3"/>
  <c r="DI2507" i="3"/>
  <c r="DI2508" i="3"/>
  <c r="DI2509" i="3"/>
  <c r="DI2510" i="3"/>
  <c r="DK2510" i="3"/>
  <c r="DI2511" i="3"/>
  <c r="DI2512" i="3"/>
  <c r="DI2513" i="3"/>
  <c r="DI2514" i="3"/>
  <c r="DI2515" i="3"/>
  <c r="DI2516" i="3"/>
  <c r="DI2517" i="3"/>
  <c r="DI2518" i="3"/>
  <c r="DI2519" i="3"/>
  <c r="DI2520" i="3"/>
  <c r="DI2521" i="3"/>
  <c r="DI2522" i="3"/>
  <c r="DI2523" i="3"/>
  <c r="DI2524" i="3"/>
  <c r="DI2525" i="3"/>
  <c r="DI2526" i="3"/>
  <c r="DI2527" i="3"/>
  <c r="DI2528" i="3"/>
  <c r="DI2529" i="3"/>
  <c r="DK2529" i="3"/>
  <c r="DI2530" i="3"/>
  <c r="DI2531" i="3"/>
  <c r="DI2532" i="3"/>
  <c r="DI2533" i="3"/>
  <c r="DI2534" i="3"/>
  <c r="DI2535" i="3"/>
  <c r="DI2536" i="3"/>
  <c r="DI2537" i="3"/>
  <c r="DI2538" i="3"/>
  <c r="DI2539" i="3"/>
  <c r="DI2540" i="3"/>
  <c r="DI2541" i="3"/>
  <c r="DI2542" i="3"/>
  <c r="DI2543" i="3"/>
  <c r="DI2544" i="3"/>
  <c r="DI2545" i="3"/>
  <c r="DI2546" i="3"/>
  <c r="DI2547" i="3"/>
  <c r="DI2548" i="3"/>
  <c r="DK2548" i="3"/>
  <c r="DI2549" i="3"/>
  <c r="DI2550" i="3"/>
  <c r="DI2551" i="3"/>
  <c r="DI2552" i="3"/>
  <c r="DI2553" i="3"/>
  <c r="DI2554" i="3"/>
  <c r="DI2555" i="3"/>
  <c r="DI2556" i="3"/>
  <c r="DI2557" i="3"/>
  <c r="DI2558" i="3"/>
  <c r="DI2559" i="3"/>
  <c r="DI2560" i="3"/>
  <c r="DI2561" i="3"/>
  <c r="DI2562" i="3"/>
  <c r="DI2563" i="3"/>
  <c r="DI2564" i="3"/>
  <c r="DI2565" i="3"/>
  <c r="DI2566" i="3"/>
  <c r="DI2567" i="3"/>
  <c r="DI2568" i="3"/>
  <c r="DI2569" i="3"/>
  <c r="DI2570" i="3"/>
  <c r="DI2571" i="3"/>
  <c r="DI2572" i="3"/>
  <c r="DI2573" i="3"/>
  <c r="DI2574" i="3"/>
  <c r="DI2575" i="3"/>
  <c r="DI2576" i="3"/>
  <c r="DI2577" i="3"/>
  <c r="DI2578" i="3"/>
  <c r="DI2579" i="3"/>
  <c r="DI2580" i="3"/>
  <c r="DI2581" i="3"/>
  <c r="DI2582" i="3"/>
  <c r="DI2583" i="3"/>
  <c r="DI2584" i="3"/>
  <c r="DI2585" i="3"/>
  <c r="DI2586" i="3"/>
  <c r="DK2586" i="3"/>
  <c r="DI2587" i="3"/>
  <c r="DI2588" i="3"/>
  <c r="DI2589" i="3"/>
  <c r="DI2590" i="3"/>
  <c r="DI2591" i="3"/>
  <c r="DI2592" i="3"/>
  <c r="DI2593" i="3"/>
  <c r="DI2594" i="3"/>
  <c r="DI2595" i="3"/>
  <c r="DI2596" i="3"/>
  <c r="DI2597" i="3"/>
  <c r="DI2598" i="3"/>
  <c r="DI2599" i="3"/>
  <c r="DI2600" i="3"/>
  <c r="DI2601" i="3"/>
  <c r="DI2602" i="3"/>
  <c r="DI2603" i="3"/>
  <c r="DI2604" i="3"/>
  <c r="DI2605" i="3"/>
  <c r="DI2606" i="3"/>
  <c r="DI2607" i="3"/>
  <c r="DI2608" i="3"/>
  <c r="DI2609" i="3"/>
  <c r="DI2610" i="3"/>
  <c r="DI2611" i="3"/>
  <c r="DI2612" i="3"/>
  <c r="DI2613" i="3"/>
  <c r="DI2614" i="3"/>
  <c r="DI2615" i="3"/>
  <c r="DI2616" i="3"/>
  <c r="DI2617" i="3"/>
  <c r="DI2618" i="3"/>
  <c r="DI2619" i="3"/>
  <c r="DI2620" i="3"/>
  <c r="DI2621" i="3"/>
  <c r="DI2622" i="3"/>
  <c r="DI2623" i="3"/>
  <c r="DI2624" i="3"/>
  <c r="DI2625" i="3"/>
  <c r="DI2626" i="3"/>
  <c r="DI2627" i="3"/>
  <c r="DI2628" i="3"/>
  <c r="DI2629" i="3"/>
  <c r="DI2630" i="3"/>
  <c r="DI2631" i="3"/>
  <c r="DI2632" i="3"/>
  <c r="DI2633" i="3"/>
  <c r="DI2634" i="3"/>
  <c r="DI2635" i="3"/>
  <c r="DI2636" i="3"/>
  <c r="DI2637" i="3"/>
  <c r="DI2638" i="3"/>
  <c r="DI2639" i="3"/>
  <c r="DI2640" i="3"/>
  <c r="DI2641" i="3"/>
  <c r="DI2642" i="3"/>
  <c r="DI2643" i="3"/>
  <c r="DI2644" i="3"/>
  <c r="DI2645" i="3"/>
  <c r="DI2646" i="3"/>
  <c r="DI2647" i="3"/>
  <c r="DI2648" i="3"/>
  <c r="DI2649" i="3"/>
  <c r="DI2650" i="3"/>
  <c r="DI2651" i="3"/>
  <c r="DI2652" i="3"/>
  <c r="DI2653" i="3"/>
  <c r="DI2654" i="3"/>
  <c r="DI2655" i="3"/>
  <c r="DI2656" i="3"/>
  <c r="DI2657" i="3"/>
  <c r="DI2658" i="3"/>
  <c r="DI2659" i="3"/>
  <c r="DI2660" i="3"/>
  <c r="DI2661" i="3"/>
  <c r="DI2662" i="3"/>
  <c r="DK2662" i="3"/>
  <c r="DI2663" i="3"/>
  <c r="DI2664" i="3"/>
  <c r="DI2665" i="3"/>
  <c r="DI2666" i="3"/>
  <c r="DI2667" i="3"/>
  <c r="DI2668" i="3"/>
  <c r="DI2669" i="3"/>
  <c r="DI2670" i="3"/>
  <c r="DI2671" i="3"/>
  <c r="DI2672" i="3"/>
  <c r="DI2673" i="3"/>
  <c r="DI2674" i="3"/>
  <c r="DI2675" i="3"/>
  <c r="DI2676" i="3"/>
  <c r="DI2677" i="3"/>
  <c r="DI2678" i="3"/>
  <c r="DI2679" i="3"/>
  <c r="DI2680" i="3"/>
  <c r="DI2681" i="3"/>
  <c r="DI2682" i="3"/>
  <c r="DI2683" i="3"/>
  <c r="DI2684" i="3"/>
  <c r="DI2685" i="3"/>
  <c r="DI2686" i="3"/>
  <c r="DI2687" i="3"/>
  <c r="DI2688" i="3"/>
  <c r="DI2689" i="3"/>
  <c r="DI2690" i="3"/>
  <c r="DI2691" i="3"/>
  <c r="DI2692" i="3"/>
  <c r="DI2693" i="3"/>
  <c r="DI2694" i="3"/>
  <c r="DI2695" i="3"/>
  <c r="DI2696" i="3"/>
  <c r="DI2697" i="3"/>
  <c r="DI2698" i="3"/>
  <c r="DI2699" i="3"/>
  <c r="DI2700" i="3"/>
  <c r="DI2701" i="3"/>
  <c r="DI2702" i="3"/>
  <c r="DI2703" i="3"/>
  <c r="DI2704" i="3"/>
  <c r="DI2705" i="3"/>
  <c r="DI2706" i="3"/>
  <c r="DI2707" i="3"/>
  <c r="DI2708" i="3"/>
  <c r="DI2709" i="3"/>
  <c r="DI2710" i="3"/>
  <c r="DI2711" i="3"/>
  <c r="DI2712" i="3"/>
  <c r="DI2713" i="3"/>
  <c r="DI2714" i="3"/>
  <c r="DI2715" i="3"/>
  <c r="DI2716" i="3"/>
  <c r="DI2717" i="3"/>
  <c r="DI2718" i="3"/>
  <c r="DI2719" i="3"/>
  <c r="DI2720" i="3"/>
  <c r="DI2721" i="3"/>
  <c r="DI2722" i="3"/>
  <c r="DI2723" i="3"/>
  <c r="DI2724" i="3"/>
  <c r="DI2725" i="3"/>
  <c r="DI2726" i="3"/>
  <c r="DI2727" i="3"/>
  <c r="DI2728" i="3"/>
  <c r="DI2729" i="3"/>
  <c r="DI2730" i="3"/>
  <c r="DI2731" i="3"/>
  <c r="DI2732" i="3"/>
  <c r="DI2733" i="3"/>
  <c r="DI2734" i="3"/>
  <c r="DI2735" i="3"/>
  <c r="DI2736" i="3"/>
  <c r="DI2737" i="3"/>
  <c r="DI2738" i="3"/>
  <c r="DK2738" i="3"/>
  <c r="DI2739" i="3"/>
  <c r="DI2740" i="3"/>
  <c r="DI2741" i="3"/>
  <c r="DI2742" i="3"/>
  <c r="DI2743" i="3"/>
  <c r="DI2744" i="3"/>
  <c r="DI2745" i="3"/>
  <c r="DI2746" i="3"/>
  <c r="DI2747" i="3"/>
  <c r="DI2748" i="3"/>
  <c r="DI2749" i="3"/>
  <c r="DI2750" i="3"/>
  <c r="DI2751" i="3"/>
  <c r="DI2752" i="3"/>
  <c r="DI2753" i="3"/>
  <c r="DI2754" i="3"/>
  <c r="DI2755" i="3"/>
  <c r="DI2756" i="3"/>
  <c r="DI2757" i="3"/>
  <c r="DI2758" i="3"/>
  <c r="DI2759" i="3"/>
  <c r="DI2760" i="3"/>
  <c r="DI2761" i="3"/>
  <c r="DI2762" i="3"/>
  <c r="DI2763" i="3"/>
  <c r="DI2764" i="3"/>
  <c r="DI2765" i="3"/>
  <c r="DI2766" i="3"/>
  <c r="DI2767" i="3"/>
  <c r="DI2768" i="3"/>
  <c r="DI2769" i="3"/>
  <c r="DI2770" i="3"/>
  <c r="DI2771" i="3"/>
  <c r="DI2772" i="3"/>
  <c r="DI2773" i="3"/>
  <c r="DI2774" i="3"/>
  <c r="DI2775" i="3"/>
  <c r="DI2776" i="3"/>
  <c r="DK2776" i="3"/>
  <c r="DI2777" i="3"/>
  <c r="DI2778" i="3"/>
  <c r="DI2779" i="3"/>
  <c r="DI2780" i="3"/>
  <c r="DI2781" i="3"/>
  <c r="DI2782" i="3"/>
  <c r="DI2783" i="3"/>
  <c r="DI2784" i="3"/>
  <c r="DI2785" i="3"/>
  <c r="DI2786" i="3"/>
  <c r="DI2787" i="3"/>
  <c r="DI2788" i="3"/>
  <c r="DI2789" i="3"/>
  <c r="DI2790" i="3"/>
  <c r="DI2791" i="3"/>
  <c r="DI2792" i="3"/>
  <c r="DI2793" i="3"/>
  <c r="DI2794" i="3"/>
  <c r="DI2795" i="3"/>
  <c r="DI2796" i="3"/>
  <c r="DI2797" i="3"/>
  <c r="DI2798" i="3"/>
  <c r="DI2799" i="3"/>
  <c r="DI2800" i="3"/>
  <c r="DI2801" i="3"/>
  <c r="DI2802" i="3"/>
  <c r="DI2803" i="3"/>
  <c r="DI2804" i="3"/>
  <c r="DI2805" i="3"/>
  <c r="DI2806" i="3"/>
  <c r="DI2807" i="3"/>
  <c r="DI2808" i="3"/>
  <c r="DI2809" i="3"/>
  <c r="DI2810" i="3"/>
  <c r="DI2811" i="3"/>
  <c r="DI2812" i="3"/>
  <c r="DI2813" i="3"/>
  <c r="DI2814" i="3"/>
  <c r="DK2814" i="3"/>
  <c r="DI2815" i="3"/>
  <c r="DI2816" i="3"/>
  <c r="DI2817" i="3"/>
  <c r="DI2818" i="3"/>
  <c r="DI2819" i="3"/>
  <c r="DI2820" i="3"/>
  <c r="DI2821" i="3"/>
  <c r="DI2822" i="3"/>
  <c r="DI2823" i="3"/>
  <c r="DI2824" i="3"/>
  <c r="DI2825" i="3"/>
  <c r="DI2826" i="3"/>
  <c r="DI2827" i="3"/>
  <c r="DI2828" i="3"/>
  <c r="DI2829" i="3"/>
  <c r="DI2830" i="3"/>
  <c r="DI2831" i="3"/>
  <c r="DI2832" i="3"/>
  <c r="DI2833" i="3"/>
  <c r="DI2834" i="3"/>
  <c r="DI2835" i="3"/>
  <c r="DI2836" i="3"/>
  <c r="DI2837" i="3"/>
  <c r="DI2838" i="3"/>
  <c r="DI2839" i="3"/>
  <c r="DI2840" i="3"/>
  <c r="DI2841" i="3"/>
  <c r="DI2842" i="3"/>
  <c r="DI2843" i="3"/>
  <c r="DI2844" i="3"/>
  <c r="DI2845" i="3"/>
  <c r="DI2846" i="3"/>
  <c r="DI2847" i="3"/>
  <c r="DI2848" i="3"/>
  <c r="DI2849" i="3"/>
  <c r="DI2850" i="3"/>
  <c r="DI2851" i="3"/>
  <c r="DI2852" i="3"/>
  <c r="DI2853" i="3"/>
  <c r="DI2854" i="3"/>
  <c r="DI2855" i="3"/>
  <c r="DI2856" i="3"/>
  <c r="DI2857" i="3"/>
  <c r="DI2858" i="3"/>
  <c r="DI2859" i="3"/>
  <c r="DI2860" i="3"/>
  <c r="DI2861" i="3"/>
  <c r="DI2862" i="3"/>
  <c r="DI2863" i="3"/>
  <c r="DI2864" i="3"/>
  <c r="DI2865" i="3"/>
  <c r="DI2866" i="3"/>
  <c r="DI2867" i="3"/>
  <c r="DI2868" i="3"/>
  <c r="DI2869" i="3"/>
  <c r="DI2870" i="3"/>
  <c r="DI2871" i="3"/>
  <c r="DI2872" i="3"/>
  <c r="DI2873" i="3"/>
  <c r="DI2874" i="3"/>
  <c r="DI2875" i="3"/>
  <c r="DI2876" i="3"/>
  <c r="DI2877" i="3"/>
  <c r="DI2878" i="3"/>
  <c r="DI2879" i="3"/>
  <c r="DI2880" i="3"/>
  <c r="DI2881" i="3"/>
  <c r="DI2882" i="3"/>
  <c r="DI2883" i="3"/>
  <c r="DI2884" i="3"/>
  <c r="DI2885" i="3"/>
  <c r="DI2886" i="3"/>
  <c r="DI2887" i="3"/>
  <c r="DI2888" i="3"/>
  <c r="DI2889" i="3"/>
  <c r="DI2890" i="3"/>
  <c r="DK2890" i="3"/>
  <c r="DI2891" i="3"/>
  <c r="DI2892" i="3"/>
  <c r="DI2893" i="3"/>
  <c r="DI2894" i="3"/>
  <c r="DI2895" i="3"/>
  <c r="DI2896" i="3"/>
  <c r="DI2897" i="3"/>
  <c r="DI2898" i="3"/>
  <c r="DI2899" i="3"/>
  <c r="DI2900" i="3"/>
  <c r="DI2901" i="3"/>
  <c r="DI2902" i="3"/>
  <c r="DI2903" i="3"/>
  <c r="DI2904" i="3"/>
  <c r="DI2905" i="3"/>
  <c r="DI2906" i="3"/>
  <c r="DI2907" i="3"/>
  <c r="DI2908" i="3"/>
  <c r="DI2909" i="3"/>
  <c r="DI2910" i="3"/>
  <c r="DI2911" i="3"/>
  <c r="DI2912" i="3"/>
  <c r="DI2913" i="3"/>
  <c r="DI2914" i="3"/>
  <c r="DI2915" i="3"/>
  <c r="DI2916" i="3"/>
  <c r="DI2917" i="3"/>
  <c r="DI2918" i="3"/>
  <c r="DI2919" i="3"/>
  <c r="DI2920" i="3"/>
  <c r="DI2921" i="3"/>
  <c r="DI2922" i="3"/>
  <c r="DI2923" i="3"/>
  <c r="DI2924" i="3"/>
  <c r="DI2925" i="3"/>
  <c r="DI2926" i="3"/>
  <c r="DI2927" i="3"/>
  <c r="DI2928" i="3"/>
  <c r="DK2928" i="3"/>
  <c r="DI2929" i="3"/>
  <c r="DI2930" i="3"/>
  <c r="DI2931" i="3"/>
  <c r="DI2932" i="3"/>
  <c r="DI2933" i="3"/>
  <c r="DI2934" i="3"/>
  <c r="DI2935" i="3"/>
  <c r="DI2936" i="3"/>
  <c r="DI2937" i="3"/>
  <c r="DI2938" i="3"/>
  <c r="DI2939" i="3"/>
  <c r="DI2940" i="3"/>
  <c r="DI2941" i="3"/>
  <c r="DI2942" i="3"/>
  <c r="DI2943" i="3"/>
  <c r="DI2944" i="3"/>
  <c r="DI2945" i="3"/>
  <c r="DI2946" i="3"/>
  <c r="DI2947" i="3"/>
  <c r="DI2948" i="3"/>
  <c r="DI2949" i="3"/>
  <c r="DI2950" i="3"/>
  <c r="DI2951" i="3"/>
  <c r="DI2952" i="3"/>
  <c r="DI2953" i="3"/>
  <c r="DI2954" i="3"/>
  <c r="DI2955" i="3"/>
  <c r="DI2956" i="3"/>
  <c r="DI2957" i="3"/>
  <c r="DI2958" i="3"/>
  <c r="DI2959" i="3"/>
  <c r="DI2960" i="3"/>
  <c r="DI2961" i="3"/>
  <c r="DI2962" i="3"/>
  <c r="DI2963" i="3"/>
  <c r="DI2964" i="3"/>
  <c r="DI2965" i="3"/>
  <c r="DI2966" i="3"/>
  <c r="DK2966" i="3"/>
  <c r="DI2967" i="3"/>
  <c r="DI2968" i="3"/>
  <c r="DI2969" i="3"/>
  <c r="DI2970" i="3"/>
  <c r="DI2971" i="3"/>
  <c r="DI2972" i="3"/>
  <c r="DI2973" i="3"/>
  <c r="DI2974" i="3"/>
  <c r="DI2975" i="3"/>
  <c r="DI2976" i="3"/>
  <c r="DI2977" i="3"/>
  <c r="DI2978" i="3"/>
  <c r="DI2979" i="3"/>
  <c r="DI2980" i="3"/>
  <c r="DI2981" i="3"/>
  <c r="DI2982" i="3"/>
  <c r="DI2983" i="3"/>
  <c r="DI2984" i="3"/>
  <c r="DI2985" i="3"/>
  <c r="DK2985" i="3"/>
  <c r="DI2986" i="3"/>
  <c r="DI2987" i="3"/>
  <c r="DI2988" i="3"/>
  <c r="DI2989" i="3"/>
  <c r="DI2990" i="3"/>
  <c r="DI2991" i="3"/>
  <c r="DI2992" i="3"/>
  <c r="DI2993" i="3"/>
  <c r="DI2994" i="3"/>
  <c r="DI2995" i="3"/>
  <c r="DI2996" i="3"/>
  <c r="DI2997" i="3"/>
  <c r="DI2998" i="3"/>
  <c r="DI2999" i="3"/>
  <c r="DI3000" i="3"/>
  <c r="DI3001" i="3"/>
  <c r="DI3002" i="3"/>
  <c r="DI3003" i="3"/>
  <c r="DI3004" i="3"/>
  <c r="DI3005" i="3"/>
  <c r="DI3006" i="3"/>
  <c r="DI3007" i="3"/>
  <c r="DI3008" i="3"/>
  <c r="DI3009" i="3"/>
  <c r="DI3010" i="3"/>
  <c r="DI3011" i="3"/>
  <c r="DI3012" i="3"/>
  <c r="DI3013" i="3"/>
  <c r="DI3014" i="3"/>
  <c r="DI3015" i="3"/>
  <c r="DI3016" i="3"/>
  <c r="DI3017" i="3"/>
  <c r="DI3018" i="3"/>
  <c r="DI3019" i="3"/>
  <c r="DI3020" i="3"/>
  <c r="DI3021" i="3"/>
  <c r="DI3022" i="3"/>
  <c r="DI3023" i="3"/>
  <c r="DI3024" i="3"/>
  <c r="DI3025" i="3"/>
  <c r="DI3026" i="3"/>
  <c r="DI3027" i="3"/>
  <c r="DI3028" i="3"/>
  <c r="DI3029" i="3"/>
  <c r="DI3030" i="3"/>
  <c r="DI3031" i="3"/>
  <c r="DI3032" i="3"/>
  <c r="DI3033" i="3"/>
  <c r="DI3034" i="3"/>
  <c r="DI3035" i="3"/>
  <c r="DI3036" i="3"/>
  <c r="DI3037" i="3"/>
  <c r="DI3038" i="3"/>
  <c r="DI3039" i="3"/>
  <c r="DI3040" i="3"/>
  <c r="DI3041" i="3"/>
  <c r="DI3042" i="3"/>
  <c r="DK3042" i="3"/>
  <c r="DI3043" i="3"/>
  <c r="DI3044" i="3"/>
  <c r="DI3045" i="3"/>
  <c r="DI3046" i="3"/>
  <c r="DI3047" i="3"/>
  <c r="DI3048" i="3"/>
  <c r="DI3049" i="3"/>
  <c r="DI3050" i="3"/>
  <c r="DI3051" i="3"/>
  <c r="DI3052" i="3"/>
  <c r="DI3053" i="3"/>
  <c r="DI3054" i="3"/>
  <c r="DI3055" i="3"/>
  <c r="DI3056" i="3"/>
  <c r="DI3057" i="3"/>
  <c r="DI3058" i="3"/>
  <c r="DI3059" i="3"/>
  <c r="DI3060" i="3"/>
  <c r="DI3061" i="3"/>
  <c r="DI3062" i="3"/>
  <c r="DI3063" i="3"/>
  <c r="DI3064" i="3"/>
  <c r="DI3065" i="3"/>
  <c r="DI3066" i="3"/>
  <c r="DI3067" i="3"/>
  <c r="DI3068" i="3"/>
  <c r="DI3069" i="3"/>
  <c r="DI3070" i="3"/>
  <c r="DI3071" i="3"/>
  <c r="DI3072" i="3"/>
  <c r="DI3073" i="3"/>
  <c r="DI3074" i="3"/>
  <c r="DI3075" i="3"/>
  <c r="DI3076" i="3"/>
  <c r="DI3077" i="3"/>
  <c r="DI3078" i="3"/>
  <c r="DI3079" i="3"/>
  <c r="DI3080" i="3"/>
  <c r="DK3080" i="3"/>
  <c r="DI3081" i="3"/>
  <c r="DI3082" i="3"/>
  <c r="DI3083" i="3"/>
  <c r="DI3084" i="3"/>
  <c r="DI3085" i="3"/>
  <c r="DI3086" i="3"/>
  <c r="DI3087" i="3"/>
  <c r="DI3088" i="3"/>
  <c r="DI3089" i="3"/>
  <c r="DI3090" i="3"/>
  <c r="DI3091" i="3"/>
  <c r="DI3092" i="3"/>
  <c r="DI3093" i="3"/>
  <c r="DI3094" i="3"/>
  <c r="DI3095" i="3"/>
  <c r="DI3096" i="3"/>
  <c r="DI3097" i="3"/>
  <c r="DI3098" i="3"/>
  <c r="DI3099" i="3"/>
  <c r="DI3100" i="3"/>
  <c r="DI3101" i="3"/>
  <c r="DI3102" i="3"/>
  <c r="DI3103" i="3"/>
  <c r="DI3104" i="3"/>
  <c r="DI3105" i="3"/>
  <c r="DI3106" i="3"/>
  <c r="DI3107" i="3"/>
  <c r="DI3108" i="3"/>
  <c r="DI3109" i="3"/>
  <c r="DI3110" i="3"/>
  <c r="DI3111" i="3"/>
  <c r="DI3112" i="3"/>
  <c r="DI3113" i="3"/>
  <c r="DI3114" i="3"/>
  <c r="DI3115" i="3"/>
  <c r="DI3116" i="3"/>
  <c r="DI3117" i="3"/>
  <c r="DI3118" i="3"/>
  <c r="DK3118" i="3"/>
  <c r="DI3119" i="3"/>
  <c r="DI3120" i="3"/>
  <c r="DI3121" i="3"/>
  <c r="DI3122" i="3"/>
  <c r="DI3123" i="3"/>
  <c r="DI3124" i="3"/>
  <c r="DI3125" i="3"/>
  <c r="DI3126" i="3"/>
  <c r="DI3127" i="3"/>
  <c r="DI3128" i="3"/>
  <c r="DI3129" i="3"/>
  <c r="DI3130" i="3"/>
  <c r="DI3131" i="3"/>
  <c r="DI3132" i="3"/>
  <c r="DI3133" i="3"/>
  <c r="DI3134" i="3"/>
  <c r="DI3135" i="3"/>
  <c r="DI3136" i="3"/>
  <c r="DI3137" i="3"/>
  <c r="DK3137" i="3"/>
  <c r="DI3138" i="3"/>
  <c r="DI3139" i="3"/>
  <c r="DI3140" i="3"/>
  <c r="DI3141" i="3"/>
  <c r="DI3142" i="3"/>
  <c r="DI3143" i="3"/>
  <c r="DI3144" i="3"/>
  <c r="DI3145" i="3"/>
  <c r="DI3146" i="3"/>
  <c r="DI3147" i="3"/>
  <c r="DI3148" i="3"/>
  <c r="DI3149" i="3"/>
  <c r="DI3150" i="3"/>
  <c r="DI3151" i="3"/>
  <c r="DI3152" i="3"/>
  <c r="DI3153" i="3"/>
  <c r="DI3154" i="3"/>
  <c r="DI3155" i="3"/>
  <c r="DI3156" i="3"/>
  <c r="DK3156" i="3"/>
  <c r="DI3157" i="3"/>
  <c r="DI3158" i="3"/>
  <c r="DI3159" i="3"/>
  <c r="DI3160" i="3"/>
  <c r="DI3161" i="3"/>
  <c r="DI3162" i="3"/>
  <c r="DI3163" i="3"/>
  <c r="DI3164" i="3"/>
  <c r="DI3165" i="3"/>
  <c r="DI3166" i="3"/>
  <c r="DI3167" i="3"/>
  <c r="DI3168" i="3"/>
  <c r="DI3169" i="3"/>
  <c r="DI3170" i="3"/>
  <c r="DI3171" i="3"/>
  <c r="DI3172" i="3"/>
  <c r="DI3173" i="3"/>
  <c r="DI3174" i="3"/>
  <c r="DI3175" i="3"/>
  <c r="DI3176" i="3"/>
  <c r="DI3177" i="3"/>
  <c r="DI3178" i="3"/>
  <c r="DI3179" i="3"/>
  <c r="DI3180" i="3"/>
  <c r="DI3181" i="3"/>
  <c r="DI3182" i="3"/>
  <c r="DI3183" i="3"/>
  <c r="DI3184" i="3"/>
  <c r="DI3185" i="3"/>
  <c r="DI3186" i="3"/>
  <c r="DI3187" i="3"/>
  <c r="DI3188" i="3"/>
  <c r="DI3189" i="3"/>
  <c r="DI3190" i="3"/>
  <c r="DI3191" i="3"/>
  <c r="DI3192" i="3"/>
  <c r="DI3193" i="3"/>
  <c r="DI3194" i="3"/>
  <c r="DK3194" i="3"/>
  <c r="DI3195" i="3"/>
  <c r="DI3196" i="3"/>
  <c r="DI3197" i="3"/>
  <c r="DI3198" i="3"/>
  <c r="DI3199" i="3"/>
  <c r="DI3200" i="3"/>
  <c r="DI3201" i="3"/>
  <c r="DI3202" i="3"/>
  <c r="DI3203" i="3"/>
  <c r="DI3204" i="3"/>
  <c r="DI3205" i="3"/>
  <c r="DI3206" i="3"/>
  <c r="DI3207" i="3"/>
  <c r="DI3208" i="3"/>
  <c r="DI3209" i="3"/>
  <c r="DI3210" i="3"/>
  <c r="DI3211" i="3"/>
  <c r="DI3212" i="3"/>
  <c r="DI3213" i="3"/>
  <c r="DI3214" i="3"/>
  <c r="DI3215" i="3"/>
  <c r="DI3216" i="3"/>
  <c r="DI3217" i="3"/>
  <c r="DI3218" i="3"/>
  <c r="DI3219" i="3"/>
  <c r="DI3220" i="3"/>
  <c r="DI3221" i="3"/>
  <c r="DI3222" i="3"/>
  <c r="DI3223" i="3"/>
  <c r="DI3224" i="3"/>
  <c r="DI3225" i="3"/>
  <c r="DI3226" i="3"/>
  <c r="DI3227" i="3"/>
  <c r="DI3228" i="3"/>
  <c r="DI3229" i="3"/>
  <c r="DI3230" i="3"/>
  <c r="DI3231" i="3"/>
  <c r="DI3232" i="3"/>
  <c r="DI3233" i="3"/>
  <c r="DI3234" i="3"/>
  <c r="DI3235" i="3"/>
  <c r="DI3236" i="3"/>
  <c r="DI3237" i="3"/>
  <c r="DI3238" i="3"/>
  <c r="DI3239" i="3"/>
  <c r="DI3240" i="3"/>
  <c r="DI3241" i="3"/>
  <c r="DI3242" i="3"/>
  <c r="DI3243" i="3"/>
  <c r="DI3244" i="3"/>
  <c r="DI3245" i="3"/>
  <c r="DI3246" i="3"/>
  <c r="DI3247" i="3"/>
  <c r="DI3248" i="3"/>
  <c r="DI3249" i="3"/>
  <c r="DI3250" i="3"/>
  <c r="DI3251" i="3"/>
  <c r="DI3252" i="3"/>
  <c r="DI3253" i="3"/>
  <c r="DI3254" i="3"/>
  <c r="DI3255" i="3"/>
  <c r="DI3256" i="3"/>
  <c r="DI3257" i="3"/>
  <c r="DI3258" i="3"/>
  <c r="DI3259" i="3"/>
  <c r="DI3260" i="3"/>
  <c r="DI3261" i="3"/>
  <c r="DI3262" i="3"/>
  <c r="DI3263" i="3"/>
  <c r="DI3264" i="3"/>
  <c r="DI3265" i="3"/>
  <c r="DI3266" i="3"/>
  <c r="DI3267" i="3"/>
  <c r="DI3268" i="3"/>
  <c r="DI3269" i="3"/>
  <c r="DI3270" i="3"/>
  <c r="DK3270" i="3"/>
  <c r="DI3271" i="3"/>
  <c r="DI3272" i="3"/>
  <c r="DI3273" i="3"/>
  <c r="DI3274" i="3"/>
  <c r="DI3275" i="3"/>
  <c r="DI3276" i="3"/>
  <c r="DI3277" i="3"/>
  <c r="DI3278" i="3"/>
  <c r="DI3279" i="3"/>
  <c r="DI3280" i="3"/>
  <c r="DI3281" i="3"/>
  <c r="DI3282" i="3"/>
  <c r="DI3283" i="3"/>
  <c r="DI3284" i="3"/>
  <c r="DI3285" i="3"/>
  <c r="DI3286" i="3"/>
  <c r="DI3287" i="3"/>
  <c r="DI3288" i="3"/>
  <c r="DI3289" i="3"/>
  <c r="DK3289" i="3"/>
  <c r="DI3290" i="3"/>
  <c r="DI3291" i="3"/>
  <c r="DI3292" i="3"/>
  <c r="DI3293" i="3"/>
  <c r="DI3294" i="3"/>
  <c r="DI3295" i="3"/>
  <c r="DI3296" i="3"/>
  <c r="DI3297" i="3"/>
  <c r="DI3298" i="3"/>
  <c r="DI3299" i="3"/>
  <c r="DI3300" i="3"/>
  <c r="DI3301" i="3"/>
  <c r="DI3302" i="3"/>
  <c r="DI3303" i="3"/>
  <c r="DI3304" i="3"/>
  <c r="DI3305" i="3"/>
  <c r="DI3306" i="3"/>
  <c r="DI3307" i="3"/>
  <c r="DI3308" i="3"/>
  <c r="DK3308" i="3"/>
  <c r="DI3309" i="3"/>
  <c r="DI3310" i="3"/>
  <c r="DI3311" i="3"/>
  <c r="DI3312" i="3"/>
  <c r="DI3313" i="3"/>
  <c r="DI3314" i="3"/>
  <c r="DI3315" i="3"/>
  <c r="DI3316" i="3"/>
  <c r="DI3317" i="3"/>
  <c r="DI3318" i="3"/>
  <c r="DI3319" i="3"/>
  <c r="DI3320" i="3"/>
  <c r="DI3321" i="3"/>
  <c r="DI3322" i="3"/>
  <c r="DI3323" i="3"/>
  <c r="DI3324" i="3"/>
  <c r="DI3325" i="3"/>
  <c r="DI3326" i="3"/>
  <c r="DI3327" i="3"/>
  <c r="DI3328" i="3"/>
  <c r="DI3329" i="3"/>
  <c r="DI3330" i="3"/>
  <c r="DI3331" i="3"/>
  <c r="DI3332" i="3"/>
  <c r="DI3333" i="3"/>
  <c r="DI3334" i="3"/>
  <c r="DI3335" i="3"/>
  <c r="DI3336" i="3"/>
  <c r="DI3337" i="3"/>
  <c r="DI3338" i="3"/>
  <c r="DI3339" i="3"/>
  <c r="DI3340" i="3"/>
  <c r="DI3341" i="3"/>
  <c r="DI3342" i="3"/>
  <c r="DI3343" i="3"/>
  <c r="DI3344" i="3"/>
  <c r="DI3345" i="3"/>
  <c r="DI3346" i="3"/>
  <c r="DK3346" i="3"/>
  <c r="DI3347" i="3"/>
  <c r="DI3348" i="3"/>
  <c r="DI3349" i="3"/>
  <c r="DI3350" i="3"/>
  <c r="DI3351" i="3"/>
  <c r="DI3352" i="3"/>
  <c r="DI3353" i="3"/>
  <c r="DI3354" i="3"/>
  <c r="DI3355" i="3"/>
  <c r="DI3356" i="3"/>
  <c r="DI3357" i="3"/>
  <c r="DI3358" i="3"/>
  <c r="DI3359" i="3"/>
  <c r="DI3360" i="3"/>
  <c r="DI3361" i="3"/>
  <c r="DI3362" i="3"/>
  <c r="DI3363" i="3"/>
  <c r="DI3364" i="3"/>
  <c r="DI3365" i="3"/>
  <c r="DI3366" i="3"/>
  <c r="DI3367" i="3"/>
  <c r="DI3368" i="3"/>
  <c r="DI3369" i="3"/>
  <c r="DI3370" i="3"/>
  <c r="DI3371" i="3"/>
  <c r="DI3372" i="3"/>
  <c r="DI3373" i="3"/>
  <c r="DI3374" i="3"/>
  <c r="DI3375" i="3"/>
  <c r="DI3376" i="3"/>
  <c r="DI3377" i="3"/>
  <c r="DI3378" i="3"/>
  <c r="DI3379" i="3"/>
  <c r="DI3380" i="3"/>
  <c r="DI3381" i="3"/>
  <c r="DI3382" i="3"/>
  <c r="DI3383" i="3"/>
  <c r="DI3384" i="3"/>
  <c r="DI3385" i="3"/>
  <c r="DI3386" i="3"/>
  <c r="DI3387" i="3"/>
  <c r="DI3388" i="3"/>
  <c r="DI3389" i="3"/>
  <c r="DI3390" i="3"/>
  <c r="DI3391" i="3"/>
  <c r="DI3392" i="3"/>
  <c r="DI3393" i="3"/>
  <c r="DI3394" i="3"/>
  <c r="DI3395" i="3"/>
  <c r="DI3396" i="3"/>
  <c r="DI3397" i="3"/>
  <c r="DI3398" i="3"/>
  <c r="DI3399" i="3"/>
  <c r="DI3400" i="3"/>
  <c r="DI3401" i="3"/>
  <c r="DI3402" i="3"/>
  <c r="DI3403" i="3"/>
  <c r="DI3404" i="3"/>
  <c r="DI3405" i="3"/>
  <c r="DI3406" i="3"/>
  <c r="DI3407" i="3"/>
  <c r="DI3408" i="3"/>
  <c r="DI3409" i="3"/>
  <c r="DI3410" i="3"/>
  <c r="DI3411" i="3"/>
  <c r="DI3412" i="3"/>
  <c r="DI3413" i="3"/>
  <c r="DI3414" i="3"/>
  <c r="DI3415" i="3"/>
  <c r="DI3416" i="3"/>
  <c r="DI3417" i="3"/>
  <c r="DI3418" i="3"/>
  <c r="DI3419" i="3"/>
  <c r="DI3420" i="3"/>
  <c r="DI3421" i="3"/>
  <c r="DI3422" i="3"/>
  <c r="DK3422" i="3"/>
  <c r="DI3423" i="3"/>
  <c r="DI3424" i="3"/>
  <c r="DI3425" i="3"/>
  <c r="DI3426" i="3"/>
  <c r="DI3427" i="3"/>
  <c r="DI3428" i="3"/>
  <c r="DI3429" i="3"/>
  <c r="DI3430" i="3"/>
  <c r="DI3431" i="3"/>
  <c r="DI3432" i="3"/>
  <c r="DI3433" i="3"/>
  <c r="DI3434" i="3"/>
  <c r="DI3435" i="3"/>
  <c r="DI3436" i="3"/>
  <c r="DI3437" i="3"/>
  <c r="DI3438" i="3"/>
  <c r="DI3439" i="3"/>
  <c r="DI3440" i="3"/>
  <c r="DI3441" i="3"/>
  <c r="DI3442" i="3"/>
  <c r="DI3443" i="3"/>
  <c r="DI3444" i="3"/>
  <c r="DI3445" i="3"/>
  <c r="DI3446" i="3"/>
  <c r="DI3447" i="3"/>
  <c r="DI3448" i="3"/>
  <c r="DI3449" i="3"/>
  <c r="DI3450" i="3"/>
  <c r="DI3451" i="3"/>
  <c r="DI3452" i="3"/>
  <c r="DI3453" i="3"/>
  <c r="DI3454" i="3"/>
  <c r="DI3455" i="3"/>
  <c r="DI3456" i="3"/>
  <c r="DI3457" i="3"/>
  <c r="DI3458" i="3"/>
  <c r="DI3459" i="3"/>
  <c r="DI3460" i="3"/>
  <c r="DK3460" i="3"/>
  <c r="DI3461" i="3"/>
  <c r="DI3462" i="3"/>
  <c r="DI3463" i="3"/>
  <c r="DI3464" i="3"/>
  <c r="DI3465" i="3"/>
  <c r="DI3466" i="3"/>
  <c r="DI3467" i="3"/>
  <c r="DI3468" i="3"/>
  <c r="DI3469" i="3"/>
  <c r="DI3470" i="3"/>
  <c r="DI3471" i="3"/>
  <c r="DI3472" i="3"/>
  <c r="DI3473" i="3"/>
  <c r="DI3474" i="3"/>
  <c r="DI3475" i="3"/>
  <c r="DI3476" i="3"/>
  <c r="DI3477" i="3"/>
  <c r="DI3478" i="3"/>
  <c r="DI3479" i="3"/>
  <c r="DI3480" i="3"/>
  <c r="DI3481" i="3"/>
  <c r="DI3482" i="3"/>
  <c r="DI3483" i="3"/>
  <c r="DI3484" i="3"/>
  <c r="DI3485" i="3"/>
  <c r="DI3486" i="3"/>
  <c r="DI3487" i="3"/>
  <c r="DI3488" i="3"/>
  <c r="DI3489" i="3"/>
  <c r="DI3490" i="3"/>
  <c r="DI3491" i="3"/>
  <c r="DI3492" i="3"/>
  <c r="DI3493" i="3"/>
  <c r="DI3494" i="3"/>
  <c r="DI3495" i="3"/>
  <c r="DI3496" i="3"/>
  <c r="DI3497" i="3"/>
  <c r="DI3498" i="3"/>
  <c r="DK3498" i="3"/>
  <c r="DI3499" i="3"/>
  <c r="DI3500" i="3"/>
  <c r="DI3501" i="3"/>
  <c r="DI3502" i="3"/>
  <c r="DI3503" i="3"/>
  <c r="DI3504" i="3"/>
  <c r="DI3505" i="3"/>
  <c r="DI3506" i="3"/>
  <c r="DI3507" i="3"/>
  <c r="DI3508" i="3"/>
  <c r="DI3509" i="3"/>
  <c r="DI3510" i="3"/>
  <c r="DI3511" i="3"/>
  <c r="DI3512" i="3"/>
  <c r="DI3513" i="3"/>
  <c r="DI3514" i="3"/>
  <c r="DI3515" i="3"/>
  <c r="DI3516" i="3"/>
  <c r="DI3517" i="3"/>
  <c r="DI3518" i="3"/>
  <c r="DI3519" i="3"/>
  <c r="DI3520" i="3"/>
  <c r="DI3521" i="3"/>
  <c r="DI3522" i="3"/>
  <c r="DI3523" i="3"/>
  <c r="DI3524" i="3"/>
  <c r="DI3525" i="3"/>
  <c r="DI3526" i="3"/>
  <c r="DI3527" i="3"/>
  <c r="DI3528" i="3"/>
  <c r="DI3529" i="3"/>
  <c r="DI3530" i="3"/>
  <c r="DI3531" i="3"/>
  <c r="DI3532" i="3"/>
  <c r="DI3533" i="3"/>
  <c r="DI3534" i="3"/>
  <c r="DI3535" i="3"/>
  <c r="DI3536" i="3"/>
  <c r="DI3537" i="3"/>
  <c r="DI3538" i="3"/>
  <c r="DI3539" i="3"/>
  <c r="DI3540" i="3"/>
  <c r="DI3541" i="3"/>
  <c r="DI3542" i="3"/>
  <c r="DI3543" i="3"/>
  <c r="DI3544" i="3"/>
  <c r="DI3545" i="3"/>
  <c r="DI3546" i="3"/>
  <c r="DI3547" i="3"/>
  <c r="DI3548" i="3"/>
  <c r="DI3549" i="3"/>
  <c r="DI3550" i="3"/>
  <c r="DI3551" i="3"/>
  <c r="DI3552" i="3"/>
  <c r="DI3553" i="3"/>
  <c r="DI3554" i="3"/>
  <c r="DI3555" i="3"/>
  <c r="DI3556" i="3"/>
  <c r="DI3557" i="3"/>
  <c r="DI3558" i="3"/>
  <c r="DI3559" i="3"/>
  <c r="DI3560" i="3"/>
  <c r="DI3561" i="3"/>
  <c r="DI3562" i="3"/>
  <c r="DI3563" i="3"/>
  <c r="DI3564" i="3"/>
  <c r="DI3565" i="3"/>
  <c r="DI3566" i="3"/>
  <c r="DI3567" i="3"/>
  <c r="DI3568" i="3"/>
  <c r="DI3569" i="3"/>
  <c r="DI3570" i="3"/>
  <c r="DI3571" i="3"/>
  <c r="DI3572" i="3"/>
  <c r="DI3573" i="3"/>
  <c r="DI3574" i="3"/>
  <c r="DK3574" i="3"/>
  <c r="DI3575" i="3"/>
  <c r="DI3576" i="3"/>
  <c r="DI3577" i="3"/>
  <c r="DI3578" i="3"/>
  <c r="DI3579" i="3"/>
  <c r="DI3580" i="3"/>
  <c r="DI3581" i="3"/>
  <c r="DI3582" i="3"/>
  <c r="DI3583" i="3"/>
  <c r="DI3584" i="3"/>
  <c r="DI3585" i="3"/>
  <c r="DI3586" i="3"/>
  <c r="DI3587" i="3"/>
  <c r="DI3588" i="3"/>
  <c r="DI3589" i="3"/>
  <c r="DI3590" i="3"/>
  <c r="DI3591" i="3"/>
  <c r="DI3592" i="3"/>
  <c r="DI3593" i="3"/>
  <c r="DI3594" i="3"/>
  <c r="DI3595" i="3"/>
  <c r="DI3596" i="3"/>
  <c r="DI3597" i="3"/>
  <c r="DI3598" i="3"/>
  <c r="DI3599" i="3"/>
  <c r="DI3600" i="3"/>
  <c r="DI3601" i="3"/>
  <c r="DI3602" i="3"/>
  <c r="DI3603" i="3"/>
  <c r="DI3604" i="3"/>
  <c r="DI3605" i="3"/>
  <c r="DI3606" i="3"/>
  <c r="DI3607" i="3"/>
  <c r="DI3608" i="3"/>
  <c r="DI3609" i="3"/>
  <c r="DI3610" i="3"/>
  <c r="DI3611" i="3"/>
  <c r="DI3612" i="3"/>
  <c r="DI3613" i="3"/>
  <c r="DI3614" i="3"/>
  <c r="DI3615" i="3"/>
  <c r="DI3616" i="3"/>
  <c r="DI3617" i="3"/>
  <c r="DI3618" i="3"/>
  <c r="DI3619" i="3"/>
  <c r="DI3620" i="3"/>
  <c r="DI3621" i="3"/>
  <c r="DI3622" i="3"/>
  <c r="DI3623" i="3"/>
  <c r="DI3624" i="3"/>
  <c r="DI3625" i="3"/>
  <c r="DI3626" i="3"/>
  <c r="DI3627" i="3"/>
  <c r="DI3628" i="3"/>
  <c r="DI3629" i="3"/>
  <c r="DI3630" i="3"/>
  <c r="DI3631" i="3"/>
  <c r="DI3632" i="3"/>
  <c r="DI3633" i="3"/>
  <c r="DI3634" i="3"/>
  <c r="DI3635" i="3"/>
  <c r="DI3636" i="3"/>
  <c r="DI3637" i="3"/>
  <c r="DI3638" i="3"/>
  <c r="DI3639" i="3"/>
  <c r="DI3640" i="3"/>
  <c r="DI3641" i="3"/>
  <c r="DI3642" i="3"/>
  <c r="DI3643" i="3"/>
  <c r="DI3644" i="3"/>
  <c r="DI3645" i="3"/>
  <c r="DI3646" i="3"/>
  <c r="DI3647" i="3"/>
  <c r="DI3648" i="3"/>
  <c r="DI3649" i="3"/>
  <c r="DI3650" i="3"/>
  <c r="DK3650" i="3"/>
  <c r="DI3651" i="3"/>
  <c r="DI3652" i="3"/>
  <c r="DI3653" i="3"/>
  <c r="DI3654" i="3"/>
  <c r="DI3655" i="3"/>
  <c r="DI3656" i="3"/>
  <c r="DI3657" i="3"/>
  <c r="DI3658" i="3"/>
  <c r="DI3659" i="3"/>
  <c r="DI3660" i="3"/>
  <c r="DI3661" i="3"/>
  <c r="DI3662" i="3"/>
  <c r="DI3663" i="3"/>
  <c r="DI3664" i="3"/>
  <c r="DI3665" i="3"/>
  <c r="DI3666" i="3"/>
  <c r="DI3667" i="3"/>
  <c r="DI3668" i="3"/>
  <c r="DI3669" i="3"/>
  <c r="DI3670" i="3"/>
  <c r="DI3671" i="3"/>
  <c r="DI3672" i="3"/>
  <c r="DI3673" i="3"/>
  <c r="DI3674" i="3"/>
  <c r="DI3675" i="3"/>
  <c r="DI3676" i="3"/>
  <c r="DI3677" i="3"/>
  <c r="DI3678" i="3"/>
  <c r="DI3679" i="3"/>
  <c r="DI3680" i="3"/>
  <c r="DI3681" i="3"/>
  <c r="DI3682" i="3"/>
  <c r="DI3683" i="3"/>
  <c r="DI3684" i="3"/>
  <c r="DI3685" i="3"/>
  <c r="DI3686" i="3"/>
  <c r="DI3687" i="3"/>
  <c r="DI3688" i="3"/>
  <c r="DK3688" i="3"/>
  <c r="DI3689" i="3"/>
  <c r="DI3690" i="3"/>
  <c r="DI3691" i="3"/>
  <c r="DI3692" i="3"/>
  <c r="DI3693" i="3"/>
  <c r="DI3694" i="3"/>
  <c r="DI3695" i="3"/>
  <c r="DI3696" i="3"/>
  <c r="DI3697" i="3"/>
  <c r="DI3698" i="3"/>
  <c r="DI3699" i="3"/>
  <c r="DI3700" i="3"/>
  <c r="DI3701" i="3"/>
  <c r="DI3702" i="3"/>
  <c r="DI3703" i="3"/>
  <c r="DI3704" i="3"/>
  <c r="DI3705" i="3"/>
  <c r="DI3706" i="3"/>
  <c r="DI3707" i="3"/>
  <c r="DI3708" i="3"/>
  <c r="DI3709" i="3"/>
  <c r="DI3710" i="3"/>
  <c r="DI3711" i="3"/>
  <c r="DI3712" i="3"/>
  <c r="DI3713" i="3"/>
  <c r="DI3714" i="3"/>
  <c r="DI3715" i="3"/>
  <c r="DI3716" i="3"/>
  <c r="DI3717" i="3"/>
  <c r="DI3718" i="3"/>
  <c r="DI3719" i="3"/>
  <c r="DI3720" i="3"/>
  <c r="DI3721" i="3"/>
  <c r="DI3722" i="3"/>
  <c r="DI3723" i="3"/>
  <c r="DI3724" i="3"/>
  <c r="DI3725" i="3"/>
  <c r="DI3726" i="3"/>
  <c r="DK3726" i="3"/>
  <c r="DI3727" i="3"/>
  <c r="DI3728" i="3"/>
  <c r="DI3729" i="3"/>
  <c r="DI3730" i="3"/>
  <c r="DI3731" i="3"/>
  <c r="DI3732" i="3"/>
  <c r="DI3733" i="3"/>
  <c r="DI3734" i="3"/>
  <c r="DI3735" i="3"/>
  <c r="DI3736" i="3"/>
  <c r="DI3737" i="3"/>
  <c r="DI3738" i="3"/>
  <c r="DI3739" i="3"/>
  <c r="DI3740" i="3"/>
  <c r="DI3741" i="3"/>
  <c r="DI3742" i="3"/>
  <c r="DI3743" i="3"/>
  <c r="DI3744" i="3"/>
  <c r="DI3745" i="3"/>
  <c r="DK3745" i="3"/>
  <c r="DI3746" i="3"/>
  <c r="DI3747" i="3"/>
  <c r="DI3748" i="3"/>
  <c r="DI3749" i="3"/>
  <c r="DI3750" i="3"/>
  <c r="DI3751" i="3"/>
  <c r="DI3752" i="3"/>
  <c r="DI3753" i="3"/>
  <c r="DI3754" i="3"/>
  <c r="DI3755" i="3"/>
  <c r="DI3756" i="3"/>
  <c r="DI3757" i="3"/>
  <c r="DI3758" i="3"/>
  <c r="DI3759" i="3"/>
  <c r="DI3760" i="3"/>
  <c r="DI3761" i="3"/>
  <c r="DI3762" i="3"/>
  <c r="DI3763" i="3"/>
  <c r="DI3764" i="3"/>
  <c r="DI3765" i="3"/>
  <c r="DI3766" i="3"/>
  <c r="DI3767" i="3"/>
  <c r="DI3768" i="3"/>
  <c r="DI3769" i="3"/>
  <c r="DI3770" i="3"/>
  <c r="DI3771" i="3"/>
  <c r="DI3772" i="3"/>
  <c r="DI3773" i="3"/>
  <c r="DI3774" i="3"/>
  <c r="DI3775" i="3"/>
  <c r="DI3776" i="3"/>
  <c r="DI3777" i="3"/>
  <c r="DI3778" i="3"/>
  <c r="DI3779" i="3"/>
  <c r="DI3780" i="3"/>
  <c r="DI3781" i="3"/>
  <c r="DI3782" i="3"/>
  <c r="DI3783" i="3"/>
  <c r="DI3784" i="3"/>
  <c r="DI3785" i="3"/>
  <c r="DI3786" i="3"/>
  <c r="DI3787" i="3"/>
  <c r="DI3788" i="3"/>
  <c r="DI3789" i="3"/>
  <c r="DI3790" i="3"/>
  <c r="DI3791" i="3"/>
  <c r="DI3792" i="3"/>
  <c r="DI3793" i="3"/>
  <c r="DI3794" i="3"/>
  <c r="DI3795" i="3"/>
  <c r="DI3796" i="3"/>
  <c r="DI3797" i="3"/>
  <c r="DI3798" i="3"/>
  <c r="DI3799" i="3"/>
  <c r="DI3800" i="3"/>
  <c r="DI3801" i="3"/>
  <c r="DI3802" i="3"/>
  <c r="DK3802" i="3"/>
  <c r="DI3803" i="3"/>
  <c r="DI3804" i="3"/>
  <c r="DI3805" i="3"/>
  <c r="DI3806" i="3"/>
  <c r="DI3807" i="3"/>
  <c r="DI3808" i="3"/>
  <c r="DI3809" i="3"/>
  <c r="DI3810" i="3"/>
  <c r="DI3811" i="3"/>
  <c r="DI3812" i="3"/>
  <c r="DI3813" i="3"/>
  <c r="DI3814" i="3"/>
  <c r="DI3815" i="3"/>
  <c r="DI3816" i="3"/>
  <c r="DI3817" i="3"/>
  <c r="DI3818" i="3"/>
  <c r="DI3819" i="3"/>
  <c r="DI3820" i="3"/>
  <c r="DI3821" i="3"/>
  <c r="DI3822" i="3"/>
  <c r="DI3823" i="3"/>
  <c r="DI3824" i="3"/>
  <c r="DI3825" i="3"/>
  <c r="DI3826" i="3"/>
  <c r="DI3827" i="3"/>
  <c r="DI3828" i="3"/>
  <c r="DI3829" i="3"/>
  <c r="DI3830" i="3"/>
  <c r="DI3831" i="3"/>
  <c r="DI3832" i="3"/>
  <c r="DI3833" i="3"/>
  <c r="DI3834" i="3"/>
  <c r="DI3835" i="3"/>
  <c r="DI3836" i="3"/>
  <c r="DI3837" i="3"/>
  <c r="DI3838" i="3"/>
  <c r="DI3839" i="3"/>
  <c r="DI3840" i="3"/>
  <c r="DK3840" i="3"/>
  <c r="DI3841" i="3"/>
  <c r="DI3842" i="3"/>
  <c r="DI3843" i="3"/>
  <c r="DI3844" i="3"/>
  <c r="DI3845" i="3"/>
  <c r="DI3846" i="3"/>
  <c r="DI3847" i="3"/>
  <c r="DI3848" i="3"/>
  <c r="DI3849" i="3"/>
  <c r="DI3850" i="3"/>
  <c r="DI3851" i="3"/>
  <c r="DI3852" i="3"/>
  <c r="DI3853" i="3"/>
  <c r="DI3854" i="3"/>
  <c r="DI3855" i="3"/>
  <c r="DI3856" i="3"/>
  <c r="DI3857" i="3"/>
  <c r="DI3858" i="3"/>
  <c r="DI3859" i="3"/>
  <c r="DI3860" i="3"/>
  <c r="DI3861" i="3"/>
  <c r="DI3862" i="3"/>
  <c r="DI3863" i="3"/>
  <c r="DI3864" i="3"/>
  <c r="DI3865" i="3"/>
  <c r="DI3866" i="3"/>
  <c r="DI3867" i="3"/>
  <c r="DI3868" i="3"/>
  <c r="DI3869" i="3"/>
  <c r="DI3870" i="3"/>
  <c r="DI3871" i="3"/>
  <c r="DI3872" i="3"/>
  <c r="DI3873" i="3"/>
  <c r="DI3874" i="3"/>
  <c r="DI3875" i="3"/>
  <c r="DI3876" i="3"/>
  <c r="DI3877" i="3"/>
  <c r="DI3878" i="3"/>
  <c r="DK3878" i="3"/>
  <c r="DI3879" i="3"/>
  <c r="DI3880" i="3"/>
  <c r="DI3881" i="3"/>
  <c r="DI3882" i="3"/>
  <c r="DI3883" i="3"/>
  <c r="DI3884" i="3"/>
  <c r="DI3885" i="3"/>
  <c r="DI3886" i="3"/>
  <c r="DI3887" i="3"/>
  <c r="DI3888" i="3"/>
  <c r="DI3889" i="3"/>
  <c r="DI3890" i="3"/>
  <c r="DI3891" i="3"/>
  <c r="DI3892" i="3"/>
  <c r="DI3893" i="3"/>
  <c r="DI3894" i="3"/>
  <c r="DI3895" i="3"/>
  <c r="DI3896" i="3"/>
  <c r="DI3897" i="3"/>
  <c r="DK3897" i="3"/>
  <c r="DI3898" i="3"/>
  <c r="DI3899" i="3"/>
  <c r="DI3900" i="3"/>
  <c r="DI3901" i="3"/>
  <c r="DI3902" i="3"/>
  <c r="DI3903" i="3"/>
  <c r="DI3904" i="3"/>
  <c r="DI3905" i="3"/>
  <c r="DI3906" i="3"/>
  <c r="DI3907" i="3"/>
  <c r="DI3908" i="3"/>
  <c r="DI3909" i="3"/>
  <c r="DI3910" i="3"/>
  <c r="DI3911" i="3"/>
  <c r="DI3912" i="3"/>
  <c r="DI3913" i="3"/>
  <c r="DI3914" i="3"/>
  <c r="DI3915" i="3"/>
  <c r="DI3916" i="3"/>
  <c r="DK3916" i="3"/>
  <c r="DI3917" i="3"/>
  <c r="DI3918" i="3"/>
  <c r="DI3919" i="3"/>
  <c r="DI3920" i="3"/>
  <c r="DI3921" i="3"/>
  <c r="DI3922" i="3"/>
  <c r="DI3923" i="3"/>
  <c r="DI3924" i="3"/>
  <c r="DI3925" i="3"/>
  <c r="DI3926" i="3"/>
  <c r="DI3927" i="3"/>
  <c r="DI3928" i="3"/>
  <c r="DI3929" i="3"/>
  <c r="DI3930" i="3"/>
  <c r="DI3931" i="3"/>
  <c r="DI3932" i="3"/>
  <c r="DI3933" i="3"/>
  <c r="DI3934" i="3"/>
  <c r="DI3935" i="3"/>
  <c r="DI3936" i="3"/>
  <c r="DI3937" i="3"/>
  <c r="DI3938" i="3"/>
  <c r="DI3939" i="3"/>
  <c r="DI3940" i="3"/>
  <c r="DI3941" i="3"/>
  <c r="DI3942" i="3"/>
  <c r="DI3943" i="3"/>
  <c r="DI3944" i="3"/>
  <c r="DI3945" i="3"/>
  <c r="DI3946" i="3"/>
  <c r="DI3947" i="3"/>
  <c r="DI3948" i="3"/>
  <c r="DI3949" i="3"/>
  <c r="DI3950" i="3"/>
  <c r="DI3951" i="3"/>
  <c r="DI3952" i="3"/>
  <c r="DI3953" i="3"/>
  <c r="DI3954" i="3"/>
  <c r="DK3954" i="3"/>
  <c r="DI3955" i="3"/>
  <c r="DI3956" i="3"/>
  <c r="DI3957" i="3"/>
  <c r="DI3958" i="3"/>
  <c r="DI3959" i="3"/>
  <c r="DI3960" i="3"/>
  <c r="DI3961" i="3"/>
  <c r="DI3962" i="3"/>
  <c r="DI3963" i="3"/>
  <c r="DI3964" i="3"/>
  <c r="DI3965" i="3"/>
  <c r="DI3966" i="3"/>
  <c r="DI3967" i="3"/>
  <c r="DI3968" i="3"/>
  <c r="DI3969" i="3"/>
  <c r="DI3970" i="3"/>
  <c r="DI3971" i="3"/>
  <c r="DI3972" i="3"/>
  <c r="DI3973" i="3"/>
  <c r="DI3974" i="3"/>
  <c r="DI3975" i="3"/>
  <c r="DI3976" i="3"/>
  <c r="DI3977" i="3"/>
  <c r="DI3978" i="3"/>
  <c r="DI3979" i="3"/>
  <c r="DI3980" i="3"/>
  <c r="DI3981" i="3"/>
  <c r="DI3982" i="3"/>
  <c r="DI3983" i="3"/>
  <c r="DI3984" i="3"/>
  <c r="DI3985" i="3"/>
  <c r="DI3986" i="3"/>
  <c r="DI3987" i="3"/>
  <c r="DI3988" i="3"/>
  <c r="DI3989" i="3"/>
  <c r="DI3990" i="3"/>
  <c r="DI3991" i="3"/>
  <c r="DI3992" i="3"/>
  <c r="DI3993" i="3"/>
  <c r="DI3994" i="3"/>
  <c r="DI3995" i="3"/>
  <c r="DI3996" i="3"/>
  <c r="DI3997" i="3"/>
  <c r="DI3998" i="3"/>
  <c r="DI3999" i="3"/>
  <c r="DI4000" i="3"/>
  <c r="DI4001" i="3"/>
  <c r="DI4002" i="3"/>
  <c r="DI4003" i="3"/>
  <c r="DI4004" i="3"/>
  <c r="DI4005" i="3"/>
  <c r="DI4006" i="3"/>
  <c r="DI4007" i="3"/>
  <c r="DI4008" i="3"/>
  <c r="DI4009" i="3"/>
  <c r="DI4010" i="3"/>
  <c r="DI4011" i="3"/>
  <c r="DI4012" i="3"/>
  <c r="DI4013" i="3"/>
  <c r="DI4014" i="3"/>
  <c r="DI4015" i="3"/>
  <c r="DI4016" i="3"/>
  <c r="DI4017" i="3"/>
  <c r="DI4018" i="3"/>
  <c r="DI4019" i="3"/>
  <c r="DI4020" i="3"/>
  <c r="DI4021" i="3"/>
  <c r="DI4022" i="3"/>
  <c r="DI4023" i="3"/>
  <c r="DI4024" i="3"/>
  <c r="DI4025" i="3"/>
  <c r="DI4026" i="3"/>
  <c r="DI4027" i="3"/>
  <c r="DI4028" i="3"/>
  <c r="DI4029" i="3"/>
  <c r="DI4030" i="3"/>
  <c r="DK4030" i="3"/>
  <c r="DI4031" i="3"/>
  <c r="DI4032" i="3"/>
  <c r="DI4033" i="3"/>
  <c r="DI4034" i="3"/>
  <c r="DI4035" i="3"/>
  <c r="DI4036" i="3"/>
  <c r="DI4037" i="3"/>
  <c r="DI4038" i="3"/>
  <c r="DI4039" i="3"/>
  <c r="DI4040" i="3"/>
  <c r="DI4041" i="3"/>
  <c r="DI4042" i="3"/>
  <c r="DI4043" i="3"/>
  <c r="DI4044" i="3"/>
  <c r="DI4045" i="3"/>
  <c r="DI4046" i="3"/>
  <c r="DI4047" i="3"/>
  <c r="DI4048" i="3"/>
  <c r="DI4049" i="3"/>
  <c r="DK4049" i="3"/>
  <c r="DI4050" i="3"/>
  <c r="DI4051" i="3"/>
  <c r="DI4052" i="3"/>
  <c r="DI4053" i="3"/>
  <c r="DI4054" i="3"/>
  <c r="DI4055" i="3"/>
  <c r="DI4056" i="3"/>
  <c r="DI4057" i="3"/>
  <c r="DI4058" i="3"/>
  <c r="DI4059" i="3"/>
  <c r="DI4060" i="3"/>
  <c r="DI4061" i="3"/>
  <c r="DI4062" i="3"/>
  <c r="DI4063" i="3"/>
  <c r="DI4064" i="3"/>
  <c r="DI4065" i="3"/>
  <c r="DI4066" i="3"/>
  <c r="DI4067" i="3"/>
  <c r="DI4068" i="3"/>
  <c r="DK4068" i="3"/>
  <c r="DI4069" i="3"/>
  <c r="DI4070" i="3"/>
  <c r="DI4071" i="3"/>
  <c r="DI4072" i="3"/>
  <c r="DI4073" i="3"/>
  <c r="DI4074" i="3"/>
  <c r="DI4075" i="3"/>
  <c r="DI4076" i="3"/>
  <c r="DI4077" i="3"/>
  <c r="DI4078" i="3"/>
  <c r="DI4079" i="3"/>
  <c r="DI4080" i="3"/>
  <c r="DI4081" i="3"/>
  <c r="DI4082" i="3"/>
  <c r="DI4083" i="3"/>
  <c r="DI4084" i="3"/>
  <c r="DI4085" i="3"/>
  <c r="DI4086" i="3"/>
  <c r="DI4087" i="3"/>
  <c r="DI4088" i="3"/>
  <c r="DI4089" i="3"/>
  <c r="DI4090" i="3"/>
  <c r="DI4091" i="3"/>
  <c r="DI4092" i="3"/>
  <c r="DI4093" i="3"/>
  <c r="DI4094" i="3"/>
  <c r="DI4095" i="3"/>
  <c r="DI4096" i="3"/>
  <c r="DI4097" i="3"/>
  <c r="DI4098" i="3"/>
  <c r="DI4099" i="3"/>
  <c r="DI4100" i="3"/>
  <c r="DI4101" i="3"/>
  <c r="DI4102" i="3"/>
  <c r="DI4103" i="3"/>
  <c r="DI4104" i="3"/>
  <c r="DI4105" i="3"/>
  <c r="DI4106" i="3"/>
  <c r="DK4106" i="3"/>
  <c r="DI4107" i="3"/>
  <c r="DI4108" i="3"/>
  <c r="DI4109" i="3"/>
  <c r="DI4110" i="3"/>
  <c r="DI4111" i="3"/>
  <c r="DI4112" i="3"/>
  <c r="DI4113" i="3"/>
  <c r="DI4114" i="3"/>
  <c r="DI4115" i="3"/>
  <c r="DI4116" i="3"/>
  <c r="DI4117" i="3"/>
  <c r="DI4118" i="3"/>
  <c r="DI4119" i="3"/>
  <c r="DI4120" i="3"/>
  <c r="DI4121" i="3"/>
  <c r="DI4122" i="3"/>
  <c r="DI4123" i="3"/>
  <c r="DI4124" i="3"/>
  <c r="DI4125" i="3"/>
  <c r="DI4126" i="3"/>
  <c r="DI4127" i="3"/>
  <c r="DI4128" i="3"/>
  <c r="DI4129" i="3"/>
  <c r="DI4130" i="3"/>
  <c r="DI4131" i="3"/>
  <c r="DI4132" i="3"/>
  <c r="DI4133" i="3"/>
  <c r="DI4134" i="3"/>
  <c r="DI4135" i="3"/>
  <c r="DI4136" i="3"/>
  <c r="DI4137" i="3"/>
  <c r="DI4138" i="3"/>
  <c r="DI4139" i="3"/>
  <c r="DI4140" i="3"/>
  <c r="DI4141" i="3"/>
  <c r="DI4142" i="3"/>
  <c r="DI4143" i="3"/>
  <c r="DI4144" i="3"/>
  <c r="DI4145" i="3"/>
  <c r="DI4146" i="3"/>
  <c r="DI4147" i="3"/>
  <c r="DI4148" i="3"/>
  <c r="DI4149" i="3"/>
  <c r="DI4150" i="3"/>
  <c r="DI4151" i="3"/>
  <c r="DI4152" i="3"/>
  <c r="DI4153" i="3"/>
  <c r="DI4154" i="3"/>
  <c r="DI4155" i="3"/>
  <c r="DI4156" i="3"/>
  <c r="DI4157" i="3"/>
  <c r="DI4158" i="3"/>
  <c r="DI4159" i="3"/>
  <c r="DI4160" i="3"/>
  <c r="DI4161" i="3"/>
  <c r="DI4162" i="3"/>
  <c r="DI4163" i="3"/>
  <c r="DI4164" i="3"/>
  <c r="DI4165" i="3"/>
  <c r="DI4166" i="3"/>
  <c r="DI4167" i="3"/>
  <c r="DI4168" i="3"/>
  <c r="DI4169" i="3"/>
  <c r="DI4170" i="3"/>
  <c r="DI4171" i="3"/>
  <c r="DI4172" i="3"/>
  <c r="DI4173" i="3"/>
  <c r="DI4174" i="3"/>
  <c r="DI4175" i="3"/>
  <c r="DI4176" i="3"/>
  <c r="DI4177" i="3"/>
  <c r="DI4178" i="3"/>
  <c r="DI4179" i="3"/>
  <c r="DI4180" i="3"/>
  <c r="DI4181" i="3"/>
  <c r="DI4182" i="3"/>
  <c r="DK4182" i="3"/>
  <c r="DI4183" i="3"/>
  <c r="DI4184" i="3"/>
  <c r="DI4185" i="3"/>
  <c r="DI4186" i="3"/>
  <c r="DI4187" i="3"/>
  <c r="DI4188" i="3"/>
  <c r="DI4189" i="3"/>
  <c r="DI4190" i="3"/>
  <c r="DI4191" i="3"/>
  <c r="DI4192" i="3"/>
  <c r="DI4193" i="3"/>
  <c r="DI4194" i="3"/>
  <c r="DI4195" i="3"/>
  <c r="DI4196" i="3"/>
  <c r="DI4197" i="3"/>
  <c r="DI4198" i="3"/>
  <c r="DI4199" i="3"/>
  <c r="DI4200" i="3"/>
  <c r="DI4201" i="3"/>
  <c r="DI4202" i="3"/>
  <c r="DI4203" i="3"/>
  <c r="DI4204" i="3"/>
  <c r="DI4205" i="3"/>
  <c r="DI4206" i="3"/>
  <c r="DI4207" i="3"/>
  <c r="DI4208" i="3"/>
  <c r="DI4209" i="3"/>
  <c r="DI4210" i="3"/>
  <c r="DI4211" i="3"/>
  <c r="DI4212" i="3"/>
  <c r="DI4213" i="3"/>
  <c r="DI4214" i="3"/>
  <c r="DI4215" i="3"/>
  <c r="DI4216" i="3"/>
  <c r="DI4217" i="3"/>
  <c r="DI4218" i="3"/>
  <c r="DI4219" i="3"/>
  <c r="DI4220" i="3"/>
  <c r="DI4221" i="3"/>
  <c r="DI4222" i="3"/>
  <c r="DI4223" i="3"/>
  <c r="DI4224" i="3"/>
  <c r="DI4225" i="3"/>
  <c r="DI4226" i="3"/>
  <c r="DI4227" i="3"/>
  <c r="DI4228" i="3"/>
  <c r="DI4229" i="3"/>
  <c r="DI4230" i="3"/>
  <c r="DI4231" i="3"/>
  <c r="DI4232" i="3"/>
  <c r="DI4233" i="3"/>
  <c r="DI4234" i="3"/>
  <c r="DI4235" i="3"/>
  <c r="DI4236" i="3"/>
  <c r="DI4237" i="3"/>
  <c r="DI4238" i="3"/>
  <c r="DI4239" i="3"/>
  <c r="DI4240" i="3"/>
  <c r="DI4241" i="3"/>
  <c r="DI4242" i="3"/>
  <c r="DI4243" i="3"/>
  <c r="DI4244" i="3"/>
  <c r="DI4245" i="3"/>
  <c r="DI4246" i="3"/>
  <c r="DI4247" i="3"/>
  <c r="DI4248" i="3"/>
  <c r="DI4249" i="3"/>
  <c r="DI4250" i="3"/>
  <c r="DI4251" i="3"/>
  <c r="DI4252" i="3"/>
  <c r="DI4253" i="3"/>
  <c r="DI4254" i="3"/>
  <c r="DI4255" i="3"/>
  <c r="DI4256" i="3"/>
  <c r="DI4257" i="3"/>
  <c r="DI4258" i="3"/>
  <c r="DK4258" i="3"/>
  <c r="DI4259" i="3"/>
  <c r="DI4260" i="3"/>
  <c r="DI4261" i="3"/>
  <c r="DI4262" i="3"/>
  <c r="DI4263" i="3"/>
  <c r="DI4264" i="3"/>
  <c r="DI4265" i="3"/>
  <c r="DI4266" i="3"/>
  <c r="DI4267" i="3"/>
  <c r="DI4268" i="3"/>
  <c r="DI4269" i="3"/>
  <c r="DI4270" i="3"/>
  <c r="DI4271" i="3"/>
  <c r="DI4272" i="3"/>
  <c r="DI4273" i="3"/>
  <c r="DI4274" i="3"/>
  <c r="DI4275" i="3"/>
  <c r="DI4276" i="3"/>
  <c r="DI4277" i="3"/>
  <c r="DK4277" i="3"/>
  <c r="DI4278" i="3"/>
  <c r="DI4279" i="3"/>
  <c r="DI4280" i="3"/>
  <c r="DI4281" i="3"/>
  <c r="DI4282" i="3"/>
  <c r="DI4283" i="3"/>
  <c r="DI4284" i="3"/>
  <c r="DI4285" i="3"/>
  <c r="DI4286" i="3"/>
  <c r="DI4287" i="3"/>
  <c r="DI4288" i="3"/>
  <c r="DI4289" i="3"/>
  <c r="DI4290" i="3"/>
  <c r="DI4291" i="3"/>
  <c r="DI4292" i="3"/>
  <c r="DI4293" i="3"/>
  <c r="DI4294" i="3"/>
  <c r="DI4295" i="3"/>
  <c r="DI4296" i="3"/>
  <c r="DK4296" i="3"/>
  <c r="DI4297" i="3"/>
  <c r="DI4298" i="3"/>
  <c r="DI4299" i="3"/>
  <c r="DI4300" i="3"/>
  <c r="DI4301" i="3"/>
  <c r="DI4302" i="3"/>
  <c r="DI4303" i="3"/>
  <c r="DI4304" i="3"/>
  <c r="DI4305" i="3"/>
  <c r="DI4306" i="3"/>
  <c r="DI4307" i="3"/>
  <c r="DI4308" i="3"/>
  <c r="DI4309" i="3"/>
  <c r="DI4310" i="3"/>
  <c r="DI4311" i="3"/>
  <c r="DI4312" i="3"/>
  <c r="DI4313" i="3"/>
  <c r="DI3" i="3"/>
  <c r="DI4" i="3"/>
  <c r="DI5" i="3"/>
  <c r="DI6" i="3"/>
  <c r="DI7" i="3"/>
  <c r="DI8" i="3"/>
  <c r="DI9" i="3"/>
  <c r="DI10" i="3"/>
  <c r="DI11" i="3"/>
  <c r="DI12" i="3"/>
  <c r="DI13" i="3"/>
  <c r="DI14" i="3"/>
  <c r="DU28" i="3" s="1"/>
  <c r="DI15" i="3"/>
  <c r="DI16" i="3"/>
  <c r="DI17" i="3"/>
  <c r="DI18" i="3"/>
  <c r="DI19" i="3"/>
  <c r="DI20" i="3"/>
  <c r="DI21" i="3"/>
  <c r="DI22" i="3"/>
  <c r="DI23" i="3"/>
  <c r="DI24" i="3"/>
  <c r="DI25" i="3"/>
  <c r="DI26" i="3"/>
  <c r="DI27" i="3"/>
  <c r="DI28" i="3"/>
  <c r="DI29" i="3"/>
  <c r="DI30" i="3"/>
  <c r="DI31" i="3"/>
  <c r="DI32" i="3"/>
  <c r="DI33" i="3"/>
  <c r="DI34" i="3"/>
  <c r="DI35" i="3"/>
  <c r="DI36" i="3"/>
  <c r="DI37" i="3"/>
  <c r="DI38" i="3"/>
  <c r="DI39" i="3"/>
  <c r="DI40" i="3"/>
  <c r="DI41" i="3"/>
  <c r="DI42" i="3"/>
  <c r="DI43" i="3"/>
  <c r="DI44" i="3"/>
  <c r="DI45" i="3"/>
  <c r="DI46" i="3"/>
  <c r="DI47" i="3"/>
  <c r="DI48" i="3"/>
  <c r="DI49" i="3"/>
  <c r="DI50" i="3"/>
  <c r="DI51" i="3"/>
  <c r="DI52" i="3"/>
  <c r="DI53" i="3"/>
  <c r="DI54" i="3"/>
  <c r="DI55" i="3"/>
  <c r="DI56" i="3"/>
  <c r="DI57" i="3"/>
  <c r="DI58" i="3"/>
  <c r="DI59" i="3"/>
  <c r="DI60" i="3"/>
  <c r="DI61" i="3"/>
  <c r="DI62" i="3"/>
  <c r="DI63" i="3"/>
  <c r="DI64" i="3"/>
  <c r="DI65" i="3"/>
  <c r="DI66" i="3"/>
  <c r="DI67" i="3"/>
  <c r="DI68" i="3"/>
  <c r="DI69" i="3"/>
  <c r="DI70" i="3"/>
  <c r="DI71" i="3"/>
  <c r="DI72" i="3"/>
  <c r="DI73" i="3"/>
  <c r="DI74" i="3"/>
  <c r="DI75" i="3"/>
  <c r="DI76" i="3"/>
  <c r="DI77" i="3"/>
  <c r="DI78" i="3"/>
  <c r="DI79" i="3"/>
  <c r="DI80" i="3"/>
  <c r="DI81" i="3"/>
  <c r="DI82" i="3"/>
  <c r="DI83" i="3"/>
  <c r="DI84" i="3"/>
  <c r="DI85" i="3"/>
  <c r="DI86" i="3"/>
  <c r="DI87" i="3"/>
  <c r="DI88" i="3"/>
  <c r="DI89" i="3"/>
  <c r="DI90" i="3"/>
  <c r="DI91" i="3"/>
  <c r="DI92" i="3"/>
  <c r="DI93" i="3"/>
  <c r="DI94" i="3"/>
  <c r="DI95" i="3"/>
  <c r="DI96" i="3"/>
  <c r="DI97" i="3"/>
  <c r="DI98" i="3"/>
  <c r="DI99" i="3"/>
  <c r="DI100" i="3"/>
  <c r="DI101" i="3"/>
  <c r="DI102" i="3"/>
  <c r="DI103" i="3"/>
  <c r="DI104" i="3"/>
  <c r="DI105" i="3"/>
  <c r="DI106" i="3"/>
  <c r="DI107" i="3"/>
  <c r="DI108" i="3"/>
  <c r="DI109" i="3"/>
  <c r="DI110" i="3"/>
  <c r="DI111" i="3"/>
  <c r="DI112" i="3"/>
  <c r="DI113" i="3"/>
  <c r="DI114" i="3"/>
  <c r="DI115" i="3"/>
  <c r="DI116" i="3"/>
  <c r="DI117" i="3"/>
  <c r="DI118" i="3"/>
  <c r="DI119" i="3"/>
  <c r="DI120" i="3"/>
  <c r="DI121" i="3"/>
  <c r="DI122" i="3"/>
  <c r="DI123" i="3"/>
  <c r="DI124" i="3"/>
  <c r="DI125" i="3"/>
  <c r="DI126" i="3"/>
  <c r="DI127" i="3"/>
  <c r="DI128" i="3"/>
  <c r="DI129" i="3"/>
  <c r="DI130" i="3"/>
  <c r="DI131" i="3"/>
  <c r="DI132" i="3"/>
  <c r="DI133" i="3"/>
  <c r="DI134" i="3"/>
  <c r="DI135" i="3"/>
  <c r="DI136" i="3"/>
  <c r="DI137" i="3"/>
  <c r="DI138" i="3"/>
  <c r="DI139" i="3"/>
  <c r="DI140" i="3"/>
  <c r="DI141" i="3"/>
  <c r="DI142" i="3"/>
  <c r="DI143" i="3"/>
  <c r="DI144" i="3"/>
  <c r="DI145" i="3"/>
  <c r="DI146" i="3"/>
  <c r="DI147" i="3"/>
  <c r="DI148" i="3"/>
  <c r="DI149" i="3"/>
  <c r="DI150" i="3"/>
  <c r="DI151" i="3"/>
  <c r="DI152" i="3"/>
  <c r="DI153" i="3"/>
  <c r="DI154" i="3"/>
  <c r="DI155" i="3"/>
  <c r="DI156" i="3"/>
  <c r="DI157" i="3"/>
  <c r="DI158" i="3"/>
  <c r="DI159" i="3"/>
  <c r="DI160" i="3"/>
  <c r="DI161" i="3"/>
  <c r="DI162" i="3"/>
  <c r="DI163" i="3"/>
  <c r="DI164" i="3"/>
  <c r="DI165" i="3"/>
  <c r="DI166" i="3"/>
  <c r="DI167" i="3"/>
  <c r="DI168" i="3"/>
  <c r="DI169" i="3"/>
  <c r="DI170" i="3"/>
  <c r="DI171" i="3"/>
  <c r="DI172" i="3"/>
  <c r="DI173" i="3"/>
  <c r="DI174" i="3"/>
  <c r="DI175" i="3"/>
  <c r="DI176" i="3"/>
  <c r="DI177" i="3"/>
  <c r="DI178" i="3"/>
  <c r="DI179" i="3"/>
  <c r="DI180" i="3"/>
  <c r="DI181" i="3"/>
  <c r="DI182" i="3"/>
  <c r="DI183" i="3"/>
  <c r="DI184" i="3"/>
  <c r="DI185" i="3"/>
  <c r="DI186" i="3"/>
  <c r="DI187" i="3"/>
  <c r="DI188" i="3"/>
  <c r="DI189" i="3"/>
  <c r="DI190" i="3"/>
  <c r="DI191" i="3"/>
  <c r="DI192" i="3"/>
  <c r="DI193" i="3"/>
  <c r="DI194" i="3"/>
  <c r="DI195" i="3"/>
  <c r="DI196" i="3"/>
  <c r="DI197" i="3"/>
  <c r="DI198" i="3"/>
  <c r="DI199" i="3"/>
  <c r="DI200" i="3"/>
  <c r="DI201" i="3"/>
  <c r="DI202" i="3"/>
  <c r="DI203" i="3"/>
  <c r="DI204" i="3"/>
  <c r="DI205" i="3"/>
  <c r="DI206" i="3"/>
  <c r="DI207" i="3"/>
  <c r="DI208" i="3"/>
  <c r="DI209" i="3"/>
  <c r="DI210" i="3"/>
  <c r="DI211" i="3"/>
  <c r="DI212" i="3"/>
  <c r="DI213" i="3"/>
  <c r="DI214" i="3"/>
  <c r="DI215" i="3"/>
  <c r="DI216" i="3"/>
  <c r="DI217" i="3"/>
  <c r="DI218" i="3"/>
  <c r="DI219" i="3"/>
  <c r="DI220" i="3"/>
  <c r="DI221" i="3"/>
  <c r="DI222" i="3"/>
  <c r="DI223" i="3"/>
  <c r="DI224" i="3"/>
  <c r="DI225" i="3"/>
  <c r="DI226" i="3"/>
  <c r="DI227" i="3"/>
  <c r="DI228" i="3"/>
  <c r="DI229" i="3"/>
  <c r="DI230" i="3"/>
  <c r="DI231" i="3"/>
  <c r="DI232" i="3"/>
  <c r="DI233" i="3"/>
  <c r="DI234" i="3"/>
  <c r="DI235" i="3"/>
  <c r="DI236" i="3"/>
  <c r="DI237" i="3"/>
  <c r="DI238" i="3"/>
  <c r="DI239" i="3"/>
  <c r="DI240" i="3"/>
  <c r="DI241" i="3"/>
  <c r="DI242" i="3"/>
  <c r="DI243" i="3"/>
  <c r="DI244" i="3"/>
  <c r="DI245" i="3"/>
  <c r="DI246" i="3"/>
  <c r="DI247" i="3"/>
  <c r="DI248" i="3"/>
  <c r="DI249" i="3"/>
  <c r="DI250" i="3"/>
  <c r="DI251" i="3"/>
  <c r="DI252" i="3"/>
  <c r="DI253" i="3"/>
  <c r="DI254" i="3"/>
  <c r="DI255" i="3"/>
  <c r="DI256" i="3"/>
  <c r="DI257" i="3"/>
  <c r="DI258" i="3"/>
  <c r="DI259" i="3"/>
  <c r="DI260" i="3"/>
  <c r="DI261" i="3"/>
  <c r="DI262" i="3"/>
  <c r="DI263" i="3"/>
  <c r="DI264" i="3"/>
  <c r="DI265" i="3"/>
  <c r="DI266" i="3"/>
  <c r="DI267" i="3"/>
  <c r="DI268" i="3"/>
  <c r="DI269" i="3"/>
  <c r="DI270" i="3"/>
  <c r="DI271" i="3"/>
  <c r="DI272" i="3"/>
  <c r="DI273" i="3"/>
  <c r="DI274" i="3"/>
  <c r="DI275" i="3"/>
  <c r="DI276" i="3"/>
  <c r="DI277" i="3"/>
  <c r="DI278" i="3"/>
  <c r="DI279" i="3"/>
  <c r="DI280" i="3"/>
  <c r="DI281" i="3"/>
  <c r="DI282" i="3"/>
  <c r="DI283" i="3"/>
  <c r="DI284" i="3"/>
  <c r="DI285" i="3"/>
  <c r="DI286" i="3"/>
  <c r="DI287" i="3"/>
  <c r="DI288" i="3"/>
  <c r="DI289" i="3"/>
  <c r="DI290" i="3"/>
  <c r="DI291" i="3"/>
  <c r="DI292" i="3"/>
  <c r="DI293" i="3"/>
  <c r="DI294" i="3"/>
  <c r="DI295" i="3"/>
  <c r="DI296" i="3"/>
  <c r="DI297" i="3"/>
  <c r="DI298" i="3"/>
  <c r="DI299" i="3"/>
  <c r="DI300" i="3"/>
  <c r="DI301" i="3"/>
  <c r="DI302" i="3"/>
  <c r="DI303" i="3"/>
  <c r="DI304" i="3"/>
  <c r="DI305" i="3"/>
  <c r="DI306" i="3"/>
  <c r="DI307" i="3"/>
  <c r="DI308" i="3"/>
  <c r="DI309" i="3"/>
  <c r="DI310" i="3"/>
  <c r="DI311" i="3"/>
  <c r="DI312" i="3"/>
  <c r="DI313" i="3"/>
  <c r="DI314" i="3"/>
  <c r="DI315" i="3"/>
  <c r="DI316" i="3"/>
  <c r="DI317" i="3"/>
  <c r="DI318" i="3"/>
  <c r="DI319" i="3"/>
  <c r="DI320" i="3"/>
  <c r="DI321" i="3"/>
  <c r="DI322" i="3"/>
  <c r="DI323" i="3"/>
  <c r="DI324" i="3"/>
  <c r="DI325" i="3"/>
  <c r="DI326" i="3"/>
  <c r="DI327" i="3"/>
  <c r="DI328" i="3"/>
  <c r="DI329" i="3"/>
  <c r="DI330" i="3"/>
  <c r="DI331" i="3"/>
  <c r="DI332" i="3"/>
  <c r="DI333" i="3"/>
  <c r="DI334" i="3"/>
  <c r="DI335" i="3"/>
  <c r="DI336" i="3"/>
  <c r="DI337" i="3"/>
  <c r="DI338" i="3"/>
  <c r="DI339" i="3"/>
  <c r="DI340" i="3"/>
  <c r="DI341" i="3"/>
  <c r="DI342" i="3"/>
  <c r="DI343" i="3"/>
  <c r="DI344" i="3"/>
  <c r="DI345" i="3"/>
  <c r="DI346" i="3"/>
  <c r="DI347" i="3"/>
  <c r="DI348" i="3"/>
  <c r="DI349" i="3"/>
  <c r="DI350" i="3"/>
  <c r="DI351" i="3"/>
  <c r="DI352" i="3"/>
  <c r="DI353" i="3"/>
  <c r="DI354" i="3"/>
  <c r="DI355" i="3"/>
  <c r="DI356" i="3"/>
  <c r="DI357" i="3"/>
  <c r="DI358" i="3"/>
  <c r="DI359" i="3"/>
  <c r="DI360" i="3"/>
  <c r="DI361" i="3"/>
  <c r="DI362" i="3"/>
  <c r="DI363" i="3"/>
  <c r="DI364" i="3"/>
  <c r="DI365" i="3"/>
  <c r="DI366" i="3"/>
  <c r="DI367" i="3"/>
  <c r="DI368" i="3"/>
  <c r="DI369" i="3"/>
  <c r="DI370" i="3"/>
  <c r="DI371" i="3"/>
  <c r="DI372" i="3"/>
  <c r="DI373" i="3"/>
  <c r="DI374" i="3"/>
  <c r="DI375" i="3"/>
  <c r="DI376" i="3"/>
  <c r="DI377" i="3"/>
  <c r="DI378" i="3"/>
  <c r="DI379" i="3"/>
  <c r="DI380" i="3"/>
  <c r="DI381" i="3"/>
  <c r="DI382" i="3"/>
  <c r="DI383" i="3"/>
  <c r="DI384" i="3"/>
  <c r="DI385" i="3"/>
  <c r="DI386" i="3"/>
  <c r="DI387" i="3"/>
  <c r="DI388" i="3"/>
  <c r="DI389" i="3"/>
  <c r="DI390" i="3"/>
  <c r="DI391" i="3"/>
  <c r="DI392" i="3"/>
  <c r="DI393" i="3"/>
  <c r="DI394" i="3"/>
  <c r="DI395" i="3"/>
  <c r="DI396" i="3"/>
  <c r="DI397" i="3"/>
  <c r="DI398" i="3"/>
  <c r="DI399" i="3"/>
  <c r="DI400" i="3"/>
  <c r="DI401" i="3"/>
  <c r="DI402" i="3"/>
  <c r="DI403" i="3"/>
  <c r="DI404" i="3"/>
  <c r="DI405" i="3"/>
  <c r="DI406" i="3"/>
  <c r="DI407" i="3"/>
  <c r="DI408" i="3"/>
  <c r="DI409" i="3"/>
  <c r="DI410" i="3"/>
  <c r="DI411" i="3"/>
  <c r="DI412" i="3"/>
  <c r="DI413" i="3"/>
  <c r="DI414" i="3"/>
  <c r="DI415" i="3"/>
  <c r="DI416" i="3"/>
  <c r="DI417" i="3"/>
  <c r="DI418" i="3"/>
  <c r="DI419" i="3"/>
  <c r="DI420" i="3"/>
  <c r="DI421" i="3"/>
  <c r="DI422" i="3"/>
  <c r="DI423" i="3"/>
  <c r="DI424" i="3"/>
  <c r="DI425" i="3"/>
  <c r="DI426" i="3"/>
  <c r="DI427" i="3"/>
  <c r="DI428" i="3"/>
  <c r="DI429" i="3"/>
  <c r="DI430" i="3"/>
  <c r="DI431" i="3"/>
  <c r="DI432" i="3"/>
  <c r="DI433" i="3"/>
  <c r="DI434" i="3"/>
  <c r="DI435" i="3"/>
  <c r="DI436" i="3"/>
  <c r="DI437" i="3"/>
  <c r="DI438" i="3"/>
  <c r="DI439" i="3"/>
  <c r="DI440" i="3"/>
  <c r="DI441" i="3"/>
  <c r="DI442" i="3"/>
  <c r="DI443" i="3"/>
  <c r="DI444" i="3"/>
  <c r="DI445" i="3"/>
  <c r="DI446" i="3"/>
  <c r="DI447" i="3"/>
  <c r="DI448" i="3"/>
  <c r="DI449" i="3"/>
  <c r="DI450" i="3"/>
  <c r="DI451" i="3"/>
  <c r="DI452" i="3"/>
  <c r="DI453" i="3"/>
  <c r="DI454" i="3"/>
  <c r="DI455" i="3"/>
  <c r="DI456" i="3"/>
  <c r="DI457" i="3"/>
  <c r="DI458" i="3"/>
  <c r="DI459" i="3"/>
  <c r="DI460" i="3"/>
  <c r="DI461" i="3"/>
  <c r="DI462" i="3"/>
  <c r="DI463" i="3"/>
  <c r="DI464" i="3"/>
  <c r="DI465" i="3"/>
  <c r="DI466" i="3"/>
  <c r="DI467" i="3"/>
  <c r="DI468" i="3"/>
  <c r="DI469" i="3"/>
  <c r="DI470" i="3"/>
  <c r="DI471" i="3"/>
  <c r="DI472" i="3"/>
  <c r="DI473" i="3"/>
  <c r="DI474" i="3"/>
  <c r="DI475" i="3"/>
  <c r="DI476" i="3"/>
  <c r="DI477" i="3"/>
  <c r="DI478" i="3"/>
  <c r="DI479" i="3"/>
  <c r="DI480" i="3"/>
  <c r="DI481" i="3"/>
  <c r="DI482" i="3"/>
  <c r="DI483" i="3"/>
  <c r="DI484" i="3"/>
  <c r="DI485" i="3"/>
  <c r="DI486" i="3"/>
  <c r="DI487" i="3"/>
  <c r="DI488" i="3"/>
  <c r="DI489" i="3"/>
  <c r="DI490" i="3"/>
  <c r="DI491" i="3"/>
  <c r="DI492" i="3"/>
  <c r="DI493" i="3"/>
  <c r="DI494" i="3"/>
  <c r="DI495" i="3"/>
  <c r="DI496" i="3"/>
  <c r="DI497" i="3"/>
  <c r="DI498" i="3"/>
  <c r="DI499" i="3"/>
  <c r="DI500" i="3"/>
  <c r="DI501" i="3"/>
  <c r="DI502" i="3"/>
  <c r="DI503" i="3"/>
  <c r="DI504" i="3"/>
  <c r="DI505" i="3"/>
  <c r="DI506" i="3"/>
  <c r="DI507" i="3"/>
  <c r="DI508" i="3"/>
  <c r="DI509" i="3"/>
  <c r="DI510" i="3"/>
  <c r="DI511" i="3"/>
  <c r="DI512" i="3"/>
  <c r="DI513" i="3"/>
  <c r="DI514" i="3"/>
  <c r="DI515" i="3"/>
  <c r="DI516" i="3"/>
  <c r="DI517" i="3"/>
  <c r="DI518" i="3"/>
  <c r="DI519" i="3"/>
  <c r="DI520" i="3"/>
  <c r="DI521" i="3"/>
  <c r="DI522" i="3"/>
  <c r="DI523" i="3"/>
  <c r="DI524" i="3"/>
  <c r="DI525" i="3"/>
  <c r="DI526" i="3"/>
  <c r="DI527" i="3"/>
  <c r="DI528" i="3"/>
  <c r="DI529" i="3"/>
  <c r="DI530" i="3"/>
  <c r="DI531" i="3"/>
  <c r="DI532" i="3"/>
  <c r="DI533" i="3"/>
  <c r="DI534" i="3"/>
  <c r="DI535" i="3"/>
  <c r="DI536" i="3"/>
  <c r="DI537" i="3"/>
  <c r="DI538" i="3"/>
  <c r="DI539" i="3"/>
  <c r="DI540" i="3"/>
  <c r="DI541" i="3"/>
  <c r="DI542" i="3"/>
  <c r="DI543" i="3"/>
  <c r="DI544" i="3"/>
  <c r="DI545" i="3"/>
  <c r="DI546" i="3"/>
  <c r="DI547" i="3"/>
  <c r="DI548" i="3"/>
  <c r="DI549" i="3"/>
  <c r="DI550" i="3"/>
  <c r="DI551" i="3"/>
  <c r="DI552" i="3"/>
  <c r="DI553" i="3"/>
  <c r="DI554" i="3"/>
  <c r="DI555" i="3"/>
  <c r="DI556" i="3"/>
  <c r="DI557" i="3"/>
  <c r="DI558" i="3"/>
  <c r="DI559" i="3"/>
  <c r="DI560" i="3"/>
  <c r="DI561" i="3"/>
  <c r="DI562" i="3"/>
  <c r="DI563" i="3"/>
  <c r="DI564" i="3"/>
  <c r="DI565" i="3"/>
  <c r="DI566" i="3"/>
  <c r="DI567" i="3"/>
  <c r="DI568" i="3"/>
  <c r="DI569" i="3"/>
  <c r="DI570" i="3"/>
  <c r="DI571" i="3"/>
  <c r="DI572" i="3"/>
  <c r="DI573" i="3"/>
  <c r="DI574" i="3"/>
  <c r="DI575" i="3"/>
  <c r="DI576" i="3"/>
  <c r="DI577" i="3"/>
  <c r="DI578" i="3"/>
  <c r="DI579" i="3"/>
  <c r="DI580" i="3"/>
  <c r="DI581" i="3"/>
  <c r="DI582" i="3"/>
  <c r="DI583" i="3"/>
  <c r="DI584" i="3"/>
  <c r="DI585" i="3"/>
  <c r="DI586" i="3"/>
  <c r="DI587" i="3"/>
  <c r="DI588" i="3"/>
  <c r="DI589" i="3"/>
  <c r="DI590" i="3"/>
  <c r="DI591" i="3"/>
  <c r="DI592" i="3"/>
  <c r="DI593" i="3"/>
  <c r="DI594" i="3"/>
  <c r="DI595" i="3"/>
  <c r="DI596" i="3"/>
  <c r="DI597" i="3"/>
  <c r="DI598" i="3"/>
  <c r="DI599" i="3"/>
  <c r="DI600" i="3"/>
  <c r="DI601" i="3"/>
  <c r="DI602" i="3"/>
  <c r="DI603" i="3"/>
  <c r="DI604" i="3"/>
  <c r="DI605" i="3"/>
  <c r="DI606" i="3"/>
  <c r="DI607" i="3"/>
  <c r="DI608" i="3"/>
  <c r="DI609" i="3"/>
  <c r="DI610" i="3"/>
  <c r="DI611" i="3"/>
  <c r="DI612" i="3"/>
  <c r="DI613" i="3"/>
  <c r="DI614" i="3"/>
  <c r="DI615" i="3"/>
  <c r="DI616" i="3"/>
  <c r="DI617" i="3"/>
  <c r="DI618" i="3"/>
  <c r="DI619" i="3"/>
  <c r="DI620" i="3"/>
  <c r="DI621" i="3"/>
  <c r="DI622" i="3"/>
  <c r="DI623" i="3"/>
  <c r="DI624" i="3"/>
  <c r="DI625" i="3"/>
  <c r="DI626" i="3"/>
  <c r="DI627" i="3"/>
  <c r="DI628" i="3"/>
  <c r="DI629" i="3"/>
  <c r="DI630" i="3"/>
  <c r="DI631" i="3"/>
  <c r="DI632" i="3"/>
  <c r="DI633" i="3"/>
  <c r="DI634" i="3"/>
  <c r="DI635" i="3"/>
  <c r="DI636" i="3"/>
  <c r="DI637" i="3"/>
  <c r="DI638" i="3"/>
  <c r="DI639" i="3"/>
  <c r="DI640" i="3"/>
  <c r="DI641" i="3"/>
  <c r="DI642" i="3"/>
  <c r="DI643" i="3"/>
  <c r="DI644" i="3"/>
  <c r="DI645" i="3"/>
  <c r="DI646" i="3"/>
  <c r="DI647" i="3"/>
  <c r="DI648" i="3"/>
  <c r="DI649" i="3"/>
  <c r="DI650" i="3"/>
  <c r="DI651" i="3"/>
  <c r="DI652" i="3"/>
  <c r="DI653" i="3"/>
  <c r="DI654" i="3"/>
  <c r="DI655" i="3"/>
  <c r="DI656" i="3"/>
  <c r="DI657" i="3"/>
  <c r="DI658" i="3"/>
  <c r="DI659" i="3"/>
  <c r="DI660" i="3"/>
  <c r="DI661" i="3"/>
  <c r="DI662" i="3"/>
  <c r="DI663" i="3"/>
  <c r="DI664" i="3"/>
  <c r="DI665" i="3"/>
  <c r="DI666" i="3"/>
  <c r="DI667" i="3"/>
  <c r="DI668" i="3"/>
  <c r="DI669" i="3"/>
  <c r="DI670" i="3"/>
  <c r="DI671" i="3"/>
  <c r="DI672" i="3"/>
  <c r="DI673" i="3"/>
  <c r="DI674" i="3"/>
  <c r="DI675" i="3"/>
  <c r="DI676" i="3"/>
  <c r="DI677" i="3"/>
  <c r="DI678" i="3"/>
  <c r="DI679" i="3"/>
  <c r="DI680" i="3"/>
  <c r="DI681" i="3"/>
  <c r="DI682" i="3"/>
  <c r="DI683" i="3"/>
  <c r="DI684" i="3"/>
  <c r="DI685" i="3"/>
  <c r="DI686" i="3"/>
  <c r="DI687" i="3"/>
  <c r="DI688" i="3"/>
  <c r="DI689" i="3"/>
  <c r="DI690" i="3"/>
  <c r="DI691" i="3"/>
  <c r="DI692" i="3"/>
  <c r="DI693" i="3"/>
  <c r="DI694" i="3"/>
  <c r="DI695" i="3"/>
  <c r="DI696" i="3"/>
  <c r="DI697" i="3"/>
  <c r="DI698" i="3"/>
  <c r="DI699" i="3"/>
  <c r="DI700" i="3"/>
  <c r="DI701" i="3"/>
  <c r="DI702" i="3"/>
  <c r="DI703" i="3"/>
  <c r="DI704" i="3"/>
  <c r="DI705" i="3"/>
  <c r="DI706" i="3"/>
  <c r="DI707" i="3"/>
  <c r="DI708" i="3"/>
  <c r="DI709" i="3"/>
  <c r="DI710" i="3"/>
  <c r="DI711" i="3"/>
  <c r="DI712" i="3"/>
  <c r="DI713" i="3"/>
  <c r="DI714" i="3"/>
  <c r="DI715" i="3"/>
  <c r="DI716" i="3"/>
  <c r="DI717" i="3"/>
  <c r="DI718" i="3"/>
  <c r="DI719" i="3"/>
  <c r="DI720" i="3"/>
  <c r="DI721" i="3"/>
  <c r="DI722" i="3"/>
  <c r="DI723" i="3"/>
  <c r="DI724" i="3"/>
  <c r="DI725" i="3"/>
  <c r="DI726" i="3"/>
  <c r="DI727" i="3"/>
  <c r="DI728" i="3"/>
  <c r="DI729" i="3"/>
  <c r="DI730" i="3"/>
  <c r="DI731" i="3"/>
  <c r="DI732" i="3"/>
  <c r="DI733" i="3"/>
  <c r="DI734" i="3"/>
  <c r="DI735" i="3"/>
  <c r="DI736" i="3"/>
  <c r="DI737" i="3"/>
  <c r="DI738" i="3"/>
  <c r="DI739" i="3"/>
  <c r="DI740" i="3"/>
  <c r="DI741" i="3"/>
  <c r="DI742" i="3"/>
  <c r="DI743" i="3"/>
  <c r="DI744" i="3"/>
  <c r="DI745" i="3"/>
  <c r="DI746" i="3"/>
  <c r="DI747" i="3"/>
  <c r="DI748" i="3"/>
  <c r="DI749" i="3"/>
  <c r="DI750" i="3"/>
  <c r="DI751" i="3"/>
  <c r="DI752" i="3"/>
  <c r="DI753" i="3"/>
  <c r="DI754" i="3"/>
  <c r="DI755" i="3"/>
  <c r="DI756" i="3"/>
  <c r="DI757" i="3"/>
  <c r="DI758" i="3"/>
  <c r="DI759" i="3"/>
  <c r="DI760" i="3"/>
  <c r="DI761" i="3"/>
  <c r="DI762" i="3"/>
  <c r="DI763" i="3"/>
  <c r="DI764" i="3"/>
  <c r="DI765" i="3"/>
  <c r="DI766" i="3"/>
  <c r="DI767" i="3"/>
  <c r="DI768" i="3"/>
  <c r="DI769" i="3"/>
  <c r="DI770" i="3"/>
  <c r="DI771" i="3"/>
  <c r="DI772" i="3"/>
  <c r="DI773" i="3"/>
  <c r="DI774" i="3"/>
  <c r="DI775" i="3"/>
  <c r="DI776" i="3"/>
  <c r="DI777" i="3"/>
  <c r="DI778" i="3"/>
  <c r="DI779" i="3"/>
  <c r="DI780" i="3"/>
  <c r="DI781" i="3"/>
  <c r="DI782" i="3"/>
  <c r="DI783" i="3"/>
  <c r="DI784" i="3"/>
  <c r="DI785" i="3"/>
  <c r="DI786" i="3"/>
  <c r="DI787" i="3"/>
  <c r="DI788" i="3"/>
  <c r="DI789" i="3"/>
  <c r="DI790" i="3"/>
  <c r="DI791" i="3"/>
  <c r="DI792" i="3"/>
  <c r="DI793" i="3"/>
  <c r="DI794" i="3"/>
  <c r="DI795" i="3"/>
  <c r="DI796" i="3"/>
  <c r="DI797" i="3"/>
  <c r="DI798" i="3"/>
  <c r="DI799" i="3"/>
  <c r="DI800" i="3"/>
  <c r="DI801" i="3"/>
  <c r="DI802" i="3"/>
  <c r="DI803" i="3"/>
  <c r="DI804" i="3"/>
  <c r="DI805" i="3"/>
  <c r="DI806" i="3"/>
  <c r="DI807" i="3"/>
  <c r="DI808" i="3"/>
  <c r="DI809" i="3"/>
  <c r="DI810" i="3"/>
  <c r="DI811" i="3"/>
  <c r="DI812" i="3"/>
  <c r="DI813" i="3"/>
  <c r="DI814" i="3"/>
  <c r="DI815" i="3"/>
  <c r="DI816" i="3"/>
  <c r="DI817" i="3"/>
  <c r="DI818" i="3"/>
  <c r="DI819" i="3"/>
  <c r="DI820" i="3"/>
  <c r="DI821" i="3"/>
  <c r="DI822" i="3"/>
  <c r="DI823" i="3"/>
  <c r="DI824" i="3"/>
  <c r="DI825" i="3"/>
  <c r="DI826" i="3"/>
  <c r="DI827" i="3"/>
  <c r="DI828" i="3"/>
  <c r="DI829" i="3"/>
  <c r="DI830" i="3"/>
  <c r="DI831" i="3"/>
  <c r="DI832" i="3"/>
  <c r="DI833" i="3"/>
  <c r="DI834" i="3"/>
  <c r="DI835" i="3"/>
  <c r="DI836" i="3"/>
  <c r="DI837" i="3"/>
  <c r="DI838" i="3"/>
  <c r="DI839" i="3"/>
  <c r="DI840" i="3"/>
  <c r="DI841" i="3"/>
  <c r="DI842" i="3"/>
  <c r="DI843" i="3"/>
  <c r="DI844" i="3"/>
  <c r="DI845" i="3"/>
  <c r="DI846" i="3"/>
  <c r="DI847" i="3"/>
  <c r="DI848" i="3"/>
  <c r="DI849" i="3"/>
  <c r="DI850" i="3"/>
  <c r="DI851" i="3"/>
  <c r="DI852" i="3"/>
  <c r="DI853" i="3"/>
  <c r="DI854" i="3"/>
  <c r="DI855" i="3"/>
  <c r="DI856" i="3"/>
  <c r="DI857" i="3"/>
  <c r="DI858" i="3"/>
  <c r="DI859" i="3"/>
  <c r="DI860" i="3"/>
  <c r="DI861" i="3"/>
  <c r="DI862" i="3"/>
  <c r="DI863" i="3"/>
  <c r="DI864" i="3"/>
  <c r="DI865" i="3"/>
  <c r="DI866" i="3"/>
  <c r="DI867" i="3"/>
  <c r="DI868" i="3"/>
  <c r="DI869" i="3"/>
  <c r="DI870" i="3"/>
  <c r="DI871" i="3"/>
  <c r="DI872" i="3"/>
  <c r="DI873" i="3"/>
  <c r="DI874" i="3"/>
  <c r="DI875" i="3"/>
  <c r="DI876" i="3"/>
  <c r="DI877" i="3"/>
  <c r="DI878" i="3"/>
  <c r="DI879" i="3"/>
  <c r="DI880" i="3"/>
  <c r="DI881" i="3"/>
  <c r="DI882" i="3"/>
  <c r="DI883" i="3"/>
  <c r="DI884" i="3"/>
  <c r="DI885" i="3"/>
  <c r="DI886" i="3"/>
  <c r="DI887" i="3"/>
  <c r="DI888" i="3"/>
  <c r="DI889" i="3"/>
  <c r="DI890" i="3"/>
  <c r="DI891" i="3"/>
  <c r="DI892" i="3"/>
  <c r="DI893" i="3"/>
  <c r="DI894" i="3"/>
  <c r="DI895" i="3"/>
  <c r="DI896" i="3"/>
  <c r="DI897" i="3"/>
  <c r="DI898" i="3"/>
  <c r="DI899" i="3"/>
  <c r="DI900" i="3"/>
  <c r="DI901" i="3"/>
  <c r="DI902" i="3"/>
  <c r="DI903" i="3"/>
  <c r="DI904" i="3"/>
  <c r="DI905" i="3"/>
  <c r="DI906" i="3"/>
  <c r="DI907" i="3"/>
  <c r="DI908" i="3"/>
  <c r="DI909" i="3"/>
  <c r="DI910" i="3"/>
  <c r="DI911" i="3"/>
  <c r="DI912" i="3"/>
  <c r="DI913" i="3"/>
  <c r="DI914" i="3"/>
  <c r="DI915" i="3"/>
  <c r="DI916" i="3"/>
  <c r="DI917" i="3"/>
  <c r="DI918" i="3"/>
  <c r="DI919" i="3"/>
  <c r="DI920" i="3"/>
  <c r="DI921" i="3"/>
  <c r="DI922" i="3"/>
  <c r="DI923" i="3"/>
  <c r="DI924" i="3"/>
  <c r="DI925" i="3"/>
  <c r="DI926" i="3"/>
  <c r="DI927" i="3"/>
  <c r="DI928" i="3"/>
  <c r="DI929" i="3"/>
  <c r="DI930" i="3"/>
  <c r="DI931" i="3"/>
  <c r="DI932" i="3"/>
  <c r="DI933" i="3"/>
  <c r="DI934" i="3"/>
  <c r="DI935" i="3"/>
  <c r="DI936" i="3"/>
  <c r="DI937" i="3"/>
  <c r="DI938" i="3"/>
  <c r="DI939" i="3"/>
  <c r="DI940" i="3"/>
  <c r="DI941" i="3"/>
  <c r="DI942" i="3"/>
  <c r="DI943" i="3"/>
  <c r="DI944" i="3"/>
  <c r="DI945" i="3"/>
  <c r="DI946" i="3"/>
  <c r="DI947" i="3"/>
  <c r="DI948" i="3"/>
  <c r="DI949" i="3"/>
  <c r="DI950" i="3"/>
  <c r="DI951" i="3"/>
  <c r="DI952" i="3"/>
  <c r="DI953" i="3"/>
  <c r="DI954" i="3"/>
  <c r="DI955" i="3"/>
  <c r="DI956" i="3"/>
  <c r="DI957" i="3"/>
  <c r="DI958" i="3"/>
  <c r="DI959" i="3"/>
  <c r="DI960" i="3"/>
  <c r="DI961" i="3"/>
  <c r="DI962" i="3"/>
  <c r="DI963" i="3"/>
  <c r="DI964" i="3"/>
  <c r="DI965" i="3"/>
  <c r="DI966" i="3"/>
  <c r="DI967" i="3"/>
  <c r="DI968" i="3"/>
  <c r="DI969" i="3"/>
  <c r="DI970" i="3"/>
  <c r="DI971" i="3"/>
  <c r="DI972" i="3"/>
  <c r="DI973" i="3"/>
  <c r="DI974" i="3"/>
  <c r="DI975" i="3"/>
  <c r="DI976" i="3"/>
  <c r="DI977" i="3"/>
  <c r="DI978" i="3"/>
  <c r="DI979" i="3"/>
  <c r="DI980" i="3"/>
  <c r="DI981" i="3"/>
  <c r="DI982" i="3"/>
  <c r="DI983" i="3"/>
  <c r="DI984" i="3"/>
  <c r="DI985" i="3"/>
  <c r="DI986" i="3"/>
  <c r="DI987" i="3"/>
  <c r="DI988" i="3"/>
  <c r="DI989" i="3"/>
  <c r="DI990" i="3"/>
  <c r="DI991" i="3"/>
  <c r="DI992" i="3"/>
  <c r="DI993" i="3"/>
  <c r="DI994" i="3"/>
  <c r="DI995" i="3"/>
  <c r="DI996" i="3"/>
  <c r="DI997" i="3"/>
  <c r="DI998" i="3"/>
  <c r="DI999" i="3"/>
  <c r="DI1000" i="3"/>
  <c r="DI1001" i="3"/>
  <c r="DI1002" i="3"/>
  <c r="DI1003" i="3"/>
  <c r="DI1004" i="3"/>
  <c r="DI1005" i="3"/>
  <c r="DI1006" i="3"/>
  <c r="DI1007" i="3"/>
  <c r="DI1008" i="3"/>
  <c r="DI1009" i="3"/>
  <c r="DI1010" i="3"/>
  <c r="DI1011" i="3"/>
  <c r="DI1012" i="3"/>
  <c r="DI1013" i="3"/>
  <c r="DI1014" i="3"/>
  <c r="DI1015" i="3"/>
  <c r="DI1016" i="3"/>
  <c r="DI1017" i="3"/>
  <c r="DI1018" i="3"/>
  <c r="DI1019" i="3"/>
  <c r="DI1020" i="3"/>
  <c r="DI1021" i="3"/>
  <c r="DI1022" i="3"/>
  <c r="DI1023" i="3"/>
  <c r="DI1024" i="3"/>
  <c r="DI1025" i="3"/>
  <c r="DI1026" i="3"/>
  <c r="DI1027" i="3"/>
  <c r="DI1028" i="3"/>
  <c r="DI1029" i="3"/>
  <c r="DI1030" i="3"/>
  <c r="DI1031" i="3"/>
  <c r="DI1032" i="3"/>
  <c r="DI1033" i="3"/>
  <c r="DI1034" i="3"/>
  <c r="DI1035" i="3"/>
  <c r="DI1036" i="3"/>
  <c r="DI1037" i="3"/>
  <c r="DI1038" i="3"/>
  <c r="DI1039" i="3"/>
  <c r="DI1040" i="3"/>
  <c r="DI1041" i="3"/>
  <c r="DI1042" i="3"/>
  <c r="DI1043" i="3"/>
  <c r="DI1044" i="3"/>
  <c r="DI1045" i="3"/>
  <c r="DI1046" i="3"/>
  <c r="DI1047" i="3"/>
  <c r="DI1048" i="3"/>
  <c r="DI1049" i="3"/>
  <c r="DI1050" i="3"/>
  <c r="DI1051" i="3"/>
  <c r="DI1052" i="3"/>
  <c r="DI1053" i="3"/>
  <c r="DI1054" i="3"/>
  <c r="DI1055" i="3"/>
  <c r="DI1056" i="3"/>
  <c r="DI1057" i="3"/>
  <c r="DI1058" i="3"/>
  <c r="DI1059" i="3"/>
  <c r="DI1060" i="3"/>
  <c r="DI1061" i="3"/>
  <c r="DI1062" i="3"/>
  <c r="DI1063" i="3"/>
  <c r="DI1064" i="3"/>
  <c r="DI1065" i="3"/>
  <c r="DI1066" i="3"/>
  <c r="DI1067" i="3"/>
  <c r="DI1068" i="3"/>
  <c r="DI1069" i="3"/>
  <c r="DI1070" i="3"/>
  <c r="DI1071" i="3"/>
  <c r="DI1072" i="3"/>
  <c r="DI1073" i="3"/>
  <c r="DI1074" i="3"/>
  <c r="DI1075" i="3"/>
  <c r="DI1076" i="3"/>
  <c r="DI1077" i="3"/>
  <c r="DI1078" i="3"/>
  <c r="DI1079" i="3"/>
  <c r="DI1080" i="3"/>
  <c r="DI1081" i="3"/>
  <c r="DI1082" i="3"/>
  <c r="DI1083" i="3"/>
  <c r="DI1084" i="3"/>
  <c r="DI1085" i="3"/>
  <c r="DI1086" i="3"/>
  <c r="DI1087" i="3"/>
  <c r="DI1088" i="3"/>
  <c r="DI1089" i="3"/>
  <c r="DI1090" i="3"/>
  <c r="DI1091" i="3"/>
  <c r="DI1092" i="3"/>
  <c r="DI1093" i="3"/>
  <c r="DI1094" i="3"/>
  <c r="DI1095" i="3"/>
  <c r="DI1096" i="3"/>
  <c r="DI1097" i="3"/>
  <c r="DI1098" i="3"/>
  <c r="DI1099" i="3"/>
  <c r="DI1100" i="3"/>
  <c r="DI1101" i="3"/>
  <c r="DI1102" i="3"/>
  <c r="DI1103" i="3"/>
  <c r="DI1104" i="3"/>
  <c r="DI1105" i="3"/>
  <c r="DI1106" i="3"/>
  <c r="DI1107" i="3"/>
  <c r="DI1108" i="3"/>
  <c r="DI1109" i="3"/>
  <c r="DI1110" i="3"/>
  <c r="DI1111" i="3"/>
  <c r="DI1112" i="3"/>
  <c r="DI1113" i="3"/>
  <c r="DI1114" i="3"/>
  <c r="DI1115" i="3"/>
  <c r="DI1116" i="3"/>
  <c r="DI1117" i="3"/>
  <c r="DI1118" i="3"/>
  <c r="DI1119" i="3"/>
  <c r="DI1120" i="3"/>
  <c r="DI1121" i="3"/>
  <c r="DI1122" i="3"/>
  <c r="DI1123" i="3"/>
  <c r="DI1124" i="3"/>
  <c r="DI1125" i="3"/>
  <c r="DI1126" i="3"/>
  <c r="DI1127" i="3"/>
  <c r="DI1128" i="3"/>
  <c r="DI1129" i="3"/>
  <c r="DI1130" i="3"/>
  <c r="DI1131" i="3"/>
  <c r="DI1132" i="3"/>
  <c r="DI1133" i="3"/>
  <c r="DI1134" i="3"/>
  <c r="DI1135" i="3"/>
  <c r="DI1136" i="3"/>
  <c r="DI1137" i="3"/>
  <c r="DI1138" i="3"/>
  <c r="DI1139" i="3"/>
  <c r="DI1140" i="3"/>
  <c r="DI1141" i="3"/>
  <c r="DI1142" i="3"/>
  <c r="DI1143" i="3"/>
  <c r="DI1144" i="3"/>
  <c r="DI1145" i="3"/>
  <c r="DI1146" i="3"/>
  <c r="DI1147" i="3"/>
  <c r="DI1148" i="3"/>
  <c r="DI1149" i="3"/>
  <c r="DI1150" i="3"/>
  <c r="DI1151" i="3"/>
  <c r="DI1152" i="3"/>
  <c r="DI1153" i="3"/>
  <c r="DI1154" i="3"/>
  <c r="DI1155" i="3"/>
  <c r="DI1156" i="3"/>
  <c r="DI1157" i="3"/>
  <c r="DI1158" i="3"/>
  <c r="DI1159" i="3"/>
  <c r="DI1160" i="3"/>
  <c r="DI1161" i="3"/>
  <c r="DI1162" i="3"/>
  <c r="DI1163" i="3"/>
  <c r="DI1164" i="3"/>
  <c r="DI1165" i="3"/>
  <c r="DI1166" i="3"/>
  <c r="DI1167" i="3"/>
  <c r="DI1168" i="3"/>
  <c r="DI1169" i="3"/>
  <c r="DI1170" i="3"/>
  <c r="DI1171" i="3"/>
  <c r="DI1172" i="3"/>
  <c r="DI1173" i="3"/>
  <c r="DI1174" i="3"/>
  <c r="DI1175" i="3"/>
  <c r="DI1176" i="3"/>
  <c r="DI1177" i="3"/>
  <c r="DI1178" i="3"/>
  <c r="DI1179" i="3"/>
  <c r="DI1180" i="3"/>
  <c r="DI1181" i="3"/>
  <c r="DI1182" i="3"/>
  <c r="DI1183" i="3"/>
  <c r="DI1184" i="3"/>
  <c r="DI1185" i="3"/>
  <c r="DI1186" i="3"/>
  <c r="DI1187" i="3"/>
  <c r="DI1188" i="3"/>
  <c r="DI1189" i="3"/>
  <c r="DI1190" i="3"/>
  <c r="DI1191" i="3"/>
  <c r="DI1192" i="3"/>
  <c r="DI1193" i="3"/>
  <c r="DI1194" i="3"/>
  <c r="DI1195" i="3"/>
  <c r="DI1196" i="3"/>
  <c r="DI1197" i="3"/>
  <c r="DI1198" i="3"/>
  <c r="DI1199" i="3"/>
  <c r="DI1200" i="3"/>
  <c r="DI1201" i="3"/>
  <c r="DI1202" i="3"/>
  <c r="DI1203" i="3"/>
  <c r="DI1204" i="3"/>
  <c r="DI1205" i="3"/>
  <c r="DI1206" i="3"/>
  <c r="DI1207" i="3"/>
  <c r="DI1208" i="3"/>
  <c r="DI1209" i="3"/>
  <c r="DI1210" i="3"/>
  <c r="DI1211" i="3"/>
  <c r="DI1212" i="3"/>
  <c r="DI1213" i="3"/>
  <c r="DI1214" i="3"/>
  <c r="DI1215" i="3"/>
  <c r="DI1216" i="3"/>
  <c r="DI1217" i="3"/>
  <c r="DI1218" i="3"/>
  <c r="DI1219" i="3"/>
  <c r="DI1220" i="3"/>
  <c r="DI1221" i="3"/>
  <c r="DI1222" i="3"/>
  <c r="DI1223" i="3"/>
  <c r="DI1224" i="3"/>
  <c r="DI1225" i="3"/>
  <c r="DI1226" i="3"/>
  <c r="DI1227" i="3"/>
  <c r="DI1228" i="3"/>
  <c r="DI1229" i="3"/>
  <c r="DI1230" i="3"/>
  <c r="DI1231" i="3"/>
  <c r="DI1232" i="3"/>
  <c r="DI1233" i="3"/>
  <c r="DI1234" i="3"/>
  <c r="DI1235" i="3"/>
  <c r="DI1236" i="3"/>
  <c r="DI1237" i="3"/>
  <c r="DI1238" i="3"/>
  <c r="DI1239" i="3"/>
  <c r="DI1240" i="3"/>
  <c r="DI1241" i="3"/>
  <c r="DI1242" i="3"/>
  <c r="DI1243" i="3"/>
  <c r="DI1244" i="3"/>
  <c r="DI1245" i="3"/>
  <c r="DI1246" i="3"/>
  <c r="DI1247" i="3"/>
  <c r="DI1248" i="3"/>
  <c r="DI1249" i="3"/>
  <c r="DI1250" i="3"/>
  <c r="DI1251" i="3"/>
  <c r="DI1252" i="3"/>
  <c r="DI1253" i="3"/>
  <c r="DI1254" i="3"/>
  <c r="DI1255" i="3"/>
  <c r="DI1256" i="3"/>
  <c r="DI1257" i="3"/>
  <c r="DI1258" i="3"/>
  <c r="DI1259" i="3"/>
  <c r="DI1260" i="3"/>
  <c r="DI1261" i="3"/>
  <c r="DI1262" i="3"/>
  <c r="DI1263" i="3"/>
  <c r="DI1264" i="3"/>
  <c r="DI1265" i="3"/>
  <c r="DI1266" i="3"/>
  <c r="DI1267" i="3"/>
  <c r="DI1268" i="3"/>
  <c r="DI1269" i="3"/>
  <c r="DI1270" i="3"/>
  <c r="DI1271" i="3"/>
  <c r="DI1272" i="3"/>
  <c r="DI1273" i="3"/>
  <c r="DI1274" i="3"/>
  <c r="DI1275" i="3"/>
  <c r="DI1276" i="3"/>
  <c r="DI1277" i="3"/>
  <c r="DI1278" i="3"/>
  <c r="DI1279" i="3"/>
  <c r="DI1280" i="3"/>
  <c r="DI1281" i="3"/>
  <c r="DI1282" i="3"/>
  <c r="DI1283" i="3"/>
  <c r="DI1284" i="3"/>
  <c r="DI1285" i="3"/>
  <c r="DI1286" i="3"/>
  <c r="DI1287" i="3"/>
  <c r="DI1288" i="3"/>
  <c r="DI1289" i="3"/>
  <c r="DI1290" i="3"/>
  <c r="DI1291" i="3"/>
  <c r="DI1292" i="3"/>
  <c r="DI1293" i="3"/>
  <c r="DI1294" i="3"/>
  <c r="DI1295" i="3"/>
  <c r="DI1296" i="3"/>
  <c r="DI1297" i="3"/>
  <c r="DI1298" i="3"/>
  <c r="DI1299" i="3"/>
  <c r="DI1300" i="3"/>
  <c r="DI1301" i="3"/>
  <c r="DI1302" i="3"/>
  <c r="DI1303" i="3"/>
  <c r="DI1304" i="3"/>
  <c r="DI1305" i="3"/>
  <c r="DI1306" i="3"/>
  <c r="DI1307" i="3"/>
  <c r="DI1308" i="3"/>
  <c r="DI1309" i="3"/>
  <c r="DI1310" i="3"/>
  <c r="DI1311" i="3"/>
  <c r="DI1312" i="3"/>
  <c r="DI1313" i="3"/>
  <c r="DI1314" i="3"/>
  <c r="DI1315" i="3"/>
  <c r="DI1316" i="3"/>
  <c r="DI1317" i="3"/>
  <c r="DI1318" i="3"/>
  <c r="DI1319" i="3"/>
  <c r="DI1320" i="3"/>
  <c r="DI1321" i="3"/>
  <c r="DI1322" i="3"/>
  <c r="DI1323" i="3"/>
  <c r="DI1324" i="3"/>
  <c r="DI1325" i="3"/>
  <c r="DI1326" i="3"/>
  <c r="DI1327" i="3"/>
  <c r="DI1328" i="3"/>
  <c r="DI1329" i="3"/>
  <c r="DI1330" i="3"/>
  <c r="DI1331" i="3"/>
  <c r="DI1332" i="3"/>
  <c r="DI1333" i="3"/>
  <c r="DI1334" i="3"/>
  <c r="DI1335" i="3"/>
  <c r="DI1336" i="3"/>
  <c r="DI1337" i="3"/>
  <c r="DI1338" i="3"/>
  <c r="DI1339" i="3"/>
  <c r="DI1340" i="3"/>
  <c r="DI1341" i="3"/>
  <c r="DI1342" i="3"/>
  <c r="DI1343" i="3"/>
  <c r="DI1344" i="3"/>
  <c r="DI1345" i="3"/>
  <c r="DI1346" i="3"/>
  <c r="DI1347" i="3"/>
  <c r="DI1348" i="3"/>
  <c r="DI1349" i="3"/>
  <c r="DI1350" i="3"/>
  <c r="DI1351" i="3"/>
  <c r="DI1352" i="3"/>
  <c r="DI1353" i="3"/>
  <c r="DI1354" i="3"/>
  <c r="DI1355" i="3"/>
  <c r="DI1356" i="3"/>
  <c r="DI1357" i="3"/>
  <c r="DI1358" i="3"/>
  <c r="DI1359" i="3"/>
  <c r="DI1360" i="3"/>
  <c r="DI1361" i="3"/>
  <c r="DI1362" i="3"/>
  <c r="DI1363" i="3"/>
  <c r="DI1364" i="3"/>
  <c r="DI1365" i="3"/>
  <c r="DI1366" i="3"/>
  <c r="DI1367" i="3"/>
  <c r="DI1368" i="3"/>
  <c r="DI1369" i="3"/>
  <c r="DI1370" i="3"/>
  <c r="DI1371" i="3"/>
  <c r="DI1372" i="3"/>
  <c r="DI1373" i="3"/>
  <c r="DI1374" i="3"/>
  <c r="DI1375" i="3"/>
  <c r="DI1376" i="3"/>
  <c r="DI1377" i="3"/>
  <c r="DI1378" i="3"/>
  <c r="DI1379" i="3"/>
  <c r="DI1380" i="3"/>
  <c r="DI1381" i="3"/>
  <c r="DI1382" i="3"/>
  <c r="DI1383" i="3"/>
  <c r="DI1384" i="3"/>
  <c r="DI1385" i="3"/>
  <c r="DI1386" i="3"/>
  <c r="DI1387" i="3"/>
  <c r="DI1388" i="3"/>
  <c r="DI1389" i="3"/>
  <c r="DI1390" i="3"/>
  <c r="DI1391" i="3"/>
  <c r="DI1392" i="3"/>
  <c r="DI1393" i="3"/>
  <c r="DI1394" i="3"/>
  <c r="DI1395" i="3"/>
  <c r="DI1396" i="3"/>
  <c r="DI1397" i="3"/>
  <c r="DI1398" i="3"/>
  <c r="DI1399" i="3"/>
  <c r="DI1400" i="3"/>
  <c r="DI1401" i="3"/>
  <c r="DI1402" i="3"/>
  <c r="DI1403" i="3"/>
  <c r="DI1404" i="3"/>
  <c r="DI1405" i="3"/>
  <c r="DI1406" i="3"/>
  <c r="DI1407" i="3"/>
  <c r="DI1408" i="3"/>
  <c r="DI1409" i="3"/>
  <c r="DI1410" i="3"/>
  <c r="DI1411" i="3"/>
  <c r="DI1412" i="3"/>
  <c r="DI1413" i="3"/>
  <c r="DI1414" i="3"/>
  <c r="DI1415" i="3"/>
  <c r="DI1416" i="3"/>
  <c r="DI1417" i="3"/>
  <c r="DI1418" i="3"/>
  <c r="DI1419" i="3"/>
  <c r="DI1420" i="3"/>
  <c r="DI1421" i="3"/>
  <c r="DI1422" i="3"/>
  <c r="DI1423" i="3"/>
  <c r="DI1424" i="3"/>
  <c r="DI1425" i="3"/>
  <c r="DI1426" i="3"/>
  <c r="DI1427" i="3"/>
  <c r="DI1428" i="3"/>
  <c r="DI1429" i="3"/>
  <c r="DI1430" i="3"/>
  <c r="DI1431" i="3"/>
  <c r="DI1432" i="3"/>
  <c r="DI1433" i="3"/>
  <c r="DI1434" i="3"/>
  <c r="DI1435" i="3"/>
  <c r="DI1436" i="3"/>
  <c r="DI1437" i="3"/>
  <c r="DI1438" i="3"/>
  <c r="DI1439" i="3"/>
  <c r="DI1440" i="3"/>
  <c r="DI1441" i="3"/>
  <c r="DI1442" i="3"/>
  <c r="DI1443" i="3"/>
  <c r="DI1444" i="3"/>
  <c r="DI1445" i="3"/>
  <c r="DI1446" i="3"/>
  <c r="DI1447" i="3"/>
  <c r="DI1448" i="3"/>
  <c r="DI1449" i="3"/>
  <c r="DI1450" i="3"/>
  <c r="DI1451" i="3"/>
  <c r="DI1452" i="3"/>
  <c r="DI1453" i="3"/>
  <c r="DI1454" i="3"/>
  <c r="DI1455" i="3"/>
  <c r="DI1456" i="3"/>
  <c r="DI1457" i="3"/>
  <c r="DI1458" i="3"/>
  <c r="DI1459" i="3"/>
  <c r="DI1460" i="3"/>
  <c r="DI1461" i="3"/>
  <c r="DI1462" i="3"/>
  <c r="DI1463" i="3"/>
  <c r="DI1464" i="3"/>
  <c r="DI1465" i="3"/>
  <c r="DI1466" i="3"/>
  <c r="DI1467" i="3"/>
  <c r="DI1468" i="3"/>
  <c r="DI1469" i="3"/>
  <c r="DI1470" i="3"/>
  <c r="DI1471" i="3"/>
  <c r="DI1472" i="3"/>
  <c r="DI1473" i="3"/>
  <c r="DI1474" i="3"/>
  <c r="DI1475" i="3"/>
  <c r="DI1476" i="3"/>
  <c r="DI1477" i="3"/>
  <c r="DI1478" i="3"/>
  <c r="DI1479" i="3"/>
  <c r="DI1480" i="3"/>
  <c r="DI1481" i="3"/>
  <c r="DI1482" i="3"/>
  <c r="DI1483" i="3"/>
  <c r="DI1484" i="3"/>
  <c r="DI1485" i="3"/>
  <c r="DI1486" i="3"/>
  <c r="DI1487" i="3"/>
  <c r="DI1488" i="3"/>
  <c r="DI1489" i="3"/>
  <c r="DI1490" i="3"/>
  <c r="DI1491" i="3"/>
  <c r="DI1492" i="3"/>
  <c r="DI1493" i="3"/>
  <c r="DI2" i="3"/>
  <c r="DK21" i="3"/>
  <c r="DK40" i="3"/>
  <c r="DM40" i="3" s="1"/>
  <c r="DK78" i="3"/>
  <c r="DK97" i="3"/>
  <c r="DK154" i="3"/>
  <c r="DK173" i="3"/>
  <c r="DK230" i="3"/>
  <c r="DK249" i="3"/>
  <c r="DK268" i="3"/>
  <c r="DK306" i="3"/>
  <c r="DK325" i="3"/>
  <c r="DM325" i="3" s="1"/>
  <c r="DK344" i="3"/>
  <c r="DK382" i="3"/>
  <c r="DK401" i="3"/>
  <c r="DK458" i="3"/>
  <c r="DK477" i="3"/>
  <c r="DK534" i="3"/>
  <c r="DK553" i="3"/>
  <c r="DK572" i="3"/>
  <c r="DK610" i="3"/>
  <c r="DK629" i="3"/>
  <c r="DK648" i="3"/>
  <c r="DK686" i="3"/>
  <c r="DK705" i="3"/>
  <c r="DK762" i="3"/>
  <c r="DK781" i="3"/>
  <c r="DK838" i="3"/>
  <c r="DK857" i="3"/>
  <c r="DK876" i="3"/>
  <c r="DK914" i="3"/>
  <c r="DK933" i="3"/>
  <c r="DK952" i="3"/>
  <c r="DK990" i="3"/>
  <c r="DK1009" i="3"/>
  <c r="DK1066" i="3"/>
  <c r="DK1085" i="3"/>
  <c r="DK1142" i="3"/>
  <c r="DK1161" i="3"/>
  <c r="DK1180" i="3"/>
  <c r="DK1218" i="3"/>
  <c r="DK1237" i="3"/>
  <c r="DK1256" i="3"/>
  <c r="DK1294" i="3"/>
  <c r="DK1313" i="3"/>
  <c r="DK1370" i="3"/>
  <c r="DK1389" i="3"/>
  <c r="DK1446" i="3"/>
  <c r="DK1465" i="3"/>
  <c r="DK1484" i="3"/>
  <c r="DL21" i="3"/>
  <c r="DL78" i="3"/>
  <c r="DL97" i="3"/>
  <c r="DL154" i="3"/>
  <c r="DL173" i="3"/>
  <c r="DL230" i="3"/>
  <c r="DL249" i="3"/>
  <c r="DL268" i="3"/>
  <c r="DL306" i="3"/>
  <c r="DL325" i="3"/>
  <c r="DL382" i="3"/>
  <c r="DL401" i="3"/>
  <c r="DL458" i="3"/>
  <c r="DL477" i="3"/>
  <c r="DL534" i="3"/>
  <c r="DL610" i="3"/>
  <c r="DL629" i="3"/>
  <c r="DL686" i="3"/>
  <c r="DL705" i="3"/>
  <c r="DL762" i="3"/>
  <c r="DL781" i="3"/>
  <c r="DL838" i="3"/>
  <c r="DL857" i="3"/>
  <c r="DL876" i="3"/>
  <c r="DL914" i="3"/>
  <c r="DL933" i="3"/>
  <c r="DL990" i="3"/>
  <c r="DL1009" i="3"/>
  <c r="DL1066" i="3"/>
  <c r="DL1085" i="3"/>
  <c r="DL1104" i="3"/>
  <c r="DL1142" i="3"/>
  <c r="DL1161" i="3"/>
  <c r="DL1180" i="3"/>
  <c r="DL1218" i="3"/>
  <c r="DL1237" i="3"/>
  <c r="DL1294" i="3"/>
  <c r="DL1313" i="3"/>
  <c r="DL1370" i="3"/>
  <c r="DL1389" i="3"/>
  <c r="DL1465" i="3"/>
  <c r="DL1598" i="3"/>
  <c r="DL1617" i="3"/>
  <c r="DL1674" i="3"/>
  <c r="DL1693" i="3"/>
  <c r="DL1712" i="3"/>
  <c r="DL1750" i="3"/>
  <c r="DL1769" i="3"/>
  <c r="DL1788" i="3"/>
  <c r="DL1826" i="3"/>
  <c r="DL1845" i="3"/>
  <c r="DL1902" i="3"/>
  <c r="DL1921" i="3"/>
  <c r="DL1978" i="3"/>
  <c r="DL1997" i="3"/>
  <c r="DL2016" i="3"/>
  <c r="DL2054" i="3"/>
  <c r="DL2073" i="3"/>
  <c r="DL2092" i="3"/>
  <c r="DL2130" i="3"/>
  <c r="DL2149" i="3"/>
  <c r="DL2206" i="3"/>
  <c r="DL2225" i="3"/>
  <c r="DL2282" i="3"/>
  <c r="DL2301" i="3"/>
  <c r="DL2320" i="3"/>
  <c r="DL2358" i="3"/>
  <c r="DL2377" i="3"/>
  <c r="DL2396" i="3"/>
  <c r="DL2434" i="3"/>
  <c r="DL2453" i="3"/>
  <c r="DL2510" i="3"/>
  <c r="DL2529" i="3"/>
  <c r="DL2586" i="3"/>
  <c r="DL2605" i="3"/>
  <c r="DL2624" i="3"/>
  <c r="DL2662" i="3"/>
  <c r="DL2681" i="3"/>
  <c r="DL2700" i="3"/>
  <c r="DL2738" i="3"/>
  <c r="DL2757" i="3"/>
  <c r="DL2814" i="3"/>
  <c r="DL2833" i="3"/>
  <c r="DL2890" i="3"/>
  <c r="DL2909" i="3"/>
  <c r="DL2928" i="3"/>
  <c r="DL2966" i="3"/>
  <c r="DL2985" i="3"/>
  <c r="DL3004" i="3"/>
  <c r="DL3042" i="3"/>
  <c r="DL3061" i="3"/>
  <c r="DL3118" i="3"/>
  <c r="DL3137" i="3"/>
  <c r="DL3194" i="3"/>
  <c r="DL3213" i="3"/>
  <c r="DL3232" i="3"/>
  <c r="DL3270" i="3"/>
  <c r="DL3289" i="3"/>
  <c r="DL3308" i="3"/>
  <c r="DL3346" i="3"/>
  <c r="DL3365" i="3"/>
  <c r="DL3422" i="3"/>
  <c r="DL3441" i="3"/>
  <c r="DL3517" i="3"/>
  <c r="DL3536" i="3"/>
  <c r="DL3574" i="3"/>
  <c r="DL3593" i="3"/>
  <c r="DL3612" i="3"/>
  <c r="DL3650" i="3"/>
  <c r="DL3669" i="3"/>
  <c r="DL3726" i="3"/>
  <c r="DL3745" i="3"/>
  <c r="DL3802" i="3"/>
  <c r="DL3821" i="3"/>
  <c r="DL3840" i="3"/>
  <c r="DL3878" i="3"/>
  <c r="DL3897" i="3"/>
  <c r="DL3916" i="3"/>
  <c r="DL3954" i="3"/>
  <c r="DL3973" i="3"/>
  <c r="DL4030" i="3"/>
  <c r="DL4049" i="3"/>
  <c r="DL4106" i="3"/>
  <c r="DL4125" i="3"/>
  <c r="DL4144" i="3"/>
  <c r="DL4182" i="3"/>
  <c r="DL4201" i="3"/>
  <c r="DL4220" i="3"/>
  <c r="DL4258" i="3"/>
  <c r="DL4277" i="3"/>
  <c r="H3" i="2"/>
  <c r="H4" i="2"/>
  <c r="H5" i="2"/>
  <c r="H6" i="2"/>
  <c r="H7" i="2"/>
  <c r="H8" i="2"/>
  <c r="H9" i="2"/>
  <c r="H10" i="2"/>
  <c r="H11" i="2"/>
  <c r="I11" i="2"/>
  <c r="H12" i="2"/>
  <c r="H13" i="2"/>
  <c r="H14" i="2"/>
  <c r="H15" i="2"/>
  <c r="H16" i="2"/>
  <c r="H17" i="2"/>
  <c r="H18" i="2"/>
  <c r="H19" i="2"/>
  <c r="H20" i="2"/>
  <c r="H21" i="2"/>
  <c r="H22" i="2"/>
  <c r="H23" i="2"/>
  <c r="I23" i="2"/>
  <c r="H24" i="2"/>
  <c r="H25" i="2"/>
  <c r="H26" i="2"/>
  <c r="I26" i="2"/>
  <c r="H27" i="2"/>
  <c r="H28" i="2"/>
  <c r="H29" i="2"/>
  <c r="H30" i="2"/>
  <c r="H31" i="2"/>
  <c r="H32" i="2"/>
  <c r="I32" i="2"/>
  <c r="H33" i="2"/>
  <c r="H34" i="2"/>
  <c r="H35" i="2"/>
  <c r="I35" i="2"/>
  <c r="H36" i="2"/>
  <c r="H37" i="2"/>
  <c r="H38" i="2"/>
  <c r="I38" i="2"/>
  <c r="H39" i="2"/>
  <c r="H40" i="2"/>
  <c r="H41" i="2"/>
  <c r="H42" i="2"/>
  <c r="I42" i="2"/>
  <c r="H43" i="2"/>
  <c r="H44" i="2"/>
  <c r="H45" i="2"/>
  <c r="I45" i="2"/>
  <c r="H46" i="2"/>
  <c r="H47" i="2"/>
  <c r="H48" i="2"/>
  <c r="I48" i="2"/>
  <c r="H49" i="2"/>
  <c r="H50" i="2"/>
  <c r="H51" i="2"/>
  <c r="H52" i="2"/>
  <c r="H53" i="2"/>
  <c r="H54" i="2"/>
  <c r="H55" i="2"/>
  <c r="H56" i="2"/>
  <c r="H57" i="2"/>
  <c r="H58" i="2"/>
  <c r="H59" i="2"/>
  <c r="H60" i="2"/>
  <c r="H61" i="2"/>
  <c r="H62" i="2"/>
  <c r="H63" i="2"/>
  <c r="H64" i="2"/>
  <c r="H65" i="2"/>
  <c r="H66" i="2"/>
  <c r="H67" i="2"/>
  <c r="DK1238" i="3" s="1"/>
  <c r="H68" i="2"/>
  <c r="H69" i="2"/>
  <c r="H70" i="2"/>
  <c r="H71" i="2"/>
  <c r="DK1314" i="3" s="1"/>
  <c r="I71" i="2"/>
  <c r="H72" i="2"/>
  <c r="H73" i="2"/>
  <c r="H74" i="2"/>
  <c r="H75" i="2"/>
  <c r="DK1390" i="3" s="1"/>
  <c r="H76" i="2"/>
  <c r="H77" i="2"/>
  <c r="DK1428" i="3" s="1"/>
  <c r="H78" i="2"/>
  <c r="H79" i="2"/>
  <c r="DK1466" i="3" s="1"/>
  <c r="H80" i="2"/>
  <c r="H81" i="2"/>
  <c r="DK1504" i="3" s="1"/>
  <c r="H82" i="2"/>
  <c r="H83" i="2"/>
  <c r="DK1542" i="3" s="1"/>
  <c r="H84" i="2"/>
  <c r="H85" i="2"/>
  <c r="H86" i="2"/>
  <c r="I86" i="2"/>
  <c r="H87" i="2"/>
  <c r="DK1618" i="3" s="1"/>
  <c r="H88" i="2"/>
  <c r="I88" i="2"/>
  <c r="H89" i="2"/>
  <c r="H90" i="2"/>
  <c r="I90" i="2"/>
  <c r="H91" i="2"/>
  <c r="DK1694" i="3" s="1"/>
  <c r="H92" i="2"/>
  <c r="H93" i="2"/>
  <c r="H94" i="2"/>
  <c r="I94" i="2"/>
  <c r="H95" i="2"/>
  <c r="DK1770" i="3" s="1"/>
  <c r="H96" i="2"/>
  <c r="I96" i="2"/>
  <c r="H97" i="2"/>
  <c r="H98" i="2"/>
  <c r="H99" i="2"/>
  <c r="DK1846" i="3" s="1"/>
  <c r="H100" i="2"/>
  <c r="H101" i="2"/>
  <c r="DK1884" i="3" s="1"/>
  <c r="H102" i="2"/>
  <c r="H103" i="2"/>
  <c r="DK1922" i="3" s="1"/>
  <c r="I103" i="2"/>
  <c r="H104" i="2"/>
  <c r="H105" i="2"/>
  <c r="DK1960" i="3" s="1"/>
  <c r="H106" i="2"/>
  <c r="H107" i="2"/>
  <c r="DK1998" i="3" s="1"/>
  <c r="H108" i="2"/>
  <c r="H109" i="2"/>
  <c r="DK2036" i="3" s="1"/>
  <c r="H110" i="2"/>
  <c r="H111" i="2"/>
  <c r="H112" i="2"/>
  <c r="DK2093" i="3" s="1"/>
  <c r="H113" i="2"/>
  <c r="DK2112" i="3" s="1"/>
  <c r="H114" i="2"/>
  <c r="H115" i="2"/>
  <c r="DK2150" i="3" s="1"/>
  <c r="H116" i="2"/>
  <c r="DK2169" i="3" s="1"/>
  <c r="H117" i="2"/>
  <c r="DK2188" i="3" s="1"/>
  <c r="I117" i="2"/>
  <c r="H118" i="2"/>
  <c r="H119" i="2"/>
  <c r="DK2226" i="3" s="1"/>
  <c r="H120" i="2"/>
  <c r="DK2245" i="3" s="1"/>
  <c r="H121" i="2"/>
  <c r="DK2264" i="3" s="1"/>
  <c r="H122" i="2"/>
  <c r="H123" i="2"/>
  <c r="DK2302" i="3" s="1"/>
  <c r="I123" i="2"/>
  <c r="H124" i="2"/>
  <c r="DK2321" i="3" s="1"/>
  <c r="H125" i="2"/>
  <c r="DK2340" i="3" s="1"/>
  <c r="H126" i="2"/>
  <c r="H127" i="2"/>
  <c r="DK2378" i="3" s="1"/>
  <c r="I127" i="2"/>
  <c r="H128" i="2"/>
  <c r="DK2397" i="3" s="1"/>
  <c r="H129" i="2"/>
  <c r="H130" i="2"/>
  <c r="I130" i="2"/>
  <c r="H131" i="2"/>
  <c r="DK2454" i="3" s="1"/>
  <c r="H132" i="2"/>
  <c r="H133" i="2"/>
  <c r="DK2492" i="3" s="1"/>
  <c r="H134" i="2"/>
  <c r="H135" i="2"/>
  <c r="DK2530" i="3" s="1"/>
  <c r="I135" i="2"/>
  <c r="H136" i="2"/>
  <c r="DK2549" i="3" s="1"/>
  <c r="H137" i="2"/>
  <c r="H138" i="2"/>
  <c r="I138" i="2"/>
  <c r="H139" i="2"/>
  <c r="DK2606" i="3" s="1"/>
  <c r="H140" i="2"/>
  <c r="H141" i="2"/>
  <c r="DK2644" i="3" s="1"/>
  <c r="H142" i="2"/>
  <c r="H143" i="2"/>
  <c r="DK2682" i="3" s="1"/>
  <c r="I143" i="2"/>
  <c r="H144" i="2"/>
  <c r="DK2701" i="3" s="1"/>
  <c r="H145" i="2"/>
  <c r="DK2720" i="3" s="1"/>
  <c r="I145" i="2"/>
  <c r="H146" i="2"/>
  <c r="H147" i="2"/>
  <c r="H148" i="2"/>
  <c r="H149" i="2"/>
  <c r="H150" i="2"/>
  <c r="H151" i="2"/>
  <c r="H152" i="2"/>
  <c r="DK2853" i="3" s="1"/>
  <c r="H153" i="2"/>
  <c r="H154" i="2"/>
  <c r="DK2891" i="3" s="1"/>
  <c r="I154" i="2"/>
  <c r="H155" i="2"/>
  <c r="H156" i="2"/>
  <c r="DK2929" i="3" s="1"/>
  <c r="H157" i="2"/>
  <c r="H158" i="2"/>
  <c r="DK2967" i="3" s="1"/>
  <c r="H159" i="2"/>
  <c r="H160" i="2"/>
  <c r="DK3005" i="3" s="1"/>
  <c r="I160" i="2"/>
  <c r="H161" i="2"/>
  <c r="H162" i="2"/>
  <c r="DK3043" i="3" s="1"/>
  <c r="H163" i="2"/>
  <c r="H164" i="2"/>
  <c r="H165" i="2"/>
  <c r="H166" i="2"/>
  <c r="DK3119" i="3" s="1"/>
  <c r="I166" i="2"/>
  <c r="H167" i="2"/>
  <c r="H168" i="2"/>
  <c r="DK3157" i="3" s="1"/>
  <c r="H169" i="2"/>
  <c r="H170" i="2"/>
  <c r="DK3195" i="3" s="1"/>
  <c r="I170" i="2"/>
  <c r="H171" i="2"/>
  <c r="H172" i="2"/>
  <c r="DK3233" i="3" s="1"/>
  <c r="H173" i="2"/>
  <c r="H174" i="2"/>
  <c r="H175" i="2"/>
  <c r="H176" i="2"/>
  <c r="DK3309" i="3" s="1"/>
  <c r="H177" i="2"/>
  <c r="H178" i="2"/>
  <c r="DK3347" i="3" s="1"/>
  <c r="H179" i="2"/>
  <c r="H180" i="2"/>
  <c r="I180" i="2"/>
  <c r="H181" i="2"/>
  <c r="H182" i="2"/>
  <c r="H183" i="2"/>
  <c r="H184" i="2"/>
  <c r="H185" i="2"/>
  <c r="H186" i="2"/>
  <c r="H187" i="2"/>
  <c r="H188" i="2"/>
  <c r="I188" i="2"/>
  <c r="H189" i="2"/>
  <c r="H190" i="2"/>
  <c r="H191" i="2"/>
  <c r="H192" i="2"/>
  <c r="H193" i="2"/>
  <c r="H194" i="2"/>
  <c r="H195" i="2"/>
  <c r="H196" i="2"/>
  <c r="DK3689" i="3" s="1"/>
  <c r="H197" i="2"/>
  <c r="H198" i="2"/>
  <c r="H199" i="2"/>
  <c r="H200" i="2"/>
  <c r="H201" i="2"/>
  <c r="H202" i="2"/>
  <c r="I202" i="2"/>
  <c r="H203" i="2"/>
  <c r="H204" i="2"/>
  <c r="H205" i="2"/>
  <c r="H206" i="2"/>
  <c r="H207" i="2"/>
  <c r="H208" i="2"/>
  <c r="H209" i="2"/>
  <c r="H210" i="2"/>
  <c r="H211" i="2"/>
  <c r="H212" i="2"/>
  <c r="DK3993" i="3" s="1"/>
  <c r="DM3993" i="3" s="1"/>
  <c r="I212" i="2"/>
  <c r="H213" i="2"/>
  <c r="H214" i="2"/>
  <c r="H215" i="2"/>
  <c r="H216" i="2"/>
  <c r="H217" i="2"/>
  <c r="H218" i="2"/>
  <c r="H219" i="2"/>
  <c r="H220" i="2"/>
  <c r="I220" i="2"/>
  <c r="H221" i="2"/>
  <c r="H222" i="2"/>
  <c r="I222" i="2"/>
  <c r="J222" i="2"/>
  <c r="H223" i="2"/>
  <c r="H224" i="2"/>
  <c r="I224" i="2"/>
  <c r="J224" i="2"/>
  <c r="H225" i="2"/>
  <c r="H226" i="2"/>
  <c r="H227" i="2"/>
  <c r="H228" i="2"/>
  <c r="ER62" i="3" l="1"/>
  <c r="EQ62" i="3"/>
  <c r="EO62" i="3"/>
  <c r="EP62" i="3"/>
  <c r="DT53" i="3"/>
  <c r="DM249" i="3"/>
  <c r="DM97" i="3"/>
  <c r="DM401" i="3"/>
  <c r="DM173" i="3"/>
  <c r="DM21" i="3"/>
  <c r="DM306" i="3"/>
  <c r="DM382" i="3"/>
  <c r="DM154" i="3"/>
  <c r="DM230" i="3"/>
  <c r="DM78" i="3"/>
  <c r="DM268" i="3"/>
  <c r="DM344" i="3"/>
  <c r="DM1492" i="3"/>
  <c r="DM1488" i="3"/>
  <c r="DM1484" i="3"/>
  <c r="DM1480" i="3"/>
  <c r="DM1476" i="3"/>
  <c r="DM1472" i="3"/>
  <c r="DM1468" i="3"/>
  <c r="DM1464" i="3"/>
  <c r="DM1460" i="3"/>
  <c r="DM1456" i="3"/>
  <c r="DM1452" i="3"/>
  <c r="DM1448" i="3"/>
  <c r="DM1428" i="3"/>
  <c r="DM1408" i="3"/>
  <c r="DM1256" i="3"/>
  <c r="DM1180" i="3"/>
  <c r="DM1104" i="3"/>
  <c r="DM968" i="3"/>
  <c r="DM964" i="3"/>
  <c r="DM960" i="3"/>
  <c r="DM956" i="3"/>
  <c r="DM952" i="3"/>
  <c r="DM948" i="3"/>
  <c r="DM944" i="3"/>
  <c r="DM940" i="3"/>
  <c r="DM936" i="3"/>
  <c r="DM932" i="3"/>
  <c r="DM928" i="3"/>
  <c r="DM924" i="3"/>
  <c r="DM920" i="3"/>
  <c r="DM916" i="3"/>
  <c r="DM912" i="3"/>
  <c r="DM908" i="3"/>
  <c r="DM904" i="3"/>
  <c r="DM900" i="3"/>
  <c r="DM896" i="3"/>
  <c r="DM892" i="3"/>
  <c r="DM888" i="3"/>
  <c r="DM884" i="3"/>
  <c r="DM880" i="3"/>
  <c r="DM876" i="3"/>
  <c r="DM872" i="3"/>
  <c r="DM868" i="3"/>
  <c r="DM864" i="3"/>
  <c r="DM860" i="3"/>
  <c r="DM856" i="3"/>
  <c r="DM852" i="3"/>
  <c r="DM848" i="3"/>
  <c r="DM844" i="3"/>
  <c r="DM840" i="3"/>
  <c r="DM836" i="3"/>
  <c r="DM832" i="3"/>
  <c r="DM828" i="3"/>
  <c r="DM824" i="3"/>
  <c r="DM820" i="3"/>
  <c r="DM816" i="3"/>
  <c r="DM812" i="3"/>
  <c r="DM808" i="3"/>
  <c r="DM804" i="3"/>
  <c r="DM800" i="3"/>
  <c r="DM796" i="3"/>
  <c r="DM792" i="3"/>
  <c r="DM788" i="3"/>
  <c r="DM784" i="3"/>
  <c r="DM780" i="3"/>
  <c r="DM776" i="3"/>
  <c r="DM772" i="3"/>
  <c r="DM768" i="3"/>
  <c r="DM764" i="3"/>
  <c r="DM760" i="3"/>
  <c r="DM756" i="3"/>
  <c r="DM752" i="3"/>
  <c r="DM748" i="3"/>
  <c r="DM744" i="3"/>
  <c r="DM740" i="3"/>
  <c r="DM736" i="3"/>
  <c r="DM732" i="3"/>
  <c r="DM728" i="3"/>
  <c r="DM724" i="3"/>
  <c r="DM720" i="3"/>
  <c r="DM716" i="3"/>
  <c r="DM712" i="3"/>
  <c r="DM708" i="3"/>
  <c r="DM704" i="3"/>
  <c r="DM700" i="3"/>
  <c r="DM696" i="3"/>
  <c r="DM692" i="3"/>
  <c r="DM688" i="3"/>
  <c r="DM684" i="3"/>
  <c r="DM680" i="3"/>
  <c r="DM676" i="3"/>
  <c r="DM672" i="3"/>
  <c r="DM668" i="3"/>
  <c r="DM664" i="3"/>
  <c r="DM660" i="3"/>
  <c r="DM656" i="3"/>
  <c r="DM652" i="3"/>
  <c r="DM648" i="3"/>
  <c r="DM644" i="3"/>
  <c r="DM640" i="3"/>
  <c r="DM636" i="3"/>
  <c r="DM632" i="3"/>
  <c r="DM628" i="3"/>
  <c r="DM624" i="3"/>
  <c r="DM620" i="3"/>
  <c r="DM616" i="3"/>
  <c r="DM612" i="3"/>
  <c r="DM608" i="3"/>
  <c r="DM604" i="3"/>
  <c r="DM600" i="3"/>
  <c r="DM596" i="3"/>
  <c r="DM592" i="3"/>
  <c r="DM588" i="3"/>
  <c r="DM584" i="3"/>
  <c r="DM580" i="3"/>
  <c r="DM576" i="3"/>
  <c r="DM572" i="3"/>
  <c r="DM568" i="3"/>
  <c r="DM564" i="3"/>
  <c r="DM560" i="3"/>
  <c r="DM556" i="3"/>
  <c r="DM552" i="3"/>
  <c r="DM548" i="3"/>
  <c r="DM544" i="3"/>
  <c r="DM540" i="3"/>
  <c r="DM536" i="3"/>
  <c r="DM532" i="3"/>
  <c r="DM528" i="3"/>
  <c r="DM524" i="3"/>
  <c r="DM520" i="3"/>
  <c r="DM516" i="3"/>
  <c r="DM512" i="3"/>
  <c r="DM508" i="3"/>
  <c r="DM504" i="3"/>
  <c r="DM500" i="3"/>
  <c r="DM496" i="3"/>
  <c r="DM492" i="3"/>
  <c r="DM488" i="3"/>
  <c r="DM484" i="3"/>
  <c r="DM480" i="3"/>
  <c r="DM476" i="3"/>
  <c r="DM472" i="3"/>
  <c r="DM468" i="3"/>
  <c r="DM464" i="3"/>
  <c r="DM460" i="3"/>
  <c r="DM3761" i="3"/>
  <c r="DM3757" i="3"/>
  <c r="DM3753" i="3"/>
  <c r="DM3749" i="3"/>
  <c r="DM3742" i="3"/>
  <c r="DM3738" i="3"/>
  <c r="DM3734" i="3"/>
  <c r="DM3730" i="3"/>
  <c r="DM3723" i="3"/>
  <c r="DM3719" i="3"/>
  <c r="DM3715" i="3"/>
  <c r="DM3711" i="3"/>
  <c r="DM3707" i="3"/>
  <c r="DM3703" i="3"/>
  <c r="DM3699" i="3"/>
  <c r="DM3695" i="3"/>
  <c r="DM3691" i="3"/>
  <c r="DM3688" i="3"/>
  <c r="DM3684" i="3"/>
  <c r="DM3680" i="3"/>
  <c r="DM3676" i="3"/>
  <c r="DM3672" i="3"/>
  <c r="DM3668" i="3"/>
  <c r="DM3664" i="3"/>
  <c r="DM3660" i="3"/>
  <c r="DM3656" i="3"/>
  <c r="DM3652" i="3"/>
  <c r="DM3649" i="3"/>
  <c r="DM3645" i="3"/>
  <c r="DM3641" i="3"/>
  <c r="DM3637" i="3"/>
  <c r="DM3633" i="3"/>
  <c r="DM3625" i="3"/>
  <c r="DM3605" i="3"/>
  <c r="DM3589" i="3"/>
  <c r="DM3566" i="3"/>
  <c r="DM3550" i="3"/>
  <c r="DM3534" i="3"/>
  <c r="DM3530" i="3"/>
  <c r="DM3526" i="3"/>
  <c r="DM3522" i="3"/>
  <c r="DM3518" i="3"/>
  <c r="DM3514" i="3"/>
  <c r="DM3510" i="3"/>
  <c r="DM3506" i="3"/>
  <c r="DM3502" i="3"/>
  <c r="DM3495" i="3"/>
  <c r="DM3491" i="3"/>
  <c r="DM3487" i="3"/>
  <c r="DM3483" i="3"/>
  <c r="DM3479" i="3"/>
  <c r="DM3475" i="3"/>
  <c r="DM3471" i="3"/>
  <c r="DM3467" i="3"/>
  <c r="DM3463" i="3"/>
  <c r="DM3460" i="3"/>
  <c r="DM3456" i="3"/>
  <c r="DM3452" i="3"/>
  <c r="DM3448" i="3"/>
  <c r="DM3444" i="3"/>
  <c r="DM3440" i="3"/>
  <c r="DM3436" i="3"/>
  <c r="DM3432" i="3"/>
  <c r="DM3428" i="3"/>
  <c r="DM3424" i="3"/>
  <c r="DM3421" i="3"/>
  <c r="DM3417" i="3"/>
  <c r="DM3413" i="3"/>
  <c r="DM3409" i="3"/>
  <c r="DM3405" i="3"/>
  <c r="DM3401" i="3"/>
  <c r="DM3397" i="3"/>
  <c r="DM3393" i="3"/>
  <c r="DM3389" i="3"/>
  <c r="DM3385" i="3"/>
  <c r="DM3381" i="3"/>
  <c r="DM3377" i="3"/>
  <c r="DM3373" i="3"/>
  <c r="DM3369" i="3"/>
  <c r="DM3365" i="3"/>
  <c r="DM3361" i="3"/>
  <c r="DM3357" i="3"/>
  <c r="DM3353" i="3"/>
  <c r="DM3349" i="3"/>
  <c r="DM3346" i="3"/>
  <c r="DM3342" i="3"/>
  <c r="DM3338" i="3"/>
  <c r="DM3334" i="3"/>
  <c r="DM3330" i="3"/>
  <c r="DM3326" i="3"/>
  <c r="DM3322" i="3"/>
  <c r="DM3318" i="3"/>
  <c r="DM3314" i="3"/>
  <c r="DM3310" i="3"/>
  <c r="DM3307" i="3"/>
  <c r="DM3303" i="3"/>
  <c r="DM3299" i="3"/>
  <c r="DM3295" i="3"/>
  <c r="DM3291" i="3"/>
  <c r="DM3288" i="3"/>
  <c r="DM3284" i="3"/>
  <c r="DM3280" i="3"/>
  <c r="DM3276" i="3"/>
  <c r="DM3272" i="3"/>
  <c r="DM3269" i="3"/>
  <c r="DM3265" i="3"/>
  <c r="DM3261" i="3"/>
  <c r="DM3257" i="3"/>
  <c r="DM3253" i="3"/>
  <c r="DM3249" i="3"/>
  <c r="DM3245" i="3"/>
  <c r="DM3241" i="3"/>
  <c r="DM3237" i="3"/>
  <c r="DM3233" i="3"/>
  <c r="DM3229" i="3"/>
  <c r="DM3225" i="3"/>
  <c r="DM3221" i="3"/>
  <c r="DM3217" i="3"/>
  <c r="DM3213" i="3"/>
  <c r="DM3209" i="3"/>
  <c r="DM3205" i="3"/>
  <c r="DM3201" i="3"/>
  <c r="DM3197" i="3"/>
  <c r="DM3194" i="3"/>
  <c r="DM3190" i="3"/>
  <c r="DM3186" i="3"/>
  <c r="DM3182" i="3"/>
  <c r="DM3178" i="3"/>
  <c r="DM3174" i="3"/>
  <c r="DM3166" i="3"/>
  <c r="DM3143" i="3"/>
  <c r="DM3132" i="3"/>
  <c r="DM3124" i="3"/>
  <c r="DM3120" i="3"/>
  <c r="DM3097" i="3"/>
  <c r="DM3093" i="3"/>
  <c r="DM3081" i="3"/>
  <c r="DM3070" i="3"/>
  <c r="DM3066" i="3"/>
  <c r="DM3054" i="3"/>
  <c r="DM3050" i="3"/>
  <c r="DM3039" i="3"/>
  <c r="DM3027" i="3"/>
  <c r="DM3023" i="3"/>
  <c r="DM3015" i="3"/>
  <c r="DM3007" i="3"/>
  <c r="DM2991" i="3"/>
  <c r="DM2984" i="3"/>
  <c r="DM2980" i="3"/>
  <c r="DM2976" i="3"/>
  <c r="DM2972" i="3"/>
  <c r="DM2968" i="3"/>
  <c r="DM2965" i="3"/>
  <c r="DM2961" i="3"/>
  <c r="DM2957" i="3"/>
  <c r="DM2953" i="3"/>
  <c r="DM2949" i="3"/>
  <c r="DM2945" i="3"/>
  <c r="DM2941" i="3"/>
  <c r="DM2937" i="3"/>
  <c r="DM2933" i="3"/>
  <c r="DM2929" i="3"/>
  <c r="DM2926" i="3"/>
  <c r="DM2922" i="3"/>
  <c r="DM2918" i="3"/>
  <c r="DM2914" i="3"/>
  <c r="DM2910" i="3"/>
  <c r="DM2906" i="3"/>
  <c r="DM2902" i="3"/>
  <c r="DM2898" i="3"/>
  <c r="DM2894" i="3"/>
  <c r="DM2871" i="3"/>
  <c r="DM2867" i="3"/>
  <c r="DM2855" i="3"/>
  <c r="DM2851" i="3"/>
  <c r="DM2839" i="3"/>
  <c r="DM2835" i="3"/>
  <c r="DM2823" i="3"/>
  <c r="DM2819" i="3"/>
  <c r="DM2812" i="3"/>
  <c r="DM2808" i="3"/>
  <c r="DM2804" i="3"/>
  <c r="DM2800" i="3"/>
  <c r="DM2796" i="3"/>
  <c r="DM2792" i="3"/>
  <c r="DM2788" i="3"/>
  <c r="DM2784" i="3"/>
  <c r="DM2780" i="3"/>
  <c r="DM2773" i="3"/>
  <c r="DM2769" i="3"/>
  <c r="DM2765" i="3"/>
  <c r="DM2761" i="3"/>
  <c r="DM2757" i="3"/>
  <c r="DM2753" i="3"/>
  <c r="DM2749" i="3"/>
  <c r="DM2745" i="3"/>
  <c r="DM2741" i="3"/>
  <c r="DM2738" i="3"/>
  <c r="DM2734" i="3"/>
  <c r="DM2730" i="3"/>
  <c r="DM2726" i="3"/>
  <c r="DM2722" i="3"/>
  <c r="DM2718" i="3"/>
  <c r="DM2714" i="3"/>
  <c r="DM2710" i="3"/>
  <c r="DM2706" i="3"/>
  <c r="DM2702" i="3"/>
  <c r="DM2698" i="3"/>
  <c r="DM2694" i="3"/>
  <c r="DM2690" i="3"/>
  <c r="DM2686" i="3"/>
  <c r="DM2682" i="3"/>
  <c r="DM2678" i="3"/>
  <c r="DM2674" i="3"/>
  <c r="DM2670" i="3"/>
  <c r="DM2666" i="3"/>
  <c r="DM2643" i="3"/>
  <c r="DM2631" i="3"/>
  <c r="DM2627" i="3"/>
  <c r="DM2611" i="3"/>
  <c r="DM2599" i="3"/>
  <c r="DM2595" i="3"/>
  <c r="DM2584" i="3"/>
  <c r="DM2580" i="3"/>
  <c r="DM2576" i="3"/>
  <c r="DM2572" i="3"/>
  <c r="DM2568" i="3"/>
  <c r="DM2564" i="3"/>
  <c r="DM2560" i="3"/>
  <c r="DM2556" i="3"/>
  <c r="DM2552" i="3"/>
  <c r="DM2545" i="3"/>
  <c r="DM2541" i="3"/>
  <c r="DM2537" i="3"/>
  <c r="DM2533" i="3"/>
  <c r="DM2526" i="3"/>
  <c r="DM2522" i="3"/>
  <c r="DM2518" i="3"/>
  <c r="DM2514" i="3"/>
  <c r="DM2507" i="3"/>
  <c r="DM2503" i="3"/>
  <c r="DM2499" i="3"/>
  <c r="DM2495" i="3"/>
  <c r="DM2491" i="3"/>
  <c r="DM2487" i="3"/>
  <c r="DM2483" i="3"/>
  <c r="DM2479" i="3"/>
  <c r="DM2475" i="3"/>
  <c r="DM2471" i="3"/>
  <c r="DM2467" i="3"/>
  <c r="DM2463" i="3"/>
  <c r="DM2459" i="3"/>
  <c r="DM2455" i="3"/>
  <c r="DM2451" i="3"/>
  <c r="DM2447" i="3"/>
  <c r="DM2443" i="3"/>
  <c r="DM2439" i="3"/>
  <c r="DM2435" i="3"/>
  <c r="DM2432" i="3"/>
  <c r="DM2428" i="3"/>
  <c r="DM2424" i="3"/>
  <c r="DM2420" i="3"/>
  <c r="DM2416" i="3"/>
  <c r="DM2412" i="3"/>
  <c r="DM2408" i="3"/>
  <c r="DM2404" i="3"/>
  <c r="DM2400" i="3"/>
  <c r="DM2393" i="3"/>
  <c r="DM2389" i="3"/>
  <c r="DM2385" i="3"/>
  <c r="DM2381" i="3"/>
  <c r="DM2374" i="3"/>
  <c r="DM2370" i="3"/>
  <c r="DM2366" i="3"/>
  <c r="DM2362" i="3"/>
  <c r="DM2339" i="3"/>
  <c r="DM2327" i="3"/>
  <c r="DM2323" i="3"/>
  <c r="DM2320" i="3"/>
  <c r="DM2316" i="3"/>
  <c r="DM2312" i="3"/>
  <c r="DM2308" i="3"/>
  <c r="DM2304" i="3"/>
  <c r="DM2300" i="3"/>
  <c r="DM2296" i="3"/>
  <c r="DM2292" i="3"/>
  <c r="DM2288" i="3"/>
  <c r="DM2284" i="3"/>
  <c r="DM2281" i="3"/>
  <c r="DM2277" i="3"/>
  <c r="DM2273" i="3"/>
  <c r="DM2269" i="3"/>
  <c r="DM2265" i="3"/>
  <c r="DM2261" i="3"/>
  <c r="DM2257" i="3"/>
  <c r="DM2253" i="3"/>
  <c r="DM2249" i="3"/>
  <c r="DM2245" i="3"/>
  <c r="DM2241" i="3"/>
  <c r="DM2237" i="3"/>
  <c r="DM2233" i="3"/>
  <c r="DM2229" i="3"/>
  <c r="DM2225" i="3"/>
  <c r="DM2221" i="3"/>
  <c r="DM2217" i="3"/>
  <c r="DM2213" i="3"/>
  <c r="DM2209" i="3"/>
  <c r="DM2206" i="3"/>
  <c r="DM2202" i="3"/>
  <c r="DM2198" i="3"/>
  <c r="DM2194" i="3"/>
  <c r="DM2190" i="3"/>
  <c r="DM2186" i="3"/>
  <c r="DM2182" i="3"/>
  <c r="DM2178" i="3"/>
  <c r="DM2174" i="3"/>
  <c r="DM2170" i="3"/>
  <c r="DM2167" i="3"/>
  <c r="DM2163" i="3"/>
  <c r="DM2151" i="3"/>
  <c r="DM2147" i="3"/>
  <c r="DM2135" i="3"/>
  <c r="DM2131" i="3"/>
  <c r="DM2128" i="3"/>
  <c r="DM2124" i="3"/>
  <c r="DM2120" i="3"/>
  <c r="DM2116" i="3"/>
  <c r="DM2112" i="3"/>
  <c r="DM2108" i="3"/>
  <c r="DM2104" i="3"/>
  <c r="DM2100" i="3"/>
  <c r="DM2096" i="3"/>
  <c r="DM2092" i="3"/>
  <c r="DM2088" i="3"/>
  <c r="DM2084" i="3"/>
  <c r="DM2080" i="3"/>
  <c r="DM2076" i="3"/>
  <c r="DM2072" i="3"/>
  <c r="DM2068" i="3"/>
  <c r="DM2064" i="3"/>
  <c r="DM2060" i="3"/>
  <c r="DM2056" i="3"/>
  <c r="DM2053" i="3"/>
  <c r="DM2049" i="3"/>
  <c r="DM2045" i="3"/>
  <c r="DM2041" i="3"/>
  <c r="DM2037" i="3"/>
  <c r="DM2033" i="3"/>
  <c r="DM2029" i="3"/>
  <c r="DM2025" i="3"/>
  <c r="DM2021" i="3"/>
  <c r="DM2017" i="3"/>
  <c r="DM2014" i="3"/>
  <c r="DM2010" i="3"/>
  <c r="DM2006" i="3"/>
  <c r="DM2002" i="3"/>
  <c r="DM1998" i="3"/>
  <c r="DM1994" i="3"/>
  <c r="DM1986" i="3"/>
  <c r="DM1982" i="3"/>
  <c r="DM1975" i="3"/>
  <c r="DM1971" i="3"/>
  <c r="DM1967" i="3"/>
  <c r="DM1959" i="3"/>
  <c r="DM1955" i="3"/>
  <c r="DM1951" i="3"/>
  <c r="DM1943" i="3"/>
  <c r="DM1939" i="3"/>
  <c r="DM1935" i="3"/>
  <c r="DM1931" i="3"/>
  <c r="DM1927" i="3"/>
  <c r="DM1923" i="3"/>
  <c r="DM1919" i="3"/>
  <c r="DM1911" i="3"/>
  <c r="DM1907" i="3"/>
  <c r="DM1903" i="3"/>
  <c r="DM1900" i="3"/>
  <c r="DM1896" i="3"/>
  <c r="DM1892" i="3"/>
  <c r="DM1888" i="3"/>
  <c r="DM1884" i="3"/>
  <c r="DM1880" i="3"/>
  <c r="DM1876" i="3"/>
  <c r="DM1872" i="3"/>
  <c r="DM1868" i="3"/>
  <c r="DM1861" i="3"/>
  <c r="DM1857" i="3"/>
  <c r="DM1853" i="3"/>
  <c r="DM1849" i="3"/>
  <c r="DM1845" i="3"/>
  <c r="DM1841" i="3"/>
  <c r="DM1837" i="3"/>
  <c r="DM1833" i="3"/>
  <c r="DM1829" i="3"/>
  <c r="DM1825" i="3"/>
  <c r="DM1821" i="3"/>
  <c r="DM1817" i="3"/>
  <c r="DM1813" i="3"/>
  <c r="DM1809" i="3"/>
  <c r="DM1805" i="3"/>
  <c r="DM1801" i="3"/>
  <c r="DM1797" i="3"/>
  <c r="DM1793" i="3"/>
  <c r="DM1789" i="3"/>
  <c r="DM1785" i="3"/>
  <c r="DM1781" i="3"/>
  <c r="DM1777" i="3"/>
  <c r="DM1773" i="3"/>
  <c r="DM1769" i="3"/>
  <c r="DM1765" i="3"/>
  <c r="DM1761" i="3"/>
  <c r="DM1757" i="3"/>
  <c r="DM1753" i="3"/>
  <c r="DM1749" i="3"/>
  <c r="DM1745" i="3"/>
  <c r="DM1741" i="3"/>
  <c r="DM1737" i="3"/>
  <c r="DM1733" i="3"/>
  <c r="DM1729" i="3"/>
  <c r="DM1725" i="3"/>
  <c r="DM1721" i="3"/>
  <c r="DM1717" i="3"/>
  <c r="DM1713" i="3"/>
  <c r="DM1709" i="3"/>
  <c r="DM1705" i="3"/>
  <c r="DM1701" i="3"/>
  <c r="DM1697" i="3"/>
  <c r="DM1693" i="3"/>
  <c r="DM1689" i="3"/>
  <c r="DM1685" i="3"/>
  <c r="DM1681" i="3"/>
  <c r="DM1677" i="3"/>
  <c r="DM1673" i="3"/>
  <c r="DM1669" i="3"/>
  <c r="DM1665" i="3"/>
  <c r="DM1661" i="3"/>
  <c r="DM1657" i="3"/>
  <c r="DM1653" i="3"/>
  <c r="DM1649" i="3"/>
  <c r="DM1645" i="3"/>
  <c r="DM1641" i="3"/>
  <c r="DM1637" i="3"/>
  <c r="DM1633" i="3"/>
  <c r="DM1629" i="3"/>
  <c r="DM1625" i="3"/>
  <c r="DM1621" i="3"/>
  <c r="DM1617" i="3"/>
  <c r="DM1613" i="3"/>
  <c r="DM1609" i="3"/>
  <c r="DM1605" i="3"/>
  <c r="DM1601" i="3"/>
  <c r="DM1597" i="3"/>
  <c r="DM1593" i="3"/>
  <c r="DM1589" i="3"/>
  <c r="DM1585" i="3"/>
  <c r="DM1581" i="3"/>
  <c r="DM1577" i="3"/>
  <c r="DM1573" i="3"/>
  <c r="DM1569" i="3"/>
  <c r="DM1565" i="3"/>
  <c r="DM1561" i="3"/>
  <c r="DM1557" i="3"/>
  <c r="DM1553" i="3"/>
  <c r="DM1549" i="3"/>
  <c r="DM1545" i="3"/>
  <c r="DM1541" i="3"/>
  <c r="DM1537" i="3"/>
  <c r="DM1533" i="3"/>
  <c r="DM1529" i="3"/>
  <c r="DM1525" i="3"/>
  <c r="DM1521" i="3"/>
  <c r="DM1517" i="3"/>
  <c r="DM1513" i="3"/>
  <c r="DM1509" i="3"/>
  <c r="DM1505" i="3"/>
  <c r="DM1501" i="3"/>
  <c r="DM1497" i="3"/>
  <c r="DM1491" i="3"/>
  <c r="DM1487" i="3"/>
  <c r="DM1483" i="3"/>
  <c r="DM1479" i="3"/>
  <c r="DM1475" i="3"/>
  <c r="DM1471" i="3"/>
  <c r="DM1467" i="3"/>
  <c r="DM1463" i="3"/>
  <c r="DM1459" i="3"/>
  <c r="DM1455" i="3"/>
  <c r="DM1451" i="3"/>
  <c r="DM1447" i="3"/>
  <c r="DM967" i="3"/>
  <c r="DM963" i="3"/>
  <c r="DM959" i="3"/>
  <c r="DM955" i="3"/>
  <c r="DM951" i="3"/>
  <c r="DM947" i="3"/>
  <c r="DM943" i="3"/>
  <c r="DM939" i="3"/>
  <c r="DM935" i="3"/>
  <c r="DM931" i="3"/>
  <c r="DM927" i="3"/>
  <c r="DM923" i="3"/>
  <c r="DM919" i="3"/>
  <c r="DM915" i="3"/>
  <c r="DM911" i="3"/>
  <c r="DM907" i="3"/>
  <c r="DM903" i="3"/>
  <c r="DM899" i="3"/>
  <c r="DM895" i="3"/>
  <c r="DM891" i="3"/>
  <c r="DM887" i="3"/>
  <c r="DM883" i="3"/>
  <c r="DM879" i="3"/>
  <c r="DM875" i="3"/>
  <c r="DM871" i="3"/>
  <c r="DM867" i="3"/>
  <c r="DM863" i="3"/>
  <c r="DM859" i="3"/>
  <c r="DM855" i="3"/>
  <c r="DM851" i="3"/>
  <c r="DM847" i="3"/>
  <c r="DM843" i="3"/>
  <c r="DM839" i="3"/>
  <c r="DM835" i="3"/>
  <c r="DM831" i="3"/>
  <c r="DM827" i="3"/>
  <c r="DM823" i="3"/>
  <c r="DM819" i="3"/>
  <c r="DM815" i="3"/>
  <c r="DM811" i="3"/>
  <c r="DM807" i="3"/>
  <c r="DM803" i="3"/>
  <c r="DM799" i="3"/>
  <c r="DM795" i="3"/>
  <c r="DM791" i="3"/>
  <c r="DM787" i="3"/>
  <c r="DM783" i="3"/>
  <c r="DM779" i="3"/>
  <c r="DM775" i="3"/>
  <c r="DM771" i="3"/>
  <c r="DM767" i="3"/>
  <c r="DM763" i="3"/>
  <c r="DM759" i="3"/>
  <c r="DM755" i="3"/>
  <c r="DM751" i="3"/>
  <c r="DM747" i="3"/>
  <c r="DM743" i="3"/>
  <c r="DM739" i="3"/>
  <c r="DM735" i="3"/>
  <c r="DM731" i="3"/>
  <c r="DM727" i="3"/>
  <c r="DM723" i="3"/>
  <c r="DM719" i="3"/>
  <c r="DM715" i="3"/>
  <c r="DM711" i="3"/>
  <c r="DM707" i="3"/>
  <c r="DM703" i="3"/>
  <c r="DM699" i="3"/>
  <c r="DM695" i="3"/>
  <c r="DM691" i="3"/>
  <c r="DM687" i="3"/>
  <c r="DM683" i="3"/>
  <c r="DM679" i="3"/>
  <c r="DM675" i="3"/>
  <c r="DM671" i="3"/>
  <c r="DM667" i="3"/>
  <c r="DM663" i="3"/>
  <c r="DM659" i="3"/>
  <c r="DM655" i="3"/>
  <c r="DM651" i="3"/>
  <c r="DM647" i="3"/>
  <c r="DM643" i="3"/>
  <c r="DM639" i="3"/>
  <c r="DM635" i="3"/>
  <c r="DM631" i="3"/>
  <c r="DM627" i="3"/>
  <c r="DM623" i="3"/>
  <c r="DM619" i="3"/>
  <c r="DM615" i="3"/>
  <c r="DM611" i="3"/>
  <c r="DM607" i="3"/>
  <c r="DM603" i="3"/>
  <c r="DM599" i="3"/>
  <c r="DM595" i="3"/>
  <c r="DM591" i="3"/>
  <c r="DM587" i="3"/>
  <c r="DM583" i="3"/>
  <c r="DM579" i="3"/>
  <c r="DM575" i="3"/>
  <c r="DM571" i="3"/>
  <c r="DM567" i="3"/>
  <c r="DM563" i="3"/>
  <c r="DM559" i="3"/>
  <c r="DM555" i="3"/>
  <c r="DM551" i="3"/>
  <c r="DM547" i="3"/>
  <c r="DM543" i="3"/>
  <c r="DM539" i="3"/>
  <c r="DM535" i="3"/>
  <c r="DM531" i="3"/>
  <c r="DM527" i="3"/>
  <c r="DM523" i="3"/>
  <c r="DM519" i="3"/>
  <c r="DM515" i="3"/>
  <c r="DM511" i="3"/>
  <c r="DM507" i="3"/>
  <c r="DM503" i="3"/>
  <c r="DM499" i="3"/>
  <c r="DM495" i="3"/>
  <c r="DM491" i="3"/>
  <c r="DM487" i="3"/>
  <c r="DM483" i="3"/>
  <c r="DM479" i="3"/>
  <c r="DM475" i="3"/>
  <c r="DM471" i="3"/>
  <c r="DM467" i="3"/>
  <c r="DM463" i="3"/>
  <c r="DM459" i="3"/>
  <c r="DM3760" i="3"/>
  <c r="DM3756" i="3"/>
  <c r="DM3752" i="3"/>
  <c r="DM3748" i="3"/>
  <c r="DM3745" i="3"/>
  <c r="DM3741" i="3"/>
  <c r="DM3737" i="3"/>
  <c r="DM3733" i="3"/>
  <c r="DM3729" i="3"/>
  <c r="DM3726" i="3"/>
  <c r="DM3722" i="3"/>
  <c r="DM3718" i="3"/>
  <c r="DM3714" i="3"/>
  <c r="DM3710" i="3"/>
  <c r="DM3706" i="3"/>
  <c r="DM3702" i="3"/>
  <c r="DM3698" i="3"/>
  <c r="DM3694" i="3"/>
  <c r="DM3690" i="3"/>
  <c r="DM3687" i="3"/>
  <c r="DM3683" i="3"/>
  <c r="DM3679" i="3"/>
  <c r="DM3675" i="3"/>
  <c r="DM3671" i="3"/>
  <c r="DM3667" i="3"/>
  <c r="DM3663" i="3"/>
  <c r="DM3659" i="3"/>
  <c r="DM3655" i="3"/>
  <c r="DM3651" i="3"/>
  <c r="DM3648" i="3"/>
  <c r="DM3644" i="3"/>
  <c r="DM3640" i="3"/>
  <c r="DM3636" i="3"/>
  <c r="DM3632" i="3"/>
  <c r="DM3616" i="3"/>
  <c r="DM3600" i="3"/>
  <c r="DM3580" i="3"/>
  <c r="DM3573" i="3"/>
  <c r="DM3557" i="3"/>
  <c r="DM3545" i="3"/>
  <c r="DM3513" i="3"/>
  <c r="DM3509" i="3"/>
  <c r="DM3505" i="3"/>
  <c r="DM3501" i="3"/>
  <c r="DM3498" i="3"/>
  <c r="DM3494" i="3"/>
  <c r="DM3490" i="3"/>
  <c r="DM3486" i="3"/>
  <c r="DM3482" i="3"/>
  <c r="DM3478" i="3"/>
  <c r="DM3474" i="3"/>
  <c r="DM3470" i="3"/>
  <c r="DM3466" i="3"/>
  <c r="DM3462" i="3"/>
  <c r="DM3459" i="3"/>
  <c r="DM3455" i="3"/>
  <c r="DM3451" i="3"/>
  <c r="DM3447" i="3"/>
  <c r="DM3443" i="3"/>
  <c r="DM3439" i="3"/>
  <c r="DM3435" i="3"/>
  <c r="DM3431" i="3"/>
  <c r="DM3427" i="3"/>
  <c r="DM3423" i="3"/>
  <c r="DM3420" i="3"/>
  <c r="DM3416" i="3"/>
  <c r="DM3412" i="3"/>
  <c r="DM3408" i="3"/>
  <c r="DM3404" i="3"/>
  <c r="DM3400" i="3"/>
  <c r="DM3396" i="3"/>
  <c r="DM3392" i="3"/>
  <c r="DM3388" i="3"/>
  <c r="DM3384" i="3"/>
  <c r="DM3380" i="3"/>
  <c r="DM3376" i="3"/>
  <c r="DM3372" i="3"/>
  <c r="DM3368" i="3"/>
  <c r="DM3364" i="3"/>
  <c r="DM3360" i="3"/>
  <c r="DM3356" i="3"/>
  <c r="DM3352" i="3"/>
  <c r="DM3348" i="3"/>
  <c r="DM3345" i="3"/>
  <c r="DM3341" i="3"/>
  <c r="DM3337" i="3"/>
  <c r="DM3333" i="3"/>
  <c r="DM3329" i="3"/>
  <c r="DM3325" i="3"/>
  <c r="DM3321" i="3"/>
  <c r="DM3317" i="3"/>
  <c r="DM3313" i="3"/>
  <c r="DM3309" i="3"/>
  <c r="DM3306" i="3"/>
  <c r="DM3302" i="3"/>
  <c r="DM3298" i="3"/>
  <c r="DM3294" i="3"/>
  <c r="DM3290" i="3"/>
  <c r="DM3287" i="3"/>
  <c r="DM3283" i="3"/>
  <c r="DM3279" i="3"/>
  <c r="DM3275" i="3"/>
  <c r="DM3271" i="3"/>
  <c r="DM3268" i="3"/>
  <c r="DM3264" i="3"/>
  <c r="DM3260" i="3"/>
  <c r="DM3256" i="3"/>
  <c r="DM3252" i="3"/>
  <c r="DM3248" i="3"/>
  <c r="DM3244" i="3"/>
  <c r="DM3240" i="3"/>
  <c r="DM3236" i="3"/>
  <c r="DM3232" i="3"/>
  <c r="DM3228" i="3"/>
  <c r="DM3224" i="3"/>
  <c r="DM3220" i="3"/>
  <c r="DM3216" i="3"/>
  <c r="DM3212" i="3"/>
  <c r="DM3208" i="3"/>
  <c r="DM3204" i="3"/>
  <c r="DM3200" i="3"/>
  <c r="DM3196" i="3"/>
  <c r="DM3193" i="3"/>
  <c r="DM3189" i="3"/>
  <c r="DM3185" i="3"/>
  <c r="DM3181" i="3"/>
  <c r="DM3177" i="3"/>
  <c r="DM3173" i="3"/>
  <c r="DM3169" i="3"/>
  <c r="DM3165" i="3"/>
  <c r="DM3157" i="3"/>
  <c r="DM3150" i="3"/>
  <c r="DM3127" i="3"/>
  <c r="DM3119" i="3"/>
  <c r="DM3116" i="3"/>
  <c r="DM3112" i="3"/>
  <c r="DM3108" i="3"/>
  <c r="DM3104" i="3"/>
  <c r="DM3100" i="3"/>
  <c r="DM3096" i="3"/>
  <c r="DM3092" i="3"/>
  <c r="DM3088" i="3"/>
  <c r="DM3084" i="3"/>
  <c r="DM3038" i="3"/>
  <c r="DM3034" i="3"/>
  <c r="DM3022" i="3"/>
  <c r="DM3018" i="3"/>
  <c r="DM3006" i="3"/>
  <c r="DM2990" i="3"/>
  <c r="DM2975" i="3"/>
  <c r="DM2964" i="3"/>
  <c r="DM2960" i="3"/>
  <c r="DM2956" i="3"/>
  <c r="DM2952" i="3"/>
  <c r="DM2948" i="3"/>
  <c r="DM2944" i="3"/>
  <c r="DM2940" i="3"/>
  <c r="DM2936" i="3"/>
  <c r="DM2932" i="3"/>
  <c r="DM2925" i="3"/>
  <c r="DM2921" i="3"/>
  <c r="DM2917" i="3"/>
  <c r="DM2913" i="3"/>
  <c r="DM2909" i="3"/>
  <c r="DM2905" i="3"/>
  <c r="DM2901" i="3"/>
  <c r="DM2897" i="3"/>
  <c r="DM2893" i="3"/>
  <c r="DM2890" i="3"/>
  <c r="DM2886" i="3"/>
  <c r="DM2882" i="3"/>
  <c r="DM2878" i="3"/>
  <c r="DM2874" i="3"/>
  <c r="DM2870" i="3"/>
  <c r="DM2866" i="3"/>
  <c r="DM2862" i="3"/>
  <c r="DM2858" i="3"/>
  <c r="DM2854" i="3"/>
  <c r="DM2850" i="3"/>
  <c r="DM2846" i="3"/>
  <c r="DM2842" i="3"/>
  <c r="DM2838" i="3"/>
  <c r="DM2834" i="3"/>
  <c r="DM2830" i="3"/>
  <c r="DM2826" i="3"/>
  <c r="DM2822" i="3"/>
  <c r="DM2818" i="3"/>
  <c r="DM2791" i="3"/>
  <c r="DM2787" i="3"/>
  <c r="DM2776" i="3"/>
  <c r="DM2772" i="3"/>
  <c r="DM2768" i="3"/>
  <c r="DM2764" i="3"/>
  <c r="DM2760" i="3"/>
  <c r="DM2756" i="3"/>
  <c r="DM2752" i="3"/>
  <c r="DM2748" i="3"/>
  <c r="DM2744" i="3"/>
  <c r="DM2740" i="3"/>
  <c r="DM2737" i="3"/>
  <c r="DM2733" i="3"/>
  <c r="DM2729" i="3"/>
  <c r="DM2725" i="3"/>
  <c r="DM2721" i="3"/>
  <c r="DM2717" i="3"/>
  <c r="DM2713" i="3"/>
  <c r="DM2709" i="3"/>
  <c r="DM2705" i="3"/>
  <c r="DM2701" i="3"/>
  <c r="DM2697" i="3"/>
  <c r="DM2693" i="3"/>
  <c r="DM2689" i="3"/>
  <c r="DM2685" i="3"/>
  <c r="DM2681" i="3"/>
  <c r="DM2677" i="3"/>
  <c r="DM2673" i="3"/>
  <c r="DM2669" i="3"/>
  <c r="DM2665" i="3"/>
  <c r="DM2662" i="3"/>
  <c r="DM2658" i="3"/>
  <c r="DM2654" i="3"/>
  <c r="DM2650" i="3"/>
  <c r="DM2646" i="3"/>
  <c r="DM2642" i="3"/>
  <c r="DM2638" i="3"/>
  <c r="DM2634" i="3"/>
  <c r="DM2630" i="3"/>
  <c r="DM2626" i="3"/>
  <c r="DM2622" i="3"/>
  <c r="DM2618" i="3"/>
  <c r="DM2614" i="3"/>
  <c r="DM2610" i="3"/>
  <c r="DM2606" i="3"/>
  <c r="DM2602" i="3"/>
  <c r="DM2598" i="3"/>
  <c r="DM2594" i="3"/>
  <c r="DM2590" i="3"/>
  <c r="DM2567" i="3"/>
  <c r="DM2563" i="3"/>
  <c r="DM2559" i="3"/>
  <c r="DM2555" i="3"/>
  <c r="DM2551" i="3"/>
  <c r="DM2548" i="3"/>
  <c r="DM2544" i="3"/>
  <c r="DM2540" i="3"/>
  <c r="DM2536" i="3"/>
  <c r="DM2532" i="3"/>
  <c r="DM2529" i="3"/>
  <c r="DM2525" i="3"/>
  <c r="DM2521" i="3"/>
  <c r="DM2517" i="3"/>
  <c r="DM2513" i="3"/>
  <c r="DM2510" i="3"/>
  <c r="DM2506" i="3"/>
  <c r="DM2502" i="3"/>
  <c r="DM2498" i="3"/>
  <c r="DM2494" i="3"/>
  <c r="DM2490" i="3"/>
  <c r="DM2486" i="3"/>
  <c r="DM2482" i="3"/>
  <c r="DM2478" i="3"/>
  <c r="DM2474" i="3"/>
  <c r="DM2470" i="3"/>
  <c r="DM2466" i="3"/>
  <c r="DM2462" i="3"/>
  <c r="DM2458" i="3"/>
  <c r="DM2454" i="3"/>
  <c r="DM2450" i="3"/>
  <c r="DM2446" i="3"/>
  <c r="DM2442" i="3"/>
  <c r="DM2438" i="3"/>
  <c r="DM2431" i="3"/>
  <c r="DM2427" i="3"/>
  <c r="DM2423" i="3"/>
  <c r="DM2419" i="3"/>
  <c r="DM2415" i="3"/>
  <c r="DM2411" i="3"/>
  <c r="DM2407" i="3"/>
  <c r="DM2403" i="3"/>
  <c r="DM2399" i="3"/>
  <c r="DM2396" i="3"/>
  <c r="DM2392" i="3"/>
  <c r="DM2388" i="3"/>
  <c r="DM2384" i="3"/>
  <c r="DM2380" i="3"/>
  <c r="DM2377" i="3"/>
  <c r="DM2373" i="3"/>
  <c r="DM2369" i="3"/>
  <c r="DM2365" i="3"/>
  <c r="DM2361" i="3"/>
  <c r="DM2358" i="3"/>
  <c r="DM2354" i="3"/>
  <c r="DM2350" i="3"/>
  <c r="DM2346" i="3"/>
  <c r="DM2342" i="3"/>
  <c r="DM2338" i="3"/>
  <c r="DM2334" i="3"/>
  <c r="DM2330" i="3"/>
  <c r="DM2326" i="3"/>
  <c r="DM2322" i="3"/>
  <c r="DM2307" i="3"/>
  <c r="DM2295" i="3"/>
  <c r="DM2291" i="3"/>
  <c r="DM2280" i="3"/>
  <c r="DM2276" i="3"/>
  <c r="DM2272" i="3"/>
  <c r="DM2268" i="3"/>
  <c r="DM2264" i="3"/>
  <c r="DM2260" i="3"/>
  <c r="DM2256" i="3"/>
  <c r="DM2252" i="3"/>
  <c r="DM2248" i="3"/>
  <c r="DM2244" i="3"/>
  <c r="DM2240" i="3"/>
  <c r="DM2236" i="3"/>
  <c r="DM2232" i="3"/>
  <c r="DM2228" i="3"/>
  <c r="DM2224" i="3"/>
  <c r="DM2220" i="3"/>
  <c r="DM2216" i="3"/>
  <c r="DM2212" i="3"/>
  <c r="DM2208" i="3"/>
  <c r="DM2205" i="3"/>
  <c r="DM2201" i="3"/>
  <c r="DM2197" i="3"/>
  <c r="DM2193" i="3"/>
  <c r="DM2189" i="3"/>
  <c r="DM2185" i="3"/>
  <c r="DM2181" i="3"/>
  <c r="DM2177" i="3"/>
  <c r="DM2173" i="3"/>
  <c r="DM2169" i="3"/>
  <c r="DM2166" i="3"/>
  <c r="DM2162" i="3"/>
  <c r="DM2158" i="3"/>
  <c r="DM2154" i="3"/>
  <c r="DM2150" i="3"/>
  <c r="DM2146" i="3"/>
  <c r="DM2142" i="3"/>
  <c r="DM2138" i="3"/>
  <c r="DM2134" i="3"/>
  <c r="DM2103" i="3"/>
  <c r="DM2099" i="3"/>
  <c r="DM2087" i="3"/>
  <c r="DM2083" i="3"/>
  <c r="DM2071" i="3"/>
  <c r="DM2067" i="3"/>
  <c r="DM2055" i="3"/>
  <c r="DM2052" i="3"/>
  <c r="DM2048" i="3"/>
  <c r="DM2044" i="3"/>
  <c r="DM2040" i="3"/>
  <c r="DM2036" i="3"/>
  <c r="DM2032" i="3"/>
  <c r="DM2028" i="3"/>
  <c r="DM2024" i="3"/>
  <c r="DM2020" i="3"/>
  <c r="DM2013" i="3"/>
  <c r="DM2009" i="3"/>
  <c r="DM2005" i="3"/>
  <c r="DM1997" i="3"/>
  <c r="DM1993" i="3"/>
  <c r="DM1989" i="3"/>
  <c r="DM1981" i="3"/>
  <c r="DM1978" i="3"/>
  <c r="DM1974" i="3"/>
  <c r="DM1970" i="3"/>
  <c r="DM1966" i="3"/>
  <c r="DM1962" i="3"/>
  <c r="DM1954" i="3"/>
  <c r="DM1950" i="3"/>
  <c r="DM1946" i="3"/>
  <c r="DM1938" i="3"/>
  <c r="DM1934" i="3"/>
  <c r="DM1930" i="3"/>
  <c r="DM1922" i="3"/>
  <c r="DM1918" i="3"/>
  <c r="DM1914" i="3"/>
  <c r="DM1910" i="3"/>
  <c r="DM1906" i="3"/>
  <c r="DM1895" i="3"/>
  <c r="DM1891" i="3"/>
  <c r="DM1887" i="3"/>
  <c r="DM1883" i="3"/>
  <c r="DM1879" i="3"/>
  <c r="DM1875" i="3"/>
  <c r="DM1867" i="3"/>
  <c r="DM1864" i="3"/>
  <c r="DM1860" i="3"/>
  <c r="DM1856" i="3"/>
  <c r="DM1852" i="3"/>
  <c r="DM1848" i="3"/>
  <c r="DM1844" i="3"/>
  <c r="DM1840" i="3"/>
  <c r="DM1836" i="3"/>
  <c r="DM1832" i="3"/>
  <c r="DM1828" i="3"/>
  <c r="DM1824" i="3"/>
  <c r="DM1820" i="3"/>
  <c r="DM1816" i="3"/>
  <c r="DM1812" i="3"/>
  <c r="DM1808" i="3"/>
  <c r="DM1804" i="3"/>
  <c r="DM1800" i="3"/>
  <c r="DM1796" i="3"/>
  <c r="DM1792" i="3"/>
  <c r="DM1788" i="3"/>
  <c r="DM1784" i="3"/>
  <c r="DM1780" i="3"/>
  <c r="DM1776" i="3"/>
  <c r="DM1772" i="3"/>
  <c r="DM1768" i="3"/>
  <c r="DM1764" i="3"/>
  <c r="DM1760" i="3"/>
  <c r="DM1756" i="3"/>
  <c r="DM1752" i="3"/>
  <c r="DM1748" i="3"/>
  <c r="DM1744" i="3"/>
  <c r="DM1740" i="3"/>
  <c r="DM1736" i="3"/>
  <c r="DM1732" i="3"/>
  <c r="DM1728" i="3"/>
  <c r="DM1724" i="3"/>
  <c r="DM1720" i="3"/>
  <c r="DM1716" i="3"/>
  <c r="DM1712" i="3"/>
  <c r="DM1708" i="3"/>
  <c r="DM1704" i="3"/>
  <c r="DM1700" i="3"/>
  <c r="DM1696" i="3"/>
  <c r="DM1692" i="3"/>
  <c r="DM1688" i="3"/>
  <c r="DM1684" i="3"/>
  <c r="DM1680" i="3"/>
  <c r="DM1676" i="3"/>
  <c r="DM1672" i="3"/>
  <c r="DM1668" i="3"/>
  <c r="DM1664" i="3"/>
  <c r="DM1660" i="3"/>
  <c r="DM1656" i="3"/>
  <c r="DM1652" i="3"/>
  <c r="DM1648" i="3"/>
  <c r="DM1644" i="3"/>
  <c r="DM1640" i="3"/>
  <c r="DM1636" i="3"/>
  <c r="DM1632" i="3"/>
  <c r="DM1628" i="3"/>
  <c r="DM1624" i="3"/>
  <c r="DM1620" i="3"/>
  <c r="DM1616" i="3"/>
  <c r="DM1612" i="3"/>
  <c r="DM1608" i="3"/>
  <c r="DM1604" i="3"/>
  <c r="DM1600" i="3"/>
  <c r="DM1596" i="3"/>
  <c r="DM1592" i="3"/>
  <c r="DM1588" i="3"/>
  <c r="DM1584" i="3"/>
  <c r="DM1580" i="3"/>
  <c r="DM1576" i="3"/>
  <c r="DM1572" i="3"/>
  <c r="DM1568" i="3"/>
  <c r="DM1564" i="3"/>
  <c r="DM1560" i="3"/>
  <c r="DM1556" i="3"/>
  <c r="DM1552" i="3"/>
  <c r="DM1548" i="3"/>
  <c r="DM1544" i="3"/>
  <c r="DM1540" i="3"/>
  <c r="DM1536" i="3"/>
  <c r="DM1532" i="3"/>
  <c r="DM1528" i="3"/>
  <c r="DM1524" i="3"/>
  <c r="DM1520" i="3"/>
  <c r="DM1516" i="3"/>
  <c r="DM1512" i="3"/>
  <c r="DM1508" i="3"/>
  <c r="DM1504" i="3"/>
  <c r="DM1500" i="3"/>
  <c r="DM1496" i="3"/>
  <c r="DM1486" i="3"/>
  <c r="DM1478" i="3"/>
  <c r="DM1470" i="3"/>
  <c r="DM1462" i="3"/>
  <c r="DM1454" i="3"/>
  <c r="DM1446" i="3"/>
  <c r="DM1390" i="3"/>
  <c r="DM1370" i="3"/>
  <c r="DM1314" i="3"/>
  <c r="DM1294" i="3"/>
  <c r="DM1238" i="3"/>
  <c r="DM1218" i="3"/>
  <c r="DM1142" i="3"/>
  <c r="DM1066" i="3"/>
  <c r="DM990" i="3"/>
  <c r="DM966" i="3"/>
  <c r="DM962" i="3"/>
  <c r="DM958" i="3"/>
  <c r="DM954" i="3"/>
  <c r="DM950" i="3"/>
  <c r="DM946" i="3"/>
  <c r="DM942" i="3"/>
  <c r="DM938" i="3"/>
  <c r="DM934" i="3"/>
  <c r="DM930" i="3"/>
  <c r="DM926" i="3"/>
  <c r="DM922" i="3"/>
  <c r="DM918" i="3"/>
  <c r="DM914" i="3"/>
  <c r="DM910" i="3"/>
  <c r="DM906" i="3"/>
  <c r="DM902" i="3"/>
  <c r="DM898" i="3"/>
  <c r="DM894" i="3"/>
  <c r="DM890" i="3"/>
  <c r="DM886" i="3"/>
  <c r="DM882" i="3"/>
  <c r="DM878" i="3"/>
  <c r="DM874" i="3"/>
  <c r="DM870" i="3"/>
  <c r="DM866" i="3"/>
  <c r="DM862" i="3"/>
  <c r="DM858" i="3"/>
  <c r="DM854" i="3"/>
  <c r="DM850" i="3"/>
  <c r="DM846" i="3"/>
  <c r="DM842" i="3"/>
  <c r="DM838" i="3"/>
  <c r="DM834" i="3"/>
  <c r="DM830" i="3"/>
  <c r="DM826" i="3"/>
  <c r="DM822" i="3"/>
  <c r="DM818" i="3"/>
  <c r="DM814" i="3"/>
  <c r="DM810" i="3"/>
  <c r="DM806" i="3"/>
  <c r="DM802" i="3"/>
  <c r="DM798" i="3"/>
  <c r="DM794" i="3"/>
  <c r="DM790" i="3"/>
  <c r="DM786" i="3"/>
  <c r="DM782" i="3"/>
  <c r="DM778" i="3"/>
  <c r="DM774" i="3"/>
  <c r="DM770" i="3"/>
  <c r="DM766" i="3"/>
  <c r="DM762" i="3"/>
  <c r="DM758" i="3"/>
  <c r="DM754" i="3"/>
  <c r="DM750" i="3"/>
  <c r="DM746" i="3"/>
  <c r="DM742" i="3"/>
  <c r="DM738" i="3"/>
  <c r="DM730" i="3"/>
  <c r="DM726" i="3"/>
  <c r="DM722" i="3"/>
  <c r="DM718" i="3"/>
  <c r="DM714" i="3"/>
  <c r="DM710" i="3"/>
  <c r="DM706" i="3"/>
  <c r="DM702" i="3"/>
  <c r="DM698" i="3"/>
  <c r="DM694" i="3"/>
  <c r="DM690" i="3"/>
  <c r="DM686" i="3"/>
  <c r="DM682" i="3"/>
  <c r="DM678" i="3"/>
  <c r="DM674" i="3"/>
  <c r="DM666" i="3"/>
  <c r="DM662" i="3"/>
  <c r="DM658" i="3"/>
  <c r="DM654" i="3"/>
  <c r="DM650" i="3"/>
  <c r="DM646" i="3"/>
  <c r="DM642" i="3"/>
  <c r="DM638" i="3"/>
  <c r="DM634" i="3"/>
  <c r="DM630" i="3"/>
  <c r="DM626" i="3"/>
  <c r="DM622" i="3"/>
  <c r="DM618" i="3"/>
  <c r="DM614" i="3"/>
  <c r="DM610" i="3"/>
  <c r="DM606" i="3"/>
  <c r="DM602" i="3"/>
  <c r="DM598" i="3"/>
  <c r="DM594" i="3"/>
  <c r="DM590" i="3"/>
  <c r="DM586" i="3"/>
  <c r="DM582" i="3"/>
  <c r="DM578" i="3"/>
  <c r="DM574" i="3"/>
  <c r="DM570" i="3"/>
  <c r="DM566" i="3"/>
  <c r="DM562" i="3"/>
  <c r="DM558" i="3"/>
  <c r="DM554" i="3"/>
  <c r="DM550" i="3"/>
  <c r="DM546" i="3"/>
  <c r="DM542" i="3"/>
  <c r="DM538" i="3"/>
  <c r="DM534" i="3"/>
  <c r="DM530" i="3"/>
  <c r="DM526" i="3"/>
  <c r="DM522" i="3"/>
  <c r="DM518" i="3"/>
  <c r="DM514" i="3"/>
  <c r="DM510" i="3"/>
  <c r="DM506" i="3"/>
  <c r="DM502" i="3"/>
  <c r="DM498" i="3"/>
  <c r="DM494" i="3"/>
  <c r="DM490" i="3"/>
  <c r="DM486" i="3"/>
  <c r="DM482" i="3"/>
  <c r="DM478" i="3"/>
  <c r="DM474" i="3"/>
  <c r="DM470" i="3"/>
  <c r="DM466" i="3"/>
  <c r="DM462" i="3"/>
  <c r="DM458" i="3"/>
  <c r="DM3759" i="3"/>
  <c r="DM3755" i="3"/>
  <c r="DM3751" i="3"/>
  <c r="DM3747" i="3"/>
  <c r="DM3744" i="3"/>
  <c r="DM3740" i="3"/>
  <c r="DM3736" i="3"/>
  <c r="DM3732" i="3"/>
  <c r="DM3728" i="3"/>
  <c r="DM3725" i="3"/>
  <c r="DM3721" i="3"/>
  <c r="DM3717" i="3"/>
  <c r="DM3713" i="3"/>
  <c r="DM3709" i="3"/>
  <c r="DM3705" i="3"/>
  <c r="DM3701" i="3"/>
  <c r="DM3697" i="3"/>
  <c r="DM3693" i="3"/>
  <c r="DM3689" i="3"/>
  <c r="DM3686" i="3"/>
  <c r="DM3682" i="3"/>
  <c r="DM3678" i="3"/>
  <c r="DM3674" i="3"/>
  <c r="DM3670" i="3"/>
  <c r="DM3666" i="3"/>
  <c r="DM3662" i="3"/>
  <c r="DM3658" i="3"/>
  <c r="DM3654" i="3"/>
  <c r="DM3647" i="3"/>
  <c r="DM3643" i="3"/>
  <c r="DM3639" i="3"/>
  <c r="DM3635" i="3"/>
  <c r="DM3631" i="3"/>
  <c r="DM3627" i="3"/>
  <c r="DM3619" i="3"/>
  <c r="DM3615" i="3"/>
  <c r="DM3611" i="3"/>
  <c r="DM3603" i="3"/>
  <c r="DM3599" i="3"/>
  <c r="DM3595" i="3"/>
  <c r="DM3587" i="3"/>
  <c r="DM3583" i="3"/>
  <c r="DM3579" i="3"/>
  <c r="DM3564" i="3"/>
  <c r="DM3552" i="3"/>
  <c r="DM3536" i="3"/>
  <c r="DM3532" i="3"/>
  <c r="DM3528" i="3"/>
  <c r="DM3524" i="3"/>
  <c r="DM3520" i="3"/>
  <c r="DM3516" i="3"/>
  <c r="DM3512" i="3"/>
  <c r="DM3508" i="3"/>
  <c r="DM3504" i="3"/>
  <c r="DM3500" i="3"/>
  <c r="DM3497" i="3"/>
  <c r="DM3493" i="3"/>
  <c r="DM3489" i="3"/>
  <c r="DM3485" i="3"/>
  <c r="DM3481" i="3"/>
  <c r="DM3477" i="3"/>
  <c r="DM3473" i="3"/>
  <c r="DM3469" i="3"/>
  <c r="DM3465" i="3"/>
  <c r="DM3461" i="3"/>
  <c r="DM3458" i="3"/>
  <c r="DM3454" i="3"/>
  <c r="DM3450" i="3"/>
  <c r="DM3446" i="3"/>
  <c r="DM3442" i="3"/>
  <c r="DM3438" i="3"/>
  <c r="DM3434" i="3"/>
  <c r="DM3430" i="3"/>
  <c r="DM3426" i="3"/>
  <c r="DM3419" i="3"/>
  <c r="DM3415" i="3"/>
  <c r="DM3411" i="3"/>
  <c r="DM3407" i="3"/>
  <c r="DM3403" i="3"/>
  <c r="DM3399" i="3"/>
  <c r="DM3395" i="3"/>
  <c r="DM3391" i="3"/>
  <c r="DM3387" i="3"/>
  <c r="DM3383" i="3"/>
  <c r="DM3379" i="3"/>
  <c r="DM3375" i="3"/>
  <c r="DM3371" i="3"/>
  <c r="DM3367" i="3"/>
  <c r="DM3363" i="3"/>
  <c r="DM3359" i="3"/>
  <c r="DM3355" i="3"/>
  <c r="DM3351" i="3"/>
  <c r="DM3347" i="3"/>
  <c r="DM3344" i="3"/>
  <c r="DM3340" i="3"/>
  <c r="DM3336" i="3"/>
  <c r="DM3332" i="3"/>
  <c r="DM3328" i="3"/>
  <c r="DM3324" i="3"/>
  <c r="DM3320" i="3"/>
  <c r="DM3316" i="3"/>
  <c r="DM3312" i="3"/>
  <c r="DM3305" i="3"/>
  <c r="DM3301" i="3"/>
  <c r="DM3297" i="3"/>
  <c r="DM3293" i="3"/>
  <c r="DM3286" i="3"/>
  <c r="DM3282" i="3"/>
  <c r="DM3278" i="3"/>
  <c r="DM3274" i="3"/>
  <c r="DM3267" i="3"/>
  <c r="DM3263" i="3"/>
  <c r="DM3259" i="3"/>
  <c r="DM3255" i="3"/>
  <c r="DM3251" i="3"/>
  <c r="DM3247" i="3"/>
  <c r="DM3243" i="3"/>
  <c r="DM3239" i="3"/>
  <c r="DM3235" i="3"/>
  <c r="DM3231" i="3"/>
  <c r="DM3227" i="3"/>
  <c r="DM3223" i="3"/>
  <c r="DM3219" i="3"/>
  <c r="DM3215" i="3"/>
  <c r="DM3211" i="3"/>
  <c r="DM3207" i="3"/>
  <c r="DM3203" i="3"/>
  <c r="DM3199" i="3"/>
  <c r="DM3195" i="3"/>
  <c r="DM3192" i="3"/>
  <c r="DM3188" i="3"/>
  <c r="DM3184" i="3"/>
  <c r="DM3180" i="3"/>
  <c r="DM3176" i="3"/>
  <c r="DM3168" i="3"/>
  <c r="DM3153" i="3"/>
  <c r="DM3149" i="3"/>
  <c r="DM3145" i="3"/>
  <c r="DM3134" i="3"/>
  <c r="DM3107" i="3"/>
  <c r="DM3103" i="3"/>
  <c r="DM3095" i="3"/>
  <c r="DM3087" i="3"/>
  <c r="DM3080" i="3"/>
  <c r="DM3076" i="3"/>
  <c r="DM3072" i="3"/>
  <c r="DM3068" i="3"/>
  <c r="DM3064" i="3"/>
  <c r="DM3060" i="3"/>
  <c r="DM3056" i="3"/>
  <c r="DM3052" i="3"/>
  <c r="DM3048" i="3"/>
  <c r="DM3044" i="3"/>
  <c r="DM3017" i="3"/>
  <c r="DM3013" i="3"/>
  <c r="DM3005" i="3"/>
  <c r="DM3001" i="3"/>
  <c r="DM2997" i="3"/>
  <c r="DM2993" i="3"/>
  <c r="DM2989" i="3"/>
  <c r="DM2974" i="3"/>
  <c r="DM2963" i="3"/>
  <c r="DM2959" i="3"/>
  <c r="DM2951" i="3"/>
  <c r="DM2943" i="3"/>
  <c r="DM2935" i="3"/>
  <c r="DM2931" i="3"/>
  <c r="DM2928" i="3"/>
  <c r="DM2924" i="3"/>
  <c r="DM2920" i="3"/>
  <c r="DM2916" i="3"/>
  <c r="DM2912" i="3"/>
  <c r="DM2908" i="3"/>
  <c r="DM2904" i="3"/>
  <c r="DM2900" i="3"/>
  <c r="DM2896" i="3"/>
  <c r="DM2892" i="3"/>
  <c r="DM2889" i="3"/>
  <c r="DM2885" i="3"/>
  <c r="DM2881" i="3"/>
  <c r="DM2877" i="3"/>
  <c r="DM2873" i="3"/>
  <c r="DM2869" i="3"/>
  <c r="DM2865" i="3"/>
  <c r="DM2861" i="3"/>
  <c r="DM2857" i="3"/>
  <c r="DM2853" i="3"/>
  <c r="DM2849" i="3"/>
  <c r="DM2845" i="3"/>
  <c r="DM2841" i="3"/>
  <c r="DM2837" i="3"/>
  <c r="DM2833" i="3"/>
  <c r="DM2829" i="3"/>
  <c r="DM2825" i="3"/>
  <c r="DM2821" i="3"/>
  <c r="DM2817" i="3"/>
  <c r="DM2814" i="3"/>
  <c r="DM2810" i="3"/>
  <c r="DM2806" i="3"/>
  <c r="DM2802" i="3"/>
  <c r="DM2798" i="3"/>
  <c r="DM2794" i="3"/>
  <c r="DM2790" i="3"/>
  <c r="DM2786" i="3"/>
  <c r="DM2782" i="3"/>
  <c r="DM2778" i="3"/>
  <c r="DM2775" i="3"/>
  <c r="DM2771" i="3"/>
  <c r="DM2759" i="3"/>
  <c r="DM2755" i="3"/>
  <c r="DM2743" i="3"/>
  <c r="DM2739" i="3"/>
  <c r="DM2736" i="3"/>
  <c r="DM2732" i="3"/>
  <c r="DM2728" i="3"/>
  <c r="DM2724" i="3"/>
  <c r="DM2720" i="3"/>
  <c r="DM2716" i="3"/>
  <c r="DM2712" i="3"/>
  <c r="DM2708" i="3"/>
  <c r="DM2704" i="3"/>
  <c r="DM2700" i="3"/>
  <c r="DM2696" i="3"/>
  <c r="DM2692" i="3"/>
  <c r="DM2688" i="3"/>
  <c r="DM2684" i="3"/>
  <c r="DM2680" i="3"/>
  <c r="DM2676" i="3"/>
  <c r="DM2672" i="3"/>
  <c r="DM2668" i="3"/>
  <c r="DM2664" i="3"/>
  <c r="DM2661" i="3"/>
  <c r="DM2657" i="3"/>
  <c r="DM2653" i="3"/>
  <c r="DM2649" i="3"/>
  <c r="DM2645" i="3"/>
  <c r="DM2641" i="3"/>
  <c r="DM2637" i="3"/>
  <c r="DM2633" i="3"/>
  <c r="DM2629" i="3"/>
  <c r="DM2625" i="3"/>
  <c r="DM2621" i="3"/>
  <c r="DM2617" i="3"/>
  <c r="DM2613" i="3"/>
  <c r="DM2609" i="3"/>
  <c r="DM2605" i="3"/>
  <c r="DM2601" i="3"/>
  <c r="DM2597" i="3"/>
  <c r="DM2593" i="3"/>
  <c r="DM2589" i="3"/>
  <c r="DM2586" i="3"/>
  <c r="DM2582" i="3"/>
  <c r="DM2578" i="3"/>
  <c r="DM2574" i="3"/>
  <c r="DM2570" i="3"/>
  <c r="DM2566" i="3"/>
  <c r="DM2562" i="3"/>
  <c r="DM2558" i="3"/>
  <c r="DM2554" i="3"/>
  <c r="DM2550" i="3"/>
  <c r="DM2547" i="3"/>
  <c r="DM2543" i="3"/>
  <c r="DM2539" i="3"/>
  <c r="DM2535" i="3"/>
  <c r="DM2531" i="3"/>
  <c r="DM2528" i="3"/>
  <c r="DM2524" i="3"/>
  <c r="DM2520" i="3"/>
  <c r="DM2516" i="3"/>
  <c r="DM2512" i="3"/>
  <c r="DM2509" i="3"/>
  <c r="DM2505" i="3"/>
  <c r="DM2501" i="3"/>
  <c r="DM2497" i="3"/>
  <c r="DM2493" i="3"/>
  <c r="DM2489" i="3"/>
  <c r="DM2485" i="3"/>
  <c r="DM2481" i="3"/>
  <c r="DM2477" i="3"/>
  <c r="DM2473" i="3"/>
  <c r="DM2469" i="3"/>
  <c r="DM2465" i="3"/>
  <c r="DM2461" i="3"/>
  <c r="DM2457" i="3"/>
  <c r="DM2453" i="3"/>
  <c r="DM2449" i="3"/>
  <c r="DM2445" i="3"/>
  <c r="DM2441" i="3"/>
  <c r="DM2437" i="3"/>
  <c r="DM2434" i="3"/>
  <c r="DM2430" i="3"/>
  <c r="DM2426" i="3"/>
  <c r="DM2422" i="3"/>
  <c r="DM2418" i="3"/>
  <c r="DM2414" i="3"/>
  <c r="DM2410" i="3"/>
  <c r="DM2406" i="3"/>
  <c r="DM2402" i="3"/>
  <c r="DM2398" i="3"/>
  <c r="DM2395" i="3"/>
  <c r="DM2391" i="3"/>
  <c r="DM2387" i="3"/>
  <c r="DM2383" i="3"/>
  <c r="DM2379" i="3"/>
  <c r="DM2376" i="3"/>
  <c r="DM2372" i="3"/>
  <c r="DM2368" i="3"/>
  <c r="DM2364" i="3"/>
  <c r="DM2360" i="3"/>
  <c r="DM2357" i="3"/>
  <c r="DM2353" i="3"/>
  <c r="DM2349" i="3"/>
  <c r="DM2345" i="3"/>
  <c r="DM2341" i="3"/>
  <c r="DM2337" i="3"/>
  <c r="DM2333" i="3"/>
  <c r="DM2329" i="3"/>
  <c r="DM2325" i="3"/>
  <c r="DM2321" i="3"/>
  <c r="DM2318" i="3"/>
  <c r="DM2314" i="3"/>
  <c r="DM2310" i="3"/>
  <c r="DM2306" i="3"/>
  <c r="DM2302" i="3"/>
  <c r="DM2298" i="3"/>
  <c r="DM2294" i="3"/>
  <c r="DM2290" i="3"/>
  <c r="DM2286" i="3"/>
  <c r="DM2263" i="3"/>
  <c r="DM2259" i="3"/>
  <c r="DM2247" i="3"/>
  <c r="DM2243" i="3"/>
  <c r="DM2231" i="3"/>
  <c r="DM2227" i="3"/>
  <c r="DM2215" i="3"/>
  <c r="DM2211" i="3"/>
  <c r="DM2204" i="3"/>
  <c r="DM2200" i="3"/>
  <c r="DM2196" i="3"/>
  <c r="DM2192" i="3"/>
  <c r="DM2188" i="3"/>
  <c r="DM2184" i="3"/>
  <c r="DM2180" i="3"/>
  <c r="DM2176" i="3"/>
  <c r="DM2172" i="3"/>
  <c r="DM2165" i="3"/>
  <c r="DM2161" i="3"/>
  <c r="DM2157" i="3"/>
  <c r="DM2153" i="3"/>
  <c r="DM2149" i="3"/>
  <c r="DM2145" i="3"/>
  <c r="DM2141" i="3"/>
  <c r="DM2137" i="3"/>
  <c r="DM2133" i="3"/>
  <c r="DM2130" i="3"/>
  <c r="DM2126" i="3"/>
  <c r="DM2122" i="3"/>
  <c r="DM2118" i="3"/>
  <c r="DM2114" i="3"/>
  <c r="DM2110" i="3"/>
  <c r="DM2106" i="3"/>
  <c r="DM2102" i="3"/>
  <c r="DM2098" i="3"/>
  <c r="DM2094" i="3"/>
  <c r="DM2090" i="3"/>
  <c r="DM2086" i="3"/>
  <c r="DM2082" i="3"/>
  <c r="DM2078" i="3"/>
  <c r="DM2074" i="3"/>
  <c r="DM2070" i="3"/>
  <c r="DM2066" i="3"/>
  <c r="DM2062" i="3"/>
  <c r="DM2058" i="3"/>
  <c r="DM2035" i="3"/>
  <c r="DM2023" i="3"/>
  <c r="DM2019" i="3"/>
  <c r="DM2016" i="3"/>
  <c r="DM2012" i="3"/>
  <c r="DM2008" i="3"/>
  <c r="DM2004" i="3"/>
  <c r="DM2000" i="3"/>
  <c r="DM1996" i="3"/>
  <c r="DM1992" i="3"/>
  <c r="DM1988" i="3"/>
  <c r="DM1984" i="3"/>
  <c r="DM1980" i="3"/>
  <c r="DM1977" i="3"/>
  <c r="DM1973" i="3"/>
  <c r="DM1965" i="3"/>
  <c r="DM1961" i="3"/>
  <c r="DM1957" i="3"/>
  <c r="DM1953" i="3"/>
  <c r="DM1949" i="3"/>
  <c r="DM1945" i="3"/>
  <c r="DM1941" i="3"/>
  <c r="DM1933" i="3"/>
  <c r="DM1929" i="3"/>
  <c r="DM1925" i="3"/>
  <c r="DM1917" i="3"/>
  <c r="DM1913" i="3"/>
  <c r="DM1909" i="3"/>
  <c r="DM1902" i="3"/>
  <c r="DM1898" i="3"/>
  <c r="DM1890" i="3"/>
  <c r="DM1886" i="3"/>
  <c r="DM1882" i="3"/>
  <c r="DM1878" i="3"/>
  <c r="DM1874" i="3"/>
  <c r="DM1870" i="3"/>
  <c r="DM1866" i="3"/>
  <c r="DM1863" i="3"/>
  <c r="DM1859" i="3"/>
  <c r="DM1855" i="3"/>
  <c r="DM1851" i="3"/>
  <c r="DM1847" i="3"/>
  <c r="DM1843" i="3"/>
  <c r="DM1839" i="3"/>
  <c r="DM1831" i="3"/>
  <c r="DM1827" i="3"/>
  <c r="DM1823" i="3"/>
  <c r="DM1815" i="3"/>
  <c r="DM1811" i="3"/>
  <c r="DM1807" i="3"/>
  <c r="DM1803" i="3"/>
  <c r="DM1799" i="3"/>
  <c r="DM1795" i="3"/>
  <c r="DM1791" i="3"/>
  <c r="DM1783" i="3"/>
  <c r="DM1779" i="3"/>
  <c r="DM1775" i="3"/>
  <c r="DM1771" i="3"/>
  <c r="DM1767" i="3"/>
  <c r="DM1763" i="3"/>
  <c r="DM1759" i="3"/>
  <c r="DM1751" i="3"/>
  <c r="DM1747" i="3"/>
  <c r="DM1743" i="3"/>
  <c r="DM1735" i="3"/>
  <c r="DM1731" i="3"/>
  <c r="DM1727" i="3"/>
  <c r="DM1723" i="3"/>
  <c r="DM1719" i="3"/>
  <c r="DM1715" i="3"/>
  <c r="DM1711" i="3"/>
  <c r="DM1703" i="3"/>
  <c r="DM1699" i="3"/>
  <c r="DM1695" i="3"/>
  <c r="DM1687" i="3"/>
  <c r="DM1683" i="3"/>
  <c r="DM1679" i="3"/>
  <c r="DM1671" i="3"/>
  <c r="DM1667" i="3"/>
  <c r="DM1663" i="3"/>
  <c r="DM1659" i="3"/>
  <c r="DM1655" i="3"/>
  <c r="DM1651" i="3"/>
  <c r="DM1647" i="3"/>
  <c r="DM1643" i="3"/>
  <c r="DM1639" i="3"/>
  <c r="DM1635" i="3"/>
  <c r="DM1631" i="3"/>
  <c r="DM1623" i="3"/>
  <c r="DM1619" i="3"/>
  <c r="DM1615" i="3"/>
  <c r="DM1607" i="3"/>
  <c r="DM1603" i="3"/>
  <c r="DM1599" i="3"/>
  <c r="DM1595" i="3"/>
  <c r="DM1591" i="3"/>
  <c r="DM1587" i="3"/>
  <c r="DM1583" i="3"/>
  <c r="DM1575" i="3"/>
  <c r="DM1571" i="3"/>
  <c r="DM1567" i="3"/>
  <c r="DM1559" i="3"/>
  <c r="DM1555" i="3"/>
  <c r="DM1551" i="3"/>
  <c r="DM1547" i="3"/>
  <c r="DM1543" i="3"/>
  <c r="DM1539" i="3"/>
  <c r="DM1535" i="3"/>
  <c r="DM1531" i="3"/>
  <c r="DM1527" i="3"/>
  <c r="DM1523" i="3"/>
  <c r="DM1519" i="3"/>
  <c r="DM1515" i="3"/>
  <c r="DM1511" i="3"/>
  <c r="DM1507" i="3"/>
  <c r="DM1503" i="3"/>
  <c r="DM1499" i="3"/>
  <c r="DM1495" i="3"/>
  <c r="DM1490" i="3"/>
  <c r="DM1482" i="3"/>
  <c r="DM1474" i="3"/>
  <c r="DM1466" i="3"/>
  <c r="DM1458" i="3"/>
  <c r="DM1450" i="3"/>
  <c r="DM1493" i="3"/>
  <c r="DM1489" i="3"/>
  <c r="DM1485" i="3"/>
  <c r="DM1481" i="3"/>
  <c r="DM1477" i="3"/>
  <c r="DM1473" i="3"/>
  <c r="DM1469" i="3"/>
  <c r="DM1465" i="3"/>
  <c r="DM1461" i="3"/>
  <c r="DM1457" i="3"/>
  <c r="DM1453" i="3"/>
  <c r="DM1449" i="3"/>
  <c r="DM1445" i="3"/>
  <c r="DM1389" i="3"/>
  <c r="DM1313" i="3"/>
  <c r="DM1237" i="3"/>
  <c r="DM1161" i="3"/>
  <c r="DM1085" i="3"/>
  <c r="DM1009" i="3"/>
  <c r="DM969" i="3"/>
  <c r="DM965" i="3"/>
  <c r="DM961" i="3"/>
  <c r="DM957" i="3"/>
  <c r="DM953" i="3"/>
  <c r="DM949" i="3"/>
  <c r="DM945" i="3"/>
  <c r="DM937" i="3"/>
  <c r="DM933" i="3"/>
  <c r="DM929" i="3"/>
  <c r="DM921" i="3"/>
  <c r="DM917" i="3"/>
  <c r="DM913" i="3"/>
  <c r="DM905" i="3"/>
  <c r="DM901" i="3"/>
  <c r="DM897" i="3"/>
  <c r="DM893" i="3"/>
  <c r="DM889" i="3"/>
  <c r="DM885" i="3"/>
  <c r="DM881" i="3"/>
  <c r="DM873" i="3"/>
  <c r="DM869" i="3"/>
  <c r="DM865" i="3"/>
  <c r="DM857" i="3"/>
  <c r="DM853" i="3"/>
  <c r="DM849" i="3"/>
  <c r="DM841" i="3"/>
  <c r="DM837" i="3"/>
  <c r="DM833" i="3"/>
  <c r="DM829" i="3"/>
  <c r="DM825" i="3"/>
  <c r="DM821" i="3"/>
  <c r="DM817" i="3"/>
  <c r="DM813" i="3"/>
  <c r="DM809" i="3"/>
  <c r="DM805" i="3"/>
  <c r="DM801" i="3"/>
  <c r="DM797" i="3"/>
  <c r="DM793" i="3"/>
  <c r="DM789" i="3"/>
  <c r="DM785" i="3"/>
  <c r="DM781" i="3"/>
  <c r="DM777" i="3"/>
  <c r="DM773" i="3"/>
  <c r="DM769" i="3"/>
  <c r="DM765" i="3"/>
  <c r="DM761" i="3"/>
  <c r="DM757" i="3"/>
  <c r="DM753" i="3"/>
  <c r="DM749" i="3"/>
  <c r="DM745" i="3"/>
  <c r="DM741" i="3"/>
  <c r="DM737" i="3"/>
  <c r="DM733" i="3"/>
  <c r="DM729" i="3"/>
  <c r="DM725" i="3"/>
  <c r="DM721" i="3"/>
  <c r="DM717" i="3"/>
  <c r="DM713" i="3"/>
  <c r="DM709" i="3"/>
  <c r="DM705" i="3"/>
  <c r="DM701" i="3"/>
  <c r="DM697" i="3"/>
  <c r="DM693" i="3"/>
  <c r="DM689" i="3"/>
  <c r="DM685" i="3"/>
  <c r="DM681" i="3"/>
  <c r="DM677" i="3"/>
  <c r="DM673" i="3"/>
  <c r="DM669" i="3"/>
  <c r="DM665" i="3"/>
  <c r="DM661" i="3"/>
  <c r="DM657" i="3"/>
  <c r="DM653" i="3"/>
  <c r="DM649" i="3"/>
  <c r="DM645" i="3"/>
  <c r="DM641" i="3"/>
  <c r="DM637" i="3"/>
  <c r="DM633" i="3"/>
  <c r="DM629" i="3"/>
  <c r="DM625" i="3"/>
  <c r="DM621" i="3"/>
  <c r="DM617" i="3"/>
  <c r="DM613" i="3"/>
  <c r="DM609" i="3"/>
  <c r="DM605" i="3"/>
  <c r="DM601" i="3"/>
  <c r="DM597" i="3"/>
  <c r="DM593" i="3"/>
  <c r="DM589" i="3"/>
  <c r="DM585" i="3"/>
  <c r="DM581" i="3"/>
  <c r="DM577" i="3"/>
  <c r="DM573" i="3"/>
  <c r="DM569" i="3"/>
  <c r="DM565" i="3"/>
  <c r="DM561" i="3"/>
  <c r="DM557" i="3"/>
  <c r="DM553" i="3"/>
  <c r="DM549" i="3"/>
  <c r="DM545" i="3"/>
  <c r="DM541" i="3"/>
  <c r="DM537" i="3"/>
  <c r="DM533" i="3"/>
  <c r="DM529" i="3"/>
  <c r="DM525" i="3"/>
  <c r="DM521" i="3"/>
  <c r="DM517" i="3"/>
  <c r="DM513" i="3"/>
  <c r="DM509" i="3"/>
  <c r="DM505" i="3"/>
  <c r="DM501" i="3"/>
  <c r="DM497" i="3"/>
  <c r="DM493" i="3"/>
  <c r="DM489" i="3"/>
  <c r="DM485" i="3"/>
  <c r="DM481" i="3"/>
  <c r="DM477" i="3"/>
  <c r="DM473" i="3"/>
  <c r="DM469" i="3"/>
  <c r="DM465" i="3"/>
  <c r="DM461" i="3"/>
  <c r="DM457" i="3"/>
  <c r="DM4296" i="3"/>
  <c r="DM4277" i="3"/>
  <c r="DM3840" i="3"/>
  <c r="DM3762" i="3"/>
  <c r="DM3758" i="3"/>
  <c r="DM3754" i="3"/>
  <c r="DM3750" i="3"/>
  <c r="DM3746" i="3"/>
  <c r="DM3743" i="3"/>
  <c r="DM3739" i="3"/>
  <c r="DM3735" i="3"/>
  <c r="DM3731" i="3"/>
  <c r="DM3727" i="3"/>
  <c r="DM3724" i="3"/>
  <c r="DM3720" i="3"/>
  <c r="DM3716" i="3"/>
  <c r="DM3712" i="3"/>
  <c r="DM3708" i="3"/>
  <c r="DM3704" i="3"/>
  <c r="DM3700" i="3"/>
  <c r="DM3696" i="3"/>
  <c r="DM3692" i="3"/>
  <c r="DM3685" i="3"/>
  <c r="DM3681" i="3"/>
  <c r="DM3677" i="3"/>
  <c r="DM3673" i="3"/>
  <c r="DM3669" i="3"/>
  <c r="DM3665" i="3"/>
  <c r="DM3661" i="3"/>
  <c r="DM3657" i="3"/>
  <c r="DM3653" i="3"/>
  <c r="DM3650" i="3"/>
  <c r="DM3646" i="3"/>
  <c r="DM3642" i="3"/>
  <c r="DM3638" i="3"/>
  <c r="DM3634" i="3"/>
  <c r="DM3630" i="3"/>
  <c r="DM3614" i="3"/>
  <c r="DM3598" i="3"/>
  <c r="DM3582" i="3"/>
  <c r="DM3567" i="3"/>
  <c r="DM3563" i="3"/>
  <c r="DM3559" i="3"/>
  <c r="DM3555" i="3"/>
  <c r="DM3551" i="3"/>
  <c r="DM3547" i="3"/>
  <c r="DM3539" i="3"/>
  <c r="DM3535" i="3"/>
  <c r="DM3531" i="3"/>
  <c r="DM3527" i="3"/>
  <c r="DM3523" i="3"/>
  <c r="DM3519" i="3"/>
  <c r="DM3515" i="3"/>
  <c r="DM3511" i="3"/>
  <c r="DM3507" i="3"/>
  <c r="DM3503" i="3"/>
  <c r="DM3499" i="3"/>
  <c r="DM3496" i="3"/>
  <c r="DM3492" i="3"/>
  <c r="DM3488" i="3"/>
  <c r="DM3484" i="3"/>
  <c r="DM3480" i="3"/>
  <c r="DM3476" i="3"/>
  <c r="DM3472" i="3"/>
  <c r="DM3468" i="3"/>
  <c r="DM3464" i="3"/>
  <c r="DM3457" i="3"/>
  <c r="DM3453" i="3"/>
  <c r="DM3449" i="3"/>
  <c r="DM3445" i="3"/>
  <c r="DM3441" i="3"/>
  <c r="DM3437" i="3"/>
  <c r="DM3433" i="3"/>
  <c r="DM3429" i="3"/>
  <c r="DM3425" i="3"/>
  <c r="DM3422" i="3"/>
  <c r="DM3418" i="3"/>
  <c r="DM3414" i="3"/>
  <c r="DM3410" i="3"/>
  <c r="DM3406" i="3"/>
  <c r="DM3402" i="3"/>
  <c r="DM3398" i="3"/>
  <c r="DM3394" i="3"/>
  <c r="DM3390" i="3"/>
  <c r="DM3386" i="3"/>
  <c r="DM3382" i="3"/>
  <c r="DM3378" i="3"/>
  <c r="DM3374" i="3"/>
  <c r="DM3370" i="3"/>
  <c r="DM3366" i="3"/>
  <c r="DM3362" i="3"/>
  <c r="DM3358" i="3"/>
  <c r="DM3354" i="3"/>
  <c r="DM3350" i="3"/>
  <c r="DM3343" i="3"/>
  <c r="DM3339" i="3"/>
  <c r="DM3335" i="3"/>
  <c r="DM3331" i="3"/>
  <c r="DM3327" i="3"/>
  <c r="DM3323" i="3"/>
  <c r="DM3319" i="3"/>
  <c r="DM3315" i="3"/>
  <c r="DM3311" i="3"/>
  <c r="DM3308" i="3"/>
  <c r="DM3304" i="3"/>
  <c r="DM3300" i="3"/>
  <c r="DM3296" i="3"/>
  <c r="DM3292" i="3"/>
  <c r="DM3289" i="3"/>
  <c r="DM3285" i="3"/>
  <c r="DM3281" i="3"/>
  <c r="DM3277" i="3"/>
  <c r="DM3273" i="3"/>
  <c r="DM3270" i="3"/>
  <c r="DM3266" i="3"/>
  <c r="DM3262" i="3"/>
  <c r="DM3258" i="3"/>
  <c r="DM3254" i="3"/>
  <c r="DM3250" i="3"/>
  <c r="DM3246" i="3"/>
  <c r="DM3242" i="3"/>
  <c r="DM3238" i="3"/>
  <c r="DM3234" i="3"/>
  <c r="DM3230" i="3"/>
  <c r="DM3226" i="3"/>
  <c r="DM3222" i="3"/>
  <c r="DM3218" i="3"/>
  <c r="DM3214" i="3"/>
  <c r="DM3210" i="3"/>
  <c r="DM3206" i="3"/>
  <c r="DM3202" i="3"/>
  <c r="DM3198" i="3"/>
  <c r="DM3191" i="3"/>
  <c r="DM3187" i="3"/>
  <c r="DM3183" i="3"/>
  <c r="DM3179" i="3"/>
  <c r="DM3175" i="3"/>
  <c r="DM3159" i="3"/>
  <c r="DM3152" i="3"/>
  <c r="DM3137" i="3"/>
  <c r="DM3133" i="3"/>
  <c r="DM3129" i="3"/>
  <c r="DM3118" i="3"/>
  <c r="DM3114" i="3"/>
  <c r="DM3102" i="3"/>
  <c r="DM3098" i="3"/>
  <c r="DM3086" i="3"/>
  <c r="DM3082" i="3"/>
  <c r="DM3079" i="3"/>
  <c r="DM3071" i="3"/>
  <c r="DM3063" i="3"/>
  <c r="DM3055" i="3"/>
  <c r="DM3047" i="3"/>
  <c r="DM3040" i="3"/>
  <c r="DM3036" i="3"/>
  <c r="DM3032" i="3"/>
  <c r="DM3028" i="3"/>
  <c r="DM3024" i="3"/>
  <c r="DM3020" i="3"/>
  <c r="DM3016" i="3"/>
  <c r="DM3012" i="3"/>
  <c r="DM3008" i="3"/>
  <c r="DM3004" i="3"/>
  <c r="DM3000" i="3"/>
  <c r="DM2996" i="3"/>
  <c r="DM2992" i="3"/>
  <c r="DM2988" i="3"/>
  <c r="DM2985" i="3"/>
  <c r="DM2981" i="3"/>
  <c r="DM2977" i="3"/>
  <c r="DM2973" i="3"/>
  <c r="DM2969" i="3"/>
  <c r="DM2958" i="3"/>
  <c r="DM2942" i="3"/>
  <c r="DM2938" i="3"/>
  <c r="DM2934" i="3"/>
  <c r="DM2930" i="3"/>
  <c r="DM2919" i="3"/>
  <c r="DM2915" i="3"/>
  <c r="DM2903" i="3"/>
  <c r="DM2899" i="3"/>
  <c r="DM2888" i="3"/>
  <c r="DM2884" i="3"/>
  <c r="DM2880" i="3"/>
  <c r="DM2876" i="3"/>
  <c r="DM2872" i="3"/>
  <c r="DM2868" i="3"/>
  <c r="DM2864" i="3"/>
  <c r="DM2860" i="3"/>
  <c r="DM2856" i="3"/>
  <c r="DM2852" i="3"/>
  <c r="DM2848" i="3"/>
  <c r="DM2844" i="3"/>
  <c r="DM2840" i="3"/>
  <c r="DM2836" i="3"/>
  <c r="DM2832" i="3"/>
  <c r="DM2828" i="3"/>
  <c r="DM2824" i="3"/>
  <c r="DM2820" i="3"/>
  <c r="DM2816" i="3"/>
  <c r="DM2813" i="3"/>
  <c r="DM2809" i="3"/>
  <c r="DM2805" i="3"/>
  <c r="DM2801" i="3"/>
  <c r="DM2797" i="3"/>
  <c r="DM2793" i="3"/>
  <c r="DM2789" i="3"/>
  <c r="DM2785" i="3"/>
  <c r="DM2781" i="3"/>
  <c r="DM2777" i="3"/>
  <c r="DM2774" i="3"/>
  <c r="DM2770" i="3"/>
  <c r="DM2766" i="3"/>
  <c r="DM2762" i="3"/>
  <c r="DM2758" i="3"/>
  <c r="DM2754" i="3"/>
  <c r="DM2750" i="3"/>
  <c r="DM2746" i="3"/>
  <c r="DM2742" i="3"/>
  <c r="DM2711" i="3"/>
  <c r="DM2707" i="3"/>
  <c r="DM2695" i="3"/>
  <c r="DM2691" i="3"/>
  <c r="DM2679" i="3"/>
  <c r="DM2675" i="3"/>
  <c r="DM2663" i="3"/>
  <c r="DM2660" i="3"/>
  <c r="DM2656" i="3"/>
  <c r="DM2652" i="3"/>
  <c r="DM2648" i="3"/>
  <c r="DM2644" i="3"/>
  <c r="DM2640" i="3"/>
  <c r="DM2636" i="3"/>
  <c r="DM2632" i="3"/>
  <c r="DM2628" i="3"/>
  <c r="DM2624" i="3"/>
  <c r="DM2620" i="3"/>
  <c r="DM2616" i="3"/>
  <c r="DM2612" i="3"/>
  <c r="DM2608" i="3"/>
  <c r="DM2604" i="3"/>
  <c r="DM2600" i="3"/>
  <c r="DM2596" i="3"/>
  <c r="DM2592" i="3"/>
  <c r="DM2588" i="3"/>
  <c r="DM2585" i="3"/>
  <c r="DM2581" i="3"/>
  <c r="DM2577" i="3"/>
  <c r="DM2573" i="3"/>
  <c r="DM2569" i="3"/>
  <c r="DM2565" i="3"/>
  <c r="DM2561" i="3"/>
  <c r="DM2557" i="3"/>
  <c r="DM2553" i="3"/>
  <c r="DM2549" i="3"/>
  <c r="DM2546" i="3"/>
  <c r="DM2542" i="3"/>
  <c r="DM2538" i="3"/>
  <c r="DM2534" i="3"/>
  <c r="DM2530" i="3"/>
  <c r="DM2527" i="3"/>
  <c r="DM2523" i="3"/>
  <c r="DM2519" i="3"/>
  <c r="DM2515" i="3"/>
  <c r="DM2511" i="3"/>
  <c r="DM2508" i="3"/>
  <c r="DM2504" i="3"/>
  <c r="DM2500" i="3"/>
  <c r="DM2496" i="3"/>
  <c r="DM2492" i="3"/>
  <c r="DM2488" i="3"/>
  <c r="DM2484" i="3"/>
  <c r="DM2480" i="3"/>
  <c r="DM2476" i="3"/>
  <c r="DM2472" i="3"/>
  <c r="DM2468" i="3"/>
  <c r="DM2464" i="3"/>
  <c r="DM2460" i="3"/>
  <c r="DM2456" i="3"/>
  <c r="DM2452" i="3"/>
  <c r="DM2448" i="3"/>
  <c r="DM2444" i="3"/>
  <c r="DM2440" i="3"/>
  <c r="DM2436" i="3"/>
  <c r="DM2433" i="3"/>
  <c r="DM2429" i="3"/>
  <c r="DM2425" i="3"/>
  <c r="DM2421" i="3"/>
  <c r="DM2417" i="3"/>
  <c r="DM2413" i="3"/>
  <c r="DM2409" i="3"/>
  <c r="DM2405" i="3"/>
  <c r="DM2401" i="3"/>
  <c r="DM2397" i="3"/>
  <c r="DM2394" i="3"/>
  <c r="DM2390" i="3"/>
  <c r="DM2386" i="3"/>
  <c r="DM2382" i="3"/>
  <c r="DM2378" i="3"/>
  <c r="DM2375" i="3"/>
  <c r="DM2371" i="3"/>
  <c r="DM2359" i="3"/>
  <c r="DM2356" i="3"/>
  <c r="DM2352" i="3"/>
  <c r="DM2348" i="3"/>
  <c r="DM2344" i="3"/>
  <c r="DM2340" i="3"/>
  <c r="DM2336" i="3"/>
  <c r="DM2332" i="3"/>
  <c r="DM2328" i="3"/>
  <c r="DM2324" i="3"/>
  <c r="DM2317" i="3"/>
  <c r="DM2313" i="3"/>
  <c r="DM2309" i="3"/>
  <c r="DM2305" i="3"/>
  <c r="DM2301" i="3"/>
  <c r="DM2297" i="3"/>
  <c r="DM2293" i="3"/>
  <c r="DM2289" i="3"/>
  <c r="DM2285" i="3"/>
  <c r="DM2282" i="3"/>
  <c r="DM2278" i="3"/>
  <c r="DM2274" i="3"/>
  <c r="DM2270" i="3"/>
  <c r="DM2266" i="3"/>
  <c r="DM2262" i="3"/>
  <c r="DM2258" i="3"/>
  <c r="DM2254" i="3"/>
  <c r="DM2250" i="3"/>
  <c r="DM2246" i="3"/>
  <c r="DM2242" i="3"/>
  <c r="DM2238" i="3"/>
  <c r="DM2234" i="3"/>
  <c r="DM2230" i="3"/>
  <c r="DM2226" i="3"/>
  <c r="DM2222" i="3"/>
  <c r="DM2218" i="3"/>
  <c r="DM2214" i="3"/>
  <c r="DM2210" i="3"/>
  <c r="DM2195" i="3"/>
  <c r="DM2183" i="3"/>
  <c r="DM2179" i="3"/>
  <c r="DM2168" i="3"/>
  <c r="DM2164" i="3"/>
  <c r="DM2160" i="3"/>
  <c r="DM2156" i="3"/>
  <c r="DM2152" i="3"/>
  <c r="DM2148" i="3"/>
  <c r="DM2144" i="3"/>
  <c r="DM2140" i="3"/>
  <c r="DM2136" i="3"/>
  <c r="DM2132" i="3"/>
  <c r="DM2129" i="3"/>
  <c r="DM2125" i="3"/>
  <c r="DM2121" i="3"/>
  <c r="DM2117" i="3"/>
  <c r="DM2113" i="3"/>
  <c r="DM2109" i="3"/>
  <c r="DM2105" i="3"/>
  <c r="DM2101" i="3"/>
  <c r="DM2097" i="3"/>
  <c r="DM2093" i="3"/>
  <c r="DM2089" i="3"/>
  <c r="DM2085" i="3"/>
  <c r="DM2081" i="3"/>
  <c r="DM2077" i="3"/>
  <c r="DM2073" i="3"/>
  <c r="DM2069" i="3"/>
  <c r="DM2065" i="3"/>
  <c r="DM2061" i="3"/>
  <c r="DM2057" i="3"/>
  <c r="DM2054" i="3"/>
  <c r="DM2050" i="3"/>
  <c r="DM2046" i="3"/>
  <c r="DM2042" i="3"/>
  <c r="DM2038" i="3"/>
  <c r="DM2034" i="3"/>
  <c r="DM2030" i="3"/>
  <c r="DM2026" i="3"/>
  <c r="DM2018" i="3"/>
  <c r="DM2015" i="3"/>
  <c r="DM2007" i="3"/>
  <c r="DM2003" i="3"/>
  <c r="DM1999" i="3"/>
  <c r="DM1995" i="3"/>
  <c r="DM1991" i="3"/>
  <c r="DM1987" i="3"/>
  <c r="DM1983" i="3"/>
  <c r="DM1976" i="3"/>
  <c r="DM1972" i="3"/>
  <c r="DM1968" i="3"/>
  <c r="DM1964" i="3"/>
  <c r="DM1960" i="3"/>
  <c r="DM1956" i="3"/>
  <c r="DM1952" i="3"/>
  <c r="DM1948" i="3"/>
  <c r="DM1944" i="3"/>
  <c r="DM1940" i="3"/>
  <c r="DM1936" i="3"/>
  <c r="DM1932" i="3"/>
  <c r="DM1928" i="3"/>
  <c r="DM1924" i="3"/>
  <c r="DM1920" i="3"/>
  <c r="DM1916" i="3"/>
  <c r="DM1912" i="3"/>
  <c r="DM1908" i="3"/>
  <c r="DM1904" i="3"/>
  <c r="DM1901" i="3"/>
  <c r="DM1897" i="3"/>
  <c r="DM1893" i="3"/>
  <c r="DM1889" i="3"/>
  <c r="DM1885" i="3"/>
  <c r="DM1881" i="3"/>
  <c r="DM1877" i="3"/>
  <c r="DM1873" i="3"/>
  <c r="DM1869" i="3"/>
  <c r="DM1865" i="3"/>
  <c r="DM1862" i="3"/>
  <c r="DM1858" i="3"/>
  <c r="DM1854" i="3"/>
  <c r="DM1850" i="3"/>
  <c r="DM1846" i="3"/>
  <c r="DM1842" i="3"/>
  <c r="DM1838" i="3"/>
  <c r="DM1834" i="3"/>
  <c r="DM1830" i="3"/>
  <c r="DM1826" i="3"/>
  <c r="DM1822" i="3"/>
  <c r="DM1818" i="3"/>
  <c r="DM1814" i="3"/>
  <c r="DM1810" i="3"/>
  <c r="DM1806" i="3"/>
  <c r="DM1802" i="3"/>
  <c r="DM1798" i="3"/>
  <c r="DM1794" i="3"/>
  <c r="DM1790" i="3"/>
  <c r="DM1786" i="3"/>
  <c r="DM1782" i="3"/>
  <c r="DM1778" i="3"/>
  <c r="DM1774" i="3"/>
  <c r="DM1770" i="3"/>
  <c r="DM1766" i="3"/>
  <c r="DM1762" i="3"/>
  <c r="DM1758" i="3"/>
  <c r="DM1754" i="3"/>
  <c r="DM1750" i="3"/>
  <c r="DM1746" i="3"/>
  <c r="DM1742" i="3"/>
  <c r="DM1738" i="3"/>
  <c r="DM1734" i="3"/>
  <c r="DM1730" i="3"/>
  <c r="DM1726" i="3"/>
  <c r="DM1722" i="3"/>
  <c r="DM1718" i="3"/>
  <c r="DM1714" i="3"/>
  <c r="DM1710" i="3"/>
  <c r="DM1706" i="3"/>
  <c r="DM1702" i="3"/>
  <c r="DM1698" i="3"/>
  <c r="DM1694" i="3"/>
  <c r="DM1690" i="3"/>
  <c r="DM1686" i="3"/>
  <c r="DM1682" i="3"/>
  <c r="DM1678" i="3"/>
  <c r="DM1674" i="3"/>
  <c r="DM1670" i="3"/>
  <c r="DM1666" i="3"/>
  <c r="DM1662" i="3"/>
  <c r="DM1658" i="3"/>
  <c r="DM1654" i="3"/>
  <c r="DM1650" i="3"/>
  <c r="DM1646" i="3"/>
  <c r="DM1642" i="3"/>
  <c r="DM1638" i="3"/>
  <c r="DM1634" i="3"/>
  <c r="DM1630" i="3"/>
  <c r="DM1626" i="3"/>
  <c r="DM1622" i="3"/>
  <c r="DM1618" i="3"/>
  <c r="DM1614" i="3"/>
  <c r="DM1610" i="3"/>
  <c r="DM1606" i="3"/>
  <c r="DM1602" i="3"/>
  <c r="DM1598" i="3"/>
  <c r="DM1594" i="3"/>
  <c r="DM1590" i="3"/>
  <c r="DM1586" i="3"/>
  <c r="DM1582" i="3"/>
  <c r="DM1578" i="3"/>
  <c r="DM1574" i="3"/>
  <c r="DM1570" i="3"/>
  <c r="DM1566" i="3"/>
  <c r="DM1562" i="3"/>
  <c r="DM1558" i="3"/>
  <c r="DM1554" i="3"/>
  <c r="DM1550" i="3"/>
  <c r="DM1546" i="3"/>
  <c r="DM1542" i="3"/>
  <c r="DM1538" i="3"/>
  <c r="DM1534" i="3"/>
  <c r="DM1530" i="3"/>
  <c r="DM1526" i="3"/>
  <c r="DM1522" i="3"/>
  <c r="DM1518" i="3"/>
  <c r="DM1514" i="3"/>
  <c r="DM1510" i="3"/>
  <c r="DM1506" i="3"/>
  <c r="DM1502" i="3"/>
  <c r="DM1498" i="3"/>
  <c r="DM1494" i="3"/>
  <c r="DM3802" i="3"/>
  <c r="DM4258" i="3"/>
  <c r="DM4182" i="3"/>
  <c r="DM4068" i="3"/>
  <c r="DM4049" i="3"/>
  <c r="DM4030" i="3"/>
  <c r="DM3916" i="3"/>
  <c r="DM3897" i="3"/>
  <c r="DM3878" i="3"/>
  <c r="DN3629" i="3"/>
  <c r="DO3629" i="3" s="1"/>
  <c r="DM3629" i="3"/>
  <c r="DN3621" i="3"/>
  <c r="DO3621" i="3" s="1"/>
  <c r="DM3621" i="3"/>
  <c r="DN3617" i="3"/>
  <c r="DO3617" i="3" s="1"/>
  <c r="DM3617" i="3"/>
  <c r="DN3613" i="3"/>
  <c r="DO3613" i="3" s="1"/>
  <c r="DM3613" i="3"/>
  <c r="DN3609" i="3"/>
  <c r="DO3609" i="3" s="1"/>
  <c r="DM3609" i="3"/>
  <c r="DN3601" i="3"/>
  <c r="DO3601" i="3" s="1"/>
  <c r="DM3601" i="3"/>
  <c r="DN3597" i="3"/>
  <c r="DO3597" i="3" s="1"/>
  <c r="DM3597" i="3"/>
  <c r="DN3593" i="3"/>
  <c r="DO3593" i="3" s="1"/>
  <c r="DM3593" i="3"/>
  <c r="DN3585" i="3"/>
  <c r="DO3585" i="3" s="1"/>
  <c r="DM3585" i="3"/>
  <c r="DN3581" i="3"/>
  <c r="DO3581" i="3" s="1"/>
  <c r="DM3581" i="3"/>
  <c r="DN3577" i="3"/>
  <c r="DO3577" i="3" s="1"/>
  <c r="DM3577" i="3"/>
  <c r="DN3574" i="3"/>
  <c r="DO3574" i="3" s="1"/>
  <c r="DM3574" i="3"/>
  <c r="DN3570" i="3"/>
  <c r="DO3570" i="3" s="1"/>
  <c r="DM3570" i="3"/>
  <c r="DN3562" i="3"/>
  <c r="DO3562" i="3" s="1"/>
  <c r="DM3562" i="3"/>
  <c r="DN3558" i="3"/>
  <c r="DO3558" i="3" s="1"/>
  <c r="DM3558" i="3"/>
  <c r="DN3554" i="3"/>
  <c r="DO3554" i="3" s="1"/>
  <c r="DM3554" i="3"/>
  <c r="DN3546" i="3"/>
  <c r="DO3546" i="3" s="1"/>
  <c r="DM3546" i="3"/>
  <c r="DN3542" i="3"/>
  <c r="DO3542" i="3" s="1"/>
  <c r="DM3542" i="3"/>
  <c r="DN3538" i="3"/>
  <c r="DO3538" i="3" s="1"/>
  <c r="DM3538" i="3"/>
  <c r="DN3170" i="3"/>
  <c r="DO3170" i="3" s="1"/>
  <c r="DM3170" i="3"/>
  <c r="DN3162" i="3"/>
  <c r="DO3162" i="3" s="1"/>
  <c r="DM3162" i="3"/>
  <c r="DN3158" i="3"/>
  <c r="DO3158" i="3" s="1"/>
  <c r="DM3158" i="3"/>
  <c r="DN3155" i="3"/>
  <c r="DO3155" i="3" s="1"/>
  <c r="DM3155" i="3"/>
  <c r="DN3151" i="3"/>
  <c r="DO3151" i="3" s="1"/>
  <c r="DM3151" i="3"/>
  <c r="DN3147" i="3"/>
  <c r="DO3147" i="3" s="1"/>
  <c r="DM3147" i="3"/>
  <c r="DN3139" i="3"/>
  <c r="DO3139" i="3" s="1"/>
  <c r="DM3139" i="3"/>
  <c r="DN3136" i="3"/>
  <c r="DO3136" i="3" s="1"/>
  <c r="DM3136" i="3"/>
  <c r="DN3128" i="3"/>
  <c r="DO3128" i="3" s="1"/>
  <c r="DM3128" i="3"/>
  <c r="DN3117" i="3"/>
  <c r="DO3117" i="3" s="1"/>
  <c r="DM3117" i="3"/>
  <c r="DN3113" i="3"/>
  <c r="DO3113" i="3" s="1"/>
  <c r="DM3113" i="3"/>
  <c r="DN3109" i="3"/>
  <c r="DO3109" i="3" s="1"/>
  <c r="DM3109" i="3"/>
  <c r="DN3105" i="3"/>
  <c r="DO3105" i="3" s="1"/>
  <c r="DM3105" i="3"/>
  <c r="DN3101" i="3"/>
  <c r="DO3101" i="3" s="1"/>
  <c r="DM3101" i="3"/>
  <c r="DN3089" i="3"/>
  <c r="DO3089" i="3" s="1"/>
  <c r="DM3089" i="3"/>
  <c r="DN3085" i="3"/>
  <c r="DO3085" i="3" s="1"/>
  <c r="DM3085" i="3"/>
  <c r="DN3078" i="3"/>
  <c r="DO3078" i="3" s="1"/>
  <c r="DM3078" i="3"/>
  <c r="DN3074" i="3"/>
  <c r="DO3074" i="3" s="1"/>
  <c r="DM3074" i="3"/>
  <c r="DN3062" i="3"/>
  <c r="DO3062" i="3" s="1"/>
  <c r="DM3062" i="3"/>
  <c r="DN3058" i="3"/>
  <c r="DO3058" i="3" s="1"/>
  <c r="DM3058" i="3"/>
  <c r="DN3046" i="3"/>
  <c r="DO3046" i="3" s="1"/>
  <c r="DM3046" i="3"/>
  <c r="DN3035" i="3"/>
  <c r="DO3035" i="3" s="1"/>
  <c r="DM3035" i="3"/>
  <c r="DN3031" i="3"/>
  <c r="DO3031" i="3" s="1"/>
  <c r="DM3031" i="3"/>
  <c r="DN3019" i="3"/>
  <c r="DO3019" i="3" s="1"/>
  <c r="DM3019" i="3"/>
  <c r="DN3011" i="3"/>
  <c r="DO3011" i="3" s="1"/>
  <c r="DM3011" i="3"/>
  <c r="DN3003" i="3"/>
  <c r="DO3003" i="3" s="1"/>
  <c r="DM3003" i="3"/>
  <c r="DN2999" i="3"/>
  <c r="DO2999" i="3" s="1"/>
  <c r="DM2999" i="3"/>
  <c r="DN2995" i="3"/>
  <c r="DO2995" i="3" s="1"/>
  <c r="DM2995" i="3"/>
  <c r="DN2987" i="3"/>
  <c r="DO2987" i="3" s="1"/>
  <c r="DM2987" i="3"/>
  <c r="DN2887" i="3"/>
  <c r="DO2887" i="3" s="1"/>
  <c r="DM2887" i="3"/>
  <c r="DN2883" i="3"/>
  <c r="DO2883" i="3" s="1"/>
  <c r="DM2883" i="3"/>
  <c r="DN2879" i="3"/>
  <c r="DO2879" i="3" s="1"/>
  <c r="DM2879" i="3"/>
  <c r="DN2875" i="3"/>
  <c r="DO2875" i="3" s="1"/>
  <c r="DM2875" i="3"/>
  <c r="DN2863" i="3"/>
  <c r="DO2863" i="3" s="1"/>
  <c r="DM2863" i="3"/>
  <c r="DN2859" i="3"/>
  <c r="DO2859" i="3" s="1"/>
  <c r="DM2859" i="3"/>
  <c r="DN2847" i="3"/>
  <c r="DO2847" i="3" s="1"/>
  <c r="DM2847" i="3"/>
  <c r="DN2843" i="3"/>
  <c r="DO2843" i="3" s="1"/>
  <c r="DM2843" i="3"/>
  <c r="DN2831" i="3"/>
  <c r="DO2831" i="3" s="1"/>
  <c r="DM2831" i="3"/>
  <c r="DN2827" i="3"/>
  <c r="DO2827" i="3" s="1"/>
  <c r="DM2827" i="3"/>
  <c r="DN2815" i="3"/>
  <c r="DO2815" i="3" s="1"/>
  <c r="DM2815" i="3"/>
  <c r="DN2659" i="3"/>
  <c r="DO2659" i="3" s="1"/>
  <c r="DM2659" i="3"/>
  <c r="DN2655" i="3"/>
  <c r="DO2655" i="3" s="1"/>
  <c r="DM2655" i="3"/>
  <c r="DN2651" i="3"/>
  <c r="DO2651" i="3" s="1"/>
  <c r="DM2651" i="3"/>
  <c r="DN2647" i="3"/>
  <c r="DO2647" i="3" s="1"/>
  <c r="DM2647" i="3"/>
  <c r="DN2639" i="3"/>
  <c r="DO2639" i="3" s="1"/>
  <c r="DM2639" i="3"/>
  <c r="DN2635" i="3"/>
  <c r="DO2635" i="3" s="1"/>
  <c r="DM2635" i="3"/>
  <c r="DN2623" i="3"/>
  <c r="DO2623" i="3" s="1"/>
  <c r="DM2623" i="3"/>
  <c r="DN2619" i="3"/>
  <c r="DO2619" i="3" s="1"/>
  <c r="DM2619" i="3"/>
  <c r="DN2615" i="3"/>
  <c r="DO2615" i="3" s="1"/>
  <c r="DM2615" i="3"/>
  <c r="DN2607" i="3"/>
  <c r="DO2607" i="3" s="1"/>
  <c r="DM2607" i="3"/>
  <c r="DN2603" i="3"/>
  <c r="DO2603" i="3" s="1"/>
  <c r="DM2603" i="3"/>
  <c r="DN2591" i="3"/>
  <c r="DO2591" i="3" s="1"/>
  <c r="DM2591" i="3"/>
  <c r="DN2587" i="3"/>
  <c r="DO2587" i="3" s="1"/>
  <c r="DM2587" i="3"/>
  <c r="DN2355" i="3"/>
  <c r="DO2355" i="3" s="1"/>
  <c r="DM2355" i="3"/>
  <c r="DN2351" i="3"/>
  <c r="DO2351" i="3" s="1"/>
  <c r="DM2351" i="3"/>
  <c r="DN2347" i="3"/>
  <c r="DO2347" i="3" s="1"/>
  <c r="DM2347" i="3"/>
  <c r="DN2343" i="3"/>
  <c r="DO2343" i="3" s="1"/>
  <c r="DM2343" i="3"/>
  <c r="DN2335" i="3"/>
  <c r="DO2335" i="3" s="1"/>
  <c r="DM2335" i="3"/>
  <c r="DN2331" i="3"/>
  <c r="DO2331" i="3" s="1"/>
  <c r="DM2331" i="3"/>
  <c r="DN2159" i="3"/>
  <c r="DO2159" i="3" s="1"/>
  <c r="DM2159" i="3"/>
  <c r="DN2155" i="3"/>
  <c r="DO2155" i="3" s="1"/>
  <c r="DM2155" i="3"/>
  <c r="DN2143" i="3"/>
  <c r="DO2143" i="3" s="1"/>
  <c r="DM2143" i="3"/>
  <c r="DN2139" i="3"/>
  <c r="DO2139" i="3" s="1"/>
  <c r="DM2139" i="3"/>
  <c r="DN1990" i="3"/>
  <c r="DO1990" i="3" s="1"/>
  <c r="DM1990" i="3"/>
  <c r="DN1963" i="3"/>
  <c r="DO1963" i="3" s="1"/>
  <c r="DM1963" i="3"/>
  <c r="DN1947" i="3"/>
  <c r="DO1947" i="3" s="1"/>
  <c r="DM1947" i="3"/>
  <c r="DN1915" i="3"/>
  <c r="DO1915" i="3" s="1"/>
  <c r="DM1915" i="3"/>
  <c r="DM2" i="3"/>
  <c r="DM4201" i="3"/>
  <c r="DM4087" i="3"/>
  <c r="DM3973" i="3"/>
  <c r="DM3783" i="3"/>
  <c r="DM363" i="3"/>
  <c r="DM192" i="3"/>
  <c r="DM4106" i="3"/>
  <c r="DM3954" i="3"/>
  <c r="DN3628" i="3"/>
  <c r="DO3628" i="3" s="1"/>
  <c r="DM3628" i="3"/>
  <c r="DN3624" i="3"/>
  <c r="DO3624" i="3" s="1"/>
  <c r="DM3624" i="3"/>
  <c r="DN3620" i="3"/>
  <c r="DO3620" i="3" s="1"/>
  <c r="DM3620" i="3"/>
  <c r="DN3612" i="3"/>
  <c r="DO3612" i="3" s="1"/>
  <c r="DM3612" i="3"/>
  <c r="DN3608" i="3"/>
  <c r="DO3608" i="3" s="1"/>
  <c r="DM3608" i="3"/>
  <c r="DN3604" i="3"/>
  <c r="DO3604" i="3" s="1"/>
  <c r="DM3604" i="3"/>
  <c r="DN3596" i="3"/>
  <c r="DO3596" i="3" s="1"/>
  <c r="DM3596" i="3"/>
  <c r="DN3592" i="3"/>
  <c r="DO3592" i="3" s="1"/>
  <c r="DM3592" i="3"/>
  <c r="DN3588" i="3"/>
  <c r="DO3588" i="3" s="1"/>
  <c r="DM3588" i="3"/>
  <c r="DN3584" i="3"/>
  <c r="DO3584" i="3" s="1"/>
  <c r="DM3584" i="3"/>
  <c r="DN3576" i="3"/>
  <c r="DO3576" i="3" s="1"/>
  <c r="DM3576" i="3"/>
  <c r="DN3569" i="3"/>
  <c r="DO3569" i="3" s="1"/>
  <c r="DM3569" i="3"/>
  <c r="DN3565" i="3"/>
  <c r="DO3565" i="3" s="1"/>
  <c r="DM3565" i="3"/>
  <c r="DN3561" i="3"/>
  <c r="DO3561" i="3" s="1"/>
  <c r="DM3561" i="3"/>
  <c r="DN3553" i="3"/>
  <c r="DO3553" i="3" s="1"/>
  <c r="DM3553" i="3"/>
  <c r="DN3549" i="3"/>
  <c r="DO3549" i="3" s="1"/>
  <c r="DM3549" i="3"/>
  <c r="DN3541" i="3"/>
  <c r="DO3541" i="3" s="1"/>
  <c r="DM3541" i="3"/>
  <c r="DN3537" i="3"/>
  <c r="DO3537" i="3" s="1"/>
  <c r="DM3537" i="3"/>
  <c r="DN3533" i="3"/>
  <c r="DO3533" i="3" s="1"/>
  <c r="DM3533" i="3"/>
  <c r="DN3529" i="3"/>
  <c r="DO3529" i="3" s="1"/>
  <c r="DM3529" i="3"/>
  <c r="DN3525" i="3"/>
  <c r="DO3525" i="3" s="1"/>
  <c r="DM3525" i="3"/>
  <c r="DN3521" i="3"/>
  <c r="DO3521" i="3" s="1"/>
  <c r="DM3521" i="3"/>
  <c r="DN3517" i="3"/>
  <c r="DO3517" i="3" s="1"/>
  <c r="DM3517" i="3"/>
  <c r="DN3161" i="3"/>
  <c r="DO3161" i="3" s="1"/>
  <c r="DM3161" i="3"/>
  <c r="DN3154" i="3"/>
  <c r="DO3154" i="3" s="1"/>
  <c r="DM3154" i="3"/>
  <c r="DN3146" i="3"/>
  <c r="DO3146" i="3" s="1"/>
  <c r="DM3146" i="3"/>
  <c r="DN3142" i="3"/>
  <c r="DO3142" i="3" s="1"/>
  <c r="DM3142" i="3"/>
  <c r="DN3138" i="3"/>
  <c r="DO3138" i="3" s="1"/>
  <c r="DM3138" i="3"/>
  <c r="DN3135" i="3"/>
  <c r="DO3135" i="3" s="1"/>
  <c r="DM3135" i="3"/>
  <c r="DN3131" i="3"/>
  <c r="DO3131" i="3" s="1"/>
  <c r="DM3131" i="3"/>
  <c r="DN3123" i="3"/>
  <c r="DO3123" i="3" s="1"/>
  <c r="DM3123" i="3"/>
  <c r="DN3077" i="3"/>
  <c r="DO3077" i="3" s="1"/>
  <c r="DM3077" i="3"/>
  <c r="DN3073" i="3"/>
  <c r="DO3073" i="3" s="1"/>
  <c r="DM3073" i="3"/>
  <c r="DN3069" i="3"/>
  <c r="DO3069" i="3" s="1"/>
  <c r="DM3069" i="3"/>
  <c r="DN3065" i="3"/>
  <c r="DO3065" i="3" s="1"/>
  <c r="DM3065" i="3"/>
  <c r="DN3061" i="3"/>
  <c r="DO3061" i="3" s="1"/>
  <c r="DM3061" i="3"/>
  <c r="DN3057" i="3"/>
  <c r="DO3057" i="3" s="1"/>
  <c r="DM3057" i="3"/>
  <c r="DN3053" i="3"/>
  <c r="DO3053" i="3" s="1"/>
  <c r="DM3053" i="3"/>
  <c r="DN3049" i="3"/>
  <c r="DO3049" i="3" s="1"/>
  <c r="DM3049" i="3"/>
  <c r="DN3045" i="3"/>
  <c r="DO3045" i="3" s="1"/>
  <c r="DM3045" i="3"/>
  <c r="DN3042" i="3"/>
  <c r="DO3042" i="3" s="1"/>
  <c r="DM3042" i="3"/>
  <c r="DN3030" i="3"/>
  <c r="DO3030" i="3" s="1"/>
  <c r="DM3030" i="3"/>
  <c r="DN3026" i="3"/>
  <c r="DO3026" i="3" s="1"/>
  <c r="DM3026" i="3"/>
  <c r="DN3014" i="3"/>
  <c r="DO3014" i="3" s="1"/>
  <c r="DM3014" i="3"/>
  <c r="DN3010" i="3"/>
  <c r="DO3010" i="3" s="1"/>
  <c r="DM3010" i="3"/>
  <c r="DN3002" i="3"/>
  <c r="DO3002" i="3" s="1"/>
  <c r="DM3002" i="3"/>
  <c r="DN2998" i="3"/>
  <c r="DO2998" i="3" s="1"/>
  <c r="DM2998" i="3"/>
  <c r="DN2994" i="3"/>
  <c r="DO2994" i="3" s="1"/>
  <c r="DM2994" i="3"/>
  <c r="DN2986" i="3"/>
  <c r="DO2986" i="3" s="1"/>
  <c r="DM2986" i="3"/>
  <c r="DN2983" i="3"/>
  <c r="DO2983" i="3" s="1"/>
  <c r="DM2983" i="3"/>
  <c r="DN2979" i="3"/>
  <c r="DO2979" i="3" s="1"/>
  <c r="DM2979" i="3"/>
  <c r="DN2971" i="3"/>
  <c r="DO2971" i="3" s="1"/>
  <c r="DM2971" i="3"/>
  <c r="DN2967" i="3"/>
  <c r="DO2967" i="3" s="1"/>
  <c r="DM2967" i="3"/>
  <c r="DN2811" i="3"/>
  <c r="DO2811" i="3" s="1"/>
  <c r="DM2811" i="3"/>
  <c r="DN2807" i="3"/>
  <c r="DO2807" i="3" s="1"/>
  <c r="DM2807" i="3"/>
  <c r="DN2803" i="3"/>
  <c r="DO2803" i="3" s="1"/>
  <c r="DM2803" i="3"/>
  <c r="DN2799" i="3"/>
  <c r="DO2799" i="3" s="1"/>
  <c r="DM2799" i="3"/>
  <c r="DN2795" i="3"/>
  <c r="DO2795" i="3" s="1"/>
  <c r="DM2795" i="3"/>
  <c r="DN2783" i="3"/>
  <c r="DO2783" i="3" s="1"/>
  <c r="DM2783" i="3"/>
  <c r="DN2779" i="3"/>
  <c r="DO2779" i="3" s="1"/>
  <c r="DM2779" i="3"/>
  <c r="DN2583" i="3"/>
  <c r="DO2583" i="3" s="1"/>
  <c r="DM2583" i="3"/>
  <c r="DN2579" i="3"/>
  <c r="DO2579" i="3" s="1"/>
  <c r="DM2579" i="3"/>
  <c r="DN2575" i="3"/>
  <c r="DO2575" i="3" s="1"/>
  <c r="DM2575" i="3"/>
  <c r="DN2571" i="3"/>
  <c r="DO2571" i="3" s="1"/>
  <c r="DM2571" i="3"/>
  <c r="DN2319" i="3"/>
  <c r="DO2319" i="3" s="1"/>
  <c r="DM2319" i="3"/>
  <c r="DN2315" i="3"/>
  <c r="DO2315" i="3" s="1"/>
  <c r="DM2315" i="3"/>
  <c r="DN2311" i="3"/>
  <c r="DO2311" i="3" s="1"/>
  <c r="DM2311" i="3"/>
  <c r="DN2303" i="3"/>
  <c r="DO2303" i="3" s="1"/>
  <c r="DM2303" i="3"/>
  <c r="DN2299" i="3"/>
  <c r="DO2299" i="3" s="1"/>
  <c r="DM2299" i="3"/>
  <c r="DN2287" i="3"/>
  <c r="DO2287" i="3" s="1"/>
  <c r="DM2287" i="3"/>
  <c r="DN2283" i="3"/>
  <c r="DO2283" i="3" s="1"/>
  <c r="DM2283" i="3"/>
  <c r="DN2127" i="3"/>
  <c r="DO2127" i="3" s="1"/>
  <c r="DM2127" i="3"/>
  <c r="DN2123" i="3"/>
  <c r="DO2123" i="3" s="1"/>
  <c r="DM2123" i="3"/>
  <c r="DN2119" i="3"/>
  <c r="DO2119" i="3" s="1"/>
  <c r="DM2119" i="3"/>
  <c r="DN2115" i="3"/>
  <c r="DO2115" i="3" s="1"/>
  <c r="DM2115" i="3"/>
  <c r="DN2111" i="3"/>
  <c r="DO2111" i="3" s="1"/>
  <c r="DM2111" i="3"/>
  <c r="DN2107" i="3"/>
  <c r="DO2107" i="3" s="1"/>
  <c r="DM2107" i="3"/>
  <c r="DN2095" i="3"/>
  <c r="DO2095" i="3" s="1"/>
  <c r="DM2095" i="3"/>
  <c r="DN2091" i="3"/>
  <c r="DO2091" i="3" s="1"/>
  <c r="DM2091" i="3"/>
  <c r="DN2079" i="3"/>
  <c r="DO2079" i="3" s="1"/>
  <c r="DM2079" i="3"/>
  <c r="DN2075" i="3"/>
  <c r="DO2075" i="3" s="1"/>
  <c r="DM2075" i="3"/>
  <c r="DN2063" i="3"/>
  <c r="DO2063" i="3" s="1"/>
  <c r="DM2063" i="3"/>
  <c r="DN2059" i="3"/>
  <c r="DO2059" i="3" s="1"/>
  <c r="DM2059" i="3"/>
  <c r="DN2001" i="3"/>
  <c r="DO2001" i="3" s="1"/>
  <c r="DM2001" i="3"/>
  <c r="DN1985" i="3"/>
  <c r="DO1985" i="3" s="1"/>
  <c r="DM1985" i="3"/>
  <c r="DN1958" i="3"/>
  <c r="DO1958" i="3" s="1"/>
  <c r="DM1958" i="3"/>
  <c r="DN1942" i="3"/>
  <c r="DO1942" i="3" s="1"/>
  <c r="DM1942" i="3"/>
  <c r="DN1926" i="3"/>
  <c r="DO1926" i="3" s="1"/>
  <c r="DM1926" i="3"/>
  <c r="DN1899" i="3"/>
  <c r="DO1899" i="3" s="1"/>
  <c r="DM1899" i="3"/>
  <c r="DN1871" i="3"/>
  <c r="DO1871" i="3" s="1"/>
  <c r="DM1871" i="3"/>
  <c r="DM4163" i="3"/>
  <c r="DM3935" i="3"/>
  <c r="DM135" i="3"/>
  <c r="DN734" i="3"/>
  <c r="DO734" i="3" s="1"/>
  <c r="DM734" i="3"/>
  <c r="DN670" i="3"/>
  <c r="DO670" i="3" s="1"/>
  <c r="DM670" i="3"/>
  <c r="DN3623" i="3"/>
  <c r="DO3623" i="3" s="1"/>
  <c r="DM3623" i="3"/>
  <c r="DN3607" i="3"/>
  <c r="DO3607" i="3" s="1"/>
  <c r="DM3607" i="3"/>
  <c r="DN3591" i="3"/>
  <c r="DO3591" i="3" s="1"/>
  <c r="DM3591" i="3"/>
  <c r="DN3575" i="3"/>
  <c r="DO3575" i="3" s="1"/>
  <c r="DM3575" i="3"/>
  <c r="DN3572" i="3"/>
  <c r="DO3572" i="3" s="1"/>
  <c r="DM3572" i="3"/>
  <c r="DN3568" i="3"/>
  <c r="DO3568" i="3" s="1"/>
  <c r="DM3568" i="3"/>
  <c r="DN3560" i="3"/>
  <c r="DO3560" i="3" s="1"/>
  <c r="DM3560" i="3"/>
  <c r="DN3556" i="3"/>
  <c r="DO3556" i="3" s="1"/>
  <c r="DM3556" i="3"/>
  <c r="DN3548" i="3"/>
  <c r="DO3548" i="3" s="1"/>
  <c r="DM3548" i="3"/>
  <c r="DN3544" i="3"/>
  <c r="DO3544" i="3" s="1"/>
  <c r="DM3544" i="3"/>
  <c r="DN3540" i="3"/>
  <c r="DO3540" i="3" s="1"/>
  <c r="DM3540" i="3"/>
  <c r="DN3172" i="3"/>
  <c r="DO3172" i="3" s="1"/>
  <c r="DM3172" i="3"/>
  <c r="DN3164" i="3"/>
  <c r="DO3164" i="3" s="1"/>
  <c r="DM3164" i="3"/>
  <c r="DN3160" i="3"/>
  <c r="DO3160" i="3" s="1"/>
  <c r="DM3160" i="3"/>
  <c r="DN3141" i="3"/>
  <c r="DO3141" i="3" s="1"/>
  <c r="DM3141" i="3"/>
  <c r="DN3130" i="3"/>
  <c r="DO3130" i="3" s="1"/>
  <c r="DM3130" i="3"/>
  <c r="DN3126" i="3"/>
  <c r="DO3126" i="3" s="1"/>
  <c r="DM3126" i="3"/>
  <c r="DN3122" i="3"/>
  <c r="DO3122" i="3" s="1"/>
  <c r="DM3122" i="3"/>
  <c r="DN3115" i="3"/>
  <c r="DO3115" i="3" s="1"/>
  <c r="DM3115" i="3"/>
  <c r="DN3111" i="3"/>
  <c r="DO3111" i="3" s="1"/>
  <c r="DM3111" i="3"/>
  <c r="DN3099" i="3"/>
  <c r="DO3099" i="3" s="1"/>
  <c r="DM3099" i="3"/>
  <c r="DN3091" i="3"/>
  <c r="DO3091" i="3" s="1"/>
  <c r="DM3091" i="3"/>
  <c r="DN3083" i="3"/>
  <c r="DO3083" i="3" s="1"/>
  <c r="DM3083" i="3"/>
  <c r="DN3041" i="3"/>
  <c r="DO3041" i="3" s="1"/>
  <c r="DM3041" i="3"/>
  <c r="DN3037" i="3"/>
  <c r="DO3037" i="3" s="1"/>
  <c r="DM3037" i="3"/>
  <c r="DN3033" i="3"/>
  <c r="DO3033" i="3" s="1"/>
  <c r="DM3033" i="3"/>
  <c r="DN3029" i="3"/>
  <c r="DO3029" i="3" s="1"/>
  <c r="DM3029" i="3"/>
  <c r="DN3025" i="3"/>
  <c r="DO3025" i="3" s="1"/>
  <c r="DM3025" i="3"/>
  <c r="DN3021" i="3"/>
  <c r="DO3021" i="3" s="1"/>
  <c r="DM3021" i="3"/>
  <c r="DN3009" i="3"/>
  <c r="DO3009" i="3" s="1"/>
  <c r="DM3009" i="3"/>
  <c r="DN2982" i="3"/>
  <c r="DO2982" i="3" s="1"/>
  <c r="DM2982" i="3"/>
  <c r="DN2978" i="3"/>
  <c r="DO2978" i="3" s="1"/>
  <c r="DM2978" i="3"/>
  <c r="DN2970" i="3"/>
  <c r="DO2970" i="3" s="1"/>
  <c r="DM2970" i="3"/>
  <c r="DN2955" i="3"/>
  <c r="DO2955" i="3" s="1"/>
  <c r="DM2955" i="3"/>
  <c r="DN2947" i="3"/>
  <c r="DO2947" i="3" s="1"/>
  <c r="DM2947" i="3"/>
  <c r="DN2939" i="3"/>
  <c r="DO2939" i="3" s="1"/>
  <c r="DM2939" i="3"/>
  <c r="DN2767" i="3"/>
  <c r="DO2767" i="3" s="1"/>
  <c r="DM2767" i="3"/>
  <c r="DN2763" i="3"/>
  <c r="DO2763" i="3" s="1"/>
  <c r="DM2763" i="3"/>
  <c r="DN2751" i="3"/>
  <c r="DO2751" i="3" s="1"/>
  <c r="DM2751" i="3"/>
  <c r="DN2747" i="3"/>
  <c r="DO2747" i="3" s="1"/>
  <c r="DM2747" i="3"/>
  <c r="DN2279" i="3"/>
  <c r="DO2279" i="3" s="1"/>
  <c r="DM2279" i="3"/>
  <c r="DN2275" i="3"/>
  <c r="DO2275" i="3" s="1"/>
  <c r="DM2275" i="3"/>
  <c r="DN2271" i="3"/>
  <c r="DO2271" i="3" s="1"/>
  <c r="DM2271" i="3"/>
  <c r="DN2267" i="3"/>
  <c r="DO2267" i="3" s="1"/>
  <c r="DM2267" i="3"/>
  <c r="DN2255" i="3"/>
  <c r="DO2255" i="3" s="1"/>
  <c r="DM2255" i="3"/>
  <c r="DN2251" i="3"/>
  <c r="DO2251" i="3" s="1"/>
  <c r="DM2251" i="3"/>
  <c r="DN2239" i="3"/>
  <c r="DO2239" i="3" s="1"/>
  <c r="DM2239" i="3"/>
  <c r="DN2235" i="3"/>
  <c r="DO2235" i="3" s="1"/>
  <c r="DM2235" i="3"/>
  <c r="DN2223" i="3"/>
  <c r="DO2223" i="3" s="1"/>
  <c r="DM2223" i="3"/>
  <c r="DN2219" i="3"/>
  <c r="DO2219" i="3" s="1"/>
  <c r="DM2219" i="3"/>
  <c r="DN2207" i="3"/>
  <c r="DO2207" i="3" s="1"/>
  <c r="DM2207" i="3"/>
  <c r="DN2051" i="3"/>
  <c r="DO2051" i="3" s="1"/>
  <c r="DM2051" i="3"/>
  <c r="DN2047" i="3"/>
  <c r="DO2047" i="3" s="1"/>
  <c r="DM2047" i="3"/>
  <c r="DN2043" i="3"/>
  <c r="DO2043" i="3" s="1"/>
  <c r="DM2043" i="3"/>
  <c r="DN2039" i="3"/>
  <c r="DO2039" i="3" s="1"/>
  <c r="DM2039" i="3"/>
  <c r="DN2031" i="3"/>
  <c r="DO2031" i="3" s="1"/>
  <c r="DM2031" i="3"/>
  <c r="DN2027" i="3"/>
  <c r="DO2027" i="3" s="1"/>
  <c r="DM2027" i="3"/>
  <c r="DN1969" i="3"/>
  <c r="DO1969" i="3" s="1"/>
  <c r="DM1969" i="3"/>
  <c r="DN1937" i="3"/>
  <c r="DO1937" i="3" s="1"/>
  <c r="DM1937" i="3"/>
  <c r="DN1921" i="3"/>
  <c r="DO1921" i="3" s="1"/>
  <c r="DM1921" i="3"/>
  <c r="DN1905" i="3"/>
  <c r="DO1905" i="3" s="1"/>
  <c r="DM1905" i="3"/>
  <c r="DN1894" i="3"/>
  <c r="DO1894" i="3" s="1"/>
  <c r="DM1894" i="3"/>
  <c r="DN1835" i="3"/>
  <c r="DO1835" i="3" s="1"/>
  <c r="DM1835" i="3"/>
  <c r="DN1819" i="3"/>
  <c r="DO1819" i="3" s="1"/>
  <c r="DM1819" i="3"/>
  <c r="DN1787" i="3"/>
  <c r="DO1787" i="3" s="1"/>
  <c r="DM1787" i="3"/>
  <c r="DN1755" i="3"/>
  <c r="DO1755" i="3" s="1"/>
  <c r="DM1755" i="3"/>
  <c r="DN1739" i="3"/>
  <c r="DO1739" i="3" s="1"/>
  <c r="DM1739" i="3"/>
  <c r="DN1707" i="3"/>
  <c r="DO1707" i="3" s="1"/>
  <c r="DM1707" i="3"/>
  <c r="DN1691" i="3"/>
  <c r="DO1691" i="3" s="1"/>
  <c r="DM1691" i="3"/>
  <c r="DN1675" i="3"/>
  <c r="DO1675" i="3" s="1"/>
  <c r="DM1675" i="3"/>
  <c r="DN1627" i="3"/>
  <c r="DO1627" i="3" s="1"/>
  <c r="DM1627" i="3"/>
  <c r="DN1611" i="3"/>
  <c r="DO1611" i="3" s="1"/>
  <c r="DM1611" i="3"/>
  <c r="DN1579" i="3"/>
  <c r="DO1579" i="3" s="1"/>
  <c r="DM1579" i="3"/>
  <c r="DN1563" i="3"/>
  <c r="DO1563" i="3" s="1"/>
  <c r="DM1563" i="3"/>
  <c r="DM4239" i="3"/>
  <c r="DM4144" i="3"/>
  <c r="DM4011" i="3"/>
  <c r="DM3859" i="3"/>
  <c r="DM439" i="3"/>
  <c r="DM287" i="3"/>
  <c r="DN941" i="3"/>
  <c r="DO941" i="3" s="1"/>
  <c r="DM941" i="3"/>
  <c r="DN925" i="3"/>
  <c r="DO925" i="3" s="1"/>
  <c r="DM925" i="3"/>
  <c r="DN909" i="3"/>
  <c r="DO909" i="3" s="1"/>
  <c r="DM909" i="3"/>
  <c r="DN877" i="3"/>
  <c r="DO877" i="3" s="1"/>
  <c r="DM877" i="3"/>
  <c r="DN861" i="3"/>
  <c r="DO861" i="3" s="1"/>
  <c r="DM861" i="3"/>
  <c r="DN845" i="3"/>
  <c r="DO845" i="3" s="1"/>
  <c r="DM845" i="3"/>
  <c r="DN3626" i="3"/>
  <c r="DO3626" i="3" s="1"/>
  <c r="DM3626" i="3"/>
  <c r="DN3622" i="3"/>
  <c r="DO3622" i="3" s="1"/>
  <c r="DM3622" i="3"/>
  <c r="DN3618" i="3"/>
  <c r="DO3618" i="3" s="1"/>
  <c r="DM3618" i="3"/>
  <c r="DN3610" i="3"/>
  <c r="DO3610" i="3" s="1"/>
  <c r="DM3610" i="3"/>
  <c r="DN3606" i="3"/>
  <c r="DO3606" i="3" s="1"/>
  <c r="DM3606" i="3"/>
  <c r="DN3602" i="3"/>
  <c r="DO3602" i="3" s="1"/>
  <c r="DM3602" i="3"/>
  <c r="DN3594" i="3"/>
  <c r="DO3594" i="3" s="1"/>
  <c r="DM3594" i="3"/>
  <c r="DN3590" i="3"/>
  <c r="DO3590" i="3" s="1"/>
  <c r="DM3590" i="3"/>
  <c r="DN3586" i="3"/>
  <c r="DO3586" i="3" s="1"/>
  <c r="DM3586" i="3"/>
  <c r="DN3578" i="3"/>
  <c r="DO3578" i="3" s="1"/>
  <c r="DM3578" i="3"/>
  <c r="DN3571" i="3"/>
  <c r="DO3571" i="3" s="1"/>
  <c r="DM3571" i="3"/>
  <c r="DN3543" i="3"/>
  <c r="DO3543" i="3" s="1"/>
  <c r="DM3543" i="3"/>
  <c r="DN3171" i="3"/>
  <c r="DO3171" i="3" s="1"/>
  <c r="DM3171" i="3"/>
  <c r="DN3167" i="3"/>
  <c r="DO3167" i="3" s="1"/>
  <c r="DM3167" i="3"/>
  <c r="DN3163" i="3"/>
  <c r="DO3163" i="3" s="1"/>
  <c r="DM3163" i="3"/>
  <c r="DN3156" i="3"/>
  <c r="DO3156" i="3" s="1"/>
  <c r="DM3156" i="3"/>
  <c r="DN3148" i="3"/>
  <c r="DO3148" i="3" s="1"/>
  <c r="DM3148" i="3"/>
  <c r="DN3144" i="3"/>
  <c r="DO3144" i="3" s="1"/>
  <c r="DM3144" i="3"/>
  <c r="DN3140" i="3"/>
  <c r="DO3140" i="3" s="1"/>
  <c r="DM3140" i="3"/>
  <c r="DN3125" i="3"/>
  <c r="DO3125" i="3" s="1"/>
  <c r="DM3125" i="3"/>
  <c r="DN3121" i="3"/>
  <c r="DO3121" i="3" s="1"/>
  <c r="DM3121" i="3"/>
  <c r="DN3110" i="3"/>
  <c r="DO3110" i="3" s="1"/>
  <c r="DM3110" i="3"/>
  <c r="DN3106" i="3"/>
  <c r="DO3106" i="3" s="1"/>
  <c r="DM3106" i="3"/>
  <c r="DN3094" i="3"/>
  <c r="DO3094" i="3" s="1"/>
  <c r="DM3094" i="3"/>
  <c r="DN3090" i="3"/>
  <c r="DO3090" i="3" s="1"/>
  <c r="DM3090" i="3"/>
  <c r="DN3075" i="3"/>
  <c r="DO3075" i="3" s="1"/>
  <c r="DM3075" i="3"/>
  <c r="DN3067" i="3"/>
  <c r="DO3067" i="3" s="1"/>
  <c r="DM3067" i="3"/>
  <c r="DN3059" i="3"/>
  <c r="DO3059" i="3" s="1"/>
  <c r="DM3059" i="3"/>
  <c r="DN3051" i="3"/>
  <c r="DO3051" i="3" s="1"/>
  <c r="DM3051" i="3"/>
  <c r="DN3043" i="3"/>
  <c r="DO3043" i="3" s="1"/>
  <c r="DM3043" i="3"/>
  <c r="DN2966" i="3"/>
  <c r="DO2966" i="3" s="1"/>
  <c r="DM2966" i="3"/>
  <c r="DN2962" i="3"/>
  <c r="DO2962" i="3" s="1"/>
  <c r="DM2962" i="3"/>
  <c r="DN2954" i="3"/>
  <c r="DO2954" i="3" s="1"/>
  <c r="DM2954" i="3"/>
  <c r="DN2950" i="3"/>
  <c r="DO2950" i="3" s="1"/>
  <c r="DM2950" i="3"/>
  <c r="DN2946" i="3"/>
  <c r="DO2946" i="3" s="1"/>
  <c r="DM2946" i="3"/>
  <c r="DN2927" i="3"/>
  <c r="DO2927" i="3" s="1"/>
  <c r="DM2927" i="3"/>
  <c r="DN2923" i="3"/>
  <c r="DO2923" i="3" s="1"/>
  <c r="DM2923" i="3"/>
  <c r="DN2911" i="3"/>
  <c r="DO2911" i="3" s="1"/>
  <c r="DM2911" i="3"/>
  <c r="DN2907" i="3"/>
  <c r="DO2907" i="3" s="1"/>
  <c r="DM2907" i="3"/>
  <c r="DN2895" i="3"/>
  <c r="DO2895" i="3" s="1"/>
  <c r="DM2895" i="3"/>
  <c r="DN2891" i="3"/>
  <c r="DO2891" i="3" s="1"/>
  <c r="DM2891" i="3"/>
  <c r="DN2735" i="3"/>
  <c r="DO2735" i="3" s="1"/>
  <c r="DM2735" i="3"/>
  <c r="DN2731" i="3"/>
  <c r="DO2731" i="3" s="1"/>
  <c r="DM2731" i="3"/>
  <c r="DN2727" i="3"/>
  <c r="DO2727" i="3" s="1"/>
  <c r="DM2727" i="3"/>
  <c r="DN2723" i="3"/>
  <c r="DO2723" i="3" s="1"/>
  <c r="DM2723" i="3"/>
  <c r="DN2719" i="3"/>
  <c r="DO2719" i="3" s="1"/>
  <c r="DM2719" i="3"/>
  <c r="DN2715" i="3"/>
  <c r="DO2715" i="3" s="1"/>
  <c r="DM2715" i="3"/>
  <c r="DN2703" i="3"/>
  <c r="DO2703" i="3" s="1"/>
  <c r="DM2703" i="3"/>
  <c r="DN2699" i="3"/>
  <c r="DO2699" i="3" s="1"/>
  <c r="DM2699" i="3"/>
  <c r="DN2687" i="3"/>
  <c r="DO2687" i="3" s="1"/>
  <c r="DM2687" i="3"/>
  <c r="DN2683" i="3"/>
  <c r="DO2683" i="3" s="1"/>
  <c r="DM2683" i="3"/>
  <c r="DN2671" i="3"/>
  <c r="DO2671" i="3" s="1"/>
  <c r="DM2671" i="3"/>
  <c r="DN2667" i="3"/>
  <c r="DO2667" i="3" s="1"/>
  <c r="DM2667" i="3"/>
  <c r="DN2367" i="3"/>
  <c r="DO2367" i="3" s="1"/>
  <c r="DM2367" i="3"/>
  <c r="DN2363" i="3"/>
  <c r="DO2363" i="3" s="1"/>
  <c r="DM2363" i="3"/>
  <c r="DN2203" i="3"/>
  <c r="DO2203" i="3" s="1"/>
  <c r="DM2203" i="3"/>
  <c r="DN2199" i="3"/>
  <c r="DO2199" i="3" s="1"/>
  <c r="DM2199" i="3"/>
  <c r="DN2191" i="3"/>
  <c r="DO2191" i="3" s="1"/>
  <c r="DM2191" i="3"/>
  <c r="DN2187" i="3"/>
  <c r="DO2187" i="3" s="1"/>
  <c r="DM2187" i="3"/>
  <c r="DN2175" i="3"/>
  <c r="DO2175" i="3" s="1"/>
  <c r="DM2175" i="3"/>
  <c r="DN2171" i="3"/>
  <c r="DO2171" i="3" s="1"/>
  <c r="DM2171" i="3"/>
  <c r="DN2022" i="3"/>
  <c r="DO2022" i="3" s="1"/>
  <c r="DM2022" i="3"/>
  <c r="DN2011" i="3"/>
  <c r="DO2011" i="3" s="1"/>
  <c r="DM2011" i="3"/>
  <c r="DN1979" i="3"/>
  <c r="DO1979" i="3" s="1"/>
  <c r="DM1979" i="3"/>
  <c r="DM4220" i="3"/>
  <c r="DM4125" i="3"/>
  <c r="DM3992" i="3"/>
  <c r="DM3821" i="3"/>
  <c r="DM211" i="3"/>
  <c r="DM59" i="3"/>
  <c r="DN1484" i="3"/>
  <c r="DO1484" i="3" s="1"/>
  <c r="DL1484" i="3"/>
  <c r="DN3460" i="3"/>
  <c r="DO3460" i="3" s="1"/>
  <c r="DL3460" i="3"/>
  <c r="DN496" i="3"/>
  <c r="DO496" i="3" s="1"/>
  <c r="DL496" i="3"/>
  <c r="DN1541" i="3"/>
  <c r="DO1541" i="3" s="1"/>
  <c r="DL1541" i="3"/>
  <c r="DN1446" i="3"/>
  <c r="DO1446" i="3" s="1"/>
  <c r="DL1446" i="3"/>
  <c r="DN572" i="3"/>
  <c r="DO572" i="3" s="1"/>
  <c r="DL572" i="3"/>
  <c r="DN3498" i="3"/>
  <c r="DO3498" i="3" s="1"/>
  <c r="DL3498" i="3"/>
  <c r="DN1522" i="3"/>
  <c r="DO1522" i="3" s="1"/>
  <c r="DL1522" i="3"/>
  <c r="DL1408" i="3"/>
  <c r="DN1408" i="3" s="1"/>
  <c r="DO1408" i="3" s="1"/>
  <c r="DN800" i="3"/>
  <c r="DO800" i="3" s="1"/>
  <c r="DL800" i="3"/>
  <c r="DN553" i="3"/>
  <c r="DO553" i="3" s="1"/>
  <c r="DL553" i="3"/>
  <c r="DL192" i="3"/>
  <c r="DN192" i="3" s="1"/>
  <c r="DO192" i="3" s="1"/>
  <c r="DN3688" i="3"/>
  <c r="DO3688" i="3" s="1"/>
  <c r="DL3688" i="3"/>
  <c r="DN3669" i="3"/>
  <c r="DO3669" i="3" s="1"/>
  <c r="DN3441" i="3"/>
  <c r="DO3441" i="3" s="1"/>
  <c r="DN781" i="3"/>
  <c r="DO781" i="3" s="1"/>
  <c r="DN629" i="3"/>
  <c r="DO629" i="3" s="1"/>
  <c r="DN173" i="3"/>
  <c r="DO173" i="3" s="1"/>
  <c r="DN21" i="3"/>
  <c r="DO21" i="3" s="1"/>
  <c r="DN3422" i="3"/>
  <c r="DO3422" i="3" s="1"/>
  <c r="DN344" i="3"/>
  <c r="DO344" i="3" s="1"/>
  <c r="DN116" i="3"/>
  <c r="DO116" i="3" s="1"/>
  <c r="DN40" i="3"/>
  <c r="DO40" i="3" s="1"/>
  <c r="DN3650" i="3"/>
  <c r="DO3650" i="3" s="1"/>
  <c r="DN477" i="3"/>
  <c r="DO477" i="3" s="1"/>
  <c r="DN325" i="3"/>
  <c r="DO325" i="3" s="1"/>
  <c r="DN97" i="3"/>
  <c r="DO97" i="3" s="1"/>
  <c r="DK3764" i="3"/>
  <c r="DM3764" i="3" s="1"/>
  <c r="DK3384" i="3"/>
  <c r="DK2244" i="3"/>
  <c r="DK1940" i="3"/>
  <c r="DL3992" i="3"/>
  <c r="DN3992" i="3" s="1"/>
  <c r="DO3992" i="3" s="1"/>
  <c r="DL2472" i="3"/>
  <c r="DL1560" i="3"/>
  <c r="DK1332" i="3"/>
  <c r="DM1332" i="3" s="1"/>
  <c r="DK1028" i="3"/>
  <c r="DM1028" i="3" s="1"/>
  <c r="DK724" i="3"/>
  <c r="DK420" i="3"/>
  <c r="DM420" i="3" s="1"/>
  <c r="DK116" i="3"/>
  <c r="DM116" i="3" s="1"/>
  <c r="DL2852" i="3"/>
  <c r="DL1636" i="3"/>
  <c r="I228" i="2"/>
  <c r="I225" i="2"/>
  <c r="I168" i="2"/>
  <c r="I162" i="2"/>
  <c r="I156" i="2"/>
  <c r="I146" i="2"/>
  <c r="DK2740" i="3" s="1"/>
  <c r="I144" i="2"/>
  <c r="I142" i="2"/>
  <c r="DK2664" i="3" s="1"/>
  <c r="I139" i="2"/>
  <c r="I134" i="2"/>
  <c r="I131" i="2"/>
  <c r="I112" i="2"/>
  <c r="I109" i="2"/>
  <c r="I196" i="2"/>
  <c r="I186" i="2"/>
  <c r="I176" i="2"/>
  <c r="I152" i="2"/>
  <c r="I125" i="2"/>
  <c r="I119" i="2"/>
  <c r="I107" i="2"/>
  <c r="I101" i="2"/>
  <c r="I98" i="2"/>
  <c r="I69" i="2"/>
  <c r="DN1389" i="3"/>
  <c r="DO1389" i="3" s="1"/>
  <c r="I218" i="2"/>
  <c r="I204" i="2"/>
  <c r="I192" i="2"/>
  <c r="I190" i="2"/>
  <c r="I178" i="2"/>
  <c r="I172" i="2"/>
  <c r="I158" i="2"/>
  <c r="I150" i="2"/>
  <c r="I121" i="2"/>
  <c r="I116" i="2"/>
  <c r="I113" i="2"/>
  <c r="I102" i="2"/>
  <c r="I100" i="2"/>
  <c r="I92" i="2"/>
  <c r="I84" i="2"/>
  <c r="I67" i="2"/>
  <c r="I60" i="2"/>
  <c r="I31" i="2"/>
  <c r="I25" i="2"/>
  <c r="DN1465" i="3"/>
  <c r="DO1465" i="3" s="1"/>
  <c r="DN3954" i="3"/>
  <c r="DO3954" i="3" s="1"/>
  <c r="I13" i="2"/>
  <c r="DN3973" i="3"/>
  <c r="DO3973" i="3" s="1"/>
  <c r="DN3726" i="3"/>
  <c r="DO3726" i="3" s="1"/>
  <c r="DN1370" i="3"/>
  <c r="DO1370" i="3" s="1"/>
  <c r="DN4106" i="3"/>
  <c r="DO4106" i="3" s="1"/>
  <c r="DN3916" i="3"/>
  <c r="DO3916" i="3" s="1"/>
  <c r="DN3878" i="3"/>
  <c r="DO3878" i="3" s="1"/>
  <c r="DN4182" i="3"/>
  <c r="DO4182" i="3" s="1"/>
  <c r="DN3802" i="3"/>
  <c r="DO3802" i="3" s="1"/>
  <c r="DN3764" i="3"/>
  <c r="DO3764" i="3" s="1"/>
  <c r="DN4068" i="3"/>
  <c r="DO4068" i="3" s="1"/>
  <c r="DN3365" i="3"/>
  <c r="DO3365" i="3" s="1"/>
  <c r="DN3346" i="3"/>
  <c r="DO3346" i="3" s="1"/>
  <c r="DN3194" i="3"/>
  <c r="DO3194" i="3" s="1"/>
  <c r="DK3023" i="3"/>
  <c r="DL3023" i="3"/>
  <c r="DK2871" i="3"/>
  <c r="DL2871" i="3"/>
  <c r="DK2643" i="3"/>
  <c r="DL2643" i="3"/>
  <c r="DK2491" i="3"/>
  <c r="DL2491" i="3"/>
  <c r="DK2339" i="3"/>
  <c r="DL2339" i="3"/>
  <c r="DK2187" i="3"/>
  <c r="DL2187" i="3"/>
  <c r="DK2035" i="3"/>
  <c r="DL2035" i="3"/>
  <c r="DK1883" i="3"/>
  <c r="DL1883" i="3"/>
  <c r="DK1731" i="3"/>
  <c r="DL1731" i="3"/>
  <c r="DK1655" i="3"/>
  <c r="DL1655" i="3"/>
  <c r="DK1579" i="3"/>
  <c r="DL1579" i="3"/>
  <c r="DK1427" i="3"/>
  <c r="DM1427" i="3" s="1"/>
  <c r="DK1351" i="3"/>
  <c r="DM1351" i="3" s="1"/>
  <c r="DL1351" i="3"/>
  <c r="DN1351" i="3" s="1"/>
  <c r="DO1351" i="3" s="1"/>
  <c r="DK1275" i="3"/>
  <c r="DM1275" i="3" s="1"/>
  <c r="DL1275" i="3"/>
  <c r="DN1275" i="3" s="1"/>
  <c r="DO1275" i="3" s="1"/>
  <c r="DK1199" i="3"/>
  <c r="DM1199" i="3" s="1"/>
  <c r="DL1199" i="3"/>
  <c r="DN1199" i="3" s="1"/>
  <c r="DO1199" i="3" s="1"/>
  <c r="DK1123" i="3"/>
  <c r="DM1123" i="3" s="1"/>
  <c r="DL1123" i="3"/>
  <c r="DN1123" i="3" s="1"/>
  <c r="DO1123" i="3" s="1"/>
  <c r="DK1047" i="3"/>
  <c r="DM1047" i="3" s="1"/>
  <c r="DL1047" i="3"/>
  <c r="DN1047" i="3" s="1"/>
  <c r="DO1047" i="3" s="1"/>
  <c r="DL2" i="3"/>
  <c r="DL4087" i="3"/>
  <c r="DL3783" i="3"/>
  <c r="DN3783" i="3" s="1"/>
  <c r="DO3783" i="3" s="1"/>
  <c r="DL3555" i="3"/>
  <c r="DL3327" i="3"/>
  <c r="DL3251" i="3"/>
  <c r="DK2719" i="3"/>
  <c r="DL2719" i="3"/>
  <c r="DK3099" i="3"/>
  <c r="DL3099" i="3"/>
  <c r="DK2947" i="3"/>
  <c r="DL2947" i="3"/>
  <c r="DK2795" i="3"/>
  <c r="DL2795" i="3"/>
  <c r="DK2567" i="3"/>
  <c r="DL2567" i="3"/>
  <c r="DK2415" i="3"/>
  <c r="DK2263" i="3"/>
  <c r="DL2263" i="3"/>
  <c r="DK2111" i="3"/>
  <c r="DL2111" i="3"/>
  <c r="DK1959" i="3"/>
  <c r="DL1959" i="3"/>
  <c r="DK1807" i="3"/>
  <c r="DL1807" i="3"/>
  <c r="DK1503" i="3"/>
  <c r="DN3384" i="3"/>
  <c r="DO3384" i="3" s="1"/>
  <c r="DN4296" i="3"/>
  <c r="DO4296" i="3" s="1"/>
  <c r="DN4277" i="3"/>
  <c r="DO4277" i="3" s="1"/>
  <c r="DN4258" i="3"/>
  <c r="DO4258" i="3" s="1"/>
  <c r="DN3251" i="3"/>
  <c r="DO3251" i="3" s="1"/>
  <c r="DN4220" i="3"/>
  <c r="DO4220" i="3" s="1"/>
  <c r="DN3327" i="3"/>
  <c r="DO3327" i="3" s="1"/>
  <c r="DN3308" i="3"/>
  <c r="DO3308" i="3" s="1"/>
  <c r="DN3270" i="3"/>
  <c r="DO3270" i="3" s="1"/>
  <c r="DN2491" i="3"/>
  <c r="DO2491" i="3" s="1"/>
  <c r="DK4298" i="3"/>
  <c r="DM4298" i="3" s="1"/>
  <c r="DL4298" i="3"/>
  <c r="DN4298" i="3" s="1"/>
  <c r="DO4298" i="3" s="1"/>
  <c r="K222" i="2"/>
  <c r="DK3917" i="3"/>
  <c r="DM3917" i="3" s="1"/>
  <c r="I199" i="2"/>
  <c r="J188" i="2"/>
  <c r="J180" i="2"/>
  <c r="I174" i="2"/>
  <c r="I159" i="2"/>
  <c r="J138" i="2"/>
  <c r="J116" i="2"/>
  <c r="I85" i="2"/>
  <c r="J60" i="2"/>
  <c r="I37" i="2"/>
  <c r="DK4222" i="3"/>
  <c r="DM4222" i="3" s="1"/>
  <c r="DK4145" i="3"/>
  <c r="DM4145" i="3" s="1"/>
  <c r="I213" i="2"/>
  <c r="I227" i="2"/>
  <c r="DK4221" i="3"/>
  <c r="DM4221" i="3" s="1"/>
  <c r="DL4221" i="3"/>
  <c r="DN4221" i="3" s="1"/>
  <c r="DO4221" i="3" s="1"/>
  <c r="I217" i="2"/>
  <c r="J212" i="2"/>
  <c r="I211" i="2"/>
  <c r="J202" i="2"/>
  <c r="I198" i="2"/>
  <c r="DK3575" i="3"/>
  <c r="DL3575" i="3"/>
  <c r="I185" i="2"/>
  <c r="J178" i="2"/>
  <c r="I169" i="2"/>
  <c r="J160" i="2"/>
  <c r="I147" i="2"/>
  <c r="J228" i="2"/>
  <c r="DK4240" i="3"/>
  <c r="DM4240" i="3" s="1"/>
  <c r="I219" i="2"/>
  <c r="I210" i="2"/>
  <c r="I208" i="2"/>
  <c r="I206" i="2"/>
  <c r="DK3841" i="3"/>
  <c r="DM3841" i="3" s="1"/>
  <c r="DL3841" i="3"/>
  <c r="DN3841" i="3" s="1"/>
  <c r="DO3841" i="3" s="1"/>
  <c r="DK3803" i="3"/>
  <c r="DM3803" i="3" s="1"/>
  <c r="I200" i="2"/>
  <c r="I197" i="2"/>
  <c r="I193" i="2"/>
  <c r="I187" i="2"/>
  <c r="I175" i="2"/>
  <c r="J172" i="2"/>
  <c r="J168" i="2"/>
  <c r="I164" i="2"/>
  <c r="J162" i="2"/>
  <c r="I157" i="2"/>
  <c r="J154" i="2"/>
  <c r="I149" i="2"/>
  <c r="I129" i="2"/>
  <c r="I126" i="2"/>
  <c r="J119" i="2"/>
  <c r="J109" i="2"/>
  <c r="J101" i="2"/>
  <c r="I97" i="2"/>
  <c r="J90" i="2"/>
  <c r="I74" i="2"/>
  <c r="I65" i="2"/>
  <c r="I55" i="2"/>
  <c r="I51" i="2"/>
  <c r="J48" i="2"/>
  <c r="J45" i="2"/>
  <c r="J32" i="2"/>
  <c r="K224" i="2"/>
  <c r="J218" i="2"/>
  <c r="DK3879" i="3"/>
  <c r="DM3879" i="3" s="1"/>
  <c r="DL3879" i="3"/>
  <c r="DN3879" i="3" s="1"/>
  <c r="DO3879" i="3" s="1"/>
  <c r="J196" i="2"/>
  <c r="I182" i="2"/>
  <c r="J170" i="2"/>
  <c r="I151" i="2"/>
  <c r="J123" i="2"/>
  <c r="J94" i="2"/>
  <c r="J67" i="2"/>
  <c r="I226" i="2"/>
  <c r="DK4107" i="3"/>
  <c r="DM4107" i="3" s="1"/>
  <c r="I203" i="2"/>
  <c r="I194" i="2"/>
  <c r="DK3537" i="3"/>
  <c r="DL3537" i="3"/>
  <c r="DK3499" i="3"/>
  <c r="I184" i="2"/>
  <c r="DK3385" i="3"/>
  <c r="J176" i="2"/>
  <c r="I167" i="2"/>
  <c r="I161" i="2"/>
  <c r="J158" i="2"/>
  <c r="I153" i="2"/>
  <c r="J150" i="2"/>
  <c r="I148" i="2"/>
  <c r="I140" i="2"/>
  <c r="J130" i="2"/>
  <c r="J127" i="2"/>
  <c r="I118" i="2"/>
  <c r="I111" i="2"/>
  <c r="I104" i="2"/>
  <c r="J98" i="2"/>
  <c r="I89" i="2"/>
  <c r="I82" i="2"/>
  <c r="J69" i="2"/>
  <c r="I63" i="2"/>
  <c r="I57" i="2"/>
  <c r="I53" i="2"/>
  <c r="I47" i="2"/>
  <c r="J31" i="2"/>
  <c r="J220" i="2"/>
  <c r="I214" i="2"/>
  <c r="I201" i="2"/>
  <c r="I195" i="2"/>
  <c r="J186" i="2"/>
  <c r="I177" i="2"/>
  <c r="J156" i="2"/>
  <c r="J144" i="2"/>
  <c r="J135" i="2"/>
  <c r="J42" i="2"/>
  <c r="DK4297" i="3"/>
  <c r="DM4297" i="3" s="1"/>
  <c r="DK4184" i="3"/>
  <c r="DM4184" i="3" s="1"/>
  <c r="I216" i="2"/>
  <c r="I209" i="2"/>
  <c r="J225" i="2"/>
  <c r="DK4183" i="3"/>
  <c r="DM4183" i="3" s="1"/>
  <c r="I215" i="2"/>
  <c r="J204" i="2"/>
  <c r="DK3613" i="3"/>
  <c r="DL3613" i="3"/>
  <c r="I183" i="2"/>
  <c r="J166" i="2"/>
  <c r="I155" i="2"/>
  <c r="J152" i="2"/>
  <c r="J145" i="2"/>
  <c r="I137" i="2"/>
  <c r="I132" i="2"/>
  <c r="I122" i="2"/>
  <c r="J117" i="2"/>
  <c r="I110" i="2"/>
  <c r="I93" i="2"/>
  <c r="J86" i="2"/>
  <c r="I78" i="2"/>
  <c r="J71" i="2"/>
  <c r="I62" i="2"/>
  <c r="I41" i="2"/>
  <c r="J38" i="2"/>
  <c r="J35" i="2"/>
  <c r="DK497" i="3"/>
  <c r="J26" i="2"/>
  <c r="DK441" i="3"/>
  <c r="DM441" i="3" s="1"/>
  <c r="DL441" i="3"/>
  <c r="DK421" i="3"/>
  <c r="DM421" i="3" s="1"/>
  <c r="DL421" i="3"/>
  <c r="DK403" i="3"/>
  <c r="DM403" i="3" s="1"/>
  <c r="DL403" i="3"/>
  <c r="DK383" i="3"/>
  <c r="DM383" i="3" s="1"/>
  <c r="DL383" i="3"/>
  <c r="DK364" i="3"/>
  <c r="DM364" i="3" s="1"/>
  <c r="DL364" i="3"/>
  <c r="DN364" i="3" s="1"/>
  <c r="DO364" i="3" s="1"/>
  <c r="I16" i="2"/>
  <c r="DK175" i="3"/>
  <c r="DM175" i="3" s="1"/>
  <c r="I4" i="2"/>
  <c r="I223" i="2"/>
  <c r="I221" i="2"/>
  <c r="I207" i="2"/>
  <c r="I205" i="2"/>
  <c r="I191" i="2"/>
  <c r="I189" i="2"/>
  <c r="I181" i="2"/>
  <c r="I179" i="2"/>
  <c r="I165" i="2"/>
  <c r="J146" i="2"/>
  <c r="J142" i="2"/>
  <c r="I141" i="2"/>
  <c r="DK2587" i="3"/>
  <c r="DL2587" i="3"/>
  <c r="I136" i="2"/>
  <c r="I133" i="2"/>
  <c r="DK2435" i="3"/>
  <c r="DL2435" i="3"/>
  <c r="I128" i="2"/>
  <c r="I124" i="2"/>
  <c r="I120" i="2"/>
  <c r="I115" i="2"/>
  <c r="I114" i="2"/>
  <c r="I105" i="2"/>
  <c r="I99" i="2"/>
  <c r="DK1827" i="3"/>
  <c r="DL1827" i="3"/>
  <c r="I95" i="2"/>
  <c r="DK1751" i="3"/>
  <c r="DL1751" i="3"/>
  <c r="I91" i="2"/>
  <c r="DK1675" i="3"/>
  <c r="DL1675" i="3"/>
  <c r="I87" i="2"/>
  <c r="DK1599" i="3"/>
  <c r="DL1599" i="3"/>
  <c r="I83" i="2"/>
  <c r="I81" i="2"/>
  <c r="I79" i="2"/>
  <c r="I77" i="2"/>
  <c r="I75" i="2"/>
  <c r="I73" i="2"/>
  <c r="DL1276" i="3"/>
  <c r="DN1276" i="3" s="1"/>
  <c r="DO1276" i="3" s="1"/>
  <c r="DK1276" i="3"/>
  <c r="DM1276" i="3" s="1"/>
  <c r="DK1105" i="3"/>
  <c r="DM1105" i="3" s="1"/>
  <c r="DL1105" i="3"/>
  <c r="DN1105" i="3" s="1"/>
  <c r="DO1105" i="3" s="1"/>
  <c r="I58" i="2"/>
  <c r="I56" i="2"/>
  <c r="I54" i="2"/>
  <c r="I52" i="2"/>
  <c r="I49" i="2"/>
  <c r="DK877" i="3"/>
  <c r="DL877" i="3"/>
  <c r="I46" i="2"/>
  <c r="DK820" i="3"/>
  <c r="DK763" i="3"/>
  <c r="DK687" i="3"/>
  <c r="DL687" i="3"/>
  <c r="I36" i="2"/>
  <c r="DK630" i="3"/>
  <c r="DL630" i="3"/>
  <c r="I33" i="2"/>
  <c r="DK573" i="3"/>
  <c r="DK554" i="3"/>
  <c r="DL554" i="3"/>
  <c r="I29" i="2"/>
  <c r="DK459" i="3"/>
  <c r="DL459" i="3"/>
  <c r="DK440" i="3"/>
  <c r="DM440" i="3" s="1"/>
  <c r="DL440" i="3"/>
  <c r="DN440" i="3" s="1"/>
  <c r="DO440" i="3" s="1"/>
  <c r="DK402" i="3"/>
  <c r="DM402" i="3" s="1"/>
  <c r="DL402" i="3"/>
  <c r="DN402" i="3" s="1"/>
  <c r="DO402" i="3" s="1"/>
  <c r="I15" i="2"/>
  <c r="I14" i="2"/>
  <c r="DK212" i="3"/>
  <c r="DM212" i="3" s="1"/>
  <c r="DK174" i="3"/>
  <c r="DM174" i="3" s="1"/>
  <c r="DL174" i="3"/>
  <c r="I10" i="2"/>
  <c r="I6" i="2"/>
  <c r="I3" i="2"/>
  <c r="DL2740" i="3"/>
  <c r="DL2682" i="3"/>
  <c r="DL2530" i="3"/>
  <c r="DL2378" i="3"/>
  <c r="DL2321" i="3"/>
  <c r="DL2226" i="3"/>
  <c r="DL2169" i="3"/>
  <c r="DL1922" i="3"/>
  <c r="J143" i="2"/>
  <c r="J139" i="2"/>
  <c r="J134" i="2"/>
  <c r="J131" i="2"/>
  <c r="J125" i="2"/>
  <c r="J121" i="2"/>
  <c r="DK2131" i="3"/>
  <c r="DL2131" i="3"/>
  <c r="J113" i="2"/>
  <c r="J112" i="2"/>
  <c r="J107" i="2"/>
  <c r="I106" i="2"/>
  <c r="J103" i="2"/>
  <c r="J102" i="2"/>
  <c r="J100" i="2"/>
  <c r="J96" i="2"/>
  <c r="J92" i="2"/>
  <c r="J88" i="2"/>
  <c r="J84" i="2"/>
  <c r="DL1352" i="3"/>
  <c r="DN1352" i="3" s="1"/>
  <c r="DO1352" i="3" s="1"/>
  <c r="DK1352" i="3"/>
  <c r="DM1352" i="3" s="1"/>
  <c r="I70" i="2"/>
  <c r="I66" i="2"/>
  <c r="I64" i="2"/>
  <c r="I61" i="2"/>
  <c r="I59" i="2"/>
  <c r="DK1067" i="3"/>
  <c r="DM1067" i="3" s="1"/>
  <c r="DL1067" i="3"/>
  <c r="DN1067" i="3" s="1"/>
  <c r="DO1067" i="3" s="1"/>
  <c r="DK1029" i="3"/>
  <c r="DM1029" i="3" s="1"/>
  <c r="DL1029" i="3"/>
  <c r="DN1029" i="3" s="1"/>
  <c r="DO1029" i="3" s="1"/>
  <c r="DK991" i="3"/>
  <c r="DM991" i="3" s="1"/>
  <c r="DL991" i="3"/>
  <c r="DN991" i="3" s="1"/>
  <c r="DO991" i="3" s="1"/>
  <c r="DK953" i="3"/>
  <c r="DL953" i="3"/>
  <c r="DK896" i="3"/>
  <c r="DL896" i="3"/>
  <c r="DL839" i="3"/>
  <c r="DK839" i="3"/>
  <c r="I44" i="2"/>
  <c r="I43" i="2"/>
  <c r="I40" i="2"/>
  <c r="I39" i="2"/>
  <c r="DK649" i="3"/>
  <c r="DL649" i="3"/>
  <c r="I34" i="2"/>
  <c r="DK592" i="3"/>
  <c r="I30" i="2"/>
  <c r="DK516" i="3"/>
  <c r="I27" i="2"/>
  <c r="I20" i="2"/>
  <c r="I19" i="2"/>
  <c r="I17" i="2"/>
  <c r="I12" i="2"/>
  <c r="I9" i="2"/>
  <c r="I8" i="2"/>
  <c r="I5" i="2"/>
  <c r="DL3309" i="3"/>
  <c r="DL3157" i="3"/>
  <c r="DL3005" i="3"/>
  <c r="DL2929" i="3"/>
  <c r="DL2853" i="3"/>
  <c r="DL2644" i="3"/>
  <c r="DL2492" i="3"/>
  <c r="DL2340" i="3"/>
  <c r="DL2188" i="3"/>
  <c r="DL2036" i="3"/>
  <c r="DL1884" i="3"/>
  <c r="DL1846" i="3"/>
  <c r="DL1770" i="3"/>
  <c r="DL1694" i="3"/>
  <c r="DL1618" i="3"/>
  <c r="DL1314" i="3"/>
  <c r="I173" i="2"/>
  <c r="I171" i="2"/>
  <c r="I163" i="2"/>
  <c r="DK2815" i="3"/>
  <c r="DL2815" i="3"/>
  <c r="DK2739" i="3"/>
  <c r="DL2739" i="3"/>
  <c r="DK2663" i="3"/>
  <c r="DL2663" i="3"/>
  <c r="DK2511" i="3"/>
  <c r="I108" i="2"/>
  <c r="DK1903" i="3"/>
  <c r="DL1903" i="3"/>
  <c r="DK1865" i="3"/>
  <c r="DL1865" i="3"/>
  <c r="DK1789" i="3"/>
  <c r="DL1789" i="3"/>
  <c r="DK1713" i="3"/>
  <c r="DL1713" i="3"/>
  <c r="DK1637" i="3"/>
  <c r="DL1637" i="3"/>
  <c r="DK1561" i="3"/>
  <c r="DL1561" i="3"/>
  <c r="I80" i="2"/>
  <c r="I76" i="2"/>
  <c r="I72" i="2"/>
  <c r="I68" i="2"/>
  <c r="DK1181" i="3"/>
  <c r="DM1181" i="3" s="1"/>
  <c r="DL1181" i="3"/>
  <c r="DN1181" i="3" s="1"/>
  <c r="DO1181" i="3" s="1"/>
  <c r="I50" i="2"/>
  <c r="DK801" i="3"/>
  <c r="DK782" i="3"/>
  <c r="DK725" i="3"/>
  <c r="DL725" i="3"/>
  <c r="DK706" i="3"/>
  <c r="DL706" i="3"/>
  <c r="DK611" i="3"/>
  <c r="DL611" i="3"/>
  <c r="DK535" i="3"/>
  <c r="DL535" i="3"/>
  <c r="I28" i="2"/>
  <c r="DK478" i="3"/>
  <c r="DL478" i="3"/>
  <c r="J25" i="2"/>
  <c r="I24" i="2"/>
  <c r="J23" i="2"/>
  <c r="I22" i="2"/>
  <c r="I21" i="2"/>
  <c r="DK326" i="3"/>
  <c r="DM326" i="3" s="1"/>
  <c r="DL326" i="3"/>
  <c r="DN326" i="3" s="1"/>
  <c r="DO326" i="3" s="1"/>
  <c r="I18" i="2"/>
  <c r="DK288" i="3"/>
  <c r="DM288" i="3" s="1"/>
  <c r="DL288" i="3"/>
  <c r="J13" i="2"/>
  <c r="J11" i="2"/>
  <c r="DK136" i="3"/>
  <c r="DM136" i="3" s="1"/>
  <c r="I7" i="2"/>
  <c r="DK60" i="3"/>
  <c r="DM60" i="3" s="1"/>
  <c r="DL60" i="3"/>
  <c r="DN60" i="3" s="1"/>
  <c r="DO60" i="3" s="1"/>
  <c r="DL2701" i="3"/>
  <c r="DL2664" i="3"/>
  <c r="DL2606" i="3"/>
  <c r="DL2549" i="3"/>
  <c r="DL2454" i="3"/>
  <c r="DL2397" i="3"/>
  <c r="DL2302" i="3"/>
  <c r="DL2245" i="3"/>
  <c r="DL2150" i="3"/>
  <c r="DL2093" i="3"/>
  <c r="DL1998" i="3"/>
  <c r="DK213" i="3"/>
  <c r="DM213" i="3" s="1"/>
  <c r="DL3119" i="3"/>
  <c r="DL3043" i="3"/>
  <c r="DL2967" i="3"/>
  <c r="DL2891" i="3"/>
  <c r="DL2720" i="3"/>
  <c r="DL2264" i="3"/>
  <c r="DL2112" i="3"/>
  <c r="DL1960" i="3"/>
  <c r="DL1238" i="3"/>
  <c r="DN1238" i="3" s="1"/>
  <c r="DO1238" i="3" s="1"/>
  <c r="DN4049" i="3"/>
  <c r="DO4049" i="3" s="1"/>
  <c r="DN3745" i="3"/>
  <c r="DO3745" i="3" s="1"/>
  <c r="DN3595" i="3"/>
  <c r="DO3595" i="3" s="1"/>
  <c r="DN3583" i="3"/>
  <c r="DO3583" i="3" s="1"/>
  <c r="DN3551" i="3"/>
  <c r="DO3551" i="3" s="1"/>
  <c r="DN3213" i="3"/>
  <c r="DO3213" i="3" s="1"/>
  <c r="DN3087" i="3"/>
  <c r="DO3087" i="3" s="1"/>
  <c r="DN3055" i="3"/>
  <c r="DO3055" i="3" s="1"/>
  <c r="DN2943" i="3"/>
  <c r="DO2943" i="3" s="1"/>
  <c r="DN2211" i="3"/>
  <c r="DO2211" i="3" s="1"/>
  <c r="DN2099" i="3"/>
  <c r="DO2099" i="3" s="1"/>
  <c r="DN3615" i="3"/>
  <c r="DO3615" i="3" s="1"/>
  <c r="DN3579" i="3"/>
  <c r="DO3579" i="3" s="1"/>
  <c r="DN3563" i="3"/>
  <c r="DO3563" i="3" s="1"/>
  <c r="DN3547" i="3"/>
  <c r="DO3547" i="3" s="1"/>
  <c r="DN3531" i="3"/>
  <c r="DO3531" i="3" s="1"/>
  <c r="DN3169" i="3"/>
  <c r="DO3169" i="3" s="1"/>
  <c r="DN3133" i="3"/>
  <c r="DO3133" i="3" s="1"/>
  <c r="DN3071" i="3"/>
  <c r="DO3071" i="3" s="1"/>
  <c r="DN2163" i="3"/>
  <c r="DO2163" i="3" s="1"/>
  <c r="DN1085" i="3"/>
  <c r="DO1085" i="3" s="1"/>
  <c r="DN957" i="3"/>
  <c r="DO957" i="3" s="1"/>
  <c r="DN893" i="3"/>
  <c r="DO893" i="3" s="1"/>
  <c r="DN4201" i="3"/>
  <c r="DO4201" i="3" s="1"/>
  <c r="DN3897" i="3"/>
  <c r="DO3897" i="3" s="1"/>
  <c r="DN3627" i="3"/>
  <c r="DO3627" i="3" s="1"/>
  <c r="DN3599" i="3"/>
  <c r="DO3599" i="3" s="1"/>
  <c r="DN3559" i="3"/>
  <c r="DO3559" i="3" s="1"/>
  <c r="DN3527" i="3"/>
  <c r="DO3527" i="3" s="1"/>
  <c r="DN3523" i="3"/>
  <c r="DO3523" i="3" s="1"/>
  <c r="DN3519" i="3"/>
  <c r="DO3519" i="3" s="1"/>
  <c r="DN3149" i="3"/>
  <c r="DO3149" i="3" s="1"/>
  <c r="DN3119" i="3"/>
  <c r="DO3119" i="3" s="1"/>
  <c r="DN3007" i="3"/>
  <c r="DO3007" i="3" s="1"/>
  <c r="DN2991" i="3"/>
  <c r="DO2991" i="3" s="1"/>
  <c r="DN2975" i="3"/>
  <c r="DO2975" i="3" s="1"/>
  <c r="DN2611" i="3"/>
  <c r="DO2611" i="3" s="1"/>
  <c r="DN2371" i="3"/>
  <c r="DO2371" i="3" s="1"/>
  <c r="DN2067" i="3"/>
  <c r="DO2067" i="3" s="1"/>
  <c r="DN4125" i="3"/>
  <c r="DO4125" i="3" s="1"/>
  <c r="DN3821" i="3"/>
  <c r="DO3821" i="3" s="1"/>
  <c r="DN3611" i="3"/>
  <c r="DO3611" i="3" s="1"/>
  <c r="DN3535" i="3"/>
  <c r="DO3535" i="3" s="1"/>
  <c r="DN3023" i="3"/>
  <c r="DO3023" i="3" s="1"/>
  <c r="DN2435" i="3"/>
  <c r="DO2435" i="3" s="1"/>
  <c r="DN2227" i="3"/>
  <c r="DO2227" i="3" s="1"/>
  <c r="DN1887" i="3"/>
  <c r="DO1887" i="3" s="1"/>
  <c r="DN3619" i="3"/>
  <c r="DO3619" i="3" s="1"/>
  <c r="DN3603" i="3"/>
  <c r="DO3603" i="3" s="1"/>
  <c r="DN3587" i="3"/>
  <c r="DO3587" i="3" s="1"/>
  <c r="DN3567" i="3"/>
  <c r="DO3567" i="3" s="1"/>
  <c r="DN3555" i="3"/>
  <c r="DO3555" i="3" s="1"/>
  <c r="DN3539" i="3"/>
  <c r="DO3539" i="3" s="1"/>
  <c r="DN3173" i="3"/>
  <c r="DO3173" i="3" s="1"/>
  <c r="DN3157" i="3"/>
  <c r="DO3157" i="3" s="1"/>
  <c r="DN3153" i="3"/>
  <c r="DO3153" i="3" s="1"/>
  <c r="DN3137" i="3"/>
  <c r="DO3137" i="3" s="1"/>
  <c r="DN3114" i="3"/>
  <c r="DO3114" i="3" s="1"/>
  <c r="DN3103" i="3"/>
  <c r="DO3103" i="3" s="1"/>
  <c r="DN3098" i="3"/>
  <c r="DO3098" i="3" s="1"/>
  <c r="DN3093" i="3"/>
  <c r="DO3093" i="3" s="1"/>
  <c r="DN3082" i="3"/>
  <c r="DO3082" i="3" s="1"/>
  <c r="DN3066" i="3"/>
  <c r="DO3066" i="3" s="1"/>
  <c r="DN3050" i="3"/>
  <c r="DO3050" i="3" s="1"/>
  <c r="DN3039" i="3"/>
  <c r="DO3039" i="3" s="1"/>
  <c r="DN3034" i="3"/>
  <c r="DO3034" i="3" s="1"/>
  <c r="DN3018" i="3"/>
  <c r="DO3018" i="3" s="1"/>
  <c r="DN3013" i="3"/>
  <c r="DO3013" i="3" s="1"/>
  <c r="DN2959" i="3"/>
  <c r="DO2959" i="3" s="1"/>
  <c r="DN2931" i="3"/>
  <c r="DO2931" i="3" s="1"/>
  <c r="DN2915" i="3"/>
  <c r="DO2915" i="3" s="1"/>
  <c r="DN2899" i="3"/>
  <c r="DO2899" i="3" s="1"/>
  <c r="DN2867" i="3"/>
  <c r="DO2867" i="3" s="1"/>
  <c r="DN2851" i="3"/>
  <c r="DO2851" i="3" s="1"/>
  <c r="DN2835" i="3"/>
  <c r="DO2835" i="3" s="1"/>
  <c r="DN2819" i="3"/>
  <c r="DO2819" i="3" s="1"/>
  <c r="DN2787" i="3"/>
  <c r="DO2787" i="3" s="1"/>
  <c r="DN2771" i="3"/>
  <c r="DO2771" i="3" s="1"/>
  <c r="DN2755" i="3"/>
  <c r="DO2755" i="3" s="1"/>
  <c r="DN2739" i="3"/>
  <c r="DO2739" i="3" s="1"/>
  <c r="DN2707" i="3"/>
  <c r="DO2707" i="3" s="1"/>
  <c r="DN2691" i="3"/>
  <c r="DO2691" i="3" s="1"/>
  <c r="DN2675" i="3"/>
  <c r="DO2675" i="3" s="1"/>
  <c r="DN2643" i="3"/>
  <c r="DO2643" i="3" s="1"/>
  <c r="DN2627" i="3"/>
  <c r="DO2627" i="3" s="1"/>
  <c r="DN2595" i="3"/>
  <c r="DO2595" i="3" s="1"/>
  <c r="DN2259" i="3"/>
  <c r="DO2259" i="3" s="1"/>
  <c r="DN2243" i="3"/>
  <c r="DO2243" i="3" s="1"/>
  <c r="DN2083" i="3"/>
  <c r="DO2083" i="3" s="1"/>
  <c r="DN1595" i="3"/>
  <c r="DO1595" i="3" s="1"/>
  <c r="DN2323" i="3"/>
  <c r="DO2323" i="3" s="1"/>
  <c r="DN2131" i="3"/>
  <c r="DO2131" i="3" s="1"/>
  <c r="DN3309" i="3"/>
  <c r="DO3309" i="3" s="1"/>
  <c r="DN3289" i="3"/>
  <c r="DO3289" i="3" s="1"/>
  <c r="DN3165" i="3"/>
  <c r="DO3165" i="3" s="1"/>
  <c r="DN3145" i="3"/>
  <c r="DO3145" i="3" s="1"/>
  <c r="DN3129" i="3"/>
  <c r="DO3129" i="3" s="1"/>
  <c r="DN2951" i="3"/>
  <c r="DO2951" i="3" s="1"/>
  <c r="DN2339" i="3"/>
  <c r="DO2339" i="3" s="1"/>
  <c r="DN2291" i="3"/>
  <c r="DO2291" i="3" s="1"/>
  <c r="DN2179" i="3"/>
  <c r="DO2179" i="3" s="1"/>
  <c r="DN2147" i="3"/>
  <c r="DO2147" i="3" s="1"/>
  <c r="DN2035" i="3"/>
  <c r="DO2035" i="3" s="1"/>
  <c r="DN1995" i="3"/>
  <c r="DO1995" i="3" s="1"/>
  <c r="DN1931" i="3"/>
  <c r="DO1931" i="3" s="1"/>
  <c r="DN1851" i="3"/>
  <c r="DO1851" i="3" s="1"/>
  <c r="DN1659" i="3"/>
  <c r="DO1659" i="3" s="1"/>
  <c r="DN2307" i="3"/>
  <c r="DO2307" i="3" s="1"/>
  <c r="DN2195" i="3"/>
  <c r="DO2195" i="3" s="1"/>
  <c r="DN2017" i="3"/>
  <c r="DO2017" i="3" s="1"/>
  <c r="DN1974" i="3"/>
  <c r="DO1974" i="3" s="1"/>
  <c r="DN1953" i="3"/>
  <c r="DO1953" i="3" s="1"/>
  <c r="DN1910" i="3"/>
  <c r="DO1910" i="3" s="1"/>
  <c r="DN1723" i="3"/>
  <c r="DO1723" i="3" s="1"/>
  <c r="DN1314" i="3"/>
  <c r="DO1314" i="3" s="1"/>
  <c r="DN1294" i="3"/>
  <c r="DO1294" i="3" s="1"/>
  <c r="DN1218" i="3"/>
  <c r="DO1218" i="3" s="1"/>
  <c r="DN1142" i="3"/>
  <c r="DO1142" i="3" s="1"/>
  <c r="DN1066" i="3"/>
  <c r="DO1066" i="3" s="1"/>
  <c r="DN990" i="3"/>
  <c r="DO990" i="3" s="1"/>
  <c r="DN966" i="3"/>
  <c r="DO966" i="3" s="1"/>
  <c r="DN962" i="3"/>
  <c r="DO962" i="3" s="1"/>
  <c r="DN958" i="3"/>
  <c r="DO958" i="3" s="1"/>
  <c r="DN954" i="3"/>
  <c r="DO954" i="3" s="1"/>
  <c r="DN950" i="3"/>
  <c r="DO950" i="3" s="1"/>
  <c r="DN946" i="3"/>
  <c r="DO946" i="3" s="1"/>
  <c r="DN942" i="3"/>
  <c r="DO942" i="3" s="1"/>
  <c r="DN938" i="3"/>
  <c r="DO938" i="3" s="1"/>
  <c r="DN934" i="3"/>
  <c r="DO934" i="3" s="1"/>
  <c r="DN930" i="3"/>
  <c r="DO930" i="3" s="1"/>
  <c r="DN926" i="3"/>
  <c r="DO926" i="3" s="1"/>
  <c r="DN922" i="3"/>
  <c r="DO922" i="3" s="1"/>
  <c r="DN918" i="3"/>
  <c r="DO918" i="3" s="1"/>
  <c r="DN914" i="3"/>
  <c r="DO914" i="3" s="1"/>
  <c r="DN910" i="3"/>
  <c r="DO910" i="3" s="1"/>
  <c r="DN906" i="3"/>
  <c r="DO906" i="3" s="1"/>
  <c r="DN902" i="3"/>
  <c r="DO902" i="3" s="1"/>
  <c r="DN898" i="3"/>
  <c r="DO898" i="3" s="1"/>
  <c r="DN894" i="3"/>
  <c r="DO894" i="3" s="1"/>
  <c r="DN890" i="3"/>
  <c r="DO890" i="3" s="1"/>
  <c r="DN886" i="3"/>
  <c r="DO886" i="3" s="1"/>
  <c r="DN882" i="3"/>
  <c r="DO882" i="3" s="1"/>
  <c r="DN878" i="3"/>
  <c r="DO878" i="3" s="1"/>
  <c r="DN874" i="3"/>
  <c r="DO874" i="3" s="1"/>
  <c r="DN870" i="3"/>
  <c r="DO870" i="3" s="1"/>
  <c r="DN866" i="3"/>
  <c r="DO866" i="3" s="1"/>
  <c r="DN862" i="3"/>
  <c r="DO862" i="3" s="1"/>
  <c r="DN858" i="3"/>
  <c r="DO858" i="3" s="1"/>
  <c r="DN854" i="3"/>
  <c r="DO854" i="3" s="1"/>
  <c r="DN850" i="3"/>
  <c r="DO850" i="3" s="1"/>
  <c r="DN846" i="3"/>
  <c r="DO846" i="3" s="1"/>
  <c r="DN842" i="3"/>
  <c r="DO842" i="3" s="1"/>
  <c r="DN838" i="3"/>
  <c r="DO838" i="3" s="1"/>
  <c r="DN738" i="3"/>
  <c r="DO738" i="3" s="1"/>
  <c r="DN730" i="3"/>
  <c r="DO730" i="3" s="1"/>
  <c r="DN726" i="3"/>
  <c r="DO726" i="3" s="1"/>
  <c r="DN722" i="3"/>
  <c r="DO722" i="3" s="1"/>
  <c r="DN718" i="3"/>
  <c r="DO718" i="3" s="1"/>
  <c r="DN714" i="3"/>
  <c r="DO714" i="3" s="1"/>
  <c r="DN710" i="3"/>
  <c r="DO710" i="3" s="1"/>
  <c r="DN706" i="3"/>
  <c r="DO706" i="3" s="1"/>
  <c r="DN702" i="3"/>
  <c r="DO702" i="3" s="1"/>
  <c r="DN698" i="3"/>
  <c r="DO698" i="3" s="1"/>
  <c r="DN694" i="3"/>
  <c r="DO694" i="3" s="1"/>
  <c r="DN690" i="3"/>
  <c r="DO690" i="3" s="1"/>
  <c r="DN686" i="3"/>
  <c r="DO686" i="3" s="1"/>
  <c r="DN682" i="3"/>
  <c r="DO682" i="3" s="1"/>
  <c r="DN678" i="3"/>
  <c r="DO678" i="3" s="1"/>
  <c r="DN674" i="3"/>
  <c r="DO674" i="3" s="1"/>
  <c r="DN666" i="3"/>
  <c r="DO666" i="3" s="1"/>
  <c r="DN662" i="3"/>
  <c r="DO662" i="3" s="1"/>
  <c r="DN658" i="3"/>
  <c r="DO658" i="3" s="1"/>
  <c r="DN654" i="3"/>
  <c r="DO654" i="3" s="1"/>
  <c r="DN650" i="3"/>
  <c r="DO650" i="3" s="1"/>
  <c r="DN474" i="3"/>
  <c r="DO474" i="3" s="1"/>
  <c r="DN470" i="3"/>
  <c r="DO470" i="3" s="1"/>
  <c r="DN466" i="3"/>
  <c r="DO466" i="3" s="1"/>
  <c r="DN462" i="3"/>
  <c r="DO462" i="3" s="1"/>
  <c r="DN458" i="3"/>
  <c r="DO458" i="3" s="1"/>
  <c r="DN382" i="3"/>
  <c r="DO382" i="3" s="1"/>
  <c r="DN230" i="3"/>
  <c r="DO230" i="3" s="1"/>
  <c r="DN78" i="3"/>
  <c r="DO78" i="3" s="1"/>
  <c r="DN4144" i="3"/>
  <c r="DO4144" i="3" s="1"/>
  <c r="DN4087" i="3"/>
  <c r="DO4087" i="3" s="1"/>
  <c r="DN4030" i="3"/>
  <c r="DO4030" i="3" s="1"/>
  <c r="DN3840" i="3"/>
  <c r="DO3840" i="3" s="1"/>
  <c r="DN3625" i="3"/>
  <c r="DO3625" i="3" s="1"/>
  <c r="DN3616" i="3"/>
  <c r="DO3616" i="3" s="1"/>
  <c r="DN3614" i="3"/>
  <c r="DO3614" i="3" s="1"/>
  <c r="DN3605" i="3"/>
  <c r="DO3605" i="3" s="1"/>
  <c r="DN3600" i="3"/>
  <c r="DO3600" i="3" s="1"/>
  <c r="DN3598" i="3"/>
  <c r="DO3598" i="3" s="1"/>
  <c r="DN3589" i="3"/>
  <c r="DO3589" i="3" s="1"/>
  <c r="DN3582" i="3"/>
  <c r="DO3582" i="3" s="1"/>
  <c r="DN3580" i="3"/>
  <c r="DO3580" i="3" s="1"/>
  <c r="DN3573" i="3"/>
  <c r="DO3573" i="3" s="1"/>
  <c r="DN3566" i="3"/>
  <c r="DO3566" i="3" s="1"/>
  <c r="DN3564" i="3"/>
  <c r="DO3564" i="3" s="1"/>
  <c r="DN3557" i="3"/>
  <c r="DO3557" i="3" s="1"/>
  <c r="DN3552" i="3"/>
  <c r="DO3552" i="3" s="1"/>
  <c r="DN3550" i="3"/>
  <c r="DO3550" i="3" s="1"/>
  <c r="DN3545" i="3"/>
  <c r="DO3545" i="3" s="1"/>
  <c r="DN3536" i="3"/>
  <c r="DO3536" i="3" s="1"/>
  <c r="DN3534" i="3"/>
  <c r="DO3534" i="3" s="1"/>
  <c r="DN3532" i="3"/>
  <c r="DO3532" i="3" s="1"/>
  <c r="DN3530" i="3"/>
  <c r="DO3530" i="3" s="1"/>
  <c r="DN3528" i="3"/>
  <c r="DO3528" i="3" s="1"/>
  <c r="DN3526" i="3"/>
  <c r="DO3526" i="3" s="1"/>
  <c r="DN3524" i="3"/>
  <c r="DO3524" i="3" s="1"/>
  <c r="DN3522" i="3"/>
  <c r="DO3522" i="3" s="1"/>
  <c r="DN3520" i="3"/>
  <c r="DO3520" i="3" s="1"/>
  <c r="DN3518" i="3"/>
  <c r="DO3518" i="3" s="1"/>
  <c r="DN3516" i="3"/>
  <c r="DO3516" i="3" s="1"/>
  <c r="DN3232" i="3"/>
  <c r="DO3232" i="3" s="1"/>
  <c r="DN3168" i="3"/>
  <c r="DO3168" i="3" s="1"/>
  <c r="DN3166" i="3"/>
  <c r="DO3166" i="3" s="1"/>
  <c r="DN3159" i="3"/>
  <c r="DO3159" i="3" s="1"/>
  <c r="DN3152" i="3"/>
  <c r="DO3152" i="3" s="1"/>
  <c r="DN3150" i="3"/>
  <c r="DO3150" i="3" s="1"/>
  <c r="DN3143" i="3"/>
  <c r="DO3143" i="3" s="1"/>
  <c r="DN3134" i="3"/>
  <c r="DO3134" i="3" s="1"/>
  <c r="DN3132" i="3"/>
  <c r="DO3132" i="3" s="1"/>
  <c r="DN3127" i="3"/>
  <c r="DO3127" i="3" s="1"/>
  <c r="DN3118" i="3"/>
  <c r="DO3118" i="3" s="1"/>
  <c r="DN3116" i="3"/>
  <c r="DO3116" i="3" s="1"/>
  <c r="DN3107" i="3"/>
  <c r="DO3107" i="3" s="1"/>
  <c r="DN3102" i="3"/>
  <c r="DO3102" i="3" s="1"/>
  <c r="DN3100" i="3"/>
  <c r="DO3100" i="3" s="1"/>
  <c r="DN3097" i="3"/>
  <c r="DO3097" i="3" s="1"/>
  <c r="DN3095" i="3"/>
  <c r="DO3095" i="3" s="1"/>
  <c r="DN3088" i="3"/>
  <c r="DO3088" i="3" s="1"/>
  <c r="DN3086" i="3"/>
  <c r="DO3086" i="3" s="1"/>
  <c r="DN3081" i="3"/>
  <c r="DO3081" i="3" s="1"/>
  <c r="DN3079" i="3"/>
  <c r="DO3079" i="3" s="1"/>
  <c r="DN3072" i="3"/>
  <c r="DO3072" i="3" s="1"/>
  <c r="DN3070" i="3"/>
  <c r="DO3070" i="3" s="1"/>
  <c r="DN3054" i="3"/>
  <c r="DO3054" i="3" s="1"/>
  <c r="DN3052" i="3"/>
  <c r="DO3052" i="3" s="1"/>
  <c r="DN3047" i="3"/>
  <c r="DO3047" i="3" s="1"/>
  <c r="DN3038" i="3"/>
  <c r="DO3038" i="3" s="1"/>
  <c r="DN3036" i="3"/>
  <c r="DO3036" i="3" s="1"/>
  <c r="DN3027" i="3"/>
  <c r="DO3027" i="3" s="1"/>
  <c r="DN3022" i="3"/>
  <c r="DO3022" i="3" s="1"/>
  <c r="DN3017" i="3"/>
  <c r="DO3017" i="3" s="1"/>
  <c r="DN3015" i="3"/>
  <c r="DO3015" i="3" s="1"/>
  <c r="DN3008" i="3"/>
  <c r="DO3008" i="3" s="1"/>
  <c r="DN3006" i="3"/>
  <c r="DO3006" i="3" s="1"/>
  <c r="DN2997" i="3"/>
  <c r="DO2997" i="3" s="1"/>
  <c r="DN2992" i="3"/>
  <c r="DO2992" i="3" s="1"/>
  <c r="DN2990" i="3"/>
  <c r="DO2990" i="3" s="1"/>
  <c r="DN2981" i="3"/>
  <c r="DO2981" i="3" s="1"/>
  <c r="DN2974" i="3"/>
  <c r="DO2974" i="3" s="1"/>
  <c r="DN2972" i="3"/>
  <c r="DO2972" i="3" s="1"/>
  <c r="DN2965" i="3"/>
  <c r="DO2965" i="3" s="1"/>
  <c r="DN2963" i="3"/>
  <c r="DO2963" i="3" s="1"/>
  <c r="DN2958" i="3"/>
  <c r="DO2958" i="3" s="1"/>
  <c r="DN2956" i="3"/>
  <c r="DO2956" i="3" s="1"/>
  <c r="DN2949" i="3"/>
  <c r="DO2949" i="3" s="1"/>
  <c r="DN2944" i="3"/>
  <c r="DO2944" i="3" s="1"/>
  <c r="DN2942" i="3"/>
  <c r="DO2942" i="3" s="1"/>
  <c r="DN2937" i="3"/>
  <c r="DO2937" i="3" s="1"/>
  <c r="DN2935" i="3"/>
  <c r="DO2935" i="3" s="1"/>
  <c r="DN2928" i="3"/>
  <c r="DO2928" i="3" s="1"/>
  <c r="DN2926" i="3"/>
  <c r="DO2926" i="3" s="1"/>
  <c r="DN2919" i="3"/>
  <c r="DO2919" i="3" s="1"/>
  <c r="DN2917" i="3"/>
  <c r="DO2917" i="3" s="1"/>
  <c r="DN2912" i="3"/>
  <c r="DO2912" i="3" s="1"/>
  <c r="DN2910" i="3"/>
  <c r="DO2910" i="3" s="1"/>
  <c r="DN2908" i="3"/>
  <c r="DO2908" i="3" s="1"/>
  <c r="DN2903" i="3"/>
  <c r="DO2903" i="3" s="1"/>
  <c r="DN2901" i="3"/>
  <c r="DO2901" i="3" s="1"/>
  <c r="DN2894" i="3"/>
  <c r="DO2894" i="3" s="1"/>
  <c r="DN2892" i="3"/>
  <c r="DO2892" i="3" s="1"/>
  <c r="DN2885" i="3"/>
  <c r="DO2885" i="3" s="1"/>
  <c r="DN2878" i="3"/>
  <c r="DO2878" i="3" s="1"/>
  <c r="DN2876" i="3"/>
  <c r="DO2876" i="3" s="1"/>
  <c r="DN2871" i="3"/>
  <c r="DO2871" i="3" s="1"/>
  <c r="DN2864" i="3"/>
  <c r="DO2864" i="3" s="1"/>
  <c r="DN2862" i="3"/>
  <c r="DO2862" i="3" s="1"/>
  <c r="DN2857" i="3"/>
  <c r="DO2857" i="3" s="1"/>
  <c r="DN2855" i="3"/>
  <c r="DO2855" i="3" s="1"/>
  <c r="DN2848" i="3"/>
  <c r="DO2848" i="3" s="1"/>
  <c r="DN2846" i="3"/>
  <c r="DO2846" i="3" s="1"/>
  <c r="DN2839" i="3"/>
  <c r="DO2839" i="3" s="1"/>
  <c r="DN2837" i="3"/>
  <c r="DO2837" i="3" s="1"/>
  <c r="DN2830" i="3"/>
  <c r="DO2830" i="3" s="1"/>
  <c r="DN2828" i="3"/>
  <c r="DO2828" i="3" s="1"/>
  <c r="DN2823" i="3"/>
  <c r="DO2823" i="3" s="1"/>
  <c r="DN2821" i="3"/>
  <c r="DO2821" i="3" s="1"/>
  <c r="DN2814" i="3"/>
  <c r="DO2814" i="3" s="1"/>
  <c r="DN2812" i="3"/>
  <c r="DO2812" i="3" s="1"/>
  <c r="DN2805" i="3"/>
  <c r="DO2805" i="3" s="1"/>
  <c r="DN2798" i="3"/>
  <c r="DO2798" i="3" s="1"/>
  <c r="DN2796" i="3"/>
  <c r="DO2796" i="3" s="1"/>
  <c r="DN2793" i="3"/>
  <c r="DO2793" i="3" s="1"/>
  <c r="DN2791" i="3"/>
  <c r="DO2791" i="3" s="1"/>
  <c r="DN2784" i="3"/>
  <c r="DO2784" i="3" s="1"/>
  <c r="DN2782" i="3"/>
  <c r="DO2782" i="3" s="1"/>
  <c r="DN2777" i="3"/>
  <c r="DO2777" i="3" s="1"/>
  <c r="DN2775" i="3"/>
  <c r="DO2775" i="3" s="1"/>
  <c r="DN2773" i="3"/>
  <c r="DO2773" i="3" s="1"/>
  <c r="DN2768" i="3"/>
  <c r="DO2768" i="3" s="1"/>
  <c r="DN2766" i="3"/>
  <c r="DO2766" i="3" s="1"/>
  <c r="DN2759" i="3"/>
  <c r="DO2759" i="3" s="1"/>
  <c r="DN2757" i="3"/>
  <c r="DO2757" i="3" s="1"/>
  <c r="DN2750" i="3"/>
  <c r="DO2750" i="3" s="1"/>
  <c r="DN2748" i="3"/>
  <c r="DO2748" i="3" s="1"/>
  <c r="DN2743" i="3"/>
  <c r="DO2743" i="3" s="1"/>
  <c r="DN2741" i="3"/>
  <c r="DO2741" i="3" s="1"/>
  <c r="DN2734" i="3"/>
  <c r="DO2734" i="3" s="1"/>
  <c r="DN2732" i="3"/>
  <c r="DO2732" i="3" s="1"/>
  <c r="DN2725" i="3"/>
  <c r="DO2725" i="3" s="1"/>
  <c r="DN2718" i="3"/>
  <c r="DO2718" i="3" s="1"/>
  <c r="DN2713" i="3"/>
  <c r="DO2713" i="3" s="1"/>
  <c r="DN2711" i="3"/>
  <c r="DO2711" i="3" s="1"/>
  <c r="DN2704" i="3"/>
  <c r="DO2704" i="3" s="1"/>
  <c r="DN2702" i="3"/>
  <c r="DO2702" i="3" s="1"/>
  <c r="DN2695" i="3"/>
  <c r="DO2695" i="3" s="1"/>
  <c r="DN2693" i="3"/>
  <c r="DO2693" i="3" s="1"/>
  <c r="DN2688" i="3"/>
  <c r="DO2688" i="3" s="1"/>
  <c r="DN2686" i="3"/>
  <c r="DO2686" i="3" s="1"/>
  <c r="DN2679" i="3"/>
  <c r="DO2679" i="3" s="1"/>
  <c r="DN2677" i="3"/>
  <c r="DO2677" i="3" s="1"/>
  <c r="DN2670" i="3"/>
  <c r="DO2670" i="3" s="1"/>
  <c r="DN2668" i="3"/>
  <c r="DO2668" i="3" s="1"/>
  <c r="DN2663" i="3"/>
  <c r="DO2663" i="3" s="1"/>
  <c r="DN2661" i="3"/>
  <c r="DO2661" i="3" s="1"/>
  <c r="DN2654" i="3"/>
  <c r="DO2654" i="3" s="1"/>
  <c r="DN2652" i="3"/>
  <c r="DO2652" i="3" s="1"/>
  <c r="DN2645" i="3"/>
  <c r="DO2645" i="3" s="1"/>
  <c r="DN2640" i="3"/>
  <c r="DO2640" i="3" s="1"/>
  <c r="DN2638" i="3"/>
  <c r="DO2638" i="3" s="1"/>
  <c r="DN2633" i="3"/>
  <c r="DO2633" i="3" s="1"/>
  <c r="DN2631" i="3"/>
  <c r="DO2631" i="3" s="1"/>
  <c r="DN2624" i="3"/>
  <c r="DO2624" i="3" s="1"/>
  <c r="DN2622" i="3"/>
  <c r="DO2622" i="3" s="1"/>
  <c r="DN2620" i="3"/>
  <c r="DO2620" i="3" s="1"/>
  <c r="DN2618" i="3"/>
  <c r="DO2618" i="3" s="1"/>
  <c r="DN2616" i="3"/>
  <c r="DO2616" i="3" s="1"/>
  <c r="DN2614" i="3"/>
  <c r="DO2614" i="3" s="1"/>
  <c r="DN2612" i="3"/>
  <c r="DO2612" i="3" s="1"/>
  <c r="DN2610" i="3"/>
  <c r="DO2610" i="3" s="1"/>
  <c r="DN2608" i="3"/>
  <c r="DO2608" i="3" s="1"/>
  <c r="DN2606" i="3"/>
  <c r="DO2606" i="3" s="1"/>
  <c r="DN2604" i="3"/>
  <c r="DO2604" i="3" s="1"/>
  <c r="DN2599" i="3"/>
  <c r="DO2599" i="3" s="1"/>
  <c r="DN2597" i="3"/>
  <c r="DO2597" i="3" s="1"/>
  <c r="DN2590" i="3"/>
  <c r="DO2590" i="3" s="1"/>
  <c r="DN2588" i="3"/>
  <c r="DO2588" i="3" s="1"/>
  <c r="DN2581" i="3"/>
  <c r="DO2581" i="3" s="1"/>
  <c r="DN2574" i="3"/>
  <c r="DO2574" i="3" s="1"/>
  <c r="DN2572" i="3"/>
  <c r="DO2572" i="3" s="1"/>
  <c r="DN2567" i="3"/>
  <c r="DO2567" i="3" s="1"/>
  <c r="DN2510" i="3"/>
  <c r="DO2510" i="3" s="1"/>
  <c r="DN2492" i="3"/>
  <c r="DO2492" i="3" s="1"/>
  <c r="DN2453" i="3"/>
  <c r="DO2453" i="3" s="1"/>
  <c r="DN2375" i="3"/>
  <c r="DO2375" i="3" s="1"/>
  <c r="DN2373" i="3"/>
  <c r="DO2373" i="3" s="1"/>
  <c r="DN2366" i="3"/>
  <c r="DO2366" i="3" s="1"/>
  <c r="DN2364" i="3"/>
  <c r="DO2364" i="3" s="1"/>
  <c r="DN2359" i="3"/>
  <c r="DO2359" i="3" s="1"/>
  <c r="DN2357" i="3"/>
  <c r="DO2357" i="3" s="1"/>
  <c r="DN2350" i="3"/>
  <c r="DO2350" i="3" s="1"/>
  <c r="DN2348" i="3"/>
  <c r="DO2348" i="3" s="1"/>
  <c r="DN2341" i="3"/>
  <c r="DO2341" i="3" s="1"/>
  <c r="DN2336" i="3"/>
  <c r="DO2336" i="3" s="1"/>
  <c r="DN2334" i="3"/>
  <c r="DO2334" i="3" s="1"/>
  <c r="DN2329" i="3"/>
  <c r="DO2329" i="3" s="1"/>
  <c r="DN2327" i="3"/>
  <c r="DO2327" i="3" s="1"/>
  <c r="DN2320" i="3"/>
  <c r="DO2320" i="3" s="1"/>
  <c r="DN2318" i="3"/>
  <c r="DO2318" i="3" s="1"/>
  <c r="DN2316" i="3"/>
  <c r="DO2316" i="3" s="1"/>
  <c r="DN2314" i="3"/>
  <c r="DO2314" i="3" s="1"/>
  <c r="DN2312" i="3"/>
  <c r="DO2312" i="3" s="1"/>
  <c r="DN2310" i="3"/>
  <c r="DO2310" i="3" s="1"/>
  <c r="DN2308" i="3"/>
  <c r="DO2308" i="3" s="1"/>
  <c r="DN2306" i="3"/>
  <c r="DO2306" i="3" s="1"/>
  <c r="DN2304" i="3"/>
  <c r="DO2304" i="3" s="1"/>
  <c r="DN2302" i="3"/>
  <c r="DO2302" i="3" s="1"/>
  <c r="DN2300" i="3"/>
  <c r="DO2300" i="3" s="1"/>
  <c r="DN2295" i="3"/>
  <c r="DO2295" i="3" s="1"/>
  <c r="DN2293" i="3"/>
  <c r="DO2293" i="3" s="1"/>
  <c r="DN2286" i="3"/>
  <c r="DO2286" i="3" s="1"/>
  <c r="DN2284" i="3"/>
  <c r="DO2284" i="3" s="1"/>
  <c r="DN2277" i="3"/>
  <c r="DO2277" i="3" s="1"/>
  <c r="DN2270" i="3"/>
  <c r="DO2270" i="3" s="1"/>
  <c r="DN2268" i="3"/>
  <c r="DO2268" i="3" s="1"/>
  <c r="DN2263" i="3"/>
  <c r="DO2263" i="3" s="1"/>
  <c r="DN2256" i="3"/>
  <c r="DO2256" i="3" s="1"/>
  <c r="DN2254" i="3"/>
  <c r="DO2254" i="3" s="1"/>
  <c r="DN2249" i="3"/>
  <c r="DO2249" i="3" s="1"/>
  <c r="DN2247" i="3"/>
  <c r="DO2247" i="3" s="1"/>
  <c r="DN2240" i="3"/>
  <c r="DO2240" i="3" s="1"/>
  <c r="DN2238" i="3"/>
  <c r="DO2238" i="3" s="1"/>
  <c r="DN2231" i="3"/>
  <c r="DO2231" i="3" s="1"/>
  <c r="DN2229" i="3"/>
  <c r="DO2229" i="3" s="1"/>
  <c r="DN2222" i="3"/>
  <c r="DO2222" i="3" s="1"/>
  <c r="DN2220" i="3"/>
  <c r="DO2220" i="3" s="1"/>
  <c r="DN2215" i="3"/>
  <c r="DO2215" i="3" s="1"/>
  <c r="DN2213" i="3"/>
  <c r="DO2213" i="3" s="1"/>
  <c r="DN2206" i="3"/>
  <c r="DO2206" i="3" s="1"/>
  <c r="DN2204" i="3"/>
  <c r="DO2204" i="3" s="1"/>
  <c r="DN2202" i="3"/>
  <c r="DO2202" i="3" s="1"/>
  <c r="DN2200" i="3"/>
  <c r="DO2200" i="3" s="1"/>
  <c r="DN2198" i="3"/>
  <c r="DO2198" i="3" s="1"/>
  <c r="DN2196" i="3"/>
  <c r="DO2196" i="3" s="1"/>
  <c r="DN2194" i="3"/>
  <c r="DO2194" i="3" s="1"/>
  <c r="DN2192" i="3"/>
  <c r="DO2192" i="3" s="1"/>
  <c r="DN2190" i="3"/>
  <c r="DO2190" i="3" s="1"/>
  <c r="DN2188" i="3"/>
  <c r="DO2188" i="3" s="1"/>
  <c r="DN2185" i="3"/>
  <c r="DO2185" i="3" s="1"/>
  <c r="DN2183" i="3"/>
  <c r="DO2183" i="3" s="1"/>
  <c r="DN2176" i="3"/>
  <c r="DO2176" i="3" s="1"/>
  <c r="DN2174" i="3"/>
  <c r="DO2174" i="3" s="1"/>
  <c r="DN2169" i="3"/>
  <c r="DO2169" i="3" s="1"/>
  <c r="DN2167" i="3"/>
  <c r="DO2167" i="3" s="1"/>
  <c r="DN2165" i="3"/>
  <c r="DO2165" i="3" s="1"/>
  <c r="DN2160" i="3"/>
  <c r="DO2160" i="3" s="1"/>
  <c r="DN2158" i="3"/>
  <c r="DO2158" i="3" s="1"/>
  <c r="DN2151" i="3"/>
  <c r="DO2151" i="3" s="1"/>
  <c r="DN2149" i="3"/>
  <c r="DO2149" i="3" s="1"/>
  <c r="DN2142" i="3"/>
  <c r="DO2142" i="3" s="1"/>
  <c r="DN2140" i="3"/>
  <c r="DO2140" i="3" s="1"/>
  <c r="DN2135" i="3"/>
  <c r="DO2135" i="3" s="1"/>
  <c r="DN2133" i="3"/>
  <c r="DO2133" i="3" s="1"/>
  <c r="DN2126" i="3"/>
  <c r="DO2126" i="3" s="1"/>
  <c r="DN2124" i="3"/>
  <c r="DO2124" i="3" s="1"/>
  <c r="DN2117" i="3"/>
  <c r="DO2117" i="3" s="1"/>
  <c r="DN2110" i="3"/>
  <c r="DO2110" i="3" s="1"/>
  <c r="DN2105" i="3"/>
  <c r="DO2105" i="3" s="1"/>
  <c r="DN2103" i="3"/>
  <c r="DO2103" i="3" s="1"/>
  <c r="DN2096" i="3"/>
  <c r="DO2096" i="3" s="1"/>
  <c r="DN2094" i="3"/>
  <c r="DO2094" i="3" s="1"/>
  <c r="DN2087" i="3"/>
  <c r="DO2087" i="3" s="1"/>
  <c r="DN2085" i="3"/>
  <c r="DO2085" i="3" s="1"/>
  <c r="DN2080" i="3"/>
  <c r="DO2080" i="3" s="1"/>
  <c r="DN2078" i="3"/>
  <c r="DO2078" i="3" s="1"/>
  <c r="DN2071" i="3"/>
  <c r="DO2071" i="3" s="1"/>
  <c r="DN2069" i="3"/>
  <c r="DO2069" i="3" s="1"/>
  <c r="DN2062" i="3"/>
  <c r="DO2062" i="3" s="1"/>
  <c r="DN2060" i="3"/>
  <c r="DO2060" i="3" s="1"/>
  <c r="DN2055" i="3"/>
  <c r="DO2055" i="3" s="1"/>
  <c r="DN2053" i="3"/>
  <c r="DO2053" i="3" s="1"/>
  <c r="DN2046" i="3"/>
  <c r="DO2046" i="3" s="1"/>
  <c r="DN2044" i="3"/>
  <c r="DO2044" i="3" s="1"/>
  <c r="DN2037" i="3"/>
  <c r="DO2037" i="3" s="1"/>
  <c r="DN2032" i="3"/>
  <c r="DO2032" i="3" s="1"/>
  <c r="DN2030" i="3"/>
  <c r="DO2030" i="3" s="1"/>
  <c r="DN2025" i="3"/>
  <c r="DO2025" i="3" s="1"/>
  <c r="DN2023" i="3"/>
  <c r="DO2023" i="3" s="1"/>
  <c r="DN2016" i="3"/>
  <c r="DO2016" i="3" s="1"/>
  <c r="DN2014" i="3"/>
  <c r="DO2014" i="3" s="1"/>
  <c r="DN2012" i="3"/>
  <c r="DO2012" i="3" s="1"/>
  <c r="DN2010" i="3"/>
  <c r="DO2010" i="3" s="1"/>
  <c r="DN2008" i="3"/>
  <c r="DO2008" i="3" s="1"/>
  <c r="DN2006" i="3"/>
  <c r="DO2006" i="3" s="1"/>
  <c r="DN2004" i="3"/>
  <c r="DO2004" i="3" s="1"/>
  <c r="DN2002" i="3"/>
  <c r="DO2002" i="3" s="1"/>
  <c r="DN2000" i="3"/>
  <c r="DO2000" i="3" s="1"/>
  <c r="DN1998" i="3"/>
  <c r="DO1998" i="3" s="1"/>
  <c r="DN1996" i="3"/>
  <c r="DO1996" i="3" s="1"/>
  <c r="DN1991" i="3"/>
  <c r="DO1991" i="3" s="1"/>
  <c r="DN1989" i="3"/>
  <c r="DO1989" i="3" s="1"/>
  <c r="DN1982" i="3"/>
  <c r="DO1982" i="3" s="1"/>
  <c r="DN1980" i="3"/>
  <c r="DO1980" i="3" s="1"/>
  <c r="DN1973" i="3"/>
  <c r="DO1973" i="3" s="1"/>
  <c r="DN1971" i="3"/>
  <c r="DO1971" i="3" s="1"/>
  <c r="DN1966" i="3"/>
  <c r="DO1966" i="3" s="1"/>
  <c r="DN1964" i="3"/>
  <c r="DO1964" i="3" s="1"/>
  <c r="DN1959" i="3"/>
  <c r="DO1959" i="3" s="1"/>
  <c r="DN1952" i="3"/>
  <c r="DO1952" i="3" s="1"/>
  <c r="DN1950" i="3"/>
  <c r="DO1950" i="3" s="1"/>
  <c r="DN1945" i="3"/>
  <c r="DO1945" i="3" s="1"/>
  <c r="DN1943" i="3"/>
  <c r="DO1943" i="3" s="1"/>
  <c r="DN1936" i="3"/>
  <c r="DO1936" i="3" s="1"/>
  <c r="DN1934" i="3"/>
  <c r="DO1934" i="3" s="1"/>
  <c r="DN1927" i="3"/>
  <c r="DO1927" i="3" s="1"/>
  <c r="DN1925" i="3"/>
  <c r="DO1925" i="3" s="1"/>
  <c r="DN1918" i="3"/>
  <c r="DO1918" i="3" s="1"/>
  <c r="DN1916" i="3"/>
  <c r="DO1916" i="3" s="1"/>
  <c r="DN1911" i="3"/>
  <c r="DO1911" i="3" s="1"/>
  <c r="DN1909" i="3"/>
  <c r="DO1909" i="3" s="1"/>
  <c r="DN1902" i="3"/>
  <c r="DO1902" i="3" s="1"/>
  <c r="DN1900" i="3"/>
  <c r="DO1900" i="3" s="1"/>
  <c r="DN1893" i="3"/>
  <c r="DO1893" i="3" s="1"/>
  <c r="DN1891" i="3"/>
  <c r="DO1891" i="3" s="1"/>
  <c r="DN1886" i="3"/>
  <c r="DO1886" i="3" s="1"/>
  <c r="DN1884" i="3"/>
  <c r="DO1884" i="3" s="1"/>
  <c r="DN1881" i="3"/>
  <c r="DO1881" i="3" s="1"/>
  <c r="DN1879" i="3"/>
  <c r="DO1879" i="3" s="1"/>
  <c r="DN1872" i="3"/>
  <c r="DO1872" i="3" s="1"/>
  <c r="DN1870" i="3"/>
  <c r="DO1870" i="3" s="1"/>
  <c r="DN1865" i="3"/>
  <c r="DO1865" i="3" s="1"/>
  <c r="DN1863" i="3"/>
  <c r="DO1863" i="3" s="1"/>
  <c r="DN1861" i="3"/>
  <c r="DO1861" i="3" s="1"/>
  <c r="DN1856" i="3"/>
  <c r="DO1856" i="3" s="1"/>
  <c r="DN1854" i="3"/>
  <c r="DO1854" i="3" s="1"/>
  <c r="DN1847" i="3"/>
  <c r="DO1847" i="3" s="1"/>
  <c r="DN1845" i="3"/>
  <c r="DO1845" i="3" s="1"/>
  <c r="DN1838" i="3"/>
  <c r="DO1838" i="3" s="1"/>
  <c r="DN1836" i="3"/>
  <c r="DO1836" i="3" s="1"/>
  <c r="DN1831" i="3"/>
  <c r="DO1831" i="3" s="1"/>
  <c r="DN1829" i="3"/>
  <c r="DO1829" i="3" s="1"/>
  <c r="DN1826" i="3"/>
  <c r="DO1826" i="3" s="1"/>
  <c r="DN1824" i="3"/>
  <c r="DO1824" i="3" s="1"/>
  <c r="DN1817" i="3"/>
  <c r="DO1817" i="3" s="1"/>
  <c r="DN1815" i="3"/>
  <c r="DO1815" i="3" s="1"/>
  <c r="DN1810" i="3"/>
  <c r="DO1810" i="3" s="1"/>
  <c r="DN1808" i="3"/>
  <c r="DO1808" i="3" s="1"/>
  <c r="DN1805" i="3"/>
  <c r="DO1805" i="3" s="1"/>
  <c r="DN1803" i="3"/>
  <c r="DO1803" i="3" s="1"/>
  <c r="DN1796" i="3"/>
  <c r="DO1796" i="3" s="1"/>
  <c r="DN1794" i="3"/>
  <c r="DO1794" i="3" s="1"/>
  <c r="DN1789" i="3"/>
  <c r="DO1789" i="3" s="1"/>
  <c r="DN1785" i="3"/>
  <c r="DO1785" i="3" s="1"/>
  <c r="DN1780" i="3"/>
  <c r="DO1780" i="3" s="1"/>
  <c r="DN1778" i="3"/>
  <c r="DO1778" i="3" s="1"/>
  <c r="DN1771" i="3"/>
  <c r="DO1771" i="3" s="1"/>
  <c r="DN1766" i="3"/>
  <c r="DO1766" i="3" s="1"/>
  <c r="DN1764" i="3"/>
  <c r="DO1764" i="3" s="1"/>
  <c r="DN1759" i="3"/>
  <c r="DO1759" i="3" s="1"/>
  <c r="DN1757" i="3"/>
  <c r="DO1757" i="3" s="1"/>
  <c r="DN1745" i="3"/>
  <c r="DO1745" i="3" s="1"/>
  <c r="DN1743" i="3"/>
  <c r="DO1743" i="3" s="1"/>
  <c r="DN1738" i="3"/>
  <c r="DO1738" i="3" s="1"/>
  <c r="DN1736" i="3"/>
  <c r="DO1736" i="3" s="1"/>
  <c r="DN1731" i="3"/>
  <c r="DO1731" i="3" s="1"/>
  <c r="DN1724" i="3"/>
  <c r="DO1724" i="3" s="1"/>
  <c r="DN1722" i="3"/>
  <c r="DO1722" i="3" s="1"/>
  <c r="DN1717" i="3"/>
  <c r="DO1717" i="3" s="1"/>
  <c r="DN1715" i="3"/>
  <c r="DO1715" i="3" s="1"/>
  <c r="DN1712" i="3"/>
  <c r="DO1712" i="3" s="1"/>
  <c r="DN1710" i="3"/>
  <c r="DO1710" i="3" s="1"/>
  <c r="DN1703" i="3"/>
  <c r="DO1703" i="3" s="1"/>
  <c r="DN1701" i="3"/>
  <c r="DO1701" i="3" s="1"/>
  <c r="DN1696" i="3"/>
  <c r="DO1696" i="3" s="1"/>
  <c r="DN1694" i="3"/>
  <c r="DO1694" i="3" s="1"/>
  <c r="DN1692" i="3"/>
  <c r="DO1692" i="3" s="1"/>
  <c r="DN1687" i="3"/>
  <c r="DO1687" i="3" s="1"/>
  <c r="DN1685" i="3"/>
  <c r="DO1685" i="3" s="1"/>
  <c r="DN1678" i="3"/>
  <c r="DO1678" i="3" s="1"/>
  <c r="DN1676" i="3"/>
  <c r="DO1676" i="3" s="1"/>
  <c r="DN1673" i="3"/>
  <c r="DO1673" i="3" s="1"/>
  <c r="DN1671" i="3"/>
  <c r="DO1671" i="3" s="1"/>
  <c r="DN1666" i="3"/>
  <c r="DO1666" i="3" s="1"/>
  <c r="DN1664" i="3"/>
  <c r="DO1664" i="3" s="1"/>
  <c r="DN1657" i="3"/>
  <c r="DO1657" i="3" s="1"/>
  <c r="DN1652" i="3"/>
  <c r="DO1652" i="3" s="1"/>
  <c r="DN1650" i="3"/>
  <c r="DO1650" i="3" s="1"/>
  <c r="DN1645" i="3"/>
  <c r="DO1645" i="3" s="1"/>
  <c r="DN1643" i="3"/>
  <c r="DO1643" i="3" s="1"/>
  <c r="DN1631" i="3"/>
  <c r="DO1631" i="3" s="1"/>
  <c r="DN1629" i="3"/>
  <c r="DO1629" i="3" s="1"/>
  <c r="DN1624" i="3"/>
  <c r="DO1624" i="3" s="1"/>
  <c r="DN1622" i="3"/>
  <c r="DO1622" i="3" s="1"/>
  <c r="DN1615" i="3"/>
  <c r="DO1615" i="3" s="1"/>
  <c r="DN1613" i="3"/>
  <c r="DO1613" i="3" s="1"/>
  <c r="DN1606" i="3"/>
  <c r="DO1606" i="3" s="1"/>
  <c r="DN1604" i="3"/>
  <c r="DO1604" i="3" s="1"/>
  <c r="DN1599" i="3"/>
  <c r="DO1599" i="3" s="1"/>
  <c r="DN1594" i="3"/>
  <c r="DO1594" i="3" s="1"/>
  <c r="DN1592" i="3"/>
  <c r="DO1592" i="3" s="1"/>
  <c r="DN1585" i="3"/>
  <c r="DO1585" i="3" s="1"/>
  <c r="DN1583" i="3"/>
  <c r="DO1583" i="3" s="1"/>
  <c r="DN1578" i="3"/>
  <c r="DO1578" i="3" s="1"/>
  <c r="DN1573" i="3"/>
  <c r="DO1573" i="3" s="1"/>
  <c r="DN1571" i="3"/>
  <c r="DO1571" i="3" s="1"/>
  <c r="DN1564" i="3"/>
  <c r="DO1564" i="3" s="1"/>
  <c r="DN1562" i="3"/>
  <c r="DO1562" i="3" s="1"/>
  <c r="DN1559" i="3"/>
  <c r="DO1559" i="3" s="1"/>
  <c r="DN2" i="3"/>
  <c r="DO2" i="3" s="1"/>
  <c r="DN762" i="3"/>
  <c r="DO762" i="3" s="1"/>
  <c r="DN643" i="3"/>
  <c r="DO643" i="3" s="1"/>
  <c r="DN639" i="3"/>
  <c r="DO639" i="3" s="1"/>
  <c r="DN646" i="3"/>
  <c r="DO646" i="3" s="1"/>
  <c r="DN642" i="3"/>
  <c r="DO642" i="3" s="1"/>
  <c r="DN638" i="3"/>
  <c r="DO638" i="3" s="1"/>
  <c r="DN634" i="3"/>
  <c r="DO634" i="3" s="1"/>
  <c r="DN630" i="3"/>
  <c r="DO630" i="3" s="1"/>
  <c r="DN626" i="3"/>
  <c r="DO626" i="3" s="1"/>
  <c r="DN622" i="3"/>
  <c r="DO622" i="3" s="1"/>
  <c r="DN618" i="3"/>
  <c r="DO618" i="3" s="1"/>
  <c r="DN614" i="3"/>
  <c r="DO614" i="3" s="1"/>
  <c r="DN610" i="3"/>
  <c r="DO610" i="3" s="1"/>
  <c r="DN606" i="3"/>
  <c r="DO606" i="3" s="1"/>
  <c r="DN602" i="3"/>
  <c r="DO602" i="3" s="1"/>
  <c r="DN598" i="3"/>
  <c r="DO598" i="3" s="1"/>
  <c r="DN594" i="3"/>
  <c r="DO594" i="3" s="1"/>
  <c r="DN514" i="3"/>
  <c r="DO514" i="3" s="1"/>
  <c r="DN306" i="3"/>
  <c r="DO306" i="3" s="1"/>
  <c r="DN971" i="3"/>
  <c r="DO971" i="3" s="1"/>
  <c r="DN967" i="3"/>
  <c r="DO967" i="3" s="1"/>
  <c r="DN963" i="3"/>
  <c r="DO963" i="3" s="1"/>
  <c r="DN959" i="3"/>
  <c r="DO959" i="3" s="1"/>
  <c r="DN955" i="3"/>
  <c r="DO955" i="3" s="1"/>
  <c r="DN951" i="3"/>
  <c r="DO951" i="3" s="1"/>
  <c r="DN947" i="3"/>
  <c r="DO947" i="3" s="1"/>
  <c r="DN943" i="3"/>
  <c r="DO943" i="3" s="1"/>
  <c r="DN939" i="3"/>
  <c r="DO939" i="3" s="1"/>
  <c r="DN935" i="3"/>
  <c r="DO935" i="3" s="1"/>
  <c r="DN931" i="3"/>
  <c r="DO931" i="3" s="1"/>
  <c r="DN927" i="3"/>
  <c r="DO927" i="3" s="1"/>
  <c r="DN923" i="3"/>
  <c r="DO923" i="3" s="1"/>
  <c r="DN919" i="3"/>
  <c r="DO919" i="3" s="1"/>
  <c r="DN915" i="3"/>
  <c r="DO915" i="3" s="1"/>
  <c r="DN911" i="3"/>
  <c r="DO911" i="3" s="1"/>
  <c r="DN907" i="3"/>
  <c r="DO907" i="3" s="1"/>
  <c r="DN903" i="3"/>
  <c r="DO903" i="3" s="1"/>
  <c r="DN899" i="3"/>
  <c r="DO899" i="3" s="1"/>
  <c r="DN895" i="3"/>
  <c r="DO895" i="3" s="1"/>
  <c r="DN891" i="3"/>
  <c r="DO891" i="3" s="1"/>
  <c r="DN887" i="3"/>
  <c r="DO887" i="3" s="1"/>
  <c r="DN883" i="3"/>
  <c r="DO883" i="3" s="1"/>
  <c r="DN879" i="3"/>
  <c r="DO879" i="3" s="1"/>
  <c r="DN875" i="3"/>
  <c r="DO875" i="3" s="1"/>
  <c r="DN871" i="3"/>
  <c r="DO871" i="3" s="1"/>
  <c r="DN867" i="3"/>
  <c r="DO867" i="3" s="1"/>
  <c r="DN863" i="3"/>
  <c r="DO863" i="3" s="1"/>
  <c r="DN859" i="3"/>
  <c r="DO859" i="3" s="1"/>
  <c r="DN855" i="3"/>
  <c r="DO855" i="3" s="1"/>
  <c r="DN851" i="3"/>
  <c r="DO851" i="3" s="1"/>
  <c r="DN847" i="3"/>
  <c r="DO847" i="3" s="1"/>
  <c r="DN843" i="3"/>
  <c r="DO843" i="3" s="1"/>
  <c r="DN839" i="3"/>
  <c r="DO839" i="3" s="1"/>
  <c r="DN739" i="3"/>
  <c r="DO739" i="3" s="1"/>
  <c r="DN735" i="3"/>
  <c r="DO735" i="3" s="1"/>
  <c r="DN731" i="3"/>
  <c r="DO731" i="3" s="1"/>
  <c r="DN727" i="3"/>
  <c r="DO727" i="3" s="1"/>
  <c r="DN723" i="3"/>
  <c r="DO723" i="3" s="1"/>
  <c r="DN719" i="3"/>
  <c r="DO719" i="3" s="1"/>
  <c r="DN715" i="3"/>
  <c r="DO715" i="3" s="1"/>
  <c r="DN711" i="3"/>
  <c r="DO711" i="3" s="1"/>
  <c r="DN707" i="3"/>
  <c r="DO707" i="3" s="1"/>
  <c r="DN703" i="3"/>
  <c r="DO703" i="3" s="1"/>
  <c r="DN699" i="3"/>
  <c r="DO699" i="3" s="1"/>
  <c r="DN695" i="3"/>
  <c r="DO695" i="3" s="1"/>
  <c r="DN691" i="3"/>
  <c r="DO691" i="3" s="1"/>
  <c r="DN687" i="3"/>
  <c r="DO687" i="3" s="1"/>
  <c r="DN683" i="3"/>
  <c r="DO683" i="3" s="1"/>
  <c r="DN679" i="3"/>
  <c r="DO679" i="3" s="1"/>
  <c r="DN675" i="3"/>
  <c r="DO675" i="3" s="1"/>
  <c r="DN671" i="3"/>
  <c r="DO671" i="3" s="1"/>
  <c r="DN667" i="3"/>
  <c r="DO667" i="3" s="1"/>
  <c r="DN663" i="3"/>
  <c r="DO663" i="3" s="1"/>
  <c r="DN659" i="3"/>
  <c r="DO659" i="3" s="1"/>
  <c r="DN655" i="3"/>
  <c r="DO655" i="3" s="1"/>
  <c r="DN651" i="3"/>
  <c r="DO651" i="3" s="1"/>
  <c r="DN647" i="3"/>
  <c r="DO647" i="3" s="1"/>
  <c r="DN475" i="3"/>
  <c r="DO475" i="3" s="1"/>
  <c r="DN471" i="3"/>
  <c r="DO471" i="3" s="1"/>
  <c r="DN467" i="3"/>
  <c r="DO467" i="3" s="1"/>
  <c r="DN463" i="3"/>
  <c r="DO463" i="3" s="1"/>
  <c r="DN459" i="3"/>
  <c r="DO459" i="3" s="1"/>
  <c r="DN403" i="3"/>
  <c r="DO403" i="3" s="1"/>
  <c r="DN383" i="3"/>
  <c r="DO383" i="3" s="1"/>
  <c r="DN3063" i="3"/>
  <c r="DO3063" i="3" s="1"/>
  <c r="DN3112" i="3"/>
  <c r="DO3112" i="3" s="1"/>
  <c r="DN3084" i="3"/>
  <c r="DO3084" i="3" s="1"/>
  <c r="DN3068" i="3"/>
  <c r="DO3068" i="3" s="1"/>
  <c r="DN3048" i="3"/>
  <c r="DO3048" i="3" s="1"/>
  <c r="DN3032" i="3"/>
  <c r="DO3032" i="3" s="1"/>
  <c r="DN3020" i="3"/>
  <c r="DO3020" i="3" s="1"/>
  <c r="DN3004" i="3"/>
  <c r="DO3004" i="3" s="1"/>
  <c r="DN2993" i="3"/>
  <c r="DO2993" i="3" s="1"/>
  <c r="DN2988" i="3"/>
  <c r="DO2988" i="3" s="1"/>
  <c r="DN2984" i="3"/>
  <c r="DO2984" i="3" s="1"/>
  <c r="DN2977" i="3"/>
  <c r="DO2977" i="3" s="1"/>
  <c r="DN2968" i="3"/>
  <c r="DO2968" i="3" s="1"/>
  <c r="DN2961" i="3"/>
  <c r="DO2961" i="3" s="1"/>
  <c r="DN2952" i="3"/>
  <c r="DO2952" i="3" s="1"/>
  <c r="DN2940" i="3"/>
  <c r="DO2940" i="3" s="1"/>
  <c r="DN2938" i="3"/>
  <c r="DO2938" i="3" s="1"/>
  <c r="DN2933" i="3"/>
  <c r="DO2933" i="3" s="1"/>
  <c r="DN2924" i="3"/>
  <c r="DO2924" i="3" s="1"/>
  <c r="DN2922" i="3"/>
  <c r="DO2922" i="3" s="1"/>
  <c r="DN2913" i="3"/>
  <c r="DO2913" i="3" s="1"/>
  <c r="DN2906" i="3"/>
  <c r="DO2906" i="3" s="1"/>
  <c r="DN2904" i="3"/>
  <c r="DO2904" i="3" s="1"/>
  <c r="DN2897" i="3"/>
  <c r="DO2897" i="3" s="1"/>
  <c r="DN2890" i="3"/>
  <c r="DO2890" i="3" s="1"/>
  <c r="DN2888" i="3"/>
  <c r="DO2888" i="3" s="1"/>
  <c r="DN2881" i="3"/>
  <c r="DO2881" i="3" s="1"/>
  <c r="DN2874" i="3"/>
  <c r="DO2874" i="3" s="1"/>
  <c r="DN2872" i="3"/>
  <c r="DO2872" i="3" s="1"/>
  <c r="DN2869" i="3"/>
  <c r="DO2869" i="3" s="1"/>
  <c r="DN2860" i="3"/>
  <c r="DO2860" i="3" s="1"/>
  <c r="DN2858" i="3"/>
  <c r="DO2858" i="3" s="1"/>
  <c r="DN2853" i="3"/>
  <c r="DO2853" i="3" s="1"/>
  <c r="DN2849" i="3"/>
  <c r="DO2849" i="3" s="1"/>
  <c r="DN2844" i="3"/>
  <c r="DO2844" i="3" s="1"/>
  <c r="DN2842" i="3"/>
  <c r="DO2842" i="3" s="1"/>
  <c r="DN2833" i="3"/>
  <c r="DO2833" i="3" s="1"/>
  <c r="DN2826" i="3"/>
  <c r="DO2826" i="3" s="1"/>
  <c r="DN2824" i="3"/>
  <c r="DO2824" i="3" s="1"/>
  <c r="DN2817" i="3"/>
  <c r="DO2817" i="3" s="1"/>
  <c r="DN2810" i="3"/>
  <c r="DO2810" i="3" s="1"/>
  <c r="DN2808" i="3"/>
  <c r="DO2808" i="3" s="1"/>
  <c r="DN2801" i="3"/>
  <c r="DO2801" i="3" s="1"/>
  <c r="DN2794" i="3"/>
  <c r="DO2794" i="3" s="1"/>
  <c r="DN2789" i="3"/>
  <c r="DO2789" i="3" s="1"/>
  <c r="DN2780" i="3"/>
  <c r="DO2780" i="3" s="1"/>
  <c r="DN2778" i="3"/>
  <c r="DO2778" i="3" s="1"/>
  <c r="DN2769" i="3"/>
  <c r="DO2769" i="3" s="1"/>
  <c r="DN2764" i="3"/>
  <c r="DO2764" i="3" s="1"/>
  <c r="DN2762" i="3"/>
  <c r="DO2762" i="3" s="1"/>
  <c r="DN2753" i="3"/>
  <c r="DO2753" i="3" s="1"/>
  <c r="DN2746" i="3"/>
  <c r="DO2746" i="3" s="1"/>
  <c r="DN2744" i="3"/>
  <c r="DO2744" i="3" s="1"/>
  <c r="DN2737" i="3"/>
  <c r="DO2737" i="3" s="1"/>
  <c r="DN2730" i="3"/>
  <c r="DO2730" i="3" s="1"/>
  <c r="DN2728" i="3"/>
  <c r="DO2728" i="3" s="1"/>
  <c r="DN2721" i="3"/>
  <c r="DO2721" i="3" s="1"/>
  <c r="DN2716" i="3"/>
  <c r="DO2716" i="3" s="1"/>
  <c r="DN2714" i="3"/>
  <c r="DO2714" i="3" s="1"/>
  <c r="DN2709" i="3"/>
  <c r="DO2709" i="3" s="1"/>
  <c r="DN2700" i="3"/>
  <c r="DO2700" i="3" s="1"/>
  <c r="DN2698" i="3"/>
  <c r="DO2698" i="3" s="1"/>
  <c r="DN2689" i="3"/>
  <c r="DO2689" i="3" s="1"/>
  <c r="DN2684" i="3"/>
  <c r="DO2684" i="3" s="1"/>
  <c r="DN2682" i="3"/>
  <c r="DO2682" i="3" s="1"/>
  <c r="DN2680" i="3"/>
  <c r="DO2680" i="3" s="1"/>
  <c r="DN2673" i="3"/>
  <c r="DO2673" i="3" s="1"/>
  <c r="DN2666" i="3"/>
  <c r="DO2666" i="3" s="1"/>
  <c r="DN2664" i="3"/>
  <c r="DO2664" i="3" s="1"/>
  <c r="DN2657" i="3"/>
  <c r="DO2657" i="3" s="1"/>
  <c r="DN2650" i="3"/>
  <c r="DO2650" i="3" s="1"/>
  <c r="DN2648" i="3"/>
  <c r="DO2648" i="3" s="1"/>
  <c r="DN2636" i="3"/>
  <c r="DO2636" i="3" s="1"/>
  <c r="DN2634" i="3"/>
  <c r="DO2634" i="3" s="1"/>
  <c r="DN2629" i="3"/>
  <c r="DO2629" i="3" s="1"/>
  <c r="DN2602" i="3"/>
  <c r="DO2602" i="3" s="1"/>
  <c r="DN2600" i="3"/>
  <c r="DO2600" i="3" s="1"/>
  <c r="DN2593" i="3"/>
  <c r="DO2593" i="3" s="1"/>
  <c r="DN2586" i="3"/>
  <c r="DO2586" i="3" s="1"/>
  <c r="DN2584" i="3"/>
  <c r="DO2584" i="3" s="1"/>
  <c r="DN2577" i="3"/>
  <c r="DO2577" i="3" s="1"/>
  <c r="DN2570" i="3"/>
  <c r="DO2570" i="3" s="1"/>
  <c r="DN2568" i="3"/>
  <c r="DO2568" i="3" s="1"/>
  <c r="DN2549" i="3"/>
  <c r="DO2549" i="3" s="1"/>
  <c r="DN2529" i="3"/>
  <c r="DO2529" i="3" s="1"/>
  <c r="DN2396" i="3"/>
  <c r="DO2396" i="3" s="1"/>
  <c r="DN2378" i="3"/>
  <c r="DO2378" i="3" s="1"/>
  <c r="DN2369" i="3"/>
  <c r="DO2369" i="3" s="1"/>
  <c r="DN2362" i="3"/>
  <c r="DO2362" i="3" s="1"/>
  <c r="DN2360" i="3"/>
  <c r="DO2360" i="3" s="1"/>
  <c r="DN2353" i="3"/>
  <c r="DO2353" i="3" s="1"/>
  <c r="DN2346" i="3"/>
  <c r="DO2346" i="3" s="1"/>
  <c r="DN2344" i="3"/>
  <c r="DO2344" i="3" s="1"/>
  <c r="DN2332" i="3"/>
  <c r="DO2332" i="3" s="1"/>
  <c r="DN2330" i="3"/>
  <c r="DO2330" i="3" s="1"/>
  <c r="DN2325" i="3"/>
  <c r="DO2325" i="3" s="1"/>
  <c r="DN2298" i="3"/>
  <c r="DO2298" i="3" s="1"/>
  <c r="DN2296" i="3"/>
  <c r="DO2296" i="3" s="1"/>
  <c r="DN2289" i="3"/>
  <c r="DO2289" i="3" s="1"/>
  <c r="DN2282" i="3"/>
  <c r="DO2282" i="3" s="1"/>
  <c r="DN2280" i="3"/>
  <c r="DO2280" i="3" s="1"/>
  <c r="DN2273" i="3"/>
  <c r="DO2273" i="3" s="1"/>
  <c r="DN2266" i="3"/>
  <c r="DO2266" i="3" s="1"/>
  <c r="DN2264" i="3"/>
  <c r="DO2264" i="3" s="1"/>
  <c r="DN2261" i="3"/>
  <c r="DO2261" i="3" s="1"/>
  <c r="DN2252" i="3"/>
  <c r="DO2252" i="3" s="1"/>
  <c r="DN2250" i="3"/>
  <c r="DO2250" i="3" s="1"/>
  <c r="DN2245" i="3"/>
  <c r="DO2245" i="3" s="1"/>
  <c r="DN2241" i="3"/>
  <c r="DO2241" i="3" s="1"/>
  <c r="DN2236" i="3"/>
  <c r="DO2236" i="3" s="1"/>
  <c r="DN2234" i="3"/>
  <c r="DO2234" i="3" s="1"/>
  <c r="DN2225" i="3"/>
  <c r="DO2225" i="3" s="1"/>
  <c r="DN2218" i="3"/>
  <c r="DO2218" i="3" s="1"/>
  <c r="DN2216" i="3"/>
  <c r="DO2216" i="3" s="1"/>
  <c r="DN2209" i="3"/>
  <c r="DO2209" i="3" s="1"/>
  <c r="DN2186" i="3"/>
  <c r="DO2186" i="3" s="1"/>
  <c r="DN2181" i="3"/>
  <c r="DO2181" i="3" s="1"/>
  <c r="DN2172" i="3"/>
  <c r="DO2172" i="3" s="1"/>
  <c r="DN2170" i="3"/>
  <c r="DO2170" i="3" s="1"/>
  <c r="DN2161" i="3"/>
  <c r="DO2161" i="3" s="1"/>
  <c r="DN2156" i="3"/>
  <c r="DO2156" i="3" s="1"/>
  <c r="DN2154" i="3"/>
  <c r="DO2154" i="3" s="1"/>
  <c r="DN2145" i="3"/>
  <c r="DO2145" i="3" s="1"/>
  <c r="DN2138" i="3"/>
  <c r="DO2138" i="3" s="1"/>
  <c r="DN2136" i="3"/>
  <c r="DO2136" i="3" s="1"/>
  <c r="DN2129" i="3"/>
  <c r="DO2129" i="3" s="1"/>
  <c r="DN2122" i="3"/>
  <c r="DO2122" i="3" s="1"/>
  <c r="DN2120" i="3"/>
  <c r="DO2120" i="3" s="1"/>
  <c r="DN2113" i="3"/>
  <c r="DO2113" i="3" s="1"/>
  <c r="DN2108" i="3"/>
  <c r="DO2108" i="3" s="1"/>
  <c r="DN2106" i="3"/>
  <c r="DO2106" i="3" s="1"/>
  <c r="DN2101" i="3"/>
  <c r="DO2101" i="3" s="1"/>
  <c r="DN2092" i="3"/>
  <c r="DO2092" i="3" s="1"/>
  <c r="DN2090" i="3"/>
  <c r="DO2090" i="3" s="1"/>
  <c r="DN2081" i="3"/>
  <c r="DO2081" i="3" s="1"/>
  <c r="DN2076" i="3"/>
  <c r="DO2076" i="3" s="1"/>
  <c r="DN2074" i="3"/>
  <c r="DO2074" i="3" s="1"/>
  <c r="DN2072" i="3"/>
  <c r="DO2072" i="3" s="1"/>
  <c r="DN2065" i="3"/>
  <c r="DO2065" i="3" s="1"/>
  <c r="DN2058" i="3"/>
  <c r="DO2058" i="3" s="1"/>
  <c r="DN2056" i="3"/>
  <c r="DO2056" i="3" s="1"/>
  <c r="DN2049" i="3"/>
  <c r="DO2049" i="3" s="1"/>
  <c r="DN2042" i="3"/>
  <c r="DO2042" i="3" s="1"/>
  <c r="DN2040" i="3"/>
  <c r="DO2040" i="3" s="1"/>
  <c r="DN2028" i="3"/>
  <c r="DO2028" i="3" s="1"/>
  <c r="DN2026" i="3"/>
  <c r="DO2026" i="3" s="1"/>
  <c r="DN2021" i="3"/>
  <c r="DO2021" i="3" s="1"/>
  <c r="DN2019" i="3"/>
  <c r="DO2019" i="3" s="1"/>
  <c r="DN1994" i="3"/>
  <c r="DO1994" i="3" s="1"/>
  <c r="DN1992" i="3"/>
  <c r="DO1992" i="3" s="1"/>
  <c r="DN1987" i="3"/>
  <c r="DO1987" i="3" s="1"/>
  <c r="DN1978" i="3"/>
  <c r="DO1978" i="3" s="1"/>
  <c r="DN1976" i="3"/>
  <c r="DO1976" i="3" s="1"/>
  <c r="DN1967" i="3"/>
  <c r="DO1967" i="3" s="1"/>
  <c r="DN1962" i="3"/>
  <c r="DO1962" i="3" s="1"/>
  <c r="DN1960" i="3"/>
  <c r="DO1960" i="3" s="1"/>
  <c r="DN1957" i="3"/>
  <c r="DO1957" i="3" s="1"/>
  <c r="DN1955" i="3"/>
  <c r="DO1955" i="3" s="1"/>
  <c r="DN1948" i="3"/>
  <c r="DO1948" i="3" s="1"/>
  <c r="DN1946" i="3"/>
  <c r="DO1946" i="3" s="1"/>
  <c r="DN1941" i="3"/>
  <c r="DO1941" i="3" s="1"/>
  <c r="DN1939" i="3"/>
  <c r="DO1939" i="3" s="1"/>
  <c r="DN1932" i="3"/>
  <c r="DO1932" i="3" s="1"/>
  <c r="DN1930" i="3"/>
  <c r="DO1930" i="3" s="1"/>
  <c r="DN1923" i="3"/>
  <c r="DO1923" i="3" s="1"/>
  <c r="DN1914" i="3"/>
  <c r="DO1914" i="3" s="1"/>
  <c r="DN1912" i="3"/>
  <c r="DO1912" i="3" s="1"/>
  <c r="DN1907" i="3"/>
  <c r="DO1907" i="3" s="1"/>
  <c r="DN1898" i="3"/>
  <c r="DO1898" i="3" s="1"/>
  <c r="DN1896" i="3"/>
  <c r="DO1896" i="3" s="1"/>
  <c r="DN1889" i="3"/>
  <c r="DO1889" i="3" s="1"/>
  <c r="DN1882" i="3"/>
  <c r="DO1882" i="3" s="1"/>
  <c r="DN1877" i="3"/>
  <c r="DO1877" i="3" s="1"/>
  <c r="DN1875" i="3"/>
  <c r="DO1875" i="3" s="1"/>
  <c r="DN1868" i="3"/>
  <c r="DO1868" i="3" s="1"/>
  <c r="DN1866" i="3"/>
  <c r="DO1866" i="3" s="1"/>
  <c r="DN1859" i="3"/>
  <c r="DO1859" i="3" s="1"/>
  <c r="DN1857" i="3"/>
  <c r="DO1857" i="3" s="1"/>
  <c r="DN1852" i="3"/>
  <c r="DO1852" i="3" s="1"/>
  <c r="DN1850" i="3"/>
  <c r="DO1850" i="3" s="1"/>
  <c r="DN1843" i="3"/>
  <c r="DO1843" i="3" s="1"/>
  <c r="DN1841" i="3"/>
  <c r="DO1841" i="3" s="1"/>
  <c r="DN1834" i="3"/>
  <c r="DO1834" i="3" s="1"/>
  <c r="DN1832" i="3"/>
  <c r="DO1832" i="3" s="1"/>
  <c r="DN1827" i="3"/>
  <c r="DO1827" i="3" s="1"/>
  <c r="DN1822" i="3"/>
  <c r="DO1822" i="3" s="1"/>
  <c r="DN1820" i="3"/>
  <c r="DO1820" i="3" s="1"/>
  <c r="DN1813" i="3"/>
  <c r="DO1813" i="3" s="1"/>
  <c r="DN1811" i="3"/>
  <c r="DO1811" i="3" s="1"/>
  <c r="DN1806" i="3"/>
  <c r="DO1806" i="3" s="1"/>
  <c r="DN1801" i="3"/>
  <c r="DO1801" i="3" s="1"/>
  <c r="DN1799" i="3"/>
  <c r="DO1799" i="3" s="1"/>
  <c r="DN1792" i="3"/>
  <c r="DO1792" i="3" s="1"/>
  <c r="DN1790" i="3"/>
  <c r="DO1790" i="3" s="1"/>
  <c r="DN1783" i="3"/>
  <c r="DO1783" i="3" s="1"/>
  <c r="DN1781" i="3"/>
  <c r="DO1781" i="3" s="1"/>
  <c r="DN1776" i="3"/>
  <c r="DO1776" i="3" s="1"/>
  <c r="DN1774" i="3"/>
  <c r="DO1774" i="3" s="1"/>
  <c r="DN1769" i="3"/>
  <c r="DO1769" i="3" s="1"/>
  <c r="DN1762" i="3"/>
  <c r="DO1762" i="3" s="1"/>
  <c r="DN1760" i="3"/>
  <c r="DO1760" i="3" s="1"/>
  <c r="DN1753" i="3"/>
  <c r="DO1753" i="3" s="1"/>
  <c r="DN1750" i="3"/>
  <c r="DO1750" i="3" s="1"/>
  <c r="DN1748" i="3"/>
  <c r="DO1748" i="3" s="1"/>
  <c r="DN1741" i="3"/>
  <c r="DO1741" i="3" s="1"/>
  <c r="DN1734" i="3"/>
  <c r="DO1734" i="3" s="1"/>
  <c r="DN1732" i="3"/>
  <c r="DO1732" i="3" s="1"/>
  <c r="DN1729" i="3"/>
  <c r="DO1729" i="3" s="1"/>
  <c r="DN1727" i="3"/>
  <c r="DO1727" i="3" s="1"/>
  <c r="DN1720" i="3"/>
  <c r="DO1720" i="3" s="1"/>
  <c r="DN1718" i="3"/>
  <c r="DO1718" i="3" s="1"/>
  <c r="DN1713" i="3"/>
  <c r="DO1713" i="3" s="1"/>
  <c r="DN1708" i="3"/>
  <c r="DO1708" i="3" s="1"/>
  <c r="DN1706" i="3"/>
  <c r="DO1706" i="3" s="1"/>
  <c r="DN1699" i="3"/>
  <c r="DO1699" i="3" s="1"/>
  <c r="DN1697" i="3"/>
  <c r="DO1697" i="3" s="1"/>
  <c r="DN1690" i="3"/>
  <c r="DO1690" i="3" s="1"/>
  <c r="DN1688" i="3"/>
  <c r="DO1688" i="3" s="1"/>
  <c r="DN1683" i="3"/>
  <c r="DO1683" i="3" s="1"/>
  <c r="DN1681" i="3"/>
  <c r="DO1681" i="3" s="1"/>
  <c r="DN1669" i="3"/>
  <c r="DO1669" i="3" s="1"/>
  <c r="DN1667" i="3"/>
  <c r="DO1667" i="3" s="1"/>
  <c r="DN1662" i="3"/>
  <c r="DO1662" i="3" s="1"/>
  <c r="DN1660" i="3"/>
  <c r="DO1660" i="3" s="1"/>
  <c r="DN1655" i="3"/>
  <c r="DO1655" i="3" s="1"/>
  <c r="DN1648" i="3"/>
  <c r="DO1648" i="3" s="1"/>
  <c r="DN1646" i="3"/>
  <c r="DO1646" i="3" s="1"/>
  <c r="DN1641" i="3"/>
  <c r="DO1641" i="3" s="1"/>
  <c r="DN1639" i="3"/>
  <c r="DO1639" i="3" s="1"/>
  <c r="DN1636" i="3"/>
  <c r="DO1636" i="3" s="1"/>
  <c r="DN1634" i="3"/>
  <c r="DO1634" i="3" s="1"/>
  <c r="DN1625" i="3"/>
  <c r="DO1625" i="3" s="1"/>
  <c r="DN1620" i="3"/>
  <c r="DO1620" i="3" s="1"/>
  <c r="DN1618" i="3"/>
  <c r="DO1618" i="3" s="1"/>
  <c r="DN1616" i="3"/>
  <c r="DO1616" i="3" s="1"/>
  <c r="DN1609" i="3"/>
  <c r="DO1609" i="3" s="1"/>
  <c r="DN1602" i="3"/>
  <c r="DO1602" i="3" s="1"/>
  <c r="DN1600" i="3"/>
  <c r="DO1600" i="3" s="1"/>
  <c r="DN1597" i="3"/>
  <c r="DO1597" i="3" s="1"/>
  <c r="DN1590" i="3"/>
  <c r="DO1590" i="3" s="1"/>
  <c r="DN1588" i="3"/>
  <c r="DO1588" i="3" s="1"/>
  <c r="DN1581" i="3"/>
  <c r="DO1581" i="3" s="1"/>
  <c r="DN1576" i="3"/>
  <c r="DO1576" i="3" s="1"/>
  <c r="DN1574" i="3"/>
  <c r="DO1574" i="3" s="1"/>
  <c r="DN1569" i="3"/>
  <c r="DO1569" i="3" s="1"/>
  <c r="DN1567" i="3"/>
  <c r="DO1567" i="3" s="1"/>
  <c r="DN819" i="3"/>
  <c r="DO819" i="3" s="1"/>
  <c r="DN587" i="3"/>
  <c r="DO587" i="3" s="1"/>
  <c r="DN583" i="3"/>
  <c r="DO583" i="3" s="1"/>
  <c r="DN579" i="3"/>
  <c r="DO579" i="3" s="1"/>
  <c r="DN575" i="3"/>
  <c r="DO575" i="3" s="1"/>
  <c r="DN567" i="3"/>
  <c r="DO567" i="3" s="1"/>
  <c r="DN563" i="3"/>
  <c r="DO563" i="3" s="1"/>
  <c r="DN559" i="3"/>
  <c r="DO559" i="3" s="1"/>
  <c r="DN555" i="3"/>
  <c r="DO555" i="3" s="1"/>
  <c r="DN551" i="3"/>
  <c r="DO551" i="3" s="1"/>
  <c r="DN547" i="3"/>
  <c r="DO547" i="3" s="1"/>
  <c r="DN543" i="3"/>
  <c r="DO543" i="3" s="1"/>
  <c r="DN539" i="3"/>
  <c r="DO539" i="3" s="1"/>
  <c r="DN535" i="3"/>
  <c r="DO535" i="3" s="1"/>
  <c r="DN531" i="3"/>
  <c r="DO531" i="3" s="1"/>
  <c r="DN527" i="3"/>
  <c r="DO527" i="3" s="1"/>
  <c r="DN523" i="3"/>
  <c r="DO523" i="3" s="1"/>
  <c r="DN519" i="3"/>
  <c r="DO519" i="3" s="1"/>
  <c r="DN495" i="3"/>
  <c r="DO495" i="3" s="1"/>
  <c r="DN510" i="3"/>
  <c r="DO510" i="3" s="1"/>
  <c r="DN506" i="3"/>
  <c r="DO506" i="3" s="1"/>
  <c r="DN502" i="3"/>
  <c r="DO502" i="3" s="1"/>
  <c r="DN498" i="3"/>
  <c r="DO498" i="3" s="1"/>
  <c r="DN494" i="3"/>
  <c r="DO494" i="3" s="1"/>
  <c r="DN490" i="3"/>
  <c r="DO490" i="3" s="1"/>
  <c r="DN486" i="3"/>
  <c r="DO486" i="3" s="1"/>
  <c r="DN482" i="3"/>
  <c r="DO482" i="3" s="1"/>
  <c r="DN478" i="3"/>
  <c r="DO478" i="3" s="1"/>
  <c r="DN174" i="3"/>
  <c r="DO174" i="3" s="1"/>
  <c r="DN154" i="3"/>
  <c r="DO154" i="3" s="1"/>
  <c r="DN1313" i="3"/>
  <c r="DO1313" i="3" s="1"/>
  <c r="DN1237" i="3"/>
  <c r="DO1237" i="3" s="1"/>
  <c r="DN1161" i="3"/>
  <c r="DO1161" i="3" s="1"/>
  <c r="DN1009" i="3"/>
  <c r="DO1009" i="3" s="1"/>
  <c r="DN969" i="3"/>
  <c r="DO969" i="3" s="1"/>
  <c r="DN965" i="3"/>
  <c r="DO965" i="3" s="1"/>
  <c r="DN961" i="3"/>
  <c r="DO961" i="3" s="1"/>
  <c r="DN953" i="3"/>
  <c r="DO953" i="3" s="1"/>
  <c r="DN949" i="3"/>
  <c r="DO949" i="3" s="1"/>
  <c r="DN945" i="3"/>
  <c r="DO945" i="3" s="1"/>
  <c r="DN937" i="3"/>
  <c r="DO937" i="3" s="1"/>
  <c r="DN933" i="3"/>
  <c r="DO933" i="3" s="1"/>
  <c r="DN929" i="3"/>
  <c r="DO929" i="3" s="1"/>
  <c r="DN921" i="3"/>
  <c r="DO921" i="3" s="1"/>
  <c r="DN917" i="3"/>
  <c r="DO917" i="3" s="1"/>
  <c r="DN913" i="3"/>
  <c r="DO913" i="3" s="1"/>
  <c r="DN905" i="3"/>
  <c r="DO905" i="3" s="1"/>
  <c r="DN901" i="3"/>
  <c r="DO901" i="3" s="1"/>
  <c r="DN897" i="3"/>
  <c r="DO897" i="3" s="1"/>
  <c r="DN889" i="3"/>
  <c r="DO889" i="3" s="1"/>
  <c r="DN885" i="3"/>
  <c r="DO885" i="3" s="1"/>
  <c r="DN881" i="3"/>
  <c r="DO881" i="3" s="1"/>
  <c r="DN873" i="3"/>
  <c r="DO873" i="3" s="1"/>
  <c r="DN869" i="3"/>
  <c r="DO869" i="3" s="1"/>
  <c r="DN865" i="3"/>
  <c r="DO865" i="3" s="1"/>
  <c r="DN857" i="3"/>
  <c r="DO857" i="3" s="1"/>
  <c r="DN853" i="3"/>
  <c r="DO853" i="3" s="1"/>
  <c r="DN849" i="3"/>
  <c r="DO849" i="3" s="1"/>
  <c r="DN841" i="3"/>
  <c r="DO841" i="3" s="1"/>
  <c r="DN837" i="3"/>
  <c r="DO837" i="3" s="1"/>
  <c r="DN741" i="3"/>
  <c r="DO741" i="3" s="1"/>
  <c r="DN737" i="3"/>
  <c r="DO737" i="3" s="1"/>
  <c r="DN733" i="3"/>
  <c r="DO733" i="3" s="1"/>
  <c r="DN729" i="3"/>
  <c r="DO729" i="3" s="1"/>
  <c r="DN725" i="3"/>
  <c r="DO725" i="3" s="1"/>
  <c r="DN721" i="3"/>
  <c r="DO721" i="3" s="1"/>
  <c r="DN717" i="3"/>
  <c r="DO717" i="3" s="1"/>
  <c r="DN713" i="3"/>
  <c r="DO713" i="3" s="1"/>
  <c r="DN709" i="3"/>
  <c r="DO709" i="3" s="1"/>
  <c r="DN705" i="3"/>
  <c r="DO705" i="3" s="1"/>
  <c r="DN701" i="3"/>
  <c r="DO701" i="3" s="1"/>
  <c r="DN697" i="3"/>
  <c r="DO697" i="3" s="1"/>
  <c r="DN693" i="3"/>
  <c r="DO693" i="3" s="1"/>
  <c r="DN689" i="3"/>
  <c r="DO689" i="3" s="1"/>
  <c r="DN685" i="3"/>
  <c r="DO685" i="3" s="1"/>
  <c r="DN681" i="3"/>
  <c r="DO681" i="3" s="1"/>
  <c r="DN677" i="3"/>
  <c r="DO677" i="3" s="1"/>
  <c r="DN673" i="3"/>
  <c r="DO673" i="3" s="1"/>
  <c r="DN669" i="3"/>
  <c r="DO669" i="3" s="1"/>
  <c r="DN665" i="3"/>
  <c r="DO665" i="3" s="1"/>
  <c r="DN661" i="3"/>
  <c r="DO661" i="3" s="1"/>
  <c r="DN657" i="3"/>
  <c r="DO657" i="3" s="1"/>
  <c r="DN653" i="3"/>
  <c r="DO653" i="3" s="1"/>
  <c r="DN649" i="3"/>
  <c r="DO649" i="3" s="1"/>
  <c r="DN473" i="3"/>
  <c r="DO473" i="3" s="1"/>
  <c r="DN469" i="3"/>
  <c r="DO469" i="3" s="1"/>
  <c r="DN465" i="3"/>
  <c r="DO465" i="3" s="1"/>
  <c r="DN461" i="3"/>
  <c r="DO461" i="3" s="1"/>
  <c r="DN457" i="3"/>
  <c r="DO457" i="3" s="1"/>
  <c r="DN441" i="3"/>
  <c r="DO441" i="3" s="1"/>
  <c r="DN421" i="3"/>
  <c r="DO421" i="3" s="1"/>
  <c r="DN401" i="3"/>
  <c r="DO401" i="3" s="1"/>
  <c r="DN249" i="3"/>
  <c r="DO249" i="3" s="1"/>
  <c r="DN3120" i="3"/>
  <c r="DO3120" i="3" s="1"/>
  <c r="DN3104" i="3"/>
  <c r="DO3104" i="3" s="1"/>
  <c r="DN3092" i="3"/>
  <c r="DO3092" i="3" s="1"/>
  <c r="DN3076" i="3"/>
  <c r="DO3076" i="3" s="1"/>
  <c r="DN3056" i="3"/>
  <c r="DO3056" i="3" s="1"/>
  <c r="DN3040" i="3"/>
  <c r="DO3040" i="3" s="1"/>
  <c r="DN3024" i="3"/>
  <c r="DO3024" i="3" s="1"/>
  <c r="DN3012" i="3"/>
  <c r="DO3012" i="3" s="1"/>
  <c r="DN3005" i="3"/>
  <c r="DO3005" i="3" s="1"/>
  <c r="DN3001" i="3"/>
  <c r="DO3001" i="3" s="1"/>
  <c r="DN2996" i="3"/>
  <c r="DO2996" i="3" s="1"/>
  <c r="DN2985" i="3"/>
  <c r="DO2985" i="3" s="1"/>
  <c r="DN2976" i="3"/>
  <c r="DO2976" i="3" s="1"/>
  <c r="DN2969" i="3"/>
  <c r="DO2969" i="3" s="1"/>
  <c r="DN2960" i="3"/>
  <c r="DO2960" i="3" s="1"/>
  <c r="DN2953" i="3"/>
  <c r="DO2953" i="3" s="1"/>
  <c r="DN2941" i="3"/>
  <c r="DO2941" i="3" s="1"/>
  <c r="DN2932" i="3"/>
  <c r="DO2932" i="3" s="1"/>
  <c r="DN2930" i="3"/>
  <c r="DO2930" i="3" s="1"/>
  <c r="DN2921" i="3"/>
  <c r="DO2921" i="3" s="1"/>
  <c r="DN2916" i="3"/>
  <c r="DO2916" i="3" s="1"/>
  <c r="DN2914" i="3"/>
  <c r="DO2914" i="3" s="1"/>
  <c r="DN2905" i="3"/>
  <c r="DO2905" i="3" s="1"/>
  <c r="DN2898" i="3"/>
  <c r="DO2898" i="3" s="1"/>
  <c r="DN2896" i="3"/>
  <c r="DO2896" i="3" s="1"/>
  <c r="DN2889" i="3"/>
  <c r="DO2889" i="3" s="1"/>
  <c r="DN2882" i="3"/>
  <c r="DO2882" i="3" s="1"/>
  <c r="DN2880" i="3"/>
  <c r="DO2880" i="3" s="1"/>
  <c r="DN2873" i="3"/>
  <c r="DO2873" i="3" s="1"/>
  <c r="DN2868" i="3"/>
  <c r="DO2868" i="3" s="1"/>
  <c r="DN2866" i="3"/>
  <c r="DO2866" i="3" s="1"/>
  <c r="DN2861" i="3"/>
  <c r="DO2861" i="3" s="1"/>
  <c r="DN2852" i="3"/>
  <c r="DO2852" i="3" s="1"/>
  <c r="DN2850" i="3"/>
  <c r="DO2850" i="3" s="1"/>
  <c r="DN2841" i="3"/>
  <c r="DO2841" i="3" s="1"/>
  <c r="DN2836" i="3"/>
  <c r="DO2836" i="3" s="1"/>
  <c r="DN2834" i="3"/>
  <c r="DO2834" i="3" s="1"/>
  <c r="DN2832" i="3"/>
  <c r="DO2832" i="3" s="1"/>
  <c r="DN2825" i="3"/>
  <c r="DO2825" i="3" s="1"/>
  <c r="DN2818" i="3"/>
  <c r="DO2818" i="3" s="1"/>
  <c r="DN2816" i="3"/>
  <c r="DO2816" i="3" s="1"/>
  <c r="DN2802" i="3"/>
  <c r="DO2802" i="3" s="1"/>
  <c r="DN2800" i="3"/>
  <c r="DO2800" i="3" s="1"/>
  <c r="DN2788" i="3"/>
  <c r="DO2788" i="3" s="1"/>
  <c r="DN2786" i="3"/>
  <c r="DO2786" i="3" s="1"/>
  <c r="DN2781" i="3"/>
  <c r="DO2781" i="3" s="1"/>
  <c r="DN2772" i="3"/>
  <c r="DO2772" i="3" s="1"/>
  <c r="DN2770" i="3"/>
  <c r="DO2770" i="3" s="1"/>
  <c r="DN2761" i="3"/>
  <c r="DO2761" i="3" s="1"/>
  <c r="DN2754" i="3"/>
  <c r="DO2754" i="3" s="1"/>
  <c r="DN2752" i="3"/>
  <c r="DO2752" i="3" s="1"/>
  <c r="DN2745" i="3"/>
  <c r="DO2745" i="3" s="1"/>
  <c r="DN2738" i="3"/>
  <c r="DO2738" i="3" s="1"/>
  <c r="DN2736" i="3"/>
  <c r="DO2736" i="3" s="1"/>
  <c r="DN2729" i="3"/>
  <c r="DO2729" i="3" s="1"/>
  <c r="DN2722" i="3"/>
  <c r="DO2722" i="3" s="1"/>
  <c r="DN2720" i="3"/>
  <c r="DO2720" i="3" s="1"/>
  <c r="DN2717" i="3"/>
  <c r="DO2717" i="3" s="1"/>
  <c r="DN2708" i="3"/>
  <c r="DO2708" i="3" s="1"/>
  <c r="DN2706" i="3"/>
  <c r="DO2706" i="3" s="1"/>
  <c r="DN2701" i="3"/>
  <c r="DO2701" i="3" s="1"/>
  <c r="DN2697" i="3"/>
  <c r="DO2697" i="3" s="1"/>
  <c r="DN2692" i="3"/>
  <c r="DO2692" i="3" s="1"/>
  <c r="DN2690" i="3"/>
  <c r="DO2690" i="3" s="1"/>
  <c r="DN2681" i="3"/>
  <c r="DO2681" i="3" s="1"/>
  <c r="DN2674" i="3"/>
  <c r="DO2674" i="3" s="1"/>
  <c r="DN2672" i="3"/>
  <c r="DO2672" i="3" s="1"/>
  <c r="DN2665" i="3"/>
  <c r="DO2665" i="3" s="1"/>
  <c r="DN2658" i="3"/>
  <c r="DO2658" i="3" s="1"/>
  <c r="DN2656" i="3"/>
  <c r="DO2656" i="3" s="1"/>
  <c r="DN2649" i="3"/>
  <c r="DO2649" i="3" s="1"/>
  <c r="DN2642" i="3"/>
  <c r="DO2642" i="3" s="1"/>
  <c r="DN2637" i="3"/>
  <c r="DO2637" i="3" s="1"/>
  <c r="DN2628" i="3"/>
  <c r="DO2628" i="3" s="1"/>
  <c r="DN2626" i="3"/>
  <c r="DO2626" i="3" s="1"/>
  <c r="DN2601" i="3"/>
  <c r="DO2601" i="3" s="1"/>
  <c r="DN2594" i="3"/>
  <c r="DO2594" i="3" s="1"/>
  <c r="DN2592" i="3"/>
  <c r="DO2592" i="3" s="1"/>
  <c r="DN2585" i="3"/>
  <c r="DO2585" i="3" s="1"/>
  <c r="DN2578" i="3"/>
  <c r="DO2578" i="3" s="1"/>
  <c r="DN2576" i="3"/>
  <c r="DO2576" i="3" s="1"/>
  <c r="DN2569" i="3"/>
  <c r="DO2569" i="3" s="1"/>
  <c r="DN2548" i="3"/>
  <c r="DO2548" i="3" s="1"/>
  <c r="DN2530" i="3"/>
  <c r="DO2530" i="3" s="1"/>
  <c r="DN2434" i="3"/>
  <c r="DO2434" i="3" s="1"/>
  <c r="DN2397" i="3"/>
  <c r="DO2397" i="3" s="1"/>
  <c r="DN2377" i="3"/>
  <c r="DO2377" i="3" s="1"/>
  <c r="DN2370" i="3"/>
  <c r="DO2370" i="3" s="1"/>
  <c r="DN2368" i="3"/>
  <c r="DO2368" i="3" s="1"/>
  <c r="DN2361" i="3"/>
  <c r="DO2361" i="3" s="1"/>
  <c r="DN2354" i="3"/>
  <c r="DO2354" i="3" s="1"/>
  <c r="DN2352" i="3"/>
  <c r="DO2352" i="3" s="1"/>
  <c r="DN2345" i="3"/>
  <c r="DO2345" i="3" s="1"/>
  <c r="DN2338" i="3"/>
  <c r="DO2338" i="3" s="1"/>
  <c r="DN2333" i="3"/>
  <c r="DO2333" i="3" s="1"/>
  <c r="DN2324" i="3"/>
  <c r="DO2324" i="3" s="1"/>
  <c r="DN2322" i="3"/>
  <c r="DO2322" i="3" s="1"/>
  <c r="DN2297" i="3"/>
  <c r="DO2297" i="3" s="1"/>
  <c r="DN2290" i="3"/>
  <c r="DO2290" i="3" s="1"/>
  <c r="DN2288" i="3"/>
  <c r="DO2288" i="3" s="1"/>
  <c r="DN2281" i="3"/>
  <c r="DO2281" i="3" s="1"/>
  <c r="DN2274" i="3"/>
  <c r="DO2274" i="3" s="1"/>
  <c r="DN2272" i="3"/>
  <c r="DO2272" i="3" s="1"/>
  <c r="DN2265" i="3"/>
  <c r="DO2265" i="3" s="1"/>
  <c r="DN2260" i="3"/>
  <c r="DO2260" i="3" s="1"/>
  <c r="DN2258" i="3"/>
  <c r="DO2258" i="3" s="1"/>
  <c r="DN2253" i="3"/>
  <c r="DO2253" i="3" s="1"/>
  <c r="DN2244" i="3"/>
  <c r="DO2244" i="3" s="1"/>
  <c r="DN2242" i="3"/>
  <c r="DO2242" i="3" s="1"/>
  <c r="DN2233" i="3"/>
  <c r="DO2233" i="3" s="1"/>
  <c r="DN2228" i="3"/>
  <c r="DO2228" i="3" s="1"/>
  <c r="DN2226" i="3"/>
  <c r="DO2226" i="3" s="1"/>
  <c r="DN2224" i="3"/>
  <c r="DO2224" i="3" s="1"/>
  <c r="DN2217" i="3"/>
  <c r="DO2217" i="3" s="1"/>
  <c r="DN2210" i="3"/>
  <c r="DO2210" i="3" s="1"/>
  <c r="DN2208" i="3"/>
  <c r="DO2208" i="3" s="1"/>
  <c r="DN2180" i="3"/>
  <c r="DO2180" i="3" s="1"/>
  <c r="DN2178" i="3"/>
  <c r="DO2178" i="3" s="1"/>
  <c r="DN2173" i="3"/>
  <c r="DO2173" i="3" s="1"/>
  <c r="DN2164" i="3"/>
  <c r="DO2164" i="3" s="1"/>
  <c r="DN2162" i="3"/>
  <c r="DO2162" i="3" s="1"/>
  <c r="DN2153" i="3"/>
  <c r="DO2153" i="3" s="1"/>
  <c r="DN2146" i="3"/>
  <c r="DO2146" i="3" s="1"/>
  <c r="DN2144" i="3"/>
  <c r="DO2144" i="3" s="1"/>
  <c r="DN2137" i="3"/>
  <c r="DO2137" i="3" s="1"/>
  <c r="DN2130" i="3"/>
  <c r="DO2130" i="3" s="1"/>
  <c r="DN2128" i="3"/>
  <c r="DO2128" i="3" s="1"/>
  <c r="DN2121" i="3"/>
  <c r="DO2121" i="3" s="1"/>
  <c r="DN2114" i="3"/>
  <c r="DO2114" i="3" s="1"/>
  <c r="DN2112" i="3"/>
  <c r="DO2112" i="3" s="1"/>
  <c r="DN2109" i="3"/>
  <c r="DO2109" i="3" s="1"/>
  <c r="DN2100" i="3"/>
  <c r="DO2100" i="3" s="1"/>
  <c r="DN2098" i="3"/>
  <c r="DO2098" i="3" s="1"/>
  <c r="DN2093" i="3"/>
  <c r="DO2093" i="3" s="1"/>
  <c r="DN2089" i="3"/>
  <c r="DO2089" i="3" s="1"/>
  <c r="DN2084" i="3"/>
  <c r="DO2084" i="3" s="1"/>
  <c r="DN2082" i="3"/>
  <c r="DO2082" i="3" s="1"/>
  <c r="DN2073" i="3"/>
  <c r="DO2073" i="3" s="1"/>
  <c r="DN2066" i="3"/>
  <c r="DO2066" i="3" s="1"/>
  <c r="DN2064" i="3"/>
  <c r="DO2064" i="3" s="1"/>
  <c r="DN2057" i="3"/>
  <c r="DO2057" i="3" s="1"/>
  <c r="DN2050" i="3"/>
  <c r="DO2050" i="3" s="1"/>
  <c r="DN2048" i="3"/>
  <c r="DO2048" i="3" s="1"/>
  <c r="DN2041" i="3"/>
  <c r="DO2041" i="3" s="1"/>
  <c r="DN2034" i="3"/>
  <c r="DO2034" i="3" s="1"/>
  <c r="DN2029" i="3"/>
  <c r="DO2029" i="3" s="1"/>
  <c r="DN2020" i="3"/>
  <c r="DO2020" i="3" s="1"/>
  <c r="DN2018" i="3"/>
  <c r="DO2018" i="3" s="1"/>
  <c r="DN1993" i="3"/>
  <c r="DO1993" i="3" s="1"/>
  <c r="DN1986" i="3"/>
  <c r="DO1986" i="3" s="1"/>
  <c r="DN1984" i="3"/>
  <c r="DO1984" i="3" s="1"/>
  <c r="DN1977" i="3"/>
  <c r="DO1977" i="3" s="1"/>
  <c r="DN1975" i="3"/>
  <c r="DO1975" i="3" s="1"/>
  <c r="DN1970" i="3"/>
  <c r="DO1970" i="3" s="1"/>
  <c r="DN1968" i="3"/>
  <c r="DO1968" i="3" s="1"/>
  <c r="DN1961" i="3"/>
  <c r="DO1961" i="3" s="1"/>
  <c r="DN1956" i="3"/>
  <c r="DO1956" i="3" s="1"/>
  <c r="DN1954" i="3"/>
  <c r="DO1954" i="3" s="1"/>
  <c r="DN1949" i="3"/>
  <c r="DO1949" i="3" s="1"/>
  <c r="DN1940" i="3"/>
  <c r="DO1940" i="3" s="1"/>
  <c r="DN1938" i="3"/>
  <c r="DO1938" i="3" s="1"/>
  <c r="DN1929" i="3"/>
  <c r="DO1929" i="3" s="1"/>
  <c r="DN1924" i="3"/>
  <c r="DO1924" i="3" s="1"/>
  <c r="DN1922" i="3"/>
  <c r="DO1922" i="3" s="1"/>
  <c r="DN1920" i="3"/>
  <c r="DO1920" i="3" s="1"/>
  <c r="DN1913" i="3"/>
  <c r="DO1913" i="3" s="1"/>
  <c r="DN1906" i="3"/>
  <c r="DO1906" i="3" s="1"/>
  <c r="DN1904" i="3"/>
  <c r="DO1904" i="3" s="1"/>
  <c r="DN1897" i="3"/>
  <c r="DO1897" i="3" s="1"/>
  <c r="DN1895" i="3"/>
  <c r="DO1895" i="3" s="1"/>
  <c r="DN1890" i="3"/>
  <c r="DO1890" i="3" s="1"/>
  <c r="DN1888" i="3"/>
  <c r="DO1888" i="3" s="1"/>
  <c r="DN1883" i="3"/>
  <c r="DO1883" i="3" s="1"/>
  <c r="DN1876" i="3"/>
  <c r="DO1876" i="3" s="1"/>
  <c r="DN1874" i="3"/>
  <c r="DO1874" i="3" s="1"/>
  <c r="DN1869" i="3"/>
  <c r="DO1869" i="3" s="1"/>
  <c r="DN1867" i="3"/>
  <c r="DO1867" i="3" s="1"/>
  <c r="DN1860" i="3"/>
  <c r="DO1860" i="3" s="1"/>
  <c r="DN1858" i="3"/>
  <c r="DO1858" i="3" s="1"/>
  <c r="DN1849" i="3"/>
  <c r="DO1849" i="3" s="1"/>
  <c r="DN1842" i="3"/>
  <c r="DO1842" i="3" s="1"/>
  <c r="DN1840" i="3"/>
  <c r="DO1840" i="3" s="1"/>
  <c r="DN1833" i="3"/>
  <c r="DO1833" i="3" s="1"/>
  <c r="DN1821" i="3"/>
  <c r="DO1821" i="3" s="1"/>
  <c r="DN1814" i="3"/>
  <c r="DO1814" i="3" s="1"/>
  <c r="DN1812" i="3"/>
  <c r="DO1812" i="3" s="1"/>
  <c r="DN1807" i="3"/>
  <c r="DO1807" i="3" s="1"/>
  <c r="DN1800" i="3"/>
  <c r="DO1800" i="3" s="1"/>
  <c r="DN1798" i="3"/>
  <c r="DO1798" i="3" s="1"/>
  <c r="DN1793" i="3"/>
  <c r="DO1793" i="3" s="1"/>
  <c r="DN1791" i="3"/>
  <c r="DO1791" i="3" s="1"/>
  <c r="DN1784" i="3"/>
  <c r="DO1784" i="3" s="1"/>
  <c r="DN1782" i="3"/>
  <c r="DO1782" i="3" s="1"/>
  <c r="DN1775" i="3"/>
  <c r="DO1775" i="3" s="1"/>
  <c r="DN1773" i="3"/>
  <c r="DO1773" i="3" s="1"/>
  <c r="DN1768" i="3"/>
  <c r="DO1768" i="3" s="1"/>
  <c r="DN1763" i="3"/>
  <c r="DO1763" i="3" s="1"/>
  <c r="DN1761" i="3"/>
  <c r="DO1761" i="3" s="1"/>
  <c r="DN1754" i="3"/>
  <c r="DO1754" i="3" s="1"/>
  <c r="DN1752" i="3"/>
  <c r="DO1752" i="3" s="1"/>
  <c r="DN1749" i="3"/>
  <c r="DO1749" i="3" s="1"/>
  <c r="DN1747" i="3"/>
  <c r="DO1747" i="3" s="1"/>
  <c r="DN1742" i="3"/>
  <c r="DO1742" i="3" s="1"/>
  <c r="DN1740" i="3"/>
  <c r="DO1740" i="3" s="1"/>
  <c r="DN1733" i="3"/>
  <c r="DO1733" i="3" s="1"/>
  <c r="DN1728" i="3"/>
  <c r="DO1728" i="3" s="1"/>
  <c r="DN1726" i="3"/>
  <c r="DO1726" i="3" s="1"/>
  <c r="DN1721" i="3"/>
  <c r="DO1721" i="3" s="1"/>
  <c r="DN1719" i="3"/>
  <c r="DO1719" i="3" s="1"/>
  <c r="DN1705" i="3"/>
  <c r="DO1705" i="3" s="1"/>
  <c r="DN1700" i="3"/>
  <c r="DO1700" i="3" s="1"/>
  <c r="DN1698" i="3"/>
  <c r="DO1698" i="3" s="1"/>
  <c r="DN1689" i="3"/>
  <c r="DO1689" i="3" s="1"/>
  <c r="DN1682" i="3"/>
  <c r="DO1682" i="3" s="1"/>
  <c r="DN1680" i="3"/>
  <c r="DO1680" i="3" s="1"/>
  <c r="DN1670" i="3"/>
  <c r="DO1670" i="3" s="1"/>
  <c r="DN1668" i="3"/>
  <c r="DO1668" i="3" s="1"/>
  <c r="DN1661" i="3"/>
  <c r="DO1661" i="3" s="1"/>
  <c r="DN1654" i="3"/>
  <c r="DO1654" i="3" s="1"/>
  <c r="DN1649" i="3"/>
  <c r="DO1649" i="3" s="1"/>
  <c r="DN1647" i="3"/>
  <c r="DO1647" i="3" s="1"/>
  <c r="DN1640" i="3"/>
  <c r="DO1640" i="3" s="1"/>
  <c r="DN1638" i="3"/>
  <c r="DO1638" i="3" s="1"/>
  <c r="DN1635" i="3"/>
  <c r="DO1635" i="3" s="1"/>
  <c r="DN1633" i="3"/>
  <c r="DO1633" i="3" s="1"/>
  <c r="DN1628" i="3"/>
  <c r="DO1628" i="3" s="1"/>
  <c r="DN1626" i="3"/>
  <c r="DO1626" i="3" s="1"/>
  <c r="DN1619" i="3"/>
  <c r="DO1619" i="3" s="1"/>
  <c r="DN1617" i="3"/>
  <c r="DO1617" i="3" s="1"/>
  <c r="DN1610" i="3"/>
  <c r="DO1610" i="3" s="1"/>
  <c r="DN1608" i="3"/>
  <c r="DO1608" i="3" s="1"/>
  <c r="DN1603" i="3"/>
  <c r="DO1603" i="3" s="1"/>
  <c r="DN1601" i="3"/>
  <c r="DO1601" i="3" s="1"/>
  <c r="DN1598" i="3"/>
  <c r="DO1598" i="3" s="1"/>
  <c r="DN1596" i="3"/>
  <c r="DO1596" i="3" s="1"/>
  <c r="DN1589" i="3"/>
  <c r="DO1589" i="3" s="1"/>
  <c r="DN1587" i="3"/>
  <c r="DO1587" i="3" s="1"/>
  <c r="DN1582" i="3"/>
  <c r="DO1582" i="3" s="1"/>
  <c r="DN1580" i="3"/>
  <c r="DO1580" i="3" s="1"/>
  <c r="DN1577" i="3"/>
  <c r="DO1577" i="3" s="1"/>
  <c r="DN1575" i="3"/>
  <c r="DO1575" i="3" s="1"/>
  <c r="DN1568" i="3"/>
  <c r="DO1568" i="3" s="1"/>
  <c r="DN1566" i="3"/>
  <c r="DO1566" i="3" s="1"/>
  <c r="DN1561" i="3"/>
  <c r="DO1561" i="3" s="1"/>
  <c r="DN2809" i="3"/>
  <c r="DO2809" i="3" s="1"/>
  <c r="DN635" i="3"/>
  <c r="DO635" i="3" s="1"/>
  <c r="DN631" i="3"/>
  <c r="DO631" i="3" s="1"/>
  <c r="DN627" i="3"/>
  <c r="DO627" i="3" s="1"/>
  <c r="DN623" i="3"/>
  <c r="DO623" i="3" s="1"/>
  <c r="DN619" i="3"/>
  <c r="DO619" i="3" s="1"/>
  <c r="DN615" i="3"/>
  <c r="DO615" i="3" s="1"/>
  <c r="DN611" i="3"/>
  <c r="DO611" i="3" s="1"/>
  <c r="DN607" i="3"/>
  <c r="DO607" i="3" s="1"/>
  <c r="DN603" i="3"/>
  <c r="DO603" i="3" s="1"/>
  <c r="DN599" i="3"/>
  <c r="DO599" i="3" s="1"/>
  <c r="DN595" i="3"/>
  <c r="DO595" i="3" s="1"/>
  <c r="DN571" i="3"/>
  <c r="DO571" i="3" s="1"/>
  <c r="DN586" i="3"/>
  <c r="DO586" i="3" s="1"/>
  <c r="DN582" i="3"/>
  <c r="DO582" i="3" s="1"/>
  <c r="DN578" i="3"/>
  <c r="DO578" i="3" s="1"/>
  <c r="DN574" i="3"/>
  <c r="DO574" i="3" s="1"/>
  <c r="DN570" i="3"/>
  <c r="DO570" i="3" s="1"/>
  <c r="DN566" i="3"/>
  <c r="DO566" i="3" s="1"/>
  <c r="DN562" i="3"/>
  <c r="DO562" i="3" s="1"/>
  <c r="DN558" i="3"/>
  <c r="DO558" i="3" s="1"/>
  <c r="DN554" i="3"/>
  <c r="DO554" i="3" s="1"/>
  <c r="DN550" i="3"/>
  <c r="DO550" i="3" s="1"/>
  <c r="DN546" i="3"/>
  <c r="DO546" i="3" s="1"/>
  <c r="DN542" i="3"/>
  <c r="DO542" i="3" s="1"/>
  <c r="DN538" i="3"/>
  <c r="DO538" i="3" s="1"/>
  <c r="DN534" i="3"/>
  <c r="DO534" i="3" s="1"/>
  <c r="DN530" i="3"/>
  <c r="DO530" i="3" s="1"/>
  <c r="DN526" i="3"/>
  <c r="DO526" i="3" s="1"/>
  <c r="DN522" i="3"/>
  <c r="DO522" i="3" s="1"/>
  <c r="DN518" i="3"/>
  <c r="DO518" i="3" s="1"/>
  <c r="DN1332" i="3"/>
  <c r="DO1332" i="3" s="1"/>
  <c r="DN1256" i="3"/>
  <c r="DO1256" i="3" s="1"/>
  <c r="DN1180" i="3"/>
  <c r="DO1180" i="3" s="1"/>
  <c r="DN1104" i="3"/>
  <c r="DO1104" i="3" s="1"/>
  <c r="DN1028" i="3"/>
  <c r="DO1028" i="3" s="1"/>
  <c r="DN968" i="3"/>
  <c r="DO968" i="3" s="1"/>
  <c r="DN964" i="3"/>
  <c r="DO964" i="3" s="1"/>
  <c r="DN960" i="3"/>
  <c r="DO960" i="3" s="1"/>
  <c r="DN956" i="3"/>
  <c r="DO956" i="3" s="1"/>
  <c r="DN952" i="3"/>
  <c r="DO952" i="3" s="1"/>
  <c r="DN948" i="3"/>
  <c r="DO948" i="3" s="1"/>
  <c r="DN944" i="3"/>
  <c r="DO944" i="3" s="1"/>
  <c r="DN940" i="3"/>
  <c r="DO940" i="3" s="1"/>
  <c r="DN936" i="3"/>
  <c r="DO936" i="3" s="1"/>
  <c r="DN932" i="3"/>
  <c r="DO932" i="3" s="1"/>
  <c r="DN928" i="3"/>
  <c r="DO928" i="3" s="1"/>
  <c r="DN924" i="3"/>
  <c r="DO924" i="3" s="1"/>
  <c r="DN920" i="3"/>
  <c r="DO920" i="3" s="1"/>
  <c r="DN916" i="3"/>
  <c r="DO916" i="3" s="1"/>
  <c r="DN912" i="3"/>
  <c r="DO912" i="3" s="1"/>
  <c r="DN908" i="3"/>
  <c r="DO908" i="3" s="1"/>
  <c r="DN904" i="3"/>
  <c r="DO904" i="3" s="1"/>
  <c r="DN900" i="3"/>
  <c r="DO900" i="3" s="1"/>
  <c r="DN896" i="3"/>
  <c r="DO896" i="3" s="1"/>
  <c r="DN892" i="3"/>
  <c r="DO892" i="3" s="1"/>
  <c r="DN888" i="3"/>
  <c r="DO888" i="3" s="1"/>
  <c r="DN884" i="3"/>
  <c r="DO884" i="3" s="1"/>
  <c r="DN880" i="3"/>
  <c r="DO880" i="3" s="1"/>
  <c r="DN876" i="3"/>
  <c r="DO876" i="3" s="1"/>
  <c r="DN872" i="3"/>
  <c r="DO872" i="3" s="1"/>
  <c r="DN868" i="3"/>
  <c r="DO868" i="3" s="1"/>
  <c r="DN864" i="3"/>
  <c r="DO864" i="3" s="1"/>
  <c r="DN860" i="3"/>
  <c r="DO860" i="3" s="1"/>
  <c r="DN856" i="3"/>
  <c r="DO856" i="3" s="1"/>
  <c r="DN852" i="3"/>
  <c r="DO852" i="3" s="1"/>
  <c r="DN848" i="3"/>
  <c r="DO848" i="3" s="1"/>
  <c r="DN844" i="3"/>
  <c r="DO844" i="3" s="1"/>
  <c r="DN840" i="3"/>
  <c r="DO840" i="3" s="1"/>
  <c r="DN740" i="3"/>
  <c r="DO740" i="3" s="1"/>
  <c r="DN736" i="3"/>
  <c r="DO736" i="3" s="1"/>
  <c r="DN732" i="3"/>
  <c r="DO732" i="3" s="1"/>
  <c r="DN728" i="3"/>
  <c r="DO728" i="3" s="1"/>
  <c r="DN724" i="3"/>
  <c r="DO724" i="3" s="1"/>
  <c r="DN720" i="3"/>
  <c r="DO720" i="3" s="1"/>
  <c r="DN716" i="3"/>
  <c r="DO716" i="3" s="1"/>
  <c r="DN712" i="3"/>
  <c r="DO712" i="3" s="1"/>
  <c r="DN708" i="3"/>
  <c r="DO708" i="3" s="1"/>
  <c r="DN704" i="3"/>
  <c r="DO704" i="3" s="1"/>
  <c r="DN700" i="3"/>
  <c r="DO700" i="3" s="1"/>
  <c r="DN696" i="3"/>
  <c r="DO696" i="3" s="1"/>
  <c r="DN692" i="3"/>
  <c r="DO692" i="3" s="1"/>
  <c r="DN688" i="3"/>
  <c r="DO688" i="3" s="1"/>
  <c r="DN684" i="3"/>
  <c r="DO684" i="3" s="1"/>
  <c r="DN680" i="3"/>
  <c r="DO680" i="3" s="1"/>
  <c r="DN676" i="3"/>
  <c r="DO676" i="3" s="1"/>
  <c r="DN672" i="3"/>
  <c r="DO672" i="3" s="1"/>
  <c r="DN668" i="3"/>
  <c r="DO668" i="3" s="1"/>
  <c r="DN664" i="3"/>
  <c r="DO664" i="3" s="1"/>
  <c r="DN660" i="3"/>
  <c r="DO660" i="3" s="1"/>
  <c r="DN656" i="3"/>
  <c r="DO656" i="3" s="1"/>
  <c r="DN652" i="3"/>
  <c r="DO652" i="3" s="1"/>
  <c r="DN648" i="3"/>
  <c r="DO648" i="3" s="1"/>
  <c r="DN472" i="3"/>
  <c r="DO472" i="3" s="1"/>
  <c r="DN468" i="3"/>
  <c r="DO468" i="3" s="1"/>
  <c r="DN464" i="3"/>
  <c r="DO464" i="3" s="1"/>
  <c r="DN460" i="3"/>
  <c r="DO460" i="3" s="1"/>
  <c r="DN420" i="3"/>
  <c r="DO420" i="3" s="1"/>
  <c r="DN288" i="3"/>
  <c r="DO288" i="3" s="1"/>
  <c r="DN268" i="3"/>
  <c r="DO268" i="3" s="1"/>
  <c r="DN3124" i="3"/>
  <c r="DO3124" i="3" s="1"/>
  <c r="DN3108" i="3"/>
  <c r="DO3108" i="3" s="1"/>
  <c r="DN3096" i="3"/>
  <c r="DO3096" i="3" s="1"/>
  <c r="DN3080" i="3"/>
  <c r="DO3080" i="3" s="1"/>
  <c r="DN3064" i="3"/>
  <c r="DO3064" i="3" s="1"/>
  <c r="DN3060" i="3"/>
  <c r="DO3060" i="3" s="1"/>
  <c r="DN3044" i="3"/>
  <c r="DO3044" i="3" s="1"/>
  <c r="DN3028" i="3"/>
  <c r="DO3028" i="3" s="1"/>
  <c r="DN3016" i="3"/>
  <c r="DO3016" i="3" s="1"/>
  <c r="DN3000" i="3"/>
  <c r="DO3000" i="3" s="1"/>
  <c r="DN2989" i="3"/>
  <c r="DO2989" i="3" s="1"/>
  <c r="DN2980" i="3"/>
  <c r="DO2980" i="3" s="1"/>
  <c r="DN2973" i="3"/>
  <c r="DO2973" i="3" s="1"/>
  <c r="DN2964" i="3"/>
  <c r="DO2964" i="3" s="1"/>
  <c r="DN2957" i="3"/>
  <c r="DO2957" i="3" s="1"/>
  <c r="DN2948" i="3"/>
  <c r="DO2948" i="3" s="1"/>
  <c r="DN2945" i="3"/>
  <c r="DO2945" i="3" s="1"/>
  <c r="DN2936" i="3"/>
  <c r="DO2936" i="3" s="1"/>
  <c r="DN2934" i="3"/>
  <c r="DO2934" i="3" s="1"/>
  <c r="DN2929" i="3"/>
  <c r="DO2929" i="3" s="1"/>
  <c r="DN2925" i="3"/>
  <c r="DO2925" i="3" s="1"/>
  <c r="DN2920" i="3"/>
  <c r="DO2920" i="3" s="1"/>
  <c r="DN2918" i="3"/>
  <c r="DO2918" i="3" s="1"/>
  <c r="DN2909" i="3"/>
  <c r="DO2909" i="3" s="1"/>
  <c r="DN2902" i="3"/>
  <c r="DO2902" i="3" s="1"/>
  <c r="DN2900" i="3"/>
  <c r="DO2900" i="3" s="1"/>
  <c r="DN2893" i="3"/>
  <c r="DO2893" i="3" s="1"/>
  <c r="DN2886" i="3"/>
  <c r="DO2886" i="3" s="1"/>
  <c r="DN2884" i="3"/>
  <c r="DO2884" i="3" s="1"/>
  <c r="DN2877" i="3"/>
  <c r="DO2877" i="3" s="1"/>
  <c r="DN2870" i="3"/>
  <c r="DO2870" i="3" s="1"/>
  <c r="DN2865" i="3"/>
  <c r="DO2865" i="3" s="1"/>
  <c r="DN2856" i="3"/>
  <c r="DO2856" i="3" s="1"/>
  <c r="DN2854" i="3"/>
  <c r="DO2854" i="3" s="1"/>
  <c r="DN2845" i="3"/>
  <c r="DO2845" i="3" s="1"/>
  <c r="DN2840" i="3"/>
  <c r="DO2840" i="3" s="1"/>
  <c r="DN2838" i="3"/>
  <c r="DO2838" i="3" s="1"/>
  <c r="DN2829" i="3"/>
  <c r="DO2829" i="3" s="1"/>
  <c r="DN2822" i="3"/>
  <c r="DO2822" i="3" s="1"/>
  <c r="DN2820" i="3"/>
  <c r="DO2820" i="3" s="1"/>
  <c r="DN2813" i="3"/>
  <c r="DO2813" i="3" s="1"/>
  <c r="DN2806" i="3"/>
  <c r="DO2806" i="3" s="1"/>
  <c r="DN2804" i="3"/>
  <c r="DO2804" i="3" s="1"/>
  <c r="DN2797" i="3"/>
  <c r="DO2797" i="3" s="1"/>
  <c r="DN2792" i="3"/>
  <c r="DO2792" i="3" s="1"/>
  <c r="DN2790" i="3"/>
  <c r="DO2790" i="3" s="1"/>
  <c r="DN2785" i="3"/>
  <c r="DO2785" i="3" s="1"/>
  <c r="DN2776" i="3"/>
  <c r="DO2776" i="3" s="1"/>
  <c r="DN2774" i="3"/>
  <c r="DO2774" i="3" s="1"/>
  <c r="DN2765" i="3"/>
  <c r="DO2765" i="3" s="1"/>
  <c r="DN2760" i="3"/>
  <c r="DO2760" i="3" s="1"/>
  <c r="DN2758" i="3"/>
  <c r="DO2758" i="3" s="1"/>
  <c r="DN2756" i="3"/>
  <c r="DO2756" i="3" s="1"/>
  <c r="DN2749" i="3"/>
  <c r="DO2749" i="3" s="1"/>
  <c r="DN2742" i="3"/>
  <c r="DO2742" i="3" s="1"/>
  <c r="DN2740" i="3"/>
  <c r="DO2740" i="3" s="1"/>
  <c r="DN2733" i="3"/>
  <c r="DO2733" i="3" s="1"/>
  <c r="DN2726" i="3"/>
  <c r="DO2726" i="3" s="1"/>
  <c r="DN2724" i="3"/>
  <c r="DO2724" i="3" s="1"/>
  <c r="DN2712" i="3"/>
  <c r="DO2712" i="3" s="1"/>
  <c r="DN2710" i="3"/>
  <c r="DO2710" i="3" s="1"/>
  <c r="DN2705" i="3"/>
  <c r="DO2705" i="3" s="1"/>
  <c r="DN2696" i="3"/>
  <c r="DO2696" i="3" s="1"/>
  <c r="DN2694" i="3"/>
  <c r="DO2694" i="3" s="1"/>
  <c r="DN2685" i="3"/>
  <c r="DO2685" i="3" s="1"/>
  <c r="DN2678" i="3"/>
  <c r="DO2678" i="3" s="1"/>
  <c r="DN2676" i="3"/>
  <c r="DO2676" i="3" s="1"/>
  <c r="DN2669" i="3"/>
  <c r="DO2669" i="3" s="1"/>
  <c r="DN2662" i="3"/>
  <c r="DO2662" i="3" s="1"/>
  <c r="DN2660" i="3"/>
  <c r="DO2660" i="3" s="1"/>
  <c r="DN2653" i="3"/>
  <c r="DO2653" i="3" s="1"/>
  <c r="DN2646" i="3"/>
  <c r="DO2646" i="3" s="1"/>
  <c r="DN2644" i="3"/>
  <c r="DO2644" i="3" s="1"/>
  <c r="DN2641" i="3"/>
  <c r="DO2641" i="3" s="1"/>
  <c r="DN2632" i="3"/>
  <c r="DO2632" i="3" s="1"/>
  <c r="DN2630" i="3"/>
  <c r="DO2630" i="3" s="1"/>
  <c r="DN2625" i="3"/>
  <c r="DO2625" i="3" s="1"/>
  <c r="DN2621" i="3"/>
  <c r="DO2621" i="3" s="1"/>
  <c r="DN2617" i="3"/>
  <c r="DO2617" i="3" s="1"/>
  <c r="DN2613" i="3"/>
  <c r="DO2613" i="3" s="1"/>
  <c r="DN2609" i="3"/>
  <c r="DO2609" i="3" s="1"/>
  <c r="DN2605" i="3"/>
  <c r="DO2605" i="3" s="1"/>
  <c r="DN2598" i="3"/>
  <c r="DO2598" i="3" s="1"/>
  <c r="DN2596" i="3"/>
  <c r="DO2596" i="3" s="1"/>
  <c r="DN2589" i="3"/>
  <c r="DO2589" i="3" s="1"/>
  <c r="DN2582" i="3"/>
  <c r="DO2582" i="3" s="1"/>
  <c r="DN2580" i="3"/>
  <c r="DO2580" i="3" s="1"/>
  <c r="DN2573" i="3"/>
  <c r="DO2573" i="3" s="1"/>
  <c r="DN2566" i="3"/>
  <c r="DO2566" i="3" s="1"/>
  <c r="DN2472" i="3"/>
  <c r="DO2472" i="3" s="1"/>
  <c r="DN2454" i="3"/>
  <c r="DO2454" i="3" s="1"/>
  <c r="DN2374" i="3"/>
  <c r="DO2374" i="3" s="1"/>
  <c r="DN2372" i="3"/>
  <c r="DO2372" i="3" s="1"/>
  <c r="DN2365" i="3"/>
  <c r="DO2365" i="3" s="1"/>
  <c r="DN2358" i="3"/>
  <c r="DO2358" i="3" s="1"/>
  <c r="DN2356" i="3"/>
  <c r="DO2356" i="3" s="1"/>
  <c r="DN2349" i="3"/>
  <c r="DO2349" i="3" s="1"/>
  <c r="DN2342" i="3"/>
  <c r="DO2342" i="3" s="1"/>
  <c r="DN2340" i="3"/>
  <c r="DO2340" i="3" s="1"/>
  <c r="DN2337" i="3"/>
  <c r="DO2337" i="3" s="1"/>
  <c r="DN2328" i="3"/>
  <c r="DO2328" i="3" s="1"/>
  <c r="DN2326" i="3"/>
  <c r="DO2326" i="3" s="1"/>
  <c r="DN2321" i="3"/>
  <c r="DO2321" i="3" s="1"/>
  <c r="DN2317" i="3"/>
  <c r="DO2317" i="3" s="1"/>
  <c r="DN2313" i="3"/>
  <c r="DO2313" i="3" s="1"/>
  <c r="DN2309" i="3"/>
  <c r="DO2309" i="3" s="1"/>
  <c r="DN2305" i="3"/>
  <c r="DO2305" i="3" s="1"/>
  <c r="DN2301" i="3"/>
  <c r="DO2301" i="3" s="1"/>
  <c r="DN2294" i="3"/>
  <c r="DO2294" i="3" s="1"/>
  <c r="DN2292" i="3"/>
  <c r="DO2292" i="3" s="1"/>
  <c r="DN2285" i="3"/>
  <c r="DO2285" i="3" s="1"/>
  <c r="DN2278" i="3"/>
  <c r="DO2278" i="3" s="1"/>
  <c r="DN2276" i="3"/>
  <c r="DO2276" i="3" s="1"/>
  <c r="DN2269" i="3"/>
  <c r="DO2269" i="3" s="1"/>
  <c r="DN2262" i="3"/>
  <c r="DO2262" i="3" s="1"/>
  <c r="DN2257" i="3"/>
  <c r="DO2257" i="3" s="1"/>
  <c r="DN2248" i="3"/>
  <c r="DO2248" i="3" s="1"/>
  <c r="DN2246" i="3"/>
  <c r="DO2246" i="3" s="1"/>
  <c r="DN2237" i="3"/>
  <c r="DO2237" i="3" s="1"/>
  <c r="DN2232" i="3"/>
  <c r="DO2232" i="3" s="1"/>
  <c r="DN2230" i="3"/>
  <c r="DO2230" i="3" s="1"/>
  <c r="DN2221" i="3"/>
  <c r="DO2221" i="3" s="1"/>
  <c r="DN2214" i="3"/>
  <c r="DO2214" i="3" s="1"/>
  <c r="DN2212" i="3"/>
  <c r="DO2212" i="3" s="1"/>
  <c r="DN2205" i="3"/>
  <c r="DO2205" i="3" s="1"/>
  <c r="DN2201" i="3"/>
  <c r="DO2201" i="3" s="1"/>
  <c r="DN2197" i="3"/>
  <c r="DO2197" i="3" s="1"/>
  <c r="DN2193" i="3"/>
  <c r="DO2193" i="3" s="1"/>
  <c r="DN2189" i="3"/>
  <c r="DO2189" i="3" s="1"/>
  <c r="DN2184" i="3"/>
  <c r="DO2184" i="3" s="1"/>
  <c r="DN2182" i="3"/>
  <c r="DO2182" i="3" s="1"/>
  <c r="DN2177" i="3"/>
  <c r="DO2177" i="3" s="1"/>
  <c r="DN2168" i="3"/>
  <c r="DO2168" i="3" s="1"/>
  <c r="DN2166" i="3"/>
  <c r="DO2166" i="3" s="1"/>
  <c r="DN2157" i="3"/>
  <c r="DO2157" i="3" s="1"/>
  <c r="DN2152" i="3"/>
  <c r="DO2152" i="3" s="1"/>
  <c r="DN2150" i="3"/>
  <c r="DO2150" i="3" s="1"/>
  <c r="DN2148" i="3"/>
  <c r="DO2148" i="3" s="1"/>
  <c r="DN2141" i="3"/>
  <c r="DO2141" i="3" s="1"/>
  <c r="DN2134" i="3"/>
  <c r="DO2134" i="3" s="1"/>
  <c r="DN2132" i="3"/>
  <c r="DO2132" i="3" s="1"/>
  <c r="DN2125" i="3"/>
  <c r="DO2125" i="3" s="1"/>
  <c r="DN2118" i="3"/>
  <c r="DO2118" i="3" s="1"/>
  <c r="DN2116" i="3"/>
  <c r="DO2116" i="3" s="1"/>
  <c r="DN2104" i="3"/>
  <c r="DO2104" i="3" s="1"/>
  <c r="DN2102" i="3"/>
  <c r="DO2102" i="3" s="1"/>
  <c r="DN2097" i="3"/>
  <c r="DO2097" i="3" s="1"/>
  <c r="DN2088" i="3"/>
  <c r="DO2088" i="3" s="1"/>
  <c r="DN2086" i="3"/>
  <c r="DO2086" i="3" s="1"/>
  <c r="DN2077" i="3"/>
  <c r="DO2077" i="3" s="1"/>
  <c r="DN2070" i="3"/>
  <c r="DO2070" i="3" s="1"/>
  <c r="DN2068" i="3"/>
  <c r="DO2068" i="3" s="1"/>
  <c r="DN2061" i="3"/>
  <c r="DO2061" i="3" s="1"/>
  <c r="DN2054" i="3"/>
  <c r="DO2054" i="3" s="1"/>
  <c r="DN2052" i="3"/>
  <c r="DO2052" i="3" s="1"/>
  <c r="DN2045" i="3"/>
  <c r="DO2045" i="3" s="1"/>
  <c r="DN2038" i="3"/>
  <c r="DO2038" i="3" s="1"/>
  <c r="DN2036" i="3"/>
  <c r="DO2036" i="3" s="1"/>
  <c r="DN2033" i="3"/>
  <c r="DO2033" i="3" s="1"/>
  <c r="DN2024" i="3"/>
  <c r="DO2024" i="3" s="1"/>
  <c r="DN2015" i="3"/>
  <c r="DO2015" i="3" s="1"/>
  <c r="DN2013" i="3"/>
  <c r="DO2013" i="3" s="1"/>
  <c r="DN2009" i="3"/>
  <c r="DO2009" i="3" s="1"/>
  <c r="DN2007" i="3"/>
  <c r="DO2007" i="3" s="1"/>
  <c r="DN2005" i="3"/>
  <c r="DO2005" i="3" s="1"/>
  <c r="DN2003" i="3"/>
  <c r="DO2003" i="3" s="1"/>
  <c r="DN1999" i="3"/>
  <c r="DO1999" i="3" s="1"/>
  <c r="DN1997" i="3"/>
  <c r="DO1997" i="3" s="1"/>
  <c r="DN1988" i="3"/>
  <c r="DO1988" i="3" s="1"/>
  <c r="DN1983" i="3"/>
  <c r="DO1983" i="3" s="1"/>
  <c r="DN1981" i="3"/>
  <c r="DO1981" i="3" s="1"/>
  <c r="DN1972" i="3"/>
  <c r="DO1972" i="3" s="1"/>
  <c r="DN1965" i="3"/>
  <c r="DO1965" i="3" s="1"/>
  <c r="DN1951" i="3"/>
  <c r="DO1951" i="3" s="1"/>
  <c r="DN1944" i="3"/>
  <c r="DO1944" i="3" s="1"/>
  <c r="DN1935" i="3"/>
  <c r="DO1935" i="3" s="1"/>
  <c r="DN1933" i="3"/>
  <c r="DO1933" i="3" s="1"/>
  <c r="DN1928" i="3"/>
  <c r="DO1928" i="3" s="1"/>
  <c r="DN1919" i="3"/>
  <c r="DO1919" i="3" s="1"/>
  <c r="DN1917" i="3"/>
  <c r="DO1917" i="3" s="1"/>
  <c r="DN1908" i="3"/>
  <c r="DO1908" i="3" s="1"/>
  <c r="DN1903" i="3"/>
  <c r="DO1903" i="3" s="1"/>
  <c r="DN1901" i="3"/>
  <c r="DO1901" i="3" s="1"/>
  <c r="DN1892" i="3"/>
  <c r="DO1892" i="3" s="1"/>
  <c r="DN1885" i="3"/>
  <c r="DO1885" i="3" s="1"/>
  <c r="DN1880" i="3"/>
  <c r="DO1880" i="3" s="1"/>
  <c r="DN1878" i="3"/>
  <c r="DO1878" i="3" s="1"/>
  <c r="DN1873" i="3"/>
  <c r="DO1873" i="3" s="1"/>
  <c r="DN1864" i="3"/>
  <c r="DO1864" i="3" s="1"/>
  <c r="DN1862" i="3"/>
  <c r="DO1862" i="3" s="1"/>
  <c r="DN1855" i="3"/>
  <c r="DO1855" i="3" s="1"/>
  <c r="DN1853" i="3"/>
  <c r="DO1853" i="3" s="1"/>
  <c r="DN1848" i="3"/>
  <c r="DO1848" i="3" s="1"/>
  <c r="DN1846" i="3"/>
  <c r="DO1846" i="3" s="1"/>
  <c r="DN1844" i="3"/>
  <c r="DO1844" i="3" s="1"/>
  <c r="DN1839" i="3"/>
  <c r="DO1839" i="3" s="1"/>
  <c r="DN1837" i="3"/>
  <c r="DO1837" i="3" s="1"/>
  <c r="DN1830" i="3"/>
  <c r="DO1830" i="3" s="1"/>
  <c r="DN1828" i="3"/>
  <c r="DO1828" i="3" s="1"/>
  <c r="DN1825" i="3"/>
  <c r="DO1825" i="3" s="1"/>
  <c r="DN1823" i="3"/>
  <c r="DO1823" i="3" s="1"/>
  <c r="DN1818" i="3"/>
  <c r="DO1818" i="3" s="1"/>
  <c r="DN1816" i="3"/>
  <c r="DO1816" i="3" s="1"/>
  <c r="DN1809" i="3"/>
  <c r="DO1809" i="3" s="1"/>
  <c r="DN1804" i="3"/>
  <c r="DO1804" i="3" s="1"/>
  <c r="DN1802" i="3"/>
  <c r="DO1802" i="3" s="1"/>
  <c r="DN1797" i="3"/>
  <c r="DO1797" i="3" s="1"/>
  <c r="DN1795" i="3"/>
  <c r="DO1795" i="3" s="1"/>
  <c r="DN1788" i="3"/>
  <c r="DO1788" i="3" s="1"/>
  <c r="DN1786" i="3"/>
  <c r="DO1786" i="3" s="1"/>
  <c r="DN1779" i="3"/>
  <c r="DO1779" i="3" s="1"/>
  <c r="DN1777" i="3"/>
  <c r="DO1777" i="3" s="1"/>
  <c r="DN1772" i="3"/>
  <c r="DO1772" i="3" s="1"/>
  <c r="DN1770" i="3"/>
  <c r="DO1770" i="3" s="1"/>
  <c r="DN1767" i="3"/>
  <c r="DO1767" i="3" s="1"/>
  <c r="DN1765" i="3"/>
  <c r="DO1765" i="3" s="1"/>
  <c r="DN1758" i="3"/>
  <c r="DO1758" i="3" s="1"/>
  <c r="DN1756" i="3"/>
  <c r="DO1756" i="3" s="1"/>
  <c r="DN1751" i="3"/>
  <c r="DO1751" i="3" s="1"/>
  <c r="DN1746" i="3"/>
  <c r="DO1746" i="3" s="1"/>
  <c r="DN1744" i="3"/>
  <c r="DO1744" i="3" s="1"/>
  <c r="DN1737" i="3"/>
  <c r="DO1737" i="3" s="1"/>
  <c r="DN1735" i="3"/>
  <c r="DO1735" i="3" s="1"/>
  <c r="DN1730" i="3"/>
  <c r="DO1730" i="3" s="1"/>
  <c r="DN1725" i="3"/>
  <c r="DO1725" i="3" s="1"/>
  <c r="DN1716" i="3"/>
  <c r="DO1716" i="3" s="1"/>
  <c r="DN1714" i="3"/>
  <c r="DO1714" i="3" s="1"/>
  <c r="DN1711" i="3"/>
  <c r="DO1711" i="3" s="1"/>
  <c r="DN1709" i="3"/>
  <c r="DO1709" i="3" s="1"/>
  <c r="DN1704" i="3"/>
  <c r="DO1704" i="3" s="1"/>
  <c r="DN1702" i="3"/>
  <c r="DO1702" i="3" s="1"/>
  <c r="DN1695" i="3"/>
  <c r="DO1695" i="3" s="1"/>
  <c r="DN1693" i="3"/>
  <c r="DO1693" i="3" s="1"/>
  <c r="DN1686" i="3"/>
  <c r="DO1686" i="3" s="1"/>
  <c r="DN1684" i="3"/>
  <c r="DO1684" i="3" s="1"/>
  <c r="DN1679" i="3"/>
  <c r="DO1679" i="3" s="1"/>
  <c r="DN1677" i="3"/>
  <c r="DO1677" i="3" s="1"/>
  <c r="DN1674" i="3"/>
  <c r="DO1674" i="3" s="1"/>
  <c r="DN1672" i="3"/>
  <c r="DO1672" i="3" s="1"/>
  <c r="DN1665" i="3"/>
  <c r="DO1665" i="3" s="1"/>
  <c r="DN1663" i="3"/>
  <c r="DO1663" i="3" s="1"/>
  <c r="DN1658" i="3"/>
  <c r="DO1658" i="3" s="1"/>
  <c r="DN1656" i="3"/>
  <c r="DO1656" i="3" s="1"/>
  <c r="DN1653" i="3"/>
  <c r="DO1653" i="3" s="1"/>
  <c r="DN1651" i="3"/>
  <c r="DO1651" i="3" s="1"/>
  <c r="DN1644" i="3"/>
  <c r="DO1644" i="3" s="1"/>
  <c r="DN1642" i="3"/>
  <c r="DO1642" i="3" s="1"/>
  <c r="DN1637" i="3"/>
  <c r="DO1637" i="3" s="1"/>
  <c r="DN1632" i="3"/>
  <c r="DO1632" i="3" s="1"/>
  <c r="DN1630" i="3"/>
  <c r="DO1630" i="3" s="1"/>
  <c r="DN1623" i="3"/>
  <c r="DO1623" i="3" s="1"/>
  <c r="DN1621" i="3"/>
  <c r="DO1621" i="3" s="1"/>
  <c r="DN1614" i="3"/>
  <c r="DO1614" i="3" s="1"/>
  <c r="DN1612" i="3"/>
  <c r="DO1612" i="3" s="1"/>
  <c r="DN1607" i="3"/>
  <c r="DO1607" i="3" s="1"/>
  <c r="DN1605" i="3"/>
  <c r="DO1605" i="3" s="1"/>
  <c r="DN1593" i="3"/>
  <c r="DO1593" i="3" s="1"/>
  <c r="DN1591" i="3"/>
  <c r="DO1591" i="3" s="1"/>
  <c r="DN1586" i="3"/>
  <c r="DO1586" i="3" s="1"/>
  <c r="DN1584" i="3"/>
  <c r="DO1584" i="3" s="1"/>
  <c r="DN1572" i="3"/>
  <c r="DO1572" i="3" s="1"/>
  <c r="DN1570" i="3"/>
  <c r="DO1570" i="3" s="1"/>
  <c r="DN1565" i="3"/>
  <c r="DO1565" i="3" s="1"/>
  <c r="DN1560" i="3"/>
  <c r="DO1560" i="3" s="1"/>
  <c r="DK971" i="3"/>
  <c r="DM971" i="3" s="1"/>
  <c r="DK819" i="3"/>
  <c r="DL895" i="3"/>
  <c r="DL667" i="3"/>
  <c r="DL439" i="3"/>
  <c r="DN439" i="3" s="1"/>
  <c r="DO439" i="3" s="1"/>
  <c r="DL363" i="3"/>
  <c r="DN363" i="3" s="1"/>
  <c r="DO363" i="3" s="1"/>
  <c r="DL287" i="3"/>
  <c r="DN287" i="3" s="1"/>
  <c r="DO287" i="3" s="1"/>
  <c r="DL59" i="3"/>
  <c r="DN59" i="3" s="1"/>
  <c r="DO59" i="3" s="1"/>
  <c r="H2" i="2"/>
  <c r="EQ61" i="3" l="1"/>
  <c r="DL135" i="3"/>
  <c r="DN135" i="3" s="1"/>
  <c r="DO135" i="3" s="1"/>
  <c r="DN743" i="3"/>
  <c r="DO743" i="3" s="1"/>
  <c r="DL743" i="3"/>
  <c r="DL211" i="3"/>
  <c r="DN211" i="3" s="1"/>
  <c r="DO211" i="3" s="1"/>
  <c r="DN515" i="3"/>
  <c r="DO515" i="3" s="1"/>
  <c r="DL515" i="3"/>
  <c r="DN3195" i="3"/>
  <c r="DO3195" i="3" s="1"/>
  <c r="DL3195" i="3"/>
  <c r="DL1428" i="3"/>
  <c r="DN1428" i="3" s="1"/>
  <c r="DO1428" i="3" s="1"/>
  <c r="DN3689" i="3"/>
  <c r="DO3689" i="3" s="1"/>
  <c r="DL3689" i="3"/>
  <c r="DN820" i="3"/>
  <c r="DO820" i="3" s="1"/>
  <c r="DL820" i="3"/>
  <c r="DL4184" i="3"/>
  <c r="DN4184" i="3" s="1"/>
  <c r="DO4184" i="3" s="1"/>
  <c r="DN3385" i="3"/>
  <c r="DO3385" i="3" s="1"/>
  <c r="DL3385" i="3"/>
  <c r="DL4145" i="3"/>
  <c r="DN4145" i="3" s="1"/>
  <c r="DO4145" i="3" s="1"/>
  <c r="DL3859" i="3"/>
  <c r="DN3859" i="3" s="1"/>
  <c r="DO3859" i="3" s="1"/>
  <c r="DL4163" i="3"/>
  <c r="DN4163" i="3" s="1"/>
  <c r="DO4163" i="3" s="1"/>
  <c r="DN3347" i="3"/>
  <c r="DO3347" i="3" s="1"/>
  <c r="DL3347" i="3"/>
  <c r="DN801" i="3"/>
  <c r="DO801" i="3" s="1"/>
  <c r="DL801" i="3"/>
  <c r="DN1466" i="3"/>
  <c r="DO1466" i="3" s="1"/>
  <c r="DL1466" i="3"/>
  <c r="DL3993" i="3"/>
  <c r="DN3993" i="3" s="1"/>
  <c r="DO3993" i="3" s="1"/>
  <c r="DN592" i="3"/>
  <c r="DO592" i="3" s="1"/>
  <c r="DL592" i="3"/>
  <c r="DL212" i="3"/>
  <c r="DN212" i="3" s="1"/>
  <c r="DO212" i="3" s="1"/>
  <c r="DL175" i="3"/>
  <c r="DN175" i="3" s="1"/>
  <c r="DO175" i="3" s="1"/>
  <c r="DL4107" i="3"/>
  <c r="DN4107" i="3" s="1"/>
  <c r="DO4107" i="3" s="1"/>
  <c r="DL3803" i="3"/>
  <c r="DN3803" i="3" s="1"/>
  <c r="DO3803" i="3" s="1"/>
  <c r="DL4240" i="3"/>
  <c r="DN4240" i="3" s="1"/>
  <c r="DO4240" i="3" s="1"/>
  <c r="DN1503" i="3"/>
  <c r="DO1503" i="3" s="1"/>
  <c r="DL1503" i="3"/>
  <c r="DN3631" i="3"/>
  <c r="DO3631" i="3" s="1"/>
  <c r="DL3631" i="3"/>
  <c r="DL3935" i="3"/>
  <c r="DN3935" i="3" s="1"/>
  <c r="DO3935" i="3" s="1"/>
  <c r="DL4239" i="3"/>
  <c r="DN4239" i="3" s="1"/>
  <c r="DO4239" i="3" s="1"/>
  <c r="DL1427" i="3"/>
  <c r="DN1427" i="3" s="1"/>
  <c r="DO1427" i="3" s="1"/>
  <c r="DN591" i="3"/>
  <c r="DO591" i="3" s="1"/>
  <c r="DL591" i="3"/>
  <c r="DL213" i="3"/>
  <c r="DN213" i="3" s="1"/>
  <c r="DO213" i="3" s="1"/>
  <c r="DL136" i="3"/>
  <c r="DN136" i="3" s="1"/>
  <c r="DO136" i="3" s="1"/>
  <c r="DN1504" i="3"/>
  <c r="DO1504" i="3" s="1"/>
  <c r="DL1504" i="3"/>
  <c r="DN3233" i="3"/>
  <c r="DO3233" i="3" s="1"/>
  <c r="DL3233" i="3"/>
  <c r="DN516" i="3"/>
  <c r="DO516" i="3" s="1"/>
  <c r="DL516" i="3"/>
  <c r="DN573" i="3"/>
  <c r="DO573" i="3" s="1"/>
  <c r="DL573" i="3"/>
  <c r="DN763" i="3"/>
  <c r="DO763" i="3" s="1"/>
  <c r="DL763" i="3"/>
  <c r="DL4297" i="3"/>
  <c r="DN4297" i="3" s="1"/>
  <c r="DO4297" i="3" s="1"/>
  <c r="DL4222" i="3"/>
  <c r="DN4222" i="3" s="1"/>
  <c r="DO4222" i="3" s="1"/>
  <c r="DL3917" i="3"/>
  <c r="DN3917" i="3" s="1"/>
  <c r="DO3917" i="3" s="1"/>
  <c r="DN3403" i="3"/>
  <c r="DO3403" i="3" s="1"/>
  <c r="DL3403" i="3"/>
  <c r="DN3707" i="3"/>
  <c r="DO3707" i="3" s="1"/>
  <c r="DL3707" i="3"/>
  <c r="DL4011" i="3"/>
  <c r="DN4011" i="3" s="1"/>
  <c r="DO4011" i="3" s="1"/>
  <c r="DN782" i="3"/>
  <c r="DO782" i="3" s="1"/>
  <c r="DL782" i="3"/>
  <c r="DN2511" i="3"/>
  <c r="DO2511" i="3" s="1"/>
  <c r="DL2511" i="3"/>
  <c r="DL1390" i="3"/>
  <c r="DN1390" i="3" s="1"/>
  <c r="DO1390" i="3" s="1"/>
  <c r="DN1542" i="3"/>
  <c r="DO1542" i="3" s="1"/>
  <c r="DL1542" i="3"/>
  <c r="DN497" i="3"/>
  <c r="DO497" i="3" s="1"/>
  <c r="DL497" i="3"/>
  <c r="DL4183" i="3"/>
  <c r="DN4183" i="3" s="1"/>
  <c r="DO4183" i="3" s="1"/>
  <c r="DN3499" i="3"/>
  <c r="DO3499" i="3" s="1"/>
  <c r="DL3499" i="3"/>
  <c r="DN2415" i="3"/>
  <c r="DO2415" i="3" s="1"/>
  <c r="DL2415" i="3"/>
  <c r="DN3175" i="3"/>
  <c r="DO3175" i="3" s="1"/>
  <c r="DL3175" i="3"/>
  <c r="DN3479" i="3"/>
  <c r="DO3479" i="3" s="1"/>
  <c r="DL3479" i="3"/>
  <c r="I2" i="2"/>
  <c r="J190" i="2"/>
  <c r="J192" i="2"/>
  <c r="DK98" i="3"/>
  <c r="DM98" i="3" s="1"/>
  <c r="DK1257" i="3"/>
  <c r="DM1257" i="3" s="1"/>
  <c r="DL1257" i="3"/>
  <c r="DN1257" i="3" s="1"/>
  <c r="DO1257" i="3" s="1"/>
  <c r="DK1979" i="3"/>
  <c r="DL1979" i="3"/>
  <c r="J49" i="2"/>
  <c r="J128" i="2"/>
  <c r="DK3556" i="3"/>
  <c r="DL3556" i="3"/>
  <c r="DK41" i="3"/>
  <c r="DM41" i="3" s="1"/>
  <c r="DK269" i="3"/>
  <c r="DM269" i="3" s="1"/>
  <c r="DL269" i="3"/>
  <c r="DN269" i="3" s="1"/>
  <c r="DO269" i="3" s="1"/>
  <c r="K35" i="2"/>
  <c r="DK1600" i="3"/>
  <c r="DL1600" i="3"/>
  <c r="J122" i="2"/>
  <c r="K152" i="2"/>
  <c r="J216" i="2"/>
  <c r="K156" i="2"/>
  <c r="J53" i="2"/>
  <c r="DK1828" i="3"/>
  <c r="DL1828" i="3"/>
  <c r="J140" i="2"/>
  <c r="DK1239" i="3"/>
  <c r="DM1239" i="3" s="1"/>
  <c r="DL1239" i="3"/>
  <c r="DN1239" i="3" s="1"/>
  <c r="DO1239" i="3" s="1"/>
  <c r="K45" i="2"/>
  <c r="DK1676" i="3"/>
  <c r="DL1676" i="3"/>
  <c r="J129" i="2"/>
  <c r="DK3158" i="3"/>
  <c r="DL3158" i="3"/>
  <c r="DK3632" i="3"/>
  <c r="J200" i="2"/>
  <c r="J210" i="2"/>
  <c r="J169" i="2"/>
  <c r="J211" i="2"/>
  <c r="J159" i="2"/>
  <c r="L222" i="2"/>
  <c r="J24" i="2"/>
  <c r="J28" i="2"/>
  <c r="J72" i="2"/>
  <c r="J80" i="2"/>
  <c r="J163" i="2"/>
  <c r="J173" i="2"/>
  <c r="J9" i="2"/>
  <c r="J19" i="2"/>
  <c r="J39" i="2"/>
  <c r="DK1086" i="3"/>
  <c r="DM1086" i="3" s="1"/>
  <c r="DL1086" i="3"/>
  <c r="DN1086" i="3" s="1"/>
  <c r="DO1086" i="3" s="1"/>
  <c r="J64" i="2"/>
  <c r="J70" i="2"/>
  <c r="K84" i="2"/>
  <c r="K92" i="2"/>
  <c r="K100" i="2"/>
  <c r="K103" i="2"/>
  <c r="K107" i="2"/>
  <c r="K113" i="2"/>
  <c r="K121" i="2"/>
  <c r="K131" i="2"/>
  <c r="K139" i="2"/>
  <c r="J3" i="2"/>
  <c r="J10" i="2"/>
  <c r="J15" i="2"/>
  <c r="J33" i="2"/>
  <c r="J56" i="2"/>
  <c r="J77" i="2"/>
  <c r="J95" i="2"/>
  <c r="J105" i="2"/>
  <c r="J124" i="2"/>
  <c r="J133" i="2"/>
  <c r="J141" i="2"/>
  <c r="J165" i="2"/>
  <c r="J181" i="2"/>
  <c r="J191" i="2"/>
  <c r="J207" i="2"/>
  <c r="J223" i="2"/>
  <c r="K38" i="2"/>
  <c r="DK1143" i="3"/>
  <c r="DM1143" i="3" s="1"/>
  <c r="J78" i="2"/>
  <c r="DK1732" i="3"/>
  <c r="DL1732" i="3"/>
  <c r="K117" i="2"/>
  <c r="DK2473" i="3"/>
  <c r="K145" i="2"/>
  <c r="J155" i="2"/>
  <c r="J183" i="2"/>
  <c r="K204" i="2"/>
  <c r="J209" i="2"/>
  <c r="K42" i="2"/>
  <c r="DK2702" i="3"/>
  <c r="DL2702" i="3"/>
  <c r="J177" i="2"/>
  <c r="J201" i="2"/>
  <c r="K220" i="2"/>
  <c r="DK858" i="3"/>
  <c r="DL858" i="3"/>
  <c r="J57" i="2"/>
  <c r="K69" i="2"/>
  <c r="DK1656" i="3"/>
  <c r="DL1656" i="3"/>
  <c r="DK1941" i="3"/>
  <c r="DL1941" i="3"/>
  <c r="DK2207" i="3"/>
  <c r="DL2207" i="3"/>
  <c r="K130" i="2"/>
  <c r="DK2777" i="3"/>
  <c r="DL2777" i="3"/>
  <c r="J153" i="2"/>
  <c r="J161" i="2"/>
  <c r="K176" i="2"/>
  <c r="DK3461" i="3"/>
  <c r="J203" i="2"/>
  <c r="DK4259" i="3"/>
  <c r="DM4259" i="3" s="1"/>
  <c r="K94" i="2"/>
  <c r="J151" i="2"/>
  <c r="DK3423" i="3"/>
  <c r="K196" i="2"/>
  <c r="K218" i="2"/>
  <c r="K32" i="2"/>
  <c r="K48" i="2"/>
  <c r="DK1010" i="3"/>
  <c r="DM1010" i="3" s="1"/>
  <c r="DL1010" i="3"/>
  <c r="DN1010" i="3" s="1"/>
  <c r="DO1010" i="3" s="1"/>
  <c r="J74" i="2"/>
  <c r="DK1808" i="3"/>
  <c r="DL1808" i="3"/>
  <c r="K109" i="2"/>
  <c r="DK2359" i="3"/>
  <c r="DL2359" i="3"/>
  <c r="J149" i="2"/>
  <c r="J157" i="2"/>
  <c r="DK3081" i="3"/>
  <c r="DL3081" i="3"/>
  <c r="K172" i="2"/>
  <c r="J187" i="2"/>
  <c r="J197" i="2"/>
  <c r="J208" i="2"/>
  <c r="J219" i="2"/>
  <c r="J147" i="2"/>
  <c r="DK3176" i="3"/>
  <c r="DK3480" i="3"/>
  <c r="J198" i="2"/>
  <c r="DK3974" i="3"/>
  <c r="DM3974" i="3" s="1"/>
  <c r="DK4088" i="3"/>
  <c r="DM4088" i="3" s="1"/>
  <c r="J227" i="2"/>
  <c r="DK4012" i="3"/>
  <c r="DM4012" i="3" s="1"/>
  <c r="K60" i="2"/>
  <c r="DK2170" i="3"/>
  <c r="DL2170" i="3"/>
  <c r="DK2986" i="3"/>
  <c r="DL2986" i="3"/>
  <c r="DK3386" i="3"/>
  <c r="DK3746" i="3"/>
  <c r="DK4185" i="3"/>
  <c r="DM4185" i="3" s="1"/>
  <c r="K11" i="2"/>
  <c r="J21" i="2"/>
  <c r="DK915" i="3"/>
  <c r="DL915" i="3"/>
  <c r="DK1409" i="3"/>
  <c r="DM1409" i="3" s="1"/>
  <c r="DK2017" i="3"/>
  <c r="DL2017" i="3"/>
  <c r="DK3214" i="3"/>
  <c r="J5" i="2"/>
  <c r="DK345" i="3"/>
  <c r="DM345" i="3" s="1"/>
  <c r="J34" i="2"/>
  <c r="J59" i="2"/>
  <c r="DK1638" i="3"/>
  <c r="DL1638" i="3"/>
  <c r="DK1904" i="3"/>
  <c r="DL1904" i="3"/>
  <c r="DK2094" i="3"/>
  <c r="DL2094" i="3"/>
  <c r="DK2341" i="3"/>
  <c r="DL2341" i="3"/>
  <c r="DK231" i="3"/>
  <c r="DM231" i="3" s="1"/>
  <c r="DL231" i="3"/>
  <c r="DN231" i="3" s="1"/>
  <c r="DO231" i="3" s="1"/>
  <c r="J58" i="2"/>
  <c r="J79" i="2"/>
  <c r="J91" i="2"/>
  <c r="J114" i="2"/>
  <c r="K142" i="2"/>
  <c r="DK4164" i="3"/>
  <c r="DM4164" i="3" s="1"/>
  <c r="J41" i="2"/>
  <c r="J137" i="2"/>
  <c r="K166" i="2"/>
  <c r="DK4050" i="3"/>
  <c r="DM4050" i="3" s="1"/>
  <c r="DK4241" i="3"/>
  <c r="DM4241" i="3" s="1"/>
  <c r="DK2531" i="3"/>
  <c r="DK3500" i="3"/>
  <c r="K31" i="2"/>
  <c r="DK1162" i="3"/>
  <c r="DM1162" i="3" s="1"/>
  <c r="DK2379" i="3"/>
  <c r="K158" i="2"/>
  <c r="DK3138" i="3"/>
  <c r="DL3138" i="3"/>
  <c r="DK1200" i="3"/>
  <c r="DM1200" i="3" s="1"/>
  <c r="DL1200" i="3"/>
  <c r="DN1200" i="3" s="1"/>
  <c r="DO1200" i="3" s="1"/>
  <c r="DK2227" i="3"/>
  <c r="DL2227" i="3"/>
  <c r="K162" i="2"/>
  <c r="DK3290" i="3"/>
  <c r="DK3727" i="3"/>
  <c r="DK4278" i="3"/>
  <c r="DM4278" i="3" s="1"/>
  <c r="DK1106" i="3"/>
  <c r="DM1106" i="3" s="1"/>
  <c r="DL1106" i="3"/>
  <c r="DN1106" i="3" s="1"/>
  <c r="DO1106" i="3" s="1"/>
  <c r="J199" i="2"/>
  <c r="J7" i="2"/>
  <c r="K13" i="2"/>
  <c r="J18" i="2"/>
  <c r="J22" i="2"/>
  <c r="J50" i="2"/>
  <c r="J68" i="2"/>
  <c r="J76" i="2"/>
  <c r="J108" i="2"/>
  <c r="J171" i="2"/>
  <c r="DK117" i="3"/>
  <c r="DM117" i="3" s="1"/>
  <c r="J12" i="2"/>
  <c r="J20" i="2"/>
  <c r="J30" i="2"/>
  <c r="J43" i="2"/>
  <c r="DK1124" i="3"/>
  <c r="DM1124" i="3" s="1"/>
  <c r="DL1124" i="3"/>
  <c r="DN1124" i="3" s="1"/>
  <c r="DO1124" i="3" s="1"/>
  <c r="J66" i="2"/>
  <c r="K88" i="2"/>
  <c r="K96" i="2"/>
  <c r="K102" i="2"/>
  <c r="J106" i="2"/>
  <c r="K112" i="2"/>
  <c r="K125" i="2"/>
  <c r="K134" i="2"/>
  <c r="K143" i="2"/>
  <c r="J6" i="2"/>
  <c r="J14" i="2"/>
  <c r="J46" i="2"/>
  <c r="J52" i="2"/>
  <c r="J73" i="2"/>
  <c r="J81" i="2"/>
  <c r="J87" i="2"/>
  <c r="J115" i="2"/>
  <c r="K146" i="2"/>
  <c r="J179" i="2"/>
  <c r="J189" i="2"/>
  <c r="J205" i="2"/>
  <c r="J221" i="2"/>
  <c r="J4" i="2"/>
  <c r="J16" i="2"/>
  <c r="K26" i="2"/>
  <c r="DK631" i="3"/>
  <c r="DL631" i="3"/>
  <c r="DK744" i="3"/>
  <c r="K71" i="2"/>
  <c r="K86" i="2"/>
  <c r="DK2055" i="3"/>
  <c r="DL2055" i="3"/>
  <c r="DK2283" i="3"/>
  <c r="DL2283" i="3"/>
  <c r="DK2568" i="3"/>
  <c r="DL2568" i="3"/>
  <c r="DK2854" i="3"/>
  <c r="DL2854" i="3"/>
  <c r="DK3120" i="3"/>
  <c r="DL3120" i="3"/>
  <c r="J215" i="2"/>
  <c r="K225" i="2"/>
  <c r="DK4069" i="3"/>
  <c r="DM4069" i="3" s="1"/>
  <c r="K135" i="2"/>
  <c r="DK2930" i="3"/>
  <c r="DL2930" i="3"/>
  <c r="K186" i="2"/>
  <c r="J195" i="2"/>
  <c r="DK4031" i="3"/>
  <c r="DM4031" i="3" s="1"/>
  <c r="DK555" i="3"/>
  <c r="DL555" i="3"/>
  <c r="DK972" i="3"/>
  <c r="DM972" i="3" s="1"/>
  <c r="DL972" i="3"/>
  <c r="DN972" i="3" s="1"/>
  <c r="DO972" i="3" s="1"/>
  <c r="J63" i="2"/>
  <c r="DK1523" i="3"/>
  <c r="K98" i="2"/>
  <c r="DK2074" i="3"/>
  <c r="DL2074" i="3"/>
  <c r="K127" i="2"/>
  <c r="DK2625" i="3"/>
  <c r="DL2625" i="3"/>
  <c r="DK2816" i="3"/>
  <c r="DL2816" i="3"/>
  <c r="DK2968" i="3"/>
  <c r="DL2968" i="3"/>
  <c r="J167" i="2"/>
  <c r="DK3651" i="3"/>
  <c r="K67" i="2"/>
  <c r="K123" i="2"/>
  <c r="K170" i="2"/>
  <c r="DK4223" i="3"/>
  <c r="DM4223" i="3" s="1"/>
  <c r="DK821" i="3"/>
  <c r="DK934" i="3"/>
  <c r="DL934" i="3"/>
  <c r="J65" i="2"/>
  <c r="K90" i="2"/>
  <c r="K101" i="2"/>
  <c r="K119" i="2"/>
  <c r="DK2416" i="3"/>
  <c r="DK2892" i="3"/>
  <c r="DL2892" i="3"/>
  <c r="DK3044" i="3"/>
  <c r="DL3044" i="3"/>
  <c r="K168" i="2"/>
  <c r="J175" i="2"/>
  <c r="J193" i="2"/>
  <c r="DK3765" i="3"/>
  <c r="DM3765" i="3" s="1"/>
  <c r="DK3955" i="3"/>
  <c r="DM3955" i="3" s="1"/>
  <c r="K160" i="2"/>
  <c r="DK3348" i="3"/>
  <c r="DK3804" i="3"/>
  <c r="DM3804" i="3" s="1"/>
  <c r="DK3994" i="3"/>
  <c r="DM3994" i="3" s="1"/>
  <c r="J37" i="2"/>
  <c r="J85" i="2"/>
  <c r="DK2588" i="3"/>
  <c r="DL2588" i="3"/>
  <c r="J174" i="2"/>
  <c r="DK3538" i="3"/>
  <c r="DL3538" i="3"/>
  <c r="DK307" i="3"/>
  <c r="DM307" i="3" s="1"/>
  <c r="K25" i="2"/>
  <c r="DK193" i="3"/>
  <c r="DM193" i="3" s="1"/>
  <c r="J40" i="2"/>
  <c r="DK1219" i="3"/>
  <c r="DM1219" i="3" s="1"/>
  <c r="DL1219" i="3"/>
  <c r="DN1219" i="3" s="1"/>
  <c r="DO1219" i="3" s="1"/>
  <c r="DK1790" i="3"/>
  <c r="DL1790" i="3"/>
  <c r="DK2512" i="3"/>
  <c r="DK2683" i="3"/>
  <c r="DL2683" i="3"/>
  <c r="DK79" i="3"/>
  <c r="DM79" i="3" s="1"/>
  <c r="DL79" i="3"/>
  <c r="DN79" i="3" s="1"/>
  <c r="DO79" i="3" s="1"/>
  <c r="J136" i="2"/>
  <c r="DK3366" i="3"/>
  <c r="DK3860" i="3"/>
  <c r="DM3860" i="3" s="1"/>
  <c r="DK460" i="3"/>
  <c r="DL460" i="3"/>
  <c r="DK1315" i="3"/>
  <c r="DM1315" i="3" s="1"/>
  <c r="DL1315" i="3"/>
  <c r="DN1315" i="3" s="1"/>
  <c r="DO1315" i="3" s="1"/>
  <c r="J110" i="2"/>
  <c r="DK3670" i="3"/>
  <c r="J214" i="2"/>
  <c r="J82" i="2"/>
  <c r="J111" i="2"/>
  <c r="K150" i="2"/>
  <c r="J194" i="2"/>
  <c r="DK2303" i="3"/>
  <c r="DL2303" i="3"/>
  <c r="DK3196" i="3"/>
  <c r="L224" i="2"/>
  <c r="J51" i="2"/>
  <c r="DK1885" i="3"/>
  <c r="DL1885" i="3"/>
  <c r="K154" i="2"/>
  <c r="DK2758" i="3"/>
  <c r="DL2758" i="3"/>
  <c r="J185" i="2"/>
  <c r="J217" i="2"/>
  <c r="J213" i="2"/>
  <c r="K116" i="2"/>
  <c r="K180" i="2"/>
  <c r="K23" i="2"/>
  <c r="DK1333" i="3"/>
  <c r="DM1333" i="3" s="1"/>
  <c r="DL1333" i="3"/>
  <c r="DN1333" i="3" s="1"/>
  <c r="DO1333" i="3" s="1"/>
  <c r="DK1485" i="3"/>
  <c r="DK3062" i="3"/>
  <c r="DL3062" i="3"/>
  <c r="DK3252" i="3"/>
  <c r="J8" i="2"/>
  <c r="J17" i="2"/>
  <c r="J27" i="2"/>
  <c r="J44" i="2"/>
  <c r="J61" i="2"/>
  <c r="DK1295" i="3"/>
  <c r="DM1295" i="3" s="1"/>
  <c r="DL1295" i="3"/>
  <c r="DN1295" i="3" s="1"/>
  <c r="DO1295" i="3" s="1"/>
  <c r="DK1562" i="3"/>
  <c r="DL1562" i="3"/>
  <c r="DK1714" i="3"/>
  <c r="DL1714" i="3"/>
  <c r="DK1866" i="3"/>
  <c r="DL1866" i="3"/>
  <c r="DK1923" i="3"/>
  <c r="DL1923" i="3"/>
  <c r="DK1999" i="3"/>
  <c r="DL1999" i="3"/>
  <c r="DK2113" i="3"/>
  <c r="DL2113" i="3"/>
  <c r="DK2265" i="3"/>
  <c r="DL2265" i="3"/>
  <c r="DK2455" i="3"/>
  <c r="DK2607" i="3"/>
  <c r="DL2607" i="3"/>
  <c r="DK22" i="3"/>
  <c r="DM22" i="3" s="1"/>
  <c r="DL22" i="3"/>
  <c r="DN22" i="3" s="1"/>
  <c r="DO22" i="3" s="1"/>
  <c r="DK155" i="3"/>
  <c r="DM155" i="3" s="1"/>
  <c r="DK250" i="3"/>
  <c r="DM250" i="3" s="1"/>
  <c r="DL250" i="3"/>
  <c r="DN250" i="3" s="1"/>
  <c r="DO250" i="3" s="1"/>
  <c r="J29" i="2"/>
  <c r="J36" i="2"/>
  <c r="J54" i="2"/>
  <c r="J75" i="2"/>
  <c r="J83" i="2"/>
  <c r="J99" i="2"/>
  <c r="J120" i="2"/>
  <c r="DK3100" i="3"/>
  <c r="DL3100" i="3"/>
  <c r="DK3404" i="3"/>
  <c r="DK3594" i="3"/>
  <c r="DL3594" i="3"/>
  <c r="DK3898" i="3"/>
  <c r="DM3898" i="3" s="1"/>
  <c r="DK4202" i="3"/>
  <c r="DM4202" i="3" s="1"/>
  <c r="DL688" i="3"/>
  <c r="DK688" i="3"/>
  <c r="J62" i="2"/>
  <c r="DK1447" i="3"/>
  <c r="J93" i="2"/>
  <c r="DK2189" i="3"/>
  <c r="DL2189" i="3"/>
  <c r="J132" i="2"/>
  <c r="DK2721" i="3"/>
  <c r="DL2721" i="3"/>
  <c r="DK2910" i="3"/>
  <c r="DL2910" i="3"/>
  <c r="DK3442" i="3"/>
  <c r="DK3842" i="3"/>
  <c r="DM3842" i="3" s="1"/>
  <c r="DK3936" i="3"/>
  <c r="DM3936" i="3" s="1"/>
  <c r="DK764" i="3"/>
  <c r="K144" i="2"/>
  <c r="DK3328" i="3"/>
  <c r="DK3784" i="3"/>
  <c r="DM3784" i="3" s="1"/>
  <c r="DK4146" i="3"/>
  <c r="DM4146" i="3" s="1"/>
  <c r="J47" i="2"/>
  <c r="DK1048" i="3"/>
  <c r="DM1048" i="3" s="1"/>
  <c r="DL1048" i="3"/>
  <c r="DN1048" i="3" s="1"/>
  <c r="DO1048" i="3" s="1"/>
  <c r="DK1277" i="3"/>
  <c r="DM1277" i="3" s="1"/>
  <c r="DL1277" i="3"/>
  <c r="DN1277" i="3" s="1"/>
  <c r="DO1277" i="3" s="1"/>
  <c r="J89" i="2"/>
  <c r="J104" i="2"/>
  <c r="J118" i="2"/>
  <c r="DK2436" i="3"/>
  <c r="J148" i="2"/>
  <c r="DK2872" i="3"/>
  <c r="DL2872" i="3"/>
  <c r="DK3024" i="3"/>
  <c r="DL3024" i="3"/>
  <c r="DK3310" i="3"/>
  <c r="J184" i="2"/>
  <c r="DK3822" i="3"/>
  <c r="DM3822" i="3" s="1"/>
  <c r="J226" i="2"/>
  <c r="DK1752" i="3"/>
  <c r="DL1752" i="3"/>
  <c r="DK2834" i="3"/>
  <c r="DL2834" i="3"/>
  <c r="J182" i="2"/>
  <c r="DK3690" i="3"/>
  <c r="DK4108" i="3"/>
  <c r="DM4108" i="3" s="1"/>
  <c r="DK574" i="3"/>
  <c r="DL574" i="3"/>
  <c r="DK878" i="3"/>
  <c r="DL878" i="3"/>
  <c r="J55" i="2"/>
  <c r="DK1371" i="3"/>
  <c r="DM1371" i="3" s="1"/>
  <c r="J97" i="2"/>
  <c r="DK2037" i="3"/>
  <c r="DL2037" i="3"/>
  <c r="J126" i="2"/>
  <c r="DK2796" i="3"/>
  <c r="DL2796" i="3"/>
  <c r="DK2948" i="3"/>
  <c r="DL2948" i="3"/>
  <c r="J164" i="2"/>
  <c r="DK3234" i="3"/>
  <c r="DK3518" i="3"/>
  <c r="DL3518" i="3"/>
  <c r="DK3708" i="3"/>
  <c r="J206" i="2"/>
  <c r="DK4126" i="3"/>
  <c r="DM4126" i="3" s="1"/>
  <c r="K228" i="2"/>
  <c r="DK3006" i="3"/>
  <c r="DL3006" i="3"/>
  <c r="K178" i="2"/>
  <c r="K202" i="2"/>
  <c r="K212" i="2"/>
  <c r="DK668" i="3"/>
  <c r="DL668" i="3"/>
  <c r="DK1580" i="3"/>
  <c r="DL1580" i="3"/>
  <c r="K138" i="2"/>
  <c r="DK3271" i="3"/>
  <c r="K188" i="2"/>
  <c r="DL4126" i="3" l="1"/>
  <c r="DN4126" i="3" s="1"/>
  <c r="DO4126" i="3" s="1"/>
  <c r="DL3936" i="3"/>
  <c r="DN3936" i="3" s="1"/>
  <c r="DO3936" i="3" s="1"/>
  <c r="DN3442" i="3"/>
  <c r="DO3442" i="3" s="1"/>
  <c r="DL3442" i="3"/>
  <c r="DL3994" i="3"/>
  <c r="DN3994" i="3" s="1"/>
  <c r="DO3994" i="3" s="1"/>
  <c r="DL1371" i="3"/>
  <c r="DN1371" i="3" s="1"/>
  <c r="DO1371" i="3" s="1"/>
  <c r="DN3310" i="3"/>
  <c r="DO3310" i="3" s="1"/>
  <c r="DL3310" i="3"/>
  <c r="DN764" i="3"/>
  <c r="DO764" i="3" s="1"/>
  <c r="DL764" i="3"/>
  <c r="DL3842" i="3"/>
  <c r="DN3842" i="3" s="1"/>
  <c r="DO3842" i="3" s="1"/>
  <c r="DN1447" i="3"/>
  <c r="DO1447" i="3" s="1"/>
  <c r="DL1447" i="3"/>
  <c r="DL155" i="3"/>
  <c r="DN155" i="3" s="1"/>
  <c r="DO155" i="3" s="1"/>
  <c r="DN3366" i="3"/>
  <c r="DO3366" i="3" s="1"/>
  <c r="DL3366" i="3"/>
  <c r="DL3804" i="3"/>
  <c r="DN3804" i="3" s="1"/>
  <c r="DO3804" i="3" s="1"/>
  <c r="DN2416" i="3"/>
  <c r="DO2416" i="3" s="1"/>
  <c r="DL2416" i="3"/>
  <c r="DN821" i="3"/>
  <c r="DO821" i="3" s="1"/>
  <c r="DL821" i="3"/>
  <c r="DN1523" i="3"/>
  <c r="DO1523" i="3" s="1"/>
  <c r="DL1523" i="3"/>
  <c r="DN2531" i="3"/>
  <c r="DO2531" i="3" s="1"/>
  <c r="DL2531" i="3"/>
  <c r="DL4050" i="3"/>
  <c r="DN4050" i="3" s="1"/>
  <c r="DO4050" i="3" s="1"/>
  <c r="DL345" i="3"/>
  <c r="DN345" i="3" s="1"/>
  <c r="DO345" i="3" s="1"/>
  <c r="DL4012" i="3"/>
  <c r="DN4012" i="3" s="1"/>
  <c r="DO4012" i="3" s="1"/>
  <c r="DN3480" i="3"/>
  <c r="DO3480" i="3" s="1"/>
  <c r="DL3480" i="3"/>
  <c r="DL1143" i="3"/>
  <c r="DN1143" i="3" s="1"/>
  <c r="DO1143" i="3" s="1"/>
  <c r="DL98" i="3"/>
  <c r="DN98" i="3" s="1"/>
  <c r="DO98" i="3" s="1"/>
  <c r="DN3196" i="3"/>
  <c r="DO3196" i="3" s="1"/>
  <c r="DL3196" i="3"/>
  <c r="DL3860" i="3"/>
  <c r="DN3860" i="3" s="1"/>
  <c r="DO3860" i="3" s="1"/>
  <c r="DN3271" i="3"/>
  <c r="DO3271" i="3" s="1"/>
  <c r="DL3271" i="3"/>
  <c r="DN3708" i="3"/>
  <c r="DO3708" i="3" s="1"/>
  <c r="DL3708" i="3"/>
  <c r="DN3234" i="3"/>
  <c r="DO3234" i="3" s="1"/>
  <c r="DL3234" i="3"/>
  <c r="DN3690" i="3"/>
  <c r="DO3690" i="3" s="1"/>
  <c r="DL3690" i="3"/>
  <c r="DL3822" i="3"/>
  <c r="DN3822" i="3" s="1"/>
  <c r="DO3822" i="3" s="1"/>
  <c r="DL4146" i="3"/>
  <c r="DN4146" i="3" s="1"/>
  <c r="DO4146" i="3" s="1"/>
  <c r="DN3328" i="3"/>
  <c r="DO3328" i="3" s="1"/>
  <c r="DL3328" i="3"/>
  <c r="DL4202" i="3"/>
  <c r="DN4202" i="3" s="1"/>
  <c r="DO4202" i="3" s="1"/>
  <c r="DN3252" i="3"/>
  <c r="DO3252" i="3" s="1"/>
  <c r="DL3252" i="3"/>
  <c r="DL307" i="3"/>
  <c r="DN307" i="3" s="1"/>
  <c r="DO307" i="3" s="1"/>
  <c r="DL3955" i="3"/>
  <c r="DN3955" i="3" s="1"/>
  <c r="DO3955" i="3" s="1"/>
  <c r="DL117" i="3"/>
  <c r="DN117" i="3" s="1"/>
  <c r="DO117" i="3" s="1"/>
  <c r="DN3727" i="3"/>
  <c r="DO3727" i="3" s="1"/>
  <c r="DL3727" i="3"/>
  <c r="DN2379" i="3"/>
  <c r="DO2379" i="3" s="1"/>
  <c r="DL2379" i="3"/>
  <c r="DL4164" i="3"/>
  <c r="DN4164" i="3" s="1"/>
  <c r="DO4164" i="3" s="1"/>
  <c r="DL4185" i="3"/>
  <c r="DN4185" i="3" s="1"/>
  <c r="DO4185" i="3" s="1"/>
  <c r="DN3386" i="3"/>
  <c r="DO3386" i="3" s="1"/>
  <c r="DL3386" i="3"/>
  <c r="DL3974" i="3"/>
  <c r="DN3974" i="3" s="1"/>
  <c r="DO3974" i="3" s="1"/>
  <c r="DN3461" i="3"/>
  <c r="DO3461" i="3" s="1"/>
  <c r="DL3461" i="3"/>
  <c r="DL193" i="3"/>
  <c r="DN193" i="3" s="1"/>
  <c r="DO193" i="3" s="1"/>
  <c r="DN3348" i="3"/>
  <c r="DO3348" i="3" s="1"/>
  <c r="DL3348" i="3"/>
  <c r="DL4069" i="3"/>
  <c r="DN4069" i="3" s="1"/>
  <c r="DO4069" i="3" s="1"/>
  <c r="DN744" i="3"/>
  <c r="DO744" i="3" s="1"/>
  <c r="DL744" i="3"/>
  <c r="DN3500" i="3"/>
  <c r="DO3500" i="3" s="1"/>
  <c r="DL3500" i="3"/>
  <c r="DL4241" i="3"/>
  <c r="DN4241" i="3" s="1"/>
  <c r="DO4241" i="3" s="1"/>
  <c r="DN3176" i="3"/>
  <c r="DO3176" i="3" s="1"/>
  <c r="DL3176" i="3"/>
  <c r="DN3423" i="3"/>
  <c r="DO3423" i="3" s="1"/>
  <c r="DL3423" i="3"/>
  <c r="DL4259" i="3"/>
  <c r="DN4259" i="3" s="1"/>
  <c r="DO4259" i="3" s="1"/>
  <c r="DN2473" i="3"/>
  <c r="DO2473" i="3" s="1"/>
  <c r="DL2473" i="3"/>
  <c r="DL41" i="3"/>
  <c r="DN41" i="3" s="1"/>
  <c r="DO41" i="3" s="1"/>
  <c r="DN2455" i="3"/>
  <c r="DO2455" i="3" s="1"/>
  <c r="DL2455" i="3"/>
  <c r="DN1485" i="3"/>
  <c r="DO1485" i="3" s="1"/>
  <c r="DL1485" i="3"/>
  <c r="DL4223" i="3"/>
  <c r="DN4223" i="3" s="1"/>
  <c r="DO4223" i="3" s="1"/>
  <c r="DL4108" i="3"/>
  <c r="DN4108" i="3" s="1"/>
  <c r="DO4108" i="3" s="1"/>
  <c r="DN2436" i="3"/>
  <c r="DO2436" i="3" s="1"/>
  <c r="DL2436" i="3"/>
  <c r="DL3784" i="3"/>
  <c r="DN3784" i="3" s="1"/>
  <c r="DO3784" i="3" s="1"/>
  <c r="DL3898" i="3"/>
  <c r="DN3898" i="3" s="1"/>
  <c r="DO3898" i="3" s="1"/>
  <c r="DN3404" i="3"/>
  <c r="DO3404" i="3" s="1"/>
  <c r="DL3404" i="3"/>
  <c r="DN3670" i="3"/>
  <c r="DO3670" i="3" s="1"/>
  <c r="DL3670" i="3"/>
  <c r="DN2512" i="3"/>
  <c r="DO2512" i="3" s="1"/>
  <c r="DL2512" i="3"/>
  <c r="DL3765" i="3"/>
  <c r="DN3765" i="3" s="1"/>
  <c r="DO3765" i="3" s="1"/>
  <c r="DN3651" i="3"/>
  <c r="DO3651" i="3" s="1"/>
  <c r="DL3651" i="3"/>
  <c r="DL4031" i="3"/>
  <c r="DN4031" i="3" s="1"/>
  <c r="DO4031" i="3" s="1"/>
  <c r="DL4278" i="3"/>
  <c r="DN4278" i="3" s="1"/>
  <c r="DO4278" i="3" s="1"/>
  <c r="DN3290" i="3"/>
  <c r="DO3290" i="3" s="1"/>
  <c r="DL3290" i="3"/>
  <c r="DL1162" i="3"/>
  <c r="DN1162" i="3" s="1"/>
  <c r="DO1162" i="3" s="1"/>
  <c r="DN3214" i="3"/>
  <c r="DO3214" i="3" s="1"/>
  <c r="DL3214" i="3"/>
  <c r="DL1409" i="3"/>
  <c r="DN1409" i="3" s="1"/>
  <c r="DO1409" i="3" s="1"/>
  <c r="DN3746" i="3"/>
  <c r="DO3746" i="3" s="1"/>
  <c r="DL3746" i="3"/>
  <c r="DL4088" i="3"/>
  <c r="DN4088" i="3" s="1"/>
  <c r="DO4088" i="3" s="1"/>
  <c r="DN3632" i="3"/>
  <c r="DO3632" i="3" s="1"/>
  <c r="DL3632" i="3"/>
  <c r="K190" i="2"/>
  <c r="DK3576" i="3"/>
  <c r="DL3576" i="3"/>
  <c r="K192" i="2"/>
  <c r="DK3" i="3"/>
  <c r="DM3" i="3" s="1"/>
  <c r="DK3614" i="3"/>
  <c r="DL3614" i="3"/>
  <c r="J2" i="2"/>
  <c r="DK2589" i="3"/>
  <c r="DL2589" i="3"/>
  <c r="DK1809" i="3"/>
  <c r="DL1809" i="3"/>
  <c r="L188" i="2"/>
  <c r="L202" i="2"/>
  <c r="K126" i="2"/>
  <c r="K55" i="2"/>
  <c r="DK3462" i="3"/>
  <c r="K118" i="2"/>
  <c r="DK2703" i="3"/>
  <c r="DL2703" i="3"/>
  <c r="DK3995" i="3"/>
  <c r="DM3995" i="3" s="1"/>
  <c r="DK3349" i="3"/>
  <c r="L228" i="2"/>
  <c r="K206" i="2"/>
  <c r="K164" i="2"/>
  <c r="K182" i="2"/>
  <c r="DK1942" i="3"/>
  <c r="DL1942" i="3"/>
  <c r="K47" i="2"/>
  <c r="DK2246" i="3"/>
  <c r="DL2246" i="3"/>
  <c r="DK1543" i="3"/>
  <c r="DL992" i="3"/>
  <c r="DN992" i="3" s="1"/>
  <c r="DO992" i="3" s="1"/>
  <c r="DK992" i="3"/>
  <c r="DM992" i="3" s="1"/>
  <c r="K29" i="2"/>
  <c r="DK1125" i="3"/>
  <c r="DM1125" i="3" s="1"/>
  <c r="DL1125" i="3"/>
  <c r="DN1125" i="3" s="1"/>
  <c r="DO1125" i="3" s="1"/>
  <c r="K27" i="2"/>
  <c r="K8" i="2"/>
  <c r="DK3387" i="3"/>
  <c r="DK4013" i="3"/>
  <c r="DM4013" i="3" s="1"/>
  <c r="DK3481" i="3"/>
  <c r="DK2893" i="3"/>
  <c r="DL2893" i="3"/>
  <c r="DK935" i="3"/>
  <c r="DL935" i="3"/>
  <c r="DK3652" i="3"/>
  <c r="DK2075" i="3"/>
  <c r="DL2075" i="3"/>
  <c r="K214" i="2"/>
  <c r="DK2056" i="3"/>
  <c r="DL2056" i="3"/>
  <c r="DK3272" i="3"/>
  <c r="DK1581" i="3"/>
  <c r="DL1581" i="3"/>
  <c r="DK3633" i="3"/>
  <c r="DK3159" i="3"/>
  <c r="DL3159" i="3"/>
  <c r="L119" i="2"/>
  <c r="DK1677" i="3"/>
  <c r="DL1677" i="3"/>
  <c r="DK3197" i="3"/>
  <c r="DK1240" i="3"/>
  <c r="DM1240" i="3" s="1"/>
  <c r="DL1240" i="3"/>
  <c r="DN1240" i="3" s="1"/>
  <c r="DO1240" i="3" s="1"/>
  <c r="DK3139" i="3"/>
  <c r="DL3139" i="3"/>
  <c r="L127" i="2"/>
  <c r="DK1829" i="3"/>
  <c r="DL1829" i="3"/>
  <c r="DK1163" i="3"/>
  <c r="DM1163" i="3" s="1"/>
  <c r="DK3671" i="3"/>
  <c r="DK4051" i="3"/>
  <c r="DM4051" i="3" s="1"/>
  <c r="DK1601" i="3"/>
  <c r="DL1601" i="3"/>
  <c r="DK461" i="3"/>
  <c r="DL461" i="3"/>
  <c r="DK42" i="3"/>
  <c r="DM42" i="3" s="1"/>
  <c r="DL42" i="3"/>
  <c r="DN42" i="3" s="1"/>
  <c r="DO42" i="3" s="1"/>
  <c r="DK3861" i="3"/>
  <c r="DM3861" i="3" s="1"/>
  <c r="DK3367" i="3"/>
  <c r="DK2151" i="3"/>
  <c r="DL2151" i="3"/>
  <c r="DK1505" i="3"/>
  <c r="DK954" i="3"/>
  <c r="DL954" i="3"/>
  <c r="K14" i="2"/>
  <c r="DK2684" i="3"/>
  <c r="DL2684" i="3"/>
  <c r="L125" i="2"/>
  <c r="DK1980" i="3"/>
  <c r="DL1980" i="3"/>
  <c r="DK1791" i="3"/>
  <c r="DL1791" i="3"/>
  <c r="DK1220" i="3"/>
  <c r="DM1220" i="3" s="1"/>
  <c r="DL1220" i="3"/>
  <c r="DN1220" i="3" s="1"/>
  <c r="DO1220" i="3" s="1"/>
  <c r="K43" i="2"/>
  <c r="DK346" i="3"/>
  <c r="DM346" i="3" s="1"/>
  <c r="DK2018" i="3"/>
  <c r="DL2018" i="3"/>
  <c r="DK1258" i="3"/>
  <c r="DM1258" i="3" s="1"/>
  <c r="DL1258" i="3"/>
  <c r="DN1258" i="3" s="1"/>
  <c r="DO1258" i="3" s="1"/>
  <c r="DK384" i="3"/>
  <c r="DM384" i="3" s="1"/>
  <c r="DL384" i="3"/>
  <c r="DN384" i="3" s="1"/>
  <c r="DO384" i="3" s="1"/>
  <c r="DK214" i="3"/>
  <c r="DM214" i="3" s="1"/>
  <c r="DL214" i="3"/>
  <c r="DN214" i="3" s="1"/>
  <c r="DO214" i="3" s="1"/>
  <c r="DK3747" i="3"/>
  <c r="DK556" i="3"/>
  <c r="DK2569" i="3"/>
  <c r="DL2569" i="3"/>
  <c r="DK2132" i="3"/>
  <c r="DL2132" i="3"/>
  <c r="K79" i="2"/>
  <c r="DK612" i="3"/>
  <c r="DK61" i="3"/>
  <c r="DM61" i="3" s="1"/>
  <c r="DL61" i="3"/>
  <c r="DN61" i="3" s="1"/>
  <c r="DO61" i="3" s="1"/>
  <c r="DK176" i="3"/>
  <c r="DM176" i="3" s="1"/>
  <c r="DK1107" i="3"/>
  <c r="DM1107" i="3" s="1"/>
  <c r="DL1107" i="3"/>
  <c r="DN1107" i="3" s="1"/>
  <c r="DO1107" i="3" s="1"/>
  <c r="DK4279" i="3"/>
  <c r="DM4279" i="3" s="1"/>
  <c r="DK2759" i="3"/>
  <c r="DL2759" i="3"/>
  <c r="K208" i="2"/>
  <c r="DK3519" i="3"/>
  <c r="DL3519" i="3"/>
  <c r="DK2797" i="3"/>
  <c r="DL2797" i="3"/>
  <c r="L109" i="2"/>
  <c r="DK1372" i="3"/>
  <c r="DM1372" i="3" s="1"/>
  <c r="DK879" i="3"/>
  <c r="DL879" i="3"/>
  <c r="DK4109" i="3"/>
  <c r="DM4109" i="3" s="1"/>
  <c r="DK1753" i="3"/>
  <c r="DL1753" i="3"/>
  <c r="DK3823" i="3"/>
  <c r="DM3823" i="3" s="1"/>
  <c r="DK3311" i="3"/>
  <c r="DK2873" i="3"/>
  <c r="DL2873" i="3"/>
  <c r="DK2437" i="3"/>
  <c r="DK1278" i="3"/>
  <c r="DM1278" i="3" s="1"/>
  <c r="DL1278" i="3"/>
  <c r="DN1278" i="3" s="1"/>
  <c r="DO1278" i="3" s="1"/>
  <c r="DK3785" i="3"/>
  <c r="DM3785" i="3" s="1"/>
  <c r="DK3329" i="3"/>
  <c r="DK765" i="3"/>
  <c r="DK3443" i="3"/>
  <c r="DK2722" i="3"/>
  <c r="DL2722" i="3"/>
  <c r="L117" i="2"/>
  <c r="DK1448" i="3"/>
  <c r="DK689" i="3"/>
  <c r="DL689" i="3"/>
  <c r="DK3899" i="3"/>
  <c r="DM3899" i="3" s="1"/>
  <c r="DK3405" i="3"/>
  <c r="DK2645" i="3"/>
  <c r="DL2645" i="3"/>
  <c r="DK2322" i="3"/>
  <c r="DL2322" i="3"/>
  <c r="DK1771" i="3"/>
  <c r="DL1771" i="3"/>
  <c r="DK1030" i="3"/>
  <c r="DM1030" i="3" s="1"/>
  <c r="DL1030" i="3"/>
  <c r="DN1030" i="3" s="1"/>
  <c r="DO1030" i="3" s="1"/>
  <c r="DK251" i="3"/>
  <c r="DM251" i="3" s="1"/>
  <c r="DL251" i="3"/>
  <c r="DN251" i="3" s="1"/>
  <c r="DO251" i="3" s="1"/>
  <c r="DK23" i="3"/>
  <c r="DM23" i="3" s="1"/>
  <c r="DL23" i="3"/>
  <c r="DN23" i="3" s="1"/>
  <c r="DO23" i="3" s="1"/>
  <c r="L131" i="2"/>
  <c r="L113" i="2"/>
  <c r="DK1924" i="3"/>
  <c r="DL1924" i="3"/>
  <c r="DK1715" i="3"/>
  <c r="DL1715" i="3"/>
  <c r="DK1296" i="3"/>
  <c r="DM1296" i="3" s="1"/>
  <c r="DL1296" i="3"/>
  <c r="DN1296" i="3" s="1"/>
  <c r="DO1296" i="3" s="1"/>
  <c r="K19" i="2"/>
  <c r="DK3253" i="3"/>
  <c r="DK1486" i="3"/>
  <c r="DK498" i="3"/>
  <c r="DL498" i="3"/>
  <c r="DK4186" i="3"/>
  <c r="DM4186" i="3" s="1"/>
  <c r="DK3975" i="3"/>
  <c r="DM3975" i="3" s="1"/>
  <c r="DK3956" i="3"/>
  <c r="DM3956" i="3" s="1"/>
  <c r="DK2417" i="3"/>
  <c r="DK822" i="3"/>
  <c r="DK2931" i="3"/>
  <c r="DL2931" i="3"/>
  <c r="DK2855" i="3"/>
  <c r="DL2855" i="3"/>
  <c r="K49" i="2"/>
  <c r="DK3539" i="3"/>
  <c r="DL3539" i="3"/>
  <c r="L138" i="2"/>
  <c r="K97" i="2"/>
  <c r="K89" i="2"/>
  <c r="L212" i="2"/>
  <c r="L178" i="2"/>
  <c r="DK4299" i="3"/>
  <c r="DM4299" i="3" s="1"/>
  <c r="DK3880" i="3"/>
  <c r="DM3880" i="3" s="1"/>
  <c r="DK3082" i="3"/>
  <c r="DL3082" i="3"/>
  <c r="DK3424" i="3"/>
  <c r="K104" i="2"/>
  <c r="DK859" i="3"/>
  <c r="DL859" i="3"/>
  <c r="K120" i="2"/>
  <c r="K83" i="2"/>
  <c r="K54" i="2"/>
  <c r="DK517" i="3"/>
  <c r="K61" i="2"/>
  <c r="DK479" i="3"/>
  <c r="DK118" i="3"/>
  <c r="DM118" i="3" s="1"/>
  <c r="L180" i="2"/>
  <c r="K213" i="2"/>
  <c r="K185" i="2"/>
  <c r="L154" i="2"/>
  <c r="K51" i="2"/>
  <c r="K194" i="2"/>
  <c r="K111" i="2"/>
  <c r="DK4032" i="3"/>
  <c r="DM4032" i="3" s="1"/>
  <c r="K110" i="2"/>
  <c r="K174" i="2"/>
  <c r="K85" i="2"/>
  <c r="K193" i="2"/>
  <c r="L168" i="2"/>
  <c r="DK2228" i="3"/>
  <c r="DL2228" i="3"/>
  <c r="L90" i="2"/>
  <c r="L170" i="2"/>
  <c r="L67" i="2"/>
  <c r="K167" i="2"/>
  <c r="DK2380" i="3"/>
  <c r="L98" i="2"/>
  <c r="K63" i="2"/>
  <c r="K195" i="2"/>
  <c r="K215" i="2"/>
  <c r="L86" i="2"/>
  <c r="L26" i="2"/>
  <c r="K4" i="2"/>
  <c r="K205" i="2"/>
  <c r="K179" i="2"/>
  <c r="K115" i="2"/>
  <c r="K81" i="2"/>
  <c r="K52" i="2"/>
  <c r="DK232" i="3"/>
  <c r="DM232" i="3" s="1"/>
  <c r="DL232" i="3"/>
  <c r="DN232" i="3" s="1"/>
  <c r="DO232" i="3" s="1"/>
  <c r="L143" i="2"/>
  <c r="DK2342" i="3"/>
  <c r="DL2342" i="3"/>
  <c r="K106" i="2"/>
  <c r="L96" i="2"/>
  <c r="K66" i="2"/>
  <c r="DK783" i="3"/>
  <c r="K20" i="2"/>
  <c r="K108" i="2"/>
  <c r="K68" i="2"/>
  <c r="K22" i="2"/>
  <c r="L13" i="2"/>
  <c r="K199" i="2"/>
  <c r="L31" i="2"/>
  <c r="K137" i="2"/>
  <c r="K114" i="2"/>
  <c r="DK1467" i="3"/>
  <c r="K34" i="2"/>
  <c r="K5" i="2"/>
  <c r="L11" i="2"/>
  <c r="L60" i="2"/>
  <c r="K227" i="2"/>
  <c r="K147" i="2"/>
  <c r="DK3918" i="3"/>
  <c r="DM3918" i="3" s="1"/>
  <c r="K187" i="2"/>
  <c r="K149" i="2"/>
  <c r="DK2038" i="3"/>
  <c r="DL2038" i="3"/>
  <c r="K74" i="2"/>
  <c r="L48" i="2"/>
  <c r="L218" i="2"/>
  <c r="L94" i="2"/>
  <c r="K203" i="2"/>
  <c r="L176" i="2"/>
  <c r="K153" i="2"/>
  <c r="L130" i="2"/>
  <c r="L69" i="2"/>
  <c r="K201" i="2"/>
  <c r="K177" i="2"/>
  <c r="L42" i="2"/>
  <c r="K183" i="2"/>
  <c r="L145" i="2"/>
  <c r="DK2190" i="3"/>
  <c r="DL2190" i="3"/>
  <c r="K78" i="2"/>
  <c r="L38" i="2"/>
  <c r="K207" i="2"/>
  <c r="K181" i="2"/>
  <c r="K141" i="2"/>
  <c r="K124" i="2"/>
  <c r="K95" i="2"/>
  <c r="K56" i="2"/>
  <c r="K15" i="2"/>
  <c r="K3" i="2"/>
  <c r="DK2456" i="3"/>
  <c r="DK2114" i="3"/>
  <c r="DL2114" i="3"/>
  <c r="L103" i="2"/>
  <c r="L92" i="2"/>
  <c r="K70" i="2"/>
  <c r="DK327" i="3"/>
  <c r="DM327" i="3" s="1"/>
  <c r="K173" i="2"/>
  <c r="K80" i="2"/>
  <c r="K28" i="2"/>
  <c r="M222" i="2"/>
  <c r="K211" i="2"/>
  <c r="K210" i="2"/>
  <c r="K129" i="2"/>
  <c r="L45" i="2"/>
  <c r="L156" i="2"/>
  <c r="L152" i="2"/>
  <c r="DK897" i="3"/>
  <c r="DL897" i="3"/>
  <c r="DK3805" i="3"/>
  <c r="DM3805" i="3" s="1"/>
  <c r="DK2360" i="3"/>
  <c r="DL2360" i="3"/>
  <c r="DK1011" i="3"/>
  <c r="DM1011" i="3" s="1"/>
  <c r="DL1011" i="3"/>
  <c r="DN1011" i="3" s="1"/>
  <c r="DO1011" i="3" s="1"/>
  <c r="K226" i="2"/>
  <c r="K184" i="2"/>
  <c r="K148" i="2"/>
  <c r="DK2208" i="3"/>
  <c r="DL2208" i="3"/>
  <c r="DK1657" i="3"/>
  <c r="DL1657" i="3"/>
  <c r="L144" i="2"/>
  <c r="DK2474" i="3"/>
  <c r="DK1733" i="3"/>
  <c r="DL1733" i="3"/>
  <c r="K62" i="2"/>
  <c r="DK1847" i="3"/>
  <c r="DL1847" i="3"/>
  <c r="K75" i="2"/>
  <c r="DL650" i="3"/>
  <c r="DK650" i="3"/>
  <c r="DK802" i="3"/>
  <c r="DK289" i="3"/>
  <c r="DM289" i="3" s="1"/>
  <c r="DL289" i="3"/>
  <c r="DN289" i="3" s="1"/>
  <c r="DO289" i="3" s="1"/>
  <c r="L23" i="2"/>
  <c r="DK2171" i="3"/>
  <c r="DL2171" i="3"/>
  <c r="DK4089" i="3"/>
  <c r="DM4089" i="3" s="1"/>
  <c r="DK4224" i="3"/>
  <c r="DM4224" i="3" s="1"/>
  <c r="DK2817" i="3"/>
  <c r="DL2817" i="3"/>
  <c r="DK1524" i="3"/>
  <c r="DK2550" i="3"/>
  <c r="DK726" i="3"/>
  <c r="DL726" i="3"/>
  <c r="L25" i="2"/>
  <c r="K37" i="2"/>
  <c r="DK3007" i="3"/>
  <c r="DL3007" i="3"/>
  <c r="DK3291" i="3"/>
  <c r="DK1886" i="3"/>
  <c r="DL1886" i="3"/>
  <c r="DK1201" i="3"/>
  <c r="DM1201" i="3" s="1"/>
  <c r="DL1201" i="3"/>
  <c r="DN1201" i="3" s="1"/>
  <c r="DO1201" i="3" s="1"/>
  <c r="L123" i="2"/>
  <c r="DK3501" i="3"/>
  <c r="L135" i="2"/>
  <c r="DK4242" i="3"/>
  <c r="DM4242" i="3" s="1"/>
  <c r="DK1316" i="3"/>
  <c r="DM1316" i="3" s="1"/>
  <c r="DL1316" i="3"/>
  <c r="DN1316" i="3" s="1"/>
  <c r="DO1316" i="3" s="1"/>
  <c r="K16" i="2"/>
  <c r="DK4165" i="3"/>
  <c r="DM4165" i="3" s="1"/>
  <c r="DK3557" i="3"/>
  <c r="DL3557" i="3"/>
  <c r="L146" i="2"/>
  <c r="DK1619" i="3"/>
  <c r="DL1619" i="3"/>
  <c r="DK1353" i="3"/>
  <c r="DM1353" i="3" s="1"/>
  <c r="DL1353" i="3"/>
  <c r="DN1353" i="3" s="1"/>
  <c r="DO1353" i="3" s="1"/>
  <c r="DK840" i="3"/>
  <c r="DL840" i="3"/>
  <c r="K6" i="2"/>
  <c r="DK2513" i="3"/>
  <c r="DK2095" i="3"/>
  <c r="DL2095" i="3"/>
  <c r="DK1905" i="3"/>
  <c r="DL1905" i="3"/>
  <c r="DK1639" i="3"/>
  <c r="DL1639" i="3"/>
  <c r="DK536" i="3"/>
  <c r="DK194" i="3"/>
  <c r="DM194" i="3" s="1"/>
  <c r="DL194" i="3"/>
  <c r="DN194" i="3" s="1"/>
  <c r="DO194" i="3" s="1"/>
  <c r="DK3215" i="3"/>
  <c r="DK1410" i="3"/>
  <c r="DM1410" i="3" s="1"/>
  <c r="DK916" i="3"/>
  <c r="DL916" i="3"/>
  <c r="K18" i="2"/>
  <c r="DK99" i="3"/>
  <c r="DM99" i="3" s="1"/>
  <c r="DK3045" i="3"/>
  <c r="DL3045" i="3"/>
  <c r="DK2969" i="3"/>
  <c r="DL2969" i="3"/>
  <c r="DK3121" i="3"/>
  <c r="DL3121" i="3"/>
  <c r="K41" i="2"/>
  <c r="L142" i="2"/>
  <c r="DK1695" i="3"/>
  <c r="DL1695" i="3"/>
  <c r="K58" i="2"/>
  <c r="DK1087" i="3"/>
  <c r="DM1087" i="3" s="1"/>
  <c r="DL1087" i="3"/>
  <c r="DN1087" i="3" s="1"/>
  <c r="DO1087" i="3" s="1"/>
  <c r="K21" i="2"/>
  <c r="K198" i="2"/>
  <c r="DK4127" i="3"/>
  <c r="DM4127" i="3" s="1"/>
  <c r="DK3709" i="3"/>
  <c r="DK3235" i="3"/>
  <c r="DK2949" i="3"/>
  <c r="DL2949" i="3"/>
  <c r="DK575" i="3"/>
  <c r="DL575" i="3"/>
  <c r="DK3691" i="3"/>
  <c r="DK2835" i="3"/>
  <c r="DL2835" i="3"/>
  <c r="DK3025" i="3"/>
  <c r="DL3025" i="3"/>
  <c r="DK1049" i="3"/>
  <c r="DM1049" i="3" s="1"/>
  <c r="DL1049" i="3"/>
  <c r="DN1049" i="3" s="1"/>
  <c r="DO1049" i="3" s="1"/>
  <c r="DK4147" i="3"/>
  <c r="DM4147" i="3" s="1"/>
  <c r="DK3937" i="3"/>
  <c r="DM3937" i="3" s="1"/>
  <c r="DK3843" i="3"/>
  <c r="DM3843" i="3" s="1"/>
  <c r="DK2911" i="3"/>
  <c r="DL2911" i="3"/>
  <c r="DK4203" i="3"/>
  <c r="DM4203" i="3" s="1"/>
  <c r="DK3595" i="3"/>
  <c r="DL3595" i="3"/>
  <c r="DK3101" i="3"/>
  <c r="DL3101" i="3"/>
  <c r="DK2493" i="3"/>
  <c r="DK1961" i="3"/>
  <c r="DL1961" i="3"/>
  <c r="DK1429" i="3"/>
  <c r="DM1429" i="3" s="1"/>
  <c r="K33" i="2"/>
  <c r="K10" i="2"/>
  <c r="L139" i="2"/>
  <c r="L121" i="2"/>
  <c r="L107" i="2"/>
  <c r="DK1867" i="3"/>
  <c r="DL1867" i="3"/>
  <c r="DK1563" i="3"/>
  <c r="DL1563" i="3"/>
  <c r="K64" i="2"/>
  <c r="K39" i="2"/>
  <c r="DK137" i="3"/>
  <c r="DM137" i="3" s="1"/>
  <c r="DK3063" i="3"/>
  <c r="DL3063" i="3"/>
  <c r="DK1334" i="3"/>
  <c r="DM1334" i="3" s="1"/>
  <c r="DL1334" i="3"/>
  <c r="DN1334" i="3" s="1"/>
  <c r="DO1334" i="3" s="1"/>
  <c r="DK422" i="3"/>
  <c r="DM422" i="3" s="1"/>
  <c r="DL422" i="3"/>
  <c r="DN422" i="3" s="1"/>
  <c r="DO422" i="3" s="1"/>
  <c r="DK2987" i="3"/>
  <c r="DL2987" i="3"/>
  <c r="DK3177" i="3"/>
  <c r="K200" i="2"/>
  <c r="DK2626" i="3"/>
  <c r="DL2626" i="3"/>
  <c r="DK973" i="3"/>
  <c r="DM973" i="3" s="1"/>
  <c r="DL973" i="3"/>
  <c r="DN973" i="3" s="1"/>
  <c r="DO973" i="3" s="1"/>
  <c r="K216" i="2"/>
  <c r="DK2284" i="3"/>
  <c r="DL2284" i="3"/>
  <c r="DK632" i="3"/>
  <c r="DK2398" i="3"/>
  <c r="DK4260" i="3"/>
  <c r="DM4260" i="3" s="1"/>
  <c r="DK2778" i="3"/>
  <c r="DL2778" i="3"/>
  <c r="K132" i="2"/>
  <c r="K93" i="2"/>
  <c r="DK1144" i="3"/>
  <c r="DM1144" i="3" s="1"/>
  <c r="K99" i="2"/>
  <c r="DK1391" i="3"/>
  <c r="DM1391" i="3" s="1"/>
  <c r="K36" i="2"/>
  <c r="K44" i="2"/>
  <c r="K17" i="2"/>
  <c r="DK404" i="3"/>
  <c r="DM404" i="3" s="1"/>
  <c r="DL404" i="3"/>
  <c r="DN404" i="3" s="1"/>
  <c r="DO404" i="3" s="1"/>
  <c r="L116" i="2"/>
  <c r="K217" i="2"/>
  <c r="M224" i="2"/>
  <c r="L150" i="2"/>
  <c r="K82" i="2"/>
  <c r="K136" i="2"/>
  <c r="K40" i="2"/>
  <c r="DK442" i="3"/>
  <c r="DM442" i="3" s="1"/>
  <c r="DL442" i="3"/>
  <c r="DN442" i="3" s="1"/>
  <c r="DO442" i="3" s="1"/>
  <c r="DK669" i="3"/>
  <c r="DL669" i="3"/>
  <c r="L160" i="2"/>
  <c r="K175" i="2"/>
  <c r="L101" i="2"/>
  <c r="K65" i="2"/>
  <c r="DK2304" i="3"/>
  <c r="DL2304" i="3"/>
  <c r="L186" i="2"/>
  <c r="DK2532" i="3"/>
  <c r="L225" i="2"/>
  <c r="L71" i="2"/>
  <c r="DK270" i="3"/>
  <c r="DM270" i="3" s="1"/>
  <c r="DL270" i="3"/>
  <c r="DN270" i="3" s="1"/>
  <c r="DO270" i="3" s="1"/>
  <c r="K221" i="2"/>
  <c r="K189" i="2"/>
  <c r="DK2741" i="3"/>
  <c r="DL2741" i="3"/>
  <c r="K87" i="2"/>
  <c r="K73" i="2"/>
  <c r="K46" i="2"/>
  <c r="DK80" i="3"/>
  <c r="DM80" i="3" s="1"/>
  <c r="DL80" i="3"/>
  <c r="DN80" i="3" s="1"/>
  <c r="DO80" i="3" s="1"/>
  <c r="L134" i="2"/>
  <c r="L112" i="2"/>
  <c r="L102" i="2"/>
  <c r="L88" i="2"/>
  <c r="K30" i="2"/>
  <c r="K12" i="2"/>
  <c r="K171" i="2"/>
  <c r="K76" i="2"/>
  <c r="K50" i="2"/>
  <c r="DK308" i="3"/>
  <c r="DM308" i="3" s="1"/>
  <c r="K7" i="2"/>
  <c r="L162" i="2"/>
  <c r="L158" i="2"/>
  <c r="L166" i="2"/>
  <c r="DK745" i="3"/>
  <c r="DK2665" i="3"/>
  <c r="DL2665" i="3"/>
  <c r="K91" i="2"/>
  <c r="DK1068" i="3"/>
  <c r="DM1068" i="3" s="1"/>
  <c r="DL1068" i="3"/>
  <c r="DN1068" i="3" s="1"/>
  <c r="DO1068" i="3" s="1"/>
  <c r="K59" i="2"/>
  <c r="DK365" i="3"/>
  <c r="DM365" i="3" s="1"/>
  <c r="DL365" i="3"/>
  <c r="DN365" i="3" s="1"/>
  <c r="DO365" i="3" s="1"/>
  <c r="DK3728" i="3"/>
  <c r="K219" i="2"/>
  <c r="K197" i="2"/>
  <c r="L172" i="2"/>
  <c r="K157" i="2"/>
  <c r="L32" i="2"/>
  <c r="L196" i="2"/>
  <c r="K151" i="2"/>
  <c r="K161" i="2"/>
  <c r="K57" i="2"/>
  <c r="L220" i="2"/>
  <c r="K209" i="2"/>
  <c r="L204" i="2"/>
  <c r="K155" i="2"/>
  <c r="K223" i="2"/>
  <c r="K191" i="2"/>
  <c r="K165" i="2"/>
  <c r="K133" i="2"/>
  <c r="K105" i="2"/>
  <c r="K77" i="2"/>
  <c r="DK593" i="3"/>
  <c r="DK156" i="3"/>
  <c r="DM156" i="3" s="1"/>
  <c r="DK2608" i="3"/>
  <c r="DL2608" i="3"/>
  <c r="DK2266" i="3"/>
  <c r="DL2266" i="3"/>
  <c r="DK2000" i="3"/>
  <c r="DL2000" i="3"/>
  <c r="L100" i="2"/>
  <c r="L84" i="2"/>
  <c r="DK1182" i="3"/>
  <c r="DM1182" i="3" s="1"/>
  <c r="DL1182" i="3"/>
  <c r="DN1182" i="3" s="1"/>
  <c r="DO1182" i="3" s="1"/>
  <c r="DK707" i="3"/>
  <c r="DL707" i="3"/>
  <c r="K9" i="2"/>
  <c r="K163" i="2"/>
  <c r="K72" i="2"/>
  <c r="K24" i="2"/>
  <c r="K159" i="2"/>
  <c r="K169" i="2"/>
  <c r="DK3766" i="3"/>
  <c r="DM3766" i="3" s="1"/>
  <c r="K140" i="2"/>
  <c r="K53" i="2"/>
  <c r="DK4070" i="3"/>
  <c r="DM4070" i="3" s="1"/>
  <c r="K122" i="2"/>
  <c r="L35" i="2"/>
  <c r="K128" i="2"/>
  <c r="DL3" i="3" l="1"/>
  <c r="DN3728" i="3"/>
  <c r="DO3728" i="3" s="1"/>
  <c r="DL3728" i="3"/>
  <c r="DL4260" i="3"/>
  <c r="DN4260" i="3" s="1"/>
  <c r="DO4260" i="3" s="1"/>
  <c r="DN632" i="3"/>
  <c r="DO632" i="3" s="1"/>
  <c r="DL632" i="3"/>
  <c r="DL137" i="3"/>
  <c r="DN137" i="3" s="1"/>
  <c r="DO137" i="3" s="1"/>
  <c r="DN3291" i="3"/>
  <c r="DO3291" i="3" s="1"/>
  <c r="DL3291" i="3"/>
  <c r="DN2550" i="3"/>
  <c r="DO2550" i="3" s="1"/>
  <c r="DL2550" i="3"/>
  <c r="DL4089" i="3"/>
  <c r="DN4089" i="3" s="1"/>
  <c r="DO4089" i="3" s="1"/>
  <c r="DN2456" i="3"/>
  <c r="DO2456" i="3" s="1"/>
  <c r="DL2456" i="3"/>
  <c r="DL3918" i="3"/>
  <c r="DN3918" i="3" s="1"/>
  <c r="DO3918" i="3" s="1"/>
  <c r="DN1467" i="3"/>
  <c r="DO1467" i="3" s="1"/>
  <c r="DL1467" i="3"/>
  <c r="DN517" i="3"/>
  <c r="DO517" i="3" s="1"/>
  <c r="DL517" i="3"/>
  <c r="DN3424" i="3"/>
  <c r="DO3424" i="3" s="1"/>
  <c r="DL3424" i="3"/>
  <c r="DL3880" i="3"/>
  <c r="DN3880" i="3" s="1"/>
  <c r="DO3880" i="3" s="1"/>
  <c r="DN822" i="3"/>
  <c r="DO822" i="3" s="1"/>
  <c r="DL822" i="3"/>
  <c r="DL3956" i="3"/>
  <c r="DN3956" i="3" s="1"/>
  <c r="DO3956" i="3" s="1"/>
  <c r="DL4186" i="3"/>
  <c r="DN4186" i="3" s="1"/>
  <c r="DO4186" i="3" s="1"/>
  <c r="DN1486" i="3"/>
  <c r="DO1486" i="3" s="1"/>
  <c r="DL1486" i="3"/>
  <c r="DN3443" i="3"/>
  <c r="DO3443" i="3" s="1"/>
  <c r="DL3443" i="3"/>
  <c r="DN3329" i="3"/>
  <c r="DO3329" i="3" s="1"/>
  <c r="DL3329" i="3"/>
  <c r="DL3823" i="3"/>
  <c r="DN3823" i="3" s="1"/>
  <c r="DO3823" i="3" s="1"/>
  <c r="DL4109" i="3"/>
  <c r="DN4109" i="3" s="1"/>
  <c r="DO4109" i="3" s="1"/>
  <c r="DL1372" i="3"/>
  <c r="DN1372" i="3" s="1"/>
  <c r="DO1372" i="3" s="1"/>
  <c r="DN1505" i="3"/>
  <c r="DO1505" i="3" s="1"/>
  <c r="DL1505" i="3"/>
  <c r="DN3367" i="3"/>
  <c r="DO3367" i="3" s="1"/>
  <c r="DL3367" i="3"/>
  <c r="DN3671" i="3"/>
  <c r="DO3671" i="3" s="1"/>
  <c r="DL3671" i="3"/>
  <c r="DN1543" i="3"/>
  <c r="DO1543" i="3" s="1"/>
  <c r="DL1543" i="3"/>
  <c r="DN593" i="3"/>
  <c r="DO593" i="3" s="1"/>
  <c r="DL593" i="3"/>
  <c r="DN745" i="3"/>
  <c r="DO745" i="3" s="1"/>
  <c r="DL745" i="3"/>
  <c r="DN2493" i="3"/>
  <c r="DO2493" i="3" s="1"/>
  <c r="DL2493" i="3"/>
  <c r="DL3937" i="3"/>
  <c r="DN3937" i="3" s="1"/>
  <c r="DO3937" i="3" s="1"/>
  <c r="DN3235" i="3"/>
  <c r="DO3235" i="3" s="1"/>
  <c r="DL3235" i="3"/>
  <c r="DL4127" i="3"/>
  <c r="DN4127" i="3" s="1"/>
  <c r="DO4127" i="3" s="1"/>
  <c r="DN3215" i="3"/>
  <c r="DO3215" i="3" s="1"/>
  <c r="DL3215" i="3"/>
  <c r="DN536" i="3"/>
  <c r="DO536" i="3" s="1"/>
  <c r="DL536" i="3"/>
  <c r="DN2513" i="3"/>
  <c r="DO2513" i="3" s="1"/>
  <c r="DL2513" i="3"/>
  <c r="DL4165" i="3"/>
  <c r="DN4165" i="3" s="1"/>
  <c r="DO4165" i="3" s="1"/>
  <c r="DN3501" i="3"/>
  <c r="DO3501" i="3" s="1"/>
  <c r="DL3501" i="3"/>
  <c r="DN2474" i="3"/>
  <c r="DO2474" i="3" s="1"/>
  <c r="DL2474" i="3"/>
  <c r="DL327" i="3"/>
  <c r="DN327" i="3" s="1"/>
  <c r="DO327" i="3" s="1"/>
  <c r="DN2380" i="3"/>
  <c r="DO2380" i="3" s="1"/>
  <c r="DL2380" i="3"/>
  <c r="DN479" i="3"/>
  <c r="DO479" i="3" s="1"/>
  <c r="DL479" i="3"/>
  <c r="DN3405" i="3"/>
  <c r="DO3405" i="3" s="1"/>
  <c r="DL3405" i="3"/>
  <c r="DN556" i="3"/>
  <c r="DO556" i="3" s="1"/>
  <c r="DL556" i="3"/>
  <c r="DL346" i="3"/>
  <c r="DN346" i="3" s="1"/>
  <c r="DO346" i="3" s="1"/>
  <c r="DN3652" i="3"/>
  <c r="DO3652" i="3" s="1"/>
  <c r="DL3652" i="3"/>
  <c r="DL4013" i="3"/>
  <c r="DN4013" i="3" s="1"/>
  <c r="DO4013" i="3" s="1"/>
  <c r="DL3995" i="3"/>
  <c r="DN3995" i="3" s="1"/>
  <c r="DO3995" i="3" s="1"/>
  <c r="DN2532" i="3"/>
  <c r="DO2532" i="3" s="1"/>
  <c r="DL2532" i="3"/>
  <c r="DN2398" i="3"/>
  <c r="DO2398" i="3" s="1"/>
  <c r="DL2398" i="3"/>
  <c r="DN3177" i="3"/>
  <c r="DO3177" i="3" s="1"/>
  <c r="DL3177" i="3"/>
  <c r="DL99" i="3"/>
  <c r="DN99" i="3" s="1"/>
  <c r="DO99" i="3" s="1"/>
  <c r="DL4242" i="3"/>
  <c r="DN4242" i="3" s="1"/>
  <c r="DO4242" i="3" s="1"/>
  <c r="DN1524" i="3"/>
  <c r="DO1524" i="3" s="1"/>
  <c r="DL1524" i="3"/>
  <c r="DL4224" i="3"/>
  <c r="DN4224" i="3" s="1"/>
  <c r="DO4224" i="3" s="1"/>
  <c r="DL4032" i="3"/>
  <c r="DN4032" i="3" s="1"/>
  <c r="DO4032" i="3" s="1"/>
  <c r="DL4299" i="3"/>
  <c r="DN4299" i="3" s="1"/>
  <c r="DO4299" i="3" s="1"/>
  <c r="DN2417" i="3"/>
  <c r="DO2417" i="3" s="1"/>
  <c r="DL2417" i="3"/>
  <c r="DL3975" i="3"/>
  <c r="DN3975" i="3" s="1"/>
  <c r="DO3975" i="3" s="1"/>
  <c r="DN3253" i="3"/>
  <c r="DO3253" i="3" s="1"/>
  <c r="DL3253" i="3"/>
  <c r="DN765" i="3"/>
  <c r="DO765" i="3" s="1"/>
  <c r="DL765" i="3"/>
  <c r="DL3785" i="3"/>
  <c r="DN3785" i="3" s="1"/>
  <c r="DO3785" i="3" s="1"/>
  <c r="DN2437" i="3"/>
  <c r="DO2437" i="3" s="1"/>
  <c r="DL2437" i="3"/>
  <c r="DN3311" i="3"/>
  <c r="DO3311" i="3" s="1"/>
  <c r="DL3311" i="3"/>
  <c r="DL4279" i="3"/>
  <c r="DN4279" i="3" s="1"/>
  <c r="DO4279" i="3" s="1"/>
  <c r="DL176" i="3"/>
  <c r="DN176" i="3" s="1"/>
  <c r="DO176" i="3" s="1"/>
  <c r="DN612" i="3"/>
  <c r="DO612" i="3" s="1"/>
  <c r="DL612" i="3"/>
  <c r="DL3861" i="3"/>
  <c r="DN3861" i="3" s="1"/>
  <c r="DO3861" i="3" s="1"/>
  <c r="DL4051" i="3"/>
  <c r="DN4051" i="3" s="1"/>
  <c r="DO4051" i="3" s="1"/>
  <c r="DL1163" i="3"/>
  <c r="DN1163" i="3" s="1"/>
  <c r="DO1163" i="3" s="1"/>
  <c r="DN3633" i="3"/>
  <c r="DO3633" i="3" s="1"/>
  <c r="DL3633" i="3"/>
  <c r="DN3272" i="3"/>
  <c r="DO3272" i="3" s="1"/>
  <c r="DL3272" i="3"/>
  <c r="DN3462" i="3"/>
  <c r="DO3462" i="3" s="1"/>
  <c r="DL3462" i="3"/>
  <c r="DL308" i="3"/>
  <c r="DN308" i="3" s="1"/>
  <c r="DO308" i="3" s="1"/>
  <c r="DL1429" i="3"/>
  <c r="DN1429" i="3" s="1"/>
  <c r="DO1429" i="3" s="1"/>
  <c r="DL4070" i="3"/>
  <c r="DN4070" i="3" s="1"/>
  <c r="DO4070" i="3" s="1"/>
  <c r="DL3766" i="3"/>
  <c r="DN3766" i="3" s="1"/>
  <c r="DO3766" i="3" s="1"/>
  <c r="DL156" i="3"/>
  <c r="DN156" i="3" s="1"/>
  <c r="DO156" i="3" s="1"/>
  <c r="DL1391" i="3"/>
  <c r="DN1391" i="3" s="1"/>
  <c r="DO1391" i="3" s="1"/>
  <c r="DL1144" i="3"/>
  <c r="DN1144" i="3" s="1"/>
  <c r="DO1144" i="3" s="1"/>
  <c r="DL4203" i="3"/>
  <c r="DN4203" i="3" s="1"/>
  <c r="DO4203" i="3" s="1"/>
  <c r="DL3843" i="3"/>
  <c r="DN3843" i="3" s="1"/>
  <c r="DO3843" i="3" s="1"/>
  <c r="DL4147" i="3"/>
  <c r="DN4147" i="3" s="1"/>
  <c r="DO4147" i="3" s="1"/>
  <c r="DN3691" i="3"/>
  <c r="DO3691" i="3" s="1"/>
  <c r="DL3691" i="3"/>
  <c r="DN3709" i="3"/>
  <c r="DO3709" i="3" s="1"/>
  <c r="DL3709" i="3"/>
  <c r="DL1410" i="3"/>
  <c r="DN1410" i="3" s="1"/>
  <c r="DO1410" i="3" s="1"/>
  <c r="DN802" i="3"/>
  <c r="DO802" i="3" s="1"/>
  <c r="DL802" i="3"/>
  <c r="DL3805" i="3"/>
  <c r="DN3805" i="3" s="1"/>
  <c r="DO3805" i="3" s="1"/>
  <c r="DN783" i="3"/>
  <c r="DO783" i="3" s="1"/>
  <c r="DL783" i="3"/>
  <c r="DL118" i="3"/>
  <c r="DN118" i="3" s="1"/>
  <c r="DO118" i="3" s="1"/>
  <c r="DL3899" i="3"/>
  <c r="DN3899" i="3" s="1"/>
  <c r="DO3899" i="3" s="1"/>
  <c r="DN1448" i="3"/>
  <c r="DO1448" i="3" s="1"/>
  <c r="DL1448" i="3"/>
  <c r="DN3747" i="3"/>
  <c r="DO3747" i="3" s="1"/>
  <c r="DL3747" i="3"/>
  <c r="DN3197" i="3"/>
  <c r="DO3197" i="3" s="1"/>
  <c r="DL3197" i="3"/>
  <c r="DN3481" i="3"/>
  <c r="DO3481" i="3" s="1"/>
  <c r="DL3481" i="3"/>
  <c r="DN3387" i="3"/>
  <c r="DO3387" i="3" s="1"/>
  <c r="DL3387" i="3"/>
  <c r="DN3349" i="3"/>
  <c r="DO3349" i="3" s="1"/>
  <c r="DL3349" i="3"/>
  <c r="K2" i="2"/>
  <c r="DK4" i="3"/>
  <c r="DM4" i="3" s="1"/>
  <c r="L192" i="2"/>
  <c r="DK3577" i="3"/>
  <c r="DL3577" i="3"/>
  <c r="DL3615" i="3"/>
  <c r="DK3615" i="3"/>
  <c r="L190" i="2"/>
  <c r="DK2627" i="3"/>
  <c r="DL2627" i="3"/>
  <c r="DK3064" i="3"/>
  <c r="DL3064" i="3"/>
  <c r="L105" i="2"/>
  <c r="DK3102" i="3"/>
  <c r="DL3102" i="3"/>
  <c r="DK3844" i="3"/>
  <c r="DM3844" i="3" s="1"/>
  <c r="DK1050" i="3"/>
  <c r="DM1050" i="3" s="1"/>
  <c r="DL1050" i="3"/>
  <c r="DN1050" i="3" s="1"/>
  <c r="DO1050" i="3" s="1"/>
  <c r="DK576" i="3"/>
  <c r="DK3236" i="3"/>
  <c r="DK3122" i="3"/>
  <c r="DL3122" i="3"/>
  <c r="DK1411" i="3"/>
  <c r="DM1411" i="3" s="1"/>
  <c r="DL1317" i="3"/>
  <c r="DN1317" i="3" s="1"/>
  <c r="DO1317" i="3" s="1"/>
  <c r="DK1317" i="3"/>
  <c r="DM1317" i="3" s="1"/>
  <c r="L140" i="2"/>
  <c r="L24" i="2"/>
  <c r="L163" i="2"/>
  <c r="M84" i="2"/>
  <c r="L165" i="2"/>
  <c r="M204" i="2"/>
  <c r="L151" i="2"/>
  <c r="M172" i="2"/>
  <c r="M166" i="2"/>
  <c r="M162" i="2"/>
  <c r="L76" i="2"/>
  <c r="M88" i="2"/>
  <c r="DK2096" i="3"/>
  <c r="DL2096" i="3"/>
  <c r="L73" i="2"/>
  <c r="L221" i="2"/>
  <c r="DK2399" i="3"/>
  <c r="DK2285" i="3"/>
  <c r="DL2285" i="3"/>
  <c r="DK974" i="3"/>
  <c r="DM974" i="3" s="1"/>
  <c r="DL974" i="3"/>
  <c r="DN974" i="3" s="1"/>
  <c r="DO974" i="3" s="1"/>
  <c r="DK2988" i="3"/>
  <c r="DL2988" i="3"/>
  <c r="DK1335" i="3"/>
  <c r="DM1335" i="3" s="1"/>
  <c r="DL1335" i="3"/>
  <c r="DN1335" i="3" s="1"/>
  <c r="DO1335" i="3" s="1"/>
  <c r="DK138" i="3"/>
  <c r="DM138" i="3" s="1"/>
  <c r="DL138" i="3"/>
  <c r="DN138" i="3" s="1"/>
  <c r="DO138" i="3" s="1"/>
  <c r="DK1868" i="3"/>
  <c r="DL1868" i="3"/>
  <c r="DK1430" i="3"/>
  <c r="DM1430" i="3" s="1"/>
  <c r="L133" i="2"/>
  <c r="DK3596" i="3"/>
  <c r="DL3596" i="3"/>
  <c r="DK2912" i="3"/>
  <c r="DL2912" i="3"/>
  <c r="L209" i="2"/>
  <c r="DK4148" i="3"/>
  <c r="DM4148" i="3" s="1"/>
  <c r="DK3026" i="3"/>
  <c r="DL3026" i="3"/>
  <c r="DK3692" i="3"/>
  <c r="DK2950" i="3"/>
  <c r="DL2950" i="3"/>
  <c r="DK3710" i="3"/>
  <c r="DK1088" i="3"/>
  <c r="DM1088" i="3" s="1"/>
  <c r="DL1088" i="3"/>
  <c r="DN1088" i="3" s="1"/>
  <c r="DO1088" i="3" s="1"/>
  <c r="DK1696" i="3"/>
  <c r="DL1696" i="3"/>
  <c r="DK2970" i="3"/>
  <c r="DL2970" i="3"/>
  <c r="DK100" i="3"/>
  <c r="DM100" i="3" s="1"/>
  <c r="L50" i="2"/>
  <c r="L171" i="2"/>
  <c r="DK537" i="3"/>
  <c r="DK1906" i="3"/>
  <c r="DL1906" i="3"/>
  <c r="DK2514" i="3"/>
  <c r="DK841" i="3"/>
  <c r="DL841" i="3"/>
  <c r="DK1620" i="3"/>
  <c r="DL1620" i="3"/>
  <c r="DK3558" i="3"/>
  <c r="DL3558" i="3"/>
  <c r="DK4243" i="3"/>
  <c r="DM4243" i="3" s="1"/>
  <c r="DK3502" i="3"/>
  <c r="DK1887" i="3"/>
  <c r="DL1887" i="3"/>
  <c r="DK3008" i="3"/>
  <c r="DL3008" i="3"/>
  <c r="DK2551" i="3"/>
  <c r="DK2818" i="3"/>
  <c r="DL2818" i="3"/>
  <c r="L217" i="2"/>
  <c r="DK803" i="3"/>
  <c r="DK2475" i="3"/>
  <c r="DK4071" i="3"/>
  <c r="DM4071" i="3" s="1"/>
  <c r="DK708" i="3"/>
  <c r="DL708" i="3"/>
  <c r="DK2001" i="3"/>
  <c r="DL2001" i="3"/>
  <c r="DK2609" i="3"/>
  <c r="DL2609" i="3"/>
  <c r="DK594" i="3"/>
  <c r="DL594" i="3"/>
  <c r="DK366" i="3"/>
  <c r="DM366" i="3" s="1"/>
  <c r="DL366" i="3"/>
  <c r="DN366" i="3" s="1"/>
  <c r="DO366" i="3" s="1"/>
  <c r="DK1069" i="3"/>
  <c r="DM1069" i="3" s="1"/>
  <c r="DL1069" i="3"/>
  <c r="DN1069" i="3" s="1"/>
  <c r="DO1069" i="3" s="1"/>
  <c r="DK2666" i="3"/>
  <c r="DL2666" i="3"/>
  <c r="L18" i="2"/>
  <c r="DK81" i="3"/>
  <c r="DM81" i="3" s="1"/>
  <c r="DL81" i="3"/>
  <c r="DN81" i="3" s="1"/>
  <c r="DO81" i="3" s="1"/>
  <c r="DK2742" i="3"/>
  <c r="DL2742" i="3"/>
  <c r="DK2533" i="3"/>
  <c r="DK2305" i="3"/>
  <c r="DL2305" i="3"/>
  <c r="DK670" i="3"/>
  <c r="DL670" i="3"/>
  <c r="DK2704" i="3"/>
  <c r="DL2704" i="3"/>
  <c r="DK3463" i="3"/>
  <c r="DK2856" i="3"/>
  <c r="DL2856" i="3"/>
  <c r="DK823" i="3"/>
  <c r="DK3957" i="3"/>
  <c r="DM3957" i="3" s="1"/>
  <c r="DK4187" i="3"/>
  <c r="DM4187" i="3" s="1"/>
  <c r="DK1487" i="3"/>
  <c r="DK1716" i="3"/>
  <c r="DL1716" i="3"/>
  <c r="DK24" i="3"/>
  <c r="DM24" i="3" s="1"/>
  <c r="DK1031" i="3"/>
  <c r="DM1031" i="3" s="1"/>
  <c r="DL1031" i="3"/>
  <c r="DN1031" i="3" s="1"/>
  <c r="DO1031" i="3" s="1"/>
  <c r="DK2323" i="3"/>
  <c r="DL2323" i="3"/>
  <c r="L181" i="2"/>
  <c r="DK690" i="3"/>
  <c r="DL690" i="3"/>
  <c r="DK3444" i="3"/>
  <c r="DK766" i="3"/>
  <c r="L201" i="2"/>
  <c r="DK2438" i="3"/>
  <c r="DK3312" i="3"/>
  <c r="DK1754" i="3"/>
  <c r="DL1754" i="3"/>
  <c r="DK880" i="3"/>
  <c r="DL880" i="3"/>
  <c r="L187" i="2"/>
  <c r="DK2760" i="3"/>
  <c r="DL2760" i="3"/>
  <c r="DK1108" i="3"/>
  <c r="DM1108" i="3" s="1"/>
  <c r="DL1108" i="3"/>
  <c r="DN1108" i="3" s="1"/>
  <c r="DO1108" i="3" s="1"/>
  <c r="DK62" i="3"/>
  <c r="DM62" i="3" s="1"/>
  <c r="DL62" i="3"/>
  <c r="DN62" i="3" s="1"/>
  <c r="DO62" i="3" s="1"/>
  <c r="L137" i="2"/>
  <c r="DK3748" i="3"/>
  <c r="DK385" i="3"/>
  <c r="DM385" i="3" s="1"/>
  <c r="DL385" i="3"/>
  <c r="DN385" i="3" s="1"/>
  <c r="DO385" i="3" s="1"/>
  <c r="DK2019" i="3"/>
  <c r="DL2019" i="3"/>
  <c r="DK1792" i="3"/>
  <c r="DL1792" i="3"/>
  <c r="DK1506" i="3"/>
  <c r="L179" i="2"/>
  <c r="DK43" i="3"/>
  <c r="DM43" i="3" s="1"/>
  <c r="DL43" i="3"/>
  <c r="DN43" i="3" s="1"/>
  <c r="DO43" i="3" s="1"/>
  <c r="DK1602" i="3"/>
  <c r="DL1602" i="3"/>
  <c r="L195" i="2"/>
  <c r="DK1830" i="3"/>
  <c r="DL1830" i="3"/>
  <c r="DK3140" i="3"/>
  <c r="DL3140" i="3"/>
  <c r="DK3198" i="3"/>
  <c r="L193" i="2"/>
  <c r="DK3273" i="3"/>
  <c r="DK3653" i="3"/>
  <c r="DK2894" i="3"/>
  <c r="DL2894" i="3"/>
  <c r="DK4014" i="3"/>
  <c r="DM4014" i="3" s="1"/>
  <c r="DK1126" i="3"/>
  <c r="DM1126" i="3" s="1"/>
  <c r="DL1126" i="3"/>
  <c r="DN1126" i="3" s="1"/>
  <c r="DO1126" i="3" s="1"/>
  <c r="DK993" i="3"/>
  <c r="DM993" i="3" s="1"/>
  <c r="DL993" i="3"/>
  <c r="DN993" i="3" s="1"/>
  <c r="DO993" i="3" s="1"/>
  <c r="DK2247" i="3"/>
  <c r="DL2247" i="3"/>
  <c r="DK1943" i="3"/>
  <c r="DL1943" i="3"/>
  <c r="DK3996" i="3"/>
  <c r="DM3996" i="3" s="1"/>
  <c r="DK1810" i="3"/>
  <c r="DL1810" i="3"/>
  <c r="DK328" i="3"/>
  <c r="DM328" i="3" s="1"/>
  <c r="DK2115" i="3"/>
  <c r="DL2115" i="3"/>
  <c r="DK2191" i="3"/>
  <c r="DL2191" i="3"/>
  <c r="DK2039" i="3"/>
  <c r="DL2039" i="3"/>
  <c r="DK1468" i="3"/>
  <c r="DK784" i="3"/>
  <c r="DK2343" i="3"/>
  <c r="DL2343" i="3"/>
  <c r="DK233" i="3"/>
  <c r="DM233" i="3" s="1"/>
  <c r="DL233" i="3"/>
  <c r="DN233" i="3" s="1"/>
  <c r="DO233" i="3" s="1"/>
  <c r="DK2229" i="3"/>
  <c r="DL2229" i="3"/>
  <c r="DK4033" i="3"/>
  <c r="DM4033" i="3" s="1"/>
  <c r="L8" i="2"/>
  <c r="DK3083" i="3"/>
  <c r="DL3083" i="3"/>
  <c r="DK4300" i="3"/>
  <c r="DM4300" i="3" s="1"/>
  <c r="DK2209" i="3"/>
  <c r="DL2209" i="3"/>
  <c r="DL1012" i="3"/>
  <c r="DN1012" i="3" s="1"/>
  <c r="DO1012" i="3" s="1"/>
  <c r="DK1012" i="3"/>
  <c r="DM1012" i="3" s="1"/>
  <c r="DK3806" i="3"/>
  <c r="DM3806" i="3" s="1"/>
  <c r="L128" i="2"/>
  <c r="L122" i="2"/>
  <c r="L53" i="2"/>
  <c r="L159" i="2"/>
  <c r="L72" i="2"/>
  <c r="L9" i="2"/>
  <c r="M100" i="2"/>
  <c r="L77" i="2"/>
  <c r="DK2494" i="3"/>
  <c r="L191" i="2"/>
  <c r="L155" i="2"/>
  <c r="DK3938" i="3"/>
  <c r="DM3938" i="3" s="1"/>
  <c r="M220" i="2"/>
  <c r="L161" i="2"/>
  <c r="M196" i="2"/>
  <c r="L157" i="2"/>
  <c r="L197" i="2"/>
  <c r="L59" i="2"/>
  <c r="L91" i="2"/>
  <c r="M158" i="2"/>
  <c r="L7" i="2"/>
  <c r="DK917" i="3"/>
  <c r="DL917" i="3"/>
  <c r="DK3216" i="3"/>
  <c r="L30" i="2"/>
  <c r="M102" i="2"/>
  <c r="M134" i="2"/>
  <c r="L46" i="2"/>
  <c r="L87" i="2"/>
  <c r="L189" i="2"/>
  <c r="M225" i="2"/>
  <c r="M186" i="2"/>
  <c r="M101" i="2"/>
  <c r="M160" i="2"/>
  <c r="L136" i="2"/>
  <c r="M150" i="2"/>
  <c r="DK4090" i="3"/>
  <c r="DM4090" i="3" s="1"/>
  <c r="L44" i="2"/>
  <c r="L132" i="2"/>
  <c r="L216" i="2"/>
  <c r="L39" i="2"/>
  <c r="M107" i="2"/>
  <c r="M139" i="2"/>
  <c r="L33" i="2"/>
  <c r="L21" i="2"/>
  <c r="L58" i="2"/>
  <c r="M142" i="2"/>
  <c r="DK309" i="3"/>
  <c r="DM309" i="3" s="1"/>
  <c r="L6" i="2"/>
  <c r="M146" i="2"/>
  <c r="M135" i="2"/>
  <c r="M123" i="2"/>
  <c r="L37" i="2"/>
  <c r="M144" i="2"/>
  <c r="L184" i="2"/>
  <c r="M152" i="2"/>
  <c r="M45" i="2"/>
  <c r="L210" i="2"/>
  <c r="N222" i="2"/>
  <c r="L80" i="2"/>
  <c r="M92" i="2"/>
  <c r="L3" i="2"/>
  <c r="L56" i="2"/>
  <c r="L124" i="2"/>
  <c r="DK3406" i="3"/>
  <c r="M38" i="2"/>
  <c r="L183" i="2"/>
  <c r="M42" i="2"/>
  <c r="DK3786" i="3"/>
  <c r="DM3786" i="3" s="1"/>
  <c r="M130" i="2"/>
  <c r="M176" i="2"/>
  <c r="M94" i="2"/>
  <c r="M48" i="2"/>
  <c r="DK3520" i="3"/>
  <c r="DL3520" i="3"/>
  <c r="L147" i="2"/>
  <c r="M60" i="2"/>
  <c r="L5" i="2"/>
  <c r="DK2570" i="3"/>
  <c r="DL2570" i="3"/>
  <c r="L199" i="2"/>
  <c r="L22" i="2"/>
  <c r="L108" i="2"/>
  <c r="M96" i="2"/>
  <c r="L81" i="2"/>
  <c r="DK3368" i="3"/>
  <c r="L4" i="2"/>
  <c r="M86" i="2"/>
  <c r="DK3672" i="3"/>
  <c r="M98" i="2"/>
  <c r="L167" i="2"/>
  <c r="M170" i="2"/>
  <c r="DK3634" i="3"/>
  <c r="L174" i="2"/>
  <c r="L194" i="2"/>
  <c r="M154" i="2"/>
  <c r="L213" i="2"/>
  <c r="L61" i="2"/>
  <c r="L54" i="2"/>
  <c r="L120" i="2"/>
  <c r="L104" i="2"/>
  <c r="M212" i="2"/>
  <c r="L97" i="2"/>
  <c r="L19" i="2"/>
  <c r="M113" i="2"/>
  <c r="M117" i="2"/>
  <c r="M109" i="2"/>
  <c r="L79" i="2"/>
  <c r="L43" i="2"/>
  <c r="M125" i="2"/>
  <c r="L14" i="2"/>
  <c r="M119" i="2"/>
  <c r="L214" i="2"/>
  <c r="DK119" i="3"/>
  <c r="DM119" i="3" s="1"/>
  <c r="L164" i="2"/>
  <c r="M228" i="2"/>
  <c r="L118" i="2"/>
  <c r="L55" i="2"/>
  <c r="M202" i="2"/>
  <c r="DK633" i="3"/>
  <c r="DK3178" i="3"/>
  <c r="DK4204" i="3"/>
  <c r="DM4204" i="3" s="1"/>
  <c r="DK2836" i="3"/>
  <c r="DL2836" i="3"/>
  <c r="L219" i="2"/>
  <c r="DK3046" i="3"/>
  <c r="DL3046" i="3"/>
  <c r="DK1640" i="3"/>
  <c r="DL1640" i="3"/>
  <c r="DK1202" i="3"/>
  <c r="DM1202" i="3" s="1"/>
  <c r="DL1202" i="3"/>
  <c r="DN1202" i="3" s="1"/>
  <c r="DO1202" i="3" s="1"/>
  <c r="DK3292" i="3"/>
  <c r="DK727" i="3"/>
  <c r="DL727" i="3"/>
  <c r="DK1525" i="3"/>
  <c r="DK4225" i="3"/>
  <c r="DM4225" i="3" s="1"/>
  <c r="M116" i="2"/>
  <c r="DK290" i="3"/>
  <c r="DM290" i="3" s="1"/>
  <c r="DL290" i="3"/>
  <c r="DN290" i="3" s="1"/>
  <c r="DO290" i="3" s="1"/>
  <c r="DK651" i="3"/>
  <c r="DL651" i="3"/>
  <c r="DK1848" i="3"/>
  <c r="DL1848" i="3"/>
  <c r="DK1734" i="3"/>
  <c r="DL1734" i="3"/>
  <c r="DK3767" i="3"/>
  <c r="DM3767" i="3" s="1"/>
  <c r="DK1183" i="3"/>
  <c r="DM1183" i="3" s="1"/>
  <c r="DL1183" i="3"/>
  <c r="DN1183" i="3" s="1"/>
  <c r="DO1183" i="3" s="1"/>
  <c r="DK2267" i="3"/>
  <c r="DL2267" i="3"/>
  <c r="L10" i="2"/>
  <c r="DK3729" i="3"/>
  <c r="DK746" i="3"/>
  <c r="L16" i="2"/>
  <c r="DK443" i="3"/>
  <c r="DM443" i="3" s="1"/>
  <c r="DL443" i="3"/>
  <c r="DN443" i="3" s="1"/>
  <c r="DO443" i="3" s="1"/>
  <c r="DK405" i="3"/>
  <c r="DM405" i="3" s="1"/>
  <c r="DL405" i="3"/>
  <c r="DN405" i="3" s="1"/>
  <c r="DO405" i="3" s="1"/>
  <c r="DK1392" i="3"/>
  <c r="DM1392" i="3" s="1"/>
  <c r="DK1145" i="3"/>
  <c r="DM1145" i="3" s="1"/>
  <c r="L148" i="2"/>
  <c r="L226" i="2"/>
  <c r="DK2932" i="3"/>
  <c r="DL2932" i="3"/>
  <c r="L129" i="2"/>
  <c r="L211" i="2"/>
  <c r="DK499" i="3"/>
  <c r="L173" i="2"/>
  <c r="DL1297" i="3"/>
  <c r="DN1297" i="3" s="1"/>
  <c r="DO1297" i="3" s="1"/>
  <c r="DK1297" i="3"/>
  <c r="DM1297" i="3" s="1"/>
  <c r="DK1925" i="3"/>
  <c r="DL1925" i="3"/>
  <c r="DK252" i="3"/>
  <c r="DM252" i="3" s="1"/>
  <c r="DL252" i="3"/>
  <c r="DN252" i="3" s="1"/>
  <c r="DO252" i="3" s="1"/>
  <c r="DK1772" i="3"/>
  <c r="DL1772" i="3"/>
  <c r="L141" i="2"/>
  <c r="DK3900" i="3"/>
  <c r="DM3900" i="3" s="1"/>
  <c r="L78" i="2"/>
  <c r="DK2723" i="3"/>
  <c r="DL2723" i="3"/>
  <c r="DK3330" i="3"/>
  <c r="DK1279" i="3"/>
  <c r="DM1279" i="3" s="1"/>
  <c r="DL1279" i="3"/>
  <c r="DN1279" i="3" s="1"/>
  <c r="DO1279" i="3" s="1"/>
  <c r="DK2874" i="3"/>
  <c r="DL2874" i="3"/>
  <c r="L203" i="2"/>
  <c r="DK4110" i="3"/>
  <c r="DM4110" i="3" s="1"/>
  <c r="L74" i="2"/>
  <c r="DK2798" i="3"/>
  <c r="DL2798" i="3"/>
  <c r="DK4280" i="3"/>
  <c r="DM4280" i="3" s="1"/>
  <c r="DK177" i="3"/>
  <c r="DM177" i="3" s="1"/>
  <c r="DK613" i="3"/>
  <c r="DK2133" i="3"/>
  <c r="DL2133" i="3"/>
  <c r="DK557" i="3"/>
  <c r="M13" i="2"/>
  <c r="L68" i="2"/>
  <c r="DK347" i="3"/>
  <c r="DM347" i="3" s="1"/>
  <c r="DK1221" i="3"/>
  <c r="DM1221" i="3" s="1"/>
  <c r="DL1221" i="3"/>
  <c r="DN1221" i="3" s="1"/>
  <c r="DO1221" i="3" s="1"/>
  <c r="DK1981" i="3"/>
  <c r="DL1981" i="3"/>
  <c r="DK2685" i="3"/>
  <c r="DL2685" i="3"/>
  <c r="DK955" i="3"/>
  <c r="DL955" i="3"/>
  <c r="L115" i="2"/>
  <c r="DK3862" i="3"/>
  <c r="DM3862" i="3" s="1"/>
  <c r="DK462" i="3"/>
  <c r="DL462" i="3"/>
  <c r="DK4052" i="3"/>
  <c r="DM4052" i="3" s="1"/>
  <c r="DK1164" i="3"/>
  <c r="DM1164" i="3" s="1"/>
  <c r="DK1241" i="3"/>
  <c r="DM1241" i="3" s="1"/>
  <c r="DL1241" i="3"/>
  <c r="DN1241" i="3" s="1"/>
  <c r="DO1241" i="3" s="1"/>
  <c r="DK1678" i="3"/>
  <c r="DL1678" i="3"/>
  <c r="DK3160" i="3"/>
  <c r="DL3160" i="3"/>
  <c r="DK1582" i="3"/>
  <c r="DL1582" i="3"/>
  <c r="DK2057" i="3"/>
  <c r="DL2057" i="3"/>
  <c r="L111" i="2"/>
  <c r="DK936" i="3"/>
  <c r="DL936" i="3"/>
  <c r="L185" i="2"/>
  <c r="DK3388" i="3"/>
  <c r="DK1544" i="3"/>
  <c r="DK3350" i="3"/>
  <c r="DK1658" i="3"/>
  <c r="DL1658" i="3"/>
  <c r="DK2590" i="3"/>
  <c r="DL2590" i="3"/>
  <c r="DK898" i="3"/>
  <c r="DL898" i="3"/>
  <c r="DK2457" i="3"/>
  <c r="DK3919" i="3"/>
  <c r="DM3919" i="3" s="1"/>
  <c r="DK2381" i="3"/>
  <c r="DK480" i="3"/>
  <c r="DK518" i="3"/>
  <c r="DL518" i="3"/>
  <c r="DK860" i="3"/>
  <c r="DL860" i="3"/>
  <c r="DK3425" i="3"/>
  <c r="DK3881" i="3"/>
  <c r="DM3881" i="3" s="1"/>
  <c r="DK2361" i="3"/>
  <c r="DL2361" i="3"/>
  <c r="DK3540" i="3"/>
  <c r="DL3540" i="3"/>
  <c r="DK423" i="3"/>
  <c r="DM423" i="3" s="1"/>
  <c r="DL423" i="3"/>
  <c r="DN423" i="3" s="1"/>
  <c r="DO423" i="3" s="1"/>
  <c r="DK1564" i="3"/>
  <c r="DL1564" i="3"/>
  <c r="DK195" i="3"/>
  <c r="DM195" i="3" s="1"/>
  <c r="M112" i="2"/>
  <c r="DK1354" i="3"/>
  <c r="DM1354" i="3" s="1"/>
  <c r="DL1354" i="3"/>
  <c r="DN1354" i="3" s="1"/>
  <c r="DO1354" i="3" s="1"/>
  <c r="DK4166" i="3"/>
  <c r="DM4166" i="3" s="1"/>
  <c r="M35" i="2"/>
  <c r="L169" i="2"/>
  <c r="DK1962" i="3"/>
  <c r="DL1962" i="3"/>
  <c r="L223" i="2"/>
  <c r="L57" i="2"/>
  <c r="M32" i="2"/>
  <c r="DK4128" i="3"/>
  <c r="DM4128" i="3" s="1"/>
  <c r="L12" i="2"/>
  <c r="M71" i="2"/>
  <c r="L65" i="2"/>
  <c r="L175" i="2"/>
  <c r="L40" i="2"/>
  <c r="L82" i="2"/>
  <c r="N224" i="2"/>
  <c r="DK2172" i="3"/>
  <c r="DL2172" i="3"/>
  <c r="L17" i="2"/>
  <c r="L36" i="2"/>
  <c r="L99" i="2"/>
  <c r="L93" i="2"/>
  <c r="L200" i="2"/>
  <c r="L64" i="2"/>
  <c r="M121" i="2"/>
  <c r="DK157" i="3"/>
  <c r="DM157" i="3" s="1"/>
  <c r="L198" i="2"/>
  <c r="L41" i="2"/>
  <c r="DK271" i="3"/>
  <c r="DM271" i="3" s="1"/>
  <c r="DL271" i="3"/>
  <c r="DN271" i="3" s="1"/>
  <c r="DO271" i="3" s="1"/>
  <c r="M25" i="2"/>
  <c r="M23" i="2"/>
  <c r="L75" i="2"/>
  <c r="L62" i="2"/>
  <c r="DK2779" i="3"/>
  <c r="DL2779" i="3"/>
  <c r="DK4261" i="3"/>
  <c r="DM4261" i="3" s="1"/>
  <c r="M156" i="2"/>
  <c r="DK2418" i="3"/>
  <c r="DK3976" i="3"/>
  <c r="DM3976" i="3" s="1"/>
  <c r="L28" i="2"/>
  <c r="DK3254" i="3"/>
  <c r="L70" i="2"/>
  <c r="M103" i="2"/>
  <c r="L15" i="2"/>
  <c r="L95" i="2"/>
  <c r="DK2646" i="3"/>
  <c r="DL2646" i="3"/>
  <c r="L207" i="2"/>
  <c r="DK1449" i="3"/>
  <c r="M145" i="2"/>
  <c r="L177" i="2"/>
  <c r="M69" i="2"/>
  <c r="L153" i="2"/>
  <c r="DK3824" i="3"/>
  <c r="DM3824" i="3" s="1"/>
  <c r="M218" i="2"/>
  <c r="DK1373" i="3"/>
  <c r="DM1373" i="3" s="1"/>
  <c r="L149" i="2"/>
  <c r="L227" i="2"/>
  <c r="M11" i="2"/>
  <c r="L34" i="2"/>
  <c r="L114" i="2"/>
  <c r="M31" i="2"/>
  <c r="DK215" i="3"/>
  <c r="DM215" i="3" s="1"/>
  <c r="DL215" i="3"/>
  <c r="DN215" i="3" s="1"/>
  <c r="DO215" i="3" s="1"/>
  <c r="DK1259" i="3"/>
  <c r="DM1259" i="3" s="1"/>
  <c r="DL1259" i="3"/>
  <c r="DN1259" i="3" s="1"/>
  <c r="DO1259" i="3" s="1"/>
  <c r="L20" i="2"/>
  <c r="L66" i="2"/>
  <c r="L106" i="2"/>
  <c r="M143" i="2"/>
  <c r="L52" i="2"/>
  <c r="DK2152" i="3"/>
  <c r="DL2152" i="3"/>
  <c r="L205" i="2"/>
  <c r="M26" i="2"/>
  <c r="L215" i="2"/>
  <c r="L63" i="2"/>
  <c r="M67" i="2"/>
  <c r="M90" i="2"/>
  <c r="M168" i="2"/>
  <c r="L85" i="2"/>
  <c r="L110" i="2"/>
  <c r="DK2076" i="3"/>
  <c r="DL2076" i="3"/>
  <c r="L51" i="2"/>
  <c r="DK3482" i="3"/>
  <c r="M180" i="2"/>
  <c r="L83" i="2"/>
  <c r="M178" i="2"/>
  <c r="L89" i="2"/>
  <c r="M138" i="2"/>
  <c r="L49" i="2"/>
  <c r="M131" i="2"/>
  <c r="L208" i="2"/>
  <c r="M127" i="2"/>
  <c r="L27" i="2"/>
  <c r="L29" i="2"/>
  <c r="L47" i="2"/>
  <c r="L182" i="2"/>
  <c r="L206" i="2"/>
  <c r="L126" i="2"/>
  <c r="M188" i="2"/>
  <c r="DN3" i="3" l="1"/>
  <c r="DO3" i="3" s="1"/>
  <c r="DL4" i="3"/>
  <c r="DN4" i="3" s="1"/>
  <c r="DO4" i="3" s="1"/>
  <c r="DL3919" i="3"/>
  <c r="DN3919" i="3" s="1"/>
  <c r="DO3919" i="3" s="1"/>
  <c r="DN1449" i="3"/>
  <c r="DO1449" i="3" s="1"/>
  <c r="DL1449" i="3"/>
  <c r="DL3824" i="3"/>
  <c r="DN3824" i="3" s="1"/>
  <c r="DO3824" i="3" s="1"/>
  <c r="DN2418" i="3"/>
  <c r="DO2418" i="3" s="1"/>
  <c r="DL2418" i="3"/>
  <c r="DL1164" i="3"/>
  <c r="DN1164" i="3" s="1"/>
  <c r="DO1164" i="3" s="1"/>
  <c r="DL347" i="3"/>
  <c r="DN347" i="3" s="1"/>
  <c r="DO347" i="3" s="1"/>
  <c r="DN557" i="3"/>
  <c r="DO557" i="3" s="1"/>
  <c r="DL557" i="3"/>
  <c r="DN613" i="3"/>
  <c r="DO613" i="3" s="1"/>
  <c r="DL613" i="3"/>
  <c r="DL4280" i="3"/>
  <c r="DN4280" i="3" s="1"/>
  <c r="DO4280" i="3" s="1"/>
  <c r="DN3330" i="3"/>
  <c r="DO3330" i="3" s="1"/>
  <c r="DL3330" i="3"/>
  <c r="DN3729" i="3"/>
  <c r="DO3729" i="3" s="1"/>
  <c r="DL3729" i="3"/>
  <c r="DN1525" i="3"/>
  <c r="DO1525" i="3" s="1"/>
  <c r="DL1525" i="3"/>
  <c r="DN3292" i="3"/>
  <c r="DO3292" i="3" s="1"/>
  <c r="DL3292" i="3"/>
  <c r="DN3634" i="3"/>
  <c r="DO3634" i="3" s="1"/>
  <c r="DL3634" i="3"/>
  <c r="DN3406" i="3"/>
  <c r="DO3406" i="3" s="1"/>
  <c r="DL3406" i="3"/>
  <c r="DN3216" i="3"/>
  <c r="DO3216" i="3" s="1"/>
  <c r="DL3216" i="3"/>
  <c r="DN1468" i="3"/>
  <c r="DO1468" i="3" s="1"/>
  <c r="DL1468" i="3"/>
  <c r="DL328" i="3"/>
  <c r="DN328" i="3" s="1"/>
  <c r="DO328" i="3" s="1"/>
  <c r="DL3996" i="3"/>
  <c r="DN3996" i="3" s="1"/>
  <c r="DO3996" i="3" s="1"/>
  <c r="DN3273" i="3"/>
  <c r="DO3273" i="3" s="1"/>
  <c r="DL3273" i="3"/>
  <c r="DN3444" i="3"/>
  <c r="DO3444" i="3" s="1"/>
  <c r="DL3444" i="3"/>
  <c r="DL4071" i="3"/>
  <c r="DN4071" i="3" s="1"/>
  <c r="DO4071" i="3" s="1"/>
  <c r="DN803" i="3"/>
  <c r="DO803" i="3" s="1"/>
  <c r="DL803" i="3"/>
  <c r="DL1373" i="3"/>
  <c r="DN1373" i="3" s="1"/>
  <c r="DO1373" i="3" s="1"/>
  <c r="DL3881" i="3"/>
  <c r="DN3881" i="3" s="1"/>
  <c r="DO3881" i="3" s="1"/>
  <c r="DN1544" i="3"/>
  <c r="DO1544" i="3" s="1"/>
  <c r="DL1544" i="3"/>
  <c r="DL4052" i="3"/>
  <c r="DN4052" i="3" s="1"/>
  <c r="DO4052" i="3" s="1"/>
  <c r="DL3862" i="3"/>
  <c r="DN3862" i="3" s="1"/>
  <c r="DO3862" i="3" s="1"/>
  <c r="DL4110" i="3"/>
  <c r="DN4110" i="3" s="1"/>
  <c r="DO4110" i="3" s="1"/>
  <c r="DL3900" i="3"/>
  <c r="DN3900" i="3" s="1"/>
  <c r="DO3900" i="3" s="1"/>
  <c r="DN499" i="3"/>
  <c r="DO499" i="3" s="1"/>
  <c r="DL499" i="3"/>
  <c r="DL1145" i="3"/>
  <c r="DN1145" i="3" s="1"/>
  <c r="DO1145" i="3" s="1"/>
  <c r="DN3178" i="3"/>
  <c r="DO3178" i="3" s="1"/>
  <c r="DL3178" i="3"/>
  <c r="DN3672" i="3"/>
  <c r="DO3672" i="3" s="1"/>
  <c r="DL3672" i="3"/>
  <c r="DN3368" i="3"/>
  <c r="DO3368" i="3" s="1"/>
  <c r="DL3368" i="3"/>
  <c r="DL3938" i="3"/>
  <c r="DN3938" i="3" s="1"/>
  <c r="DO3938" i="3" s="1"/>
  <c r="DN2494" i="3"/>
  <c r="DO2494" i="3" s="1"/>
  <c r="DL2494" i="3"/>
  <c r="DL4300" i="3"/>
  <c r="DN4300" i="3" s="1"/>
  <c r="DO4300" i="3" s="1"/>
  <c r="DN3312" i="3"/>
  <c r="DO3312" i="3" s="1"/>
  <c r="DL3312" i="3"/>
  <c r="DL24" i="3"/>
  <c r="DN24" i="3" s="1"/>
  <c r="DO24" i="3" s="1"/>
  <c r="DN1487" i="3"/>
  <c r="DO1487" i="3" s="1"/>
  <c r="DL1487" i="3"/>
  <c r="DL3957" i="3"/>
  <c r="DN3957" i="3" s="1"/>
  <c r="DO3957" i="3" s="1"/>
  <c r="DN2551" i="3"/>
  <c r="DO2551" i="3" s="1"/>
  <c r="DL2551" i="3"/>
  <c r="DL4243" i="3"/>
  <c r="DN4243" i="3" s="1"/>
  <c r="DO4243" i="3" s="1"/>
  <c r="DN2514" i="3"/>
  <c r="DO2514" i="3" s="1"/>
  <c r="DL2514" i="3"/>
  <c r="DN537" i="3"/>
  <c r="DO537" i="3" s="1"/>
  <c r="DL537" i="3"/>
  <c r="DL100" i="3"/>
  <c r="DN100" i="3" s="1"/>
  <c r="DO100" i="3" s="1"/>
  <c r="DN3710" i="3"/>
  <c r="DO3710" i="3" s="1"/>
  <c r="DL3710" i="3"/>
  <c r="DN3692" i="3"/>
  <c r="DO3692" i="3" s="1"/>
  <c r="DL3692" i="3"/>
  <c r="DL4148" i="3"/>
  <c r="DN4148" i="3" s="1"/>
  <c r="DO4148" i="3" s="1"/>
  <c r="DL1430" i="3"/>
  <c r="DN1430" i="3" s="1"/>
  <c r="DO1430" i="3" s="1"/>
  <c r="DN576" i="3"/>
  <c r="DO576" i="3" s="1"/>
  <c r="DL576" i="3"/>
  <c r="DL3844" i="3"/>
  <c r="DN3844" i="3" s="1"/>
  <c r="DO3844" i="3" s="1"/>
  <c r="DL3976" i="3"/>
  <c r="DN3976" i="3" s="1"/>
  <c r="DO3976" i="3" s="1"/>
  <c r="DL4225" i="3"/>
  <c r="DN4225" i="3" s="1"/>
  <c r="DO4225" i="3" s="1"/>
  <c r="DL309" i="3"/>
  <c r="DN309" i="3" s="1"/>
  <c r="DO309" i="3" s="1"/>
  <c r="DL4090" i="3"/>
  <c r="DN4090" i="3" s="1"/>
  <c r="DO4090" i="3" s="1"/>
  <c r="DL4033" i="3"/>
  <c r="DN4033" i="3" s="1"/>
  <c r="DO4033" i="3" s="1"/>
  <c r="DN784" i="3"/>
  <c r="DO784" i="3" s="1"/>
  <c r="DL784" i="3"/>
  <c r="DL4014" i="3"/>
  <c r="DN4014" i="3" s="1"/>
  <c r="DO4014" i="3" s="1"/>
  <c r="DN3653" i="3"/>
  <c r="DO3653" i="3" s="1"/>
  <c r="DL3653" i="3"/>
  <c r="DN766" i="3"/>
  <c r="DO766" i="3" s="1"/>
  <c r="DL766" i="3"/>
  <c r="DN2475" i="3"/>
  <c r="DO2475" i="3" s="1"/>
  <c r="DL2475" i="3"/>
  <c r="DL4128" i="3"/>
  <c r="DN4128" i="3" s="1"/>
  <c r="DO4128" i="3" s="1"/>
  <c r="DN480" i="3"/>
  <c r="DO480" i="3" s="1"/>
  <c r="DL480" i="3"/>
  <c r="DN3482" i="3"/>
  <c r="DO3482" i="3" s="1"/>
  <c r="DL3482" i="3"/>
  <c r="DL4166" i="3"/>
  <c r="DN4166" i="3" s="1"/>
  <c r="DO4166" i="3" s="1"/>
  <c r="DL177" i="3"/>
  <c r="DN177" i="3" s="1"/>
  <c r="DO177" i="3" s="1"/>
  <c r="DN746" i="3"/>
  <c r="DO746" i="3" s="1"/>
  <c r="DL746" i="3"/>
  <c r="DL119" i="3"/>
  <c r="DN119" i="3" s="1"/>
  <c r="DO119" i="3" s="1"/>
  <c r="DN3254" i="3"/>
  <c r="DO3254" i="3" s="1"/>
  <c r="DL3254" i="3"/>
  <c r="DL4261" i="3"/>
  <c r="DN4261" i="3" s="1"/>
  <c r="DO4261" i="3" s="1"/>
  <c r="DL157" i="3"/>
  <c r="DN157" i="3" s="1"/>
  <c r="DO157" i="3" s="1"/>
  <c r="DL195" i="3"/>
  <c r="DN195" i="3" s="1"/>
  <c r="DO195" i="3" s="1"/>
  <c r="DN3425" i="3"/>
  <c r="DO3425" i="3" s="1"/>
  <c r="DL3425" i="3"/>
  <c r="DN2381" i="3"/>
  <c r="DO2381" i="3" s="1"/>
  <c r="DL2381" i="3"/>
  <c r="DN2457" i="3"/>
  <c r="DO2457" i="3" s="1"/>
  <c r="DL2457" i="3"/>
  <c r="DN3350" i="3"/>
  <c r="DO3350" i="3" s="1"/>
  <c r="DL3350" i="3"/>
  <c r="DN3388" i="3"/>
  <c r="DO3388" i="3" s="1"/>
  <c r="DL3388" i="3"/>
  <c r="DL1392" i="3"/>
  <c r="DN1392" i="3" s="1"/>
  <c r="DO1392" i="3" s="1"/>
  <c r="DL3767" i="3"/>
  <c r="DN3767" i="3" s="1"/>
  <c r="DO3767" i="3" s="1"/>
  <c r="DL4204" i="3"/>
  <c r="DN4204" i="3" s="1"/>
  <c r="DO4204" i="3" s="1"/>
  <c r="DN633" i="3"/>
  <c r="DO633" i="3" s="1"/>
  <c r="DL633" i="3"/>
  <c r="DL3786" i="3"/>
  <c r="DN3786" i="3" s="1"/>
  <c r="DO3786" i="3" s="1"/>
  <c r="DL3806" i="3"/>
  <c r="DN3806" i="3" s="1"/>
  <c r="DO3806" i="3" s="1"/>
  <c r="DN3198" i="3"/>
  <c r="DO3198" i="3" s="1"/>
  <c r="DL3198" i="3"/>
  <c r="DN1506" i="3"/>
  <c r="DO1506" i="3" s="1"/>
  <c r="DL1506" i="3"/>
  <c r="DN3748" i="3"/>
  <c r="DO3748" i="3" s="1"/>
  <c r="DL3748" i="3"/>
  <c r="DN2438" i="3"/>
  <c r="DO2438" i="3" s="1"/>
  <c r="DL2438" i="3"/>
  <c r="DL4187" i="3"/>
  <c r="DN4187" i="3" s="1"/>
  <c r="DO4187" i="3" s="1"/>
  <c r="DN823" i="3"/>
  <c r="DO823" i="3" s="1"/>
  <c r="DL823" i="3"/>
  <c r="DN3463" i="3"/>
  <c r="DO3463" i="3" s="1"/>
  <c r="DL3463" i="3"/>
  <c r="DN2533" i="3"/>
  <c r="DO2533" i="3" s="1"/>
  <c r="DL2533" i="3"/>
  <c r="DN3502" i="3"/>
  <c r="DO3502" i="3" s="1"/>
  <c r="DL3502" i="3"/>
  <c r="DN2399" i="3"/>
  <c r="DO2399" i="3" s="1"/>
  <c r="DL2399" i="3"/>
  <c r="DL1411" i="3"/>
  <c r="DN1411" i="3" s="1"/>
  <c r="DO1411" i="3" s="1"/>
  <c r="DN3236" i="3"/>
  <c r="DO3236" i="3" s="1"/>
  <c r="DL3236" i="3"/>
  <c r="DK3578" i="3"/>
  <c r="DL3578" i="3"/>
  <c r="M190" i="2"/>
  <c r="DK3616" i="3"/>
  <c r="DL3616" i="3"/>
  <c r="L2" i="2"/>
  <c r="M192" i="2"/>
  <c r="DK5" i="3"/>
  <c r="DM5" i="3" s="1"/>
  <c r="DK2362" i="3"/>
  <c r="DL2362" i="3"/>
  <c r="DK519" i="3"/>
  <c r="DL519" i="3"/>
  <c r="N178" i="2"/>
  <c r="DL937" i="3"/>
  <c r="DK937" i="3"/>
  <c r="N168" i="2"/>
  <c r="DK4053" i="3"/>
  <c r="DM4053" i="3" s="1"/>
  <c r="DK956" i="3"/>
  <c r="DL956" i="3"/>
  <c r="DK178" i="3"/>
  <c r="DM178" i="3" s="1"/>
  <c r="DL178" i="3"/>
  <c r="DN178" i="3" s="1"/>
  <c r="DO178" i="3" s="1"/>
  <c r="DK4111" i="3"/>
  <c r="DM4111" i="3" s="1"/>
  <c r="DK2875" i="3"/>
  <c r="DL2875" i="3"/>
  <c r="DK2724" i="3"/>
  <c r="DL2724" i="3"/>
  <c r="DK3901" i="3"/>
  <c r="DM3901" i="3" s="1"/>
  <c r="DK1773" i="3"/>
  <c r="DL1773" i="3"/>
  <c r="DK1926" i="3"/>
  <c r="DL1926" i="3"/>
  <c r="DK2933" i="3"/>
  <c r="DL2933" i="3"/>
  <c r="M126" i="2"/>
  <c r="M29" i="2"/>
  <c r="N127" i="2"/>
  <c r="N138" i="2"/>
  <c r="DK3351" i="3"/>
  <c r="M51" i="2"/>
  <c r="DK3161" i="3"/>
  <c r="DL3161" i="3"/>
  <c r="M215" i="2"/>
  <c r="M52" i="2"/>
  <c r="DK2134" i="3"/>
  <c r="DL2134" i="3"/>
  <c r="M149" i="2"/>
  <c r="M153" i="2"/>
  <c r="N145" i="2"/>
  <c r="M95" i="2"/>
  <c r="M41" i="2"/>
  <c r="DK3541" i="3"/>
  <c r="DL3541" i="3"/>
  <c r="DK3882" i="3"/>
  <c r="DM3882" i="3" s="1"/>
  <c r="DK861" i="3"/>
  <c r="DL861" i="3"/>
  <c r="DK481" i="3"/>
  <c r="DK3920" i="3"/>
  <c r="DM3920" i="3" s="1"/>
  <c r="DK899" i="3"/>
  <c r="DL899" i="3"/>
  <c r="DK1659" i="3"/>
  <c r="DL1659" i="3"/>
  <c r="DK1545" i="3"/>
  <c r="DK1583" i="3"/>
  <c r="DL1583" i="3"/>
  <c r="DK1679" i="3"/>
  <c r="DL1679" i="3"/>
  <c r="DK1165" i="3"/>
  <c r="DM1165" i="3" s="1"/>
  <c r="DK463" i="3"/>
  <c r="DL463" i="3"/>
  <c r="DK2686" i="3"/>
  <c r="DL2686" i="3"/>
  <c r="DK1222" i="3"/>
  <c r="DM1222" i="3" s="1"/>
  <c r="DL1222" i="3"/>
  <c r="DN1222" i="3" s="1"/>
  <c r="DO1222" i="3" s="1"/>
  <c r="DK558" i="3"/>
  <c r="DL558" i="3"/>
  <c r="DK614" i="3"/>
  <c r="DL614" i="3"/>
  <c r="DK4281" i="3"/>
  <c r="DM4281" i="3" s="1"/>
  <c r="N69" i="2"/>
  <c r="DK253" i="3"/>
  <c r="DM253" i="3" s="1"/>
  <c r="DL253" i="3"/>
  <c r="DN253" i="3" s="1"/>
  <c r="DO253" i="3" s="1"/>
  <c r="DK1298" i="3"/>
  <c r="DM1298" i="3" s="1"/>
  <c r="DL1298" i="3"/>
  <c r="DN1298" i="3" s="1"/>
  <c r="DO1298" i="3" s="1"/>
  <c r="DK500" i="3"/>
  <c r="DK1146" i="3"/>
  <c r="DM1146" i="3" s="1"/>
  <c r="DK406" i="3"/>
  <c r="DM406" i="3" s="1"/>
  <c r="DL406" i="3"/>
  <c r="DN406" i="3" s="1"/>
  <c r="DO406" i="3" s="1"/>
  <c r="DK3730" i="3"/>
  <c r="DK2268" i="3"/>
  <c r="DL2268" i="3"/>
  <c r="DK3768" i="3"/>
  <c r="DM3768" i="3" s="1"/>
  <c r="DK1849" i="3"/>
  <c r="DL1849" i="3"/>
  <c r="DK291" i="3"/>
  <c r="DM291" i="3" s="1"/>
  <c r="DL291" i="3"/>
  <c r="DN291" i="3" s="1"/>
  <c r="DO291" i="3" s="1"/>
  <c r="DK4226" i="3"/>
  <c r="DM4226" i="3" s="1"/>
  <c r="DL728" i="3"/>
  <c r="DK728" i="3"/>
  <c r="DK1203" i="3"/>
  <c r="DM1203" i="3" s="1"/>
  <c r="DL1203" i="3"/>
  <c r="DN1203" i="3" s="1"/>
  <c r="DO1203" i="3" s="1"/>
  <c r="DK196" i="3"/>
  <c r="DM196" i="3" s="1"/>
  <c r="N32" i="2"/>
  <c r="DK4205" i="3"/>
  <c r="DM4205" i="3" s="1"/>
  <c r="DK3179" i="3"/>
  <c r="DK2097" i="3"/>
  <c r="DL2097" i="3"/>
  <c r="DK216" i="3"/>
  <c r="DM216" i="3" s="1"/>
  <c r="DK3255" i="3"/>
  <c r="M211" i="2"/>
  <c r="DK2780" i="3"/>
  <c r="DL2780" i="3"/>
  <c r="M10" i="2"/>
  <c r="DK2173" i="3"/>
  <c r="DL2173" i="3"/>
  <c r="M219" i="2"/>
  <c r="DK1013" i="3"/>
  <c r="DM1013" i="3" s="1"/>
  <c r="DL1013" i="3"/>
  <c r="DN1013" i="3" s="1"/>
  <c r="DO1013" i="3" s="1"/>
  <c r="DK4301" i="3"/>
  <c r="DM4301" i="3" s="1"/>
  <c r="DK2230" i="3"/>
  <c r="DL2230" i="3"/>
  <c r="DK2344" i="3"/>
  <c r="DL2344" i="3"/>
  <c r="DK1469" i="3"/>
  <c r="DK2192" i="3"/>
  <c r="DL2192" i="3"/>
  <c r="DK329" i="3"/>
  <c r="DM329" i="3" s="1"/>
  <c r="DK3997" i="3"/>
  <c r="DM3997" i="3" s="1"/>
  <c r="M120" i="2"/>
  <c r="DK1127" i="3"/>
  <c r="DM1127" i="3" s="1"/>
  <c r="DL1127" i="3"/>
  <c r="DN1127" i="3" s="1"/>
  <c r="DO1127" i="3" s="1"/>
  <c r="DK2895" i="3"/>
  <c r="DL2895" i="3"/>
  <c r="DK3274" i="3"/>
  <c r="N170" i="2"/>
  <c r="DK1831" i="3"/>
  <c r="DL1831" i="3"/>
  <c r="DK1603" i="3"/>
  <c r="DL1603" i="3"/>
  <c r="DK1793" i="3"/>
  <c r="DL1793" i="3"/>
  <c r="DK386" i="3"/>
  <c r="DM386" i="3" s="1"/>
  <c r="DL386" i="3"/>
  <c r="DN386" i="3" s="1"/>
  <c r="DO386" i="3" s="1"/>
  <c r="DK1109" i="3"/>
  <c r="DM1109" i="3" s="1"/>
  <c r="DL1109" i="3"/>
  <c r="DN1109" i="3" s="1"/>
  <c r="DO1109" i="3" s="1"/>
  <c r="DK1755" i="3"/>
  <c r="DL1755" i="3"/>
  <c r="DK2439" i="3"/>
  <c r="DK767" i="3"/>
  <c r="DK691" i="3"/>
  <c r="DL691" i="3"/>
  <c r="DK2324" i="3"/>
  <c r="DL2324" i="3"/>
  <c r="DK25" i="3"/>
  <c r="DM25" i="3" s="1"/>
  <c r="DK1488" i="3"/>
  <c r="DK3958" i="3"/>
  <c r="DM3958" i="3" s="1"/>
  <c r="DK2857" i="3"/>
  <c r="DL2857" i="3"/>
  <c r="DK2705" i="3"/>
  <c r="DL2705" i="3"/>
  <c r="DK2306" i="3"/>
  <c r="DL2306" i="3"/>
  <c r="N146" i="2"/>
  <c r="DK1070" i="3"/>
  <c r="DM1070" i="3" s="1"/>
  <c r="DL1070" i="3"/>
  <c r="DN1070" i="3" s="1"/>
  <c r="DO1070" i="3" s="1"/>
  <c r="DK595" i="3"/>
  <c r="DL595" i="3"/>
  <c r="DK2002" i="3"/>
  <c r="DL2002" i="3"/>
  <c r="DK4072" i="3"/>
  <c r="DM4072" i="3" s="1"/>
  <c r="DK804" i="3"/>
  <c r="DK2819" i="3"/>
  <c r="DL2819" i="3"/>
  <c r="DK3009" i="3"/>
  <c r="DL3009" i="3"/>
  <c r="DK4244" i="3"/>
  <c r="DM4244" i="3" s="1"/>
  <c r="DK1621" i="3"/>
  <c r="DL1621" i="3"/>
  <c r="DK2515" i="3"/>
  <c r="DK538" i="3"/>
  <c r="DL538" i="3"/>
  <c r="DK2971" i="3"/>
  <c r="DL2971" i="3"/>
  <c r="DK1089" i="3"/>
  <c r="DM1089" i="3" s="1"/>
  <c r="DL1089" i="3"/>
  <c r="DN1089" i="3" s="1"/>
  <c r="DO1089" i="3" s="1"/>
  <c r="DK2951" i="3"/>
  <c r="DL2951" i="3"/>
  <c r="DK3027" i="3"/>
  <c r="DL3027" i="3"/>
  <c r="DK3597" i="3"/>
  <c r="DL3597" i="3"/>
  <c r="DK1431" i="3"/>
  <c r="DM1431" i="3" s="1"/>
  <c r="DK139" i="3"/>
  <c r="DM139" i="3" s="1"/>
  <c r="DK2989" i="3"/>
  <c r="DL2989" i="3"/>
  <c r="DK2286" i="3"/>
  <c r="DL2286" i="3"/>
  <c r="DK3635" i="3"/>
  <c r="M195" i="2"/>
  <c r="DK3787" i="3"/>
  <c r="DM3787" i="3" s="1"/>
  <c r="DK3407" i="3"/>
  <c r="DK4091" i="3"/>
  <c r="DM4091" i="3" s="1"/>
  <c r="DK3217" i="3"/>
  <c r="DK2495" i="3"/>
  <c r="DK1355" i="3"/>
  <c r="DM1355" i="3" s="1"/>
  <c r="DL1355" i="3"/>
  <c r="DN1355" i="3" s="1"/>
  <c r="DO1355" i="3" s="1"/>
  <c r="DK1641" i="3"/>
  <c r="DL1641" i="3"/>
  <c r="DK3047" i="3"/>
  <c r="DL3047" i="3"/>
  <c r="DK3237" i="3"/>
  <c r="DK3103" i="3"/>
  <c r="DL3103" i="3"/>
  <c r="DK3065" i="3"/>
  <c r="DL3065" i="3"/>
  <c r="DK2628" i="3"/>
  <c r="DL2628" i="3"/>
  <c r="N188" i="2"/>
  <c r="M206" i="2"/>
  <c r="M47" i="2"/>
  <c r="M27" i="2"/>
  <c r="M208" i="2"/>
  <c r="M49" i="2"/>
  <c r="M89" i="2"/>
  <c r="M83" i="2"/>
  <c r="M85" i="2"/>
  <c r="N90" i="2"/>
  <c r="M63" i="2"/>
  <c r="N26" i="2"/>
  <c r="N143" i="2"/>
  <c r="M66" i="2"/>
  <c r="N31" i="2"/>
  <c r="M34" i="2"/>
  <c r="M227" i="2"/>
  <c r="DL1280" i="3"/>
  <c r="DN1280" i="3" s="1"/>
  <c r="DO1280" i="3" s="1"/>
  <c r="DK1280" i="3"/>
  <c r="DM1280" i="3" s="1"/>
  <c r="M15" i="2"/>
  <c r="M70" i="2"/>
  <c r="M28" i="2"/>
  <c r="M62" i="2"/>
  <c r="N23" i="2"/>
  <c r="M198" i="2"/>
  <c r="N121" i="2"/>
  <c r="M200" i="2"/>
  <c r="M99" i="2"/>
  <c r="M17" i="2"/>
  <c r="O224" i="2"/>
  <c r="M40" i="2"/>
  <c r="M65" i="2"/>
  <c r="M12" i="2"/>
  <c r="DK577" i="3"/>
  <c r="M223" i="2"/>
  <c r="M169" i="2"/>
  <c r="N112" i="2"/>
  <c r="N13" i="2"/>
  <c r="M173" i="2"/>
  <c r="DK3977" i="3"/>
  <c r="DM3977" i="3" s="1"/>
  <c r="M148" i="2"/>
  <c r="DK158" i="3"/>
  <c r="DM158" i="3" s="1"/>
  <c r="DL158" i="3"/>
  <c r="DN158" i="3" s="1"/>
  <c r="DO158" i="3" s="1"/>
  <c r="N116" i="2"/>
  <c r="DK4129" i="3"/>
  <c r="DM4129" i="3" s="1"/>
  <c r="M55" i="2"/>
  <c r="N228" i="2"/>
  <c r="N119" i="2"/>
  <c r="N125" i="2"/>
  <c r="M79" i="2"/>
  <c r="N117" i="2"/>
  <c r="M19" i="2"/>
  <c r="N212" i="2"/>
  <c r="DK2248" i="3"/>
  <c r="DL2248" i="3"/>
  <c r="M61" i="2"/>
  <c r="N154" i="2"/>
  <c r="M174" i="2"/>
  <c r="DK3199" i="3"/>
  <c r="N98" i="2"/>
  <c r="N86" i="2"/>
  <c r="N96" i="2"/>
  <c r="M22" i="2"/>
  <c r="N60" i="2"/>
  <c r="N94" i="2"/>
  <c r="N130" i="2"/>
  <c r="N42" i="2"/>
  <c r="N38" i="2"/>
  <c r="M124" i="2"/>
  <c r="M3" i="2"/>
  <c r="M80" i="2"/>
  <c r="M210" i="2"/>
  <c r="N152" i="2"/>
  <c r="N144" i="2"/>
  <c r="N123" i="2"/>
  <c r="DK2743" i="3"/>
  <c r="DL2743" i="3"/>
  <c r="M58" i="2"/>
  <c r="M33" i="2"/>
  <c r="N107" i="2"/>
  <c r="M216" i="2"/>
  <c r="M44" i="2"/>
  <c r="N150" i="2"/>
  <c r="N160" i="2"/>
  <c r="N225" i="2"/>
  <c r="M87" i="2"/>
  <c r="N134" i="2"/>
  <c r="M30" i="2"/>
  <c r="N158" i="2"/>
  <c r="M59" i="2"/>
  <c r="M157" i="2"/>
  <c r="M161" i="2"/>
  <c r="M191" i="2"/>
  <c r="M77" i="2"/>
  <c r="M9" i="2"/>
  <c r="M159" i="2"/>
  <c r="M122" i="2"/>
  <c r="M193" i="2"/>
  <c r="DK3673" i="3"/>
  <c r="M201" i="2"/>
  <c r="M181" i="2"/>
  <c r="M217" i="2"/>
  <c r="M171" i="2"/>
  <c r="M133" i="2"/>
  <c r="M73" i="2"/>
  <c r="N88" i="2"/>
  <c r="N162" i="2"/>
  <c r="N172" i="2"/>
  <c r="M165" i="2"/>
  <c r="M163" i="2"/>
  <c r="M140" i="2"/>
  <c r="DK3426" i="3"/>
  <c r="DK2382" i="3"/>
  <c r="DK2458" i="3"/>
  <c r="DK2591" i="3"/>
  <c r="DL2591" i="3"/>
  <c r="DK3389" i="3"/>
  <c r="M110" i="2"/>
  <c r="DK1242" i="3"/>
  <c r="DM1242" i="3" s="1"/>
  <c r="DL1242" i="3"/>
  <c r="DN1242" i="3" s="1"/>
  <c r="DO1242" i="3" s="1"/>
  <c r="DK3863" i="3"/>
  <c r="DM3863" i="3" s="1"/>
  <c r="M106" i="2"/>
  <c r="DK348" i="3"/>
  <c r="DM348" i="3" s="1"/>
  <c r="M114" i="2"/>
  <c r="DK2799" i="3"/>
  <c r="DL2799" i="3"/>
  <c r="DK3331" i="3"/>
  <c r="DK1393" i="3"/>
  <c r="DM1393" i="3" s="1"/>
  <c r="DK444" i="3"/>
  <c r="DM444" i="3" s="1"/>
  <c r="DL444" i="3"/>
  <c r="DN444" i="3" s="1"/>
  <c r="DO444" i="3" s="1"/>
  <c r="DK747" i="3"/>
  <c r="DK1184" i="3"/>
  <c r="DM1184" i="3" s="1"/>
  <c r="DL1184" i="3"/>
  <c r="DN1184" i="3" s="1"/>
  <c r="DO1184" i="3" s="1"/>
  <c r="DK1735" i="3"/>
  <c r="DL1735" i="3"/>
  <c r="DK652" i="3"/>
  <c r="DL652" i="3"/>
  <c r="DK1526" i="3"/>
  <c r="DK3293" i="3"/>
  <c r="DK1318" i="3"/>
  <c r="DM1318" i="3" s="1"/>
  <c r="DL1318" i="3"/>
  <c r="DN1318" i="3" s="1"/>
  <c r="DO1318" i="3" s="1"/>
  <c r="DK1051" i="3"/>
  <c r="DM1051" i="3" s="1"/>
  <c r="DL1051" i="3"/>
  <c r="DN1051" i="3" s="1"/>
  <c r="DO1051" i="3" s="1"/>
  <c r="DK634" i="3"/>
  <c r="DL634" i="3"/>
  <c r="DK3483" i="3"/>
  <c r="DK2077" i="3"/>
  <c r="DL2077" i="3"/>
  <c r="DK2153" i="3"/>
  <c r="DL2153" i="3"/>
  <c r="DL1260" i="3"/>
  <c r="DN1260" i="3" s="1"/>
  <c r="DO1260" i="3" s="1"/>
  <c r="DK1260" i="3"/>
  <c r="DM1260" i="3" s="1"/>
  <c r="DK1374" i="3"/>
  <c r="DM1374" i="3" s="1"/>
  <c r="M203" i="2"/>
  <c r="DK1450" i="3"/>
  <c r="DK2647" i="3"/>
  <c r="DL2647" i="3"/>
  <c r="DK2419" i="3"/>
  <c r="DK4262" i="3"/>
  <c r="DM4262" i="3" s="1"/>
  <c r="DK272" i="3"/>
  <c r="DM272" i="3" s="1"/>
  <c r="DL272" i="3"/>
  <c r="DN272" i="3" s="1"/>
  <c r="DO272" i="3" s="1"/>
  <c r="DK3807" i="3"/>
  <c r="DM3807" i="3" s="1"/>
  <c r="M118" i="2"/>
  <c r="DK3084" i="3"/>
  <c r="DL3084" i="3"/>
  <c r="DK4034" i="3"/>
  <c r="DM4034" i="3" s="1"/>
  <c r="DK234" i="3"/>
  <c r="DM234" i="3" s="1"/>
  <c r="DL234" i="3"/>
  <c r="DN234" i="3" s="1"/>
  <c r="DO234" i="3" s="1"/>
  <c r="DK785" i="3"/>
  <c r="DK2040" i="3"/>
  <c r="DL2040" i="3"/>
  <c r="DK2116" i="3"/>
  <c r="DL2116" i="3"/>
  <c r="DK1811" i="3"/>
  <c r="DL1811" i="3"/>
  <c r="DK1944" i="3"/>
  <c r="DL1944" i="3"/>
  <c r="DK994" i="3"/>
  <c r="DM994" i="3" s="1"/>
  <c r="DL994" i="3"/>
  <c r="DN994" i="3" s="1"/>
  <c r="DO994" i="3" s="1"/>
  <c r="DK4015" i="3"/>
  <c r="DM4015" i="3" s="1"/>
  <c r="DK3654" i="3"/>
  <c r="DK3141" i="3"/>
  <c r="DL3141" i="3"/>
  <c r="DK44" i="3"/>
  <c r="DM44" i="3" s="1"/>
  <c r="DK1507" i="3"/>
  <c r="M108" i="2"/>
  <c r="DK3749" i="3"/>
  <c r="DK63" i="3"/>
  <c r="DM63" i="3" s="1"/>
  <c r="DL63" i="3"/>
  <c r="DN63" i="3" s="1"/>
  <c r="DO63" i="3" s="1"/>
  <c r="DK2761" i="3"/>
  <c r="DL2761" i="3"/>
  <c r="N48" i="2"/>
  <c r="N176" i="2"/>
  <c r="DK3445" i="3"/>
  <c r="DK1032" i="3"/>
  <c r="DM1032" i="3" s="1"/>
  <c r="DL1032" i="3"/>
  <c r="DN1032" i="3" s="1"/>
  <c r="DO1032" i="3" s="1"/>
  <c r="DK1717" i="3"/>
  <c r="DL1717" i="3"/>
  <c r="DK4188" i="3"/>
  <c r="DM4188" i="3" s="1"/>
  <c r="DK824" i="3"/>
  <c r="DK3464" i="3"/>
  <c r="DK671" i="3"/>
  <c r="DL671" i="3"/>
  <c r="DK2534" i="3"/>
  <c r="DK82" i="3"/>
  <c r="DM82" i="3" s="1"/>
  <c r="DL82" i="3"/>
  <c r="DN82" i="3" s="1"/>
  <c r="DO82" i="3" s="1"/>
  <c r="DK2667" i="3"/>
  <c r="DL2667" i="3"/>
  <c r="M21" i="2"/>
  <c r="DK2610" i="3"/>
  <c r="DL2610" i="3"/>
  <c r="DL709" i="3"/>
  <c r="DK709" i="3"/>
  <c r="DK2476" i="3"/>
  <c r="DK2552" i="3"/>
  <c r="DK1888" i="3"/>
  <c r="DL1888" i="3"/>
  <c r="DK3503" i="3"/>
  <c r="DK3559" i="3"/>
  <c r="DL3559" i="3"/>
  <c r="DK842" i="3"/>
  <c r="DL842" i="3"/>
  <c r="DK1907" i="3"/>
  <c r="DL1907" i="3"/>
  <c r="DK101" i="3"/>
  <c r="DM101" i="3" s="1"/>
  <c r="DK1697" i="3"/>
  <c r="DL1697" i="3"/>
  <c r="DK3711" i="3"/>
  <c r="DK3693" i="3"/>
  <c r="DK4149" i="3"/>
  <c r="DM4149" i="3" s="1"/>
  <c r="DK2913" i="3"/>
  <c r="DL2913" i="3"/>
  <c r="DK1869" i="3"/>
  <c r="DL1869" i="3"/>
  <c r="DK1336" i="3"/>
  <c r="DM1336" i="3" s="1"/>
  <c r="DL1336" i="3"/>
  <c r="DN1336" i="3" s="1"/>
  <c r="DO1336" i="3" s="1"/>
  <c r="DK975" i="3"/>
  <c r="DM975" i="3" s="1"/>
  <c r="DL975" i="3"/>
  <c r="DN975" i="3" s="1"/>
  <c r="DO975" i="3" s="1"/>
  <c r="DK2400" i="3"/>
  <c r="DK120" i="3"/>
  <c r="DM120" i="3" s="1"/>
  <c r="DK3369" i="3"/>
  <c r="DK2571" i="3"/>
  <c r="DL2571" i="3"/>
  <c r="M187" i="2"/>
  <c r="M18" i="2"/>
  <c r="DK918" i="3"/>
  <c r="DL918" i="3"/>
  <c r="DK3939" i="3"/>
  <c r="DM3939" i="3" s="1"/>
  <c r="DK4167" i="3"/>
  <c r="DM4167" i="3" s="1"/>
  <c r="DK1412" i="3"/>
  <c r="DM1412" i="3" s="1"/>
  <c r="DK3123" i="3"/>
  <c r="DL3123" i="3"/>
  <c r="DK2837" i="3"/>
  <c r="DL2837" i="3"/>
  <c r="DK3845" i="3"/>
  <c r="DM3845" i="3" s="1"/>
  <c r="DK1565" i="3"/>
  <c r="DL1565" i="3"/>
  <c r="DK424" i="3"/>
  <c r="DM424" i="3" s="1"/>
  <c r="DL424" i="3"/>
  <c r="DN424" i="3" s="1"/>
  <c r="DO424" i="3" s="1"/>
  <c r="DK1963" i="3"/>
  <c r="DL1963" i="3"/>
  <c r="M182" i="2"/>
  <c r="N131" i="2"/>
  <c r="N180" i="2"/>
  <c r="DK2058" i="3"/>
  <c r="DL2058" i="3"/>
  <c r="N67" i="2"/>
  <c r="M205" i="2"/>
  <c r="DK1982" i="3"/>
  <c r="DL1982" i="3"/>
  <c r="M20" i="2"/>
  <c r="N11" i="2"/>
  <c r="N218" i="2"/>
  <c r="M177" i="2"/>
  <c r="M207" i="2"/>
  <c r="N103" i="2"/>
  <c r="N156" i="2"/>
  <c r="M75" i="2"/>
  <c r="N25" i="2"/>
  <c r="M64" i="2"/>
  <c r="M93" i="2"/>
  <c r="M36" i="2"/>
  <c r="M82" i="2"/>
  <c r="M175" i="2"/>
  <c r="N71" i="2"/>
  <c r="M57" i="2"/>
  <c r="N35" i="2"/>
  <c r="M185" i="2"/>
  <c r="M111" i="2"/>
  <c r="M115" i="2"/>
  <c r="M68" i="2"/>
  <c r="M74" i="2"/>
  <c r="DK3825" i="3"/>
  <c r="DM3825" i="3" s="1"/>
  <c r="M78" i="2"/>
  <c r="M141" i="2"/>
  <c r="M129" i="2"/>
  <c r="M226" i="2"/>
  <c r="M16" i="2"/>
  <c r="N202" i="2"/>
  <c r="DK2210" i="3"/>
  <c r="DL2210" i="3"/>
  <c r="M164" i="2"/>
  <c r="M214" i="2"/>
  <c r="M14" i="2"/>
  <c r="M43" i="2"/>
  <c r="N109" i="2"/>
  <c r="N113" i="2"/>
  <c r="M97" i="2"/>
  <c r="M104" i="2"/>
  <c r="M54" i="2"/>
  <c r="M213" i="2"/>
  <c r="M194" i="2"/>
  <c r="M167" i="2"/>
  <c r="M4" i="2"/>
  <c r="M81" i="2"/>
  <c r="DK2020" i="3"/>
  <c r="DL2020" i="3"/>
  <c r="M199" i="2"/>
  <c r="M5" i="2"/>
  <c r="M147" i="2"/>
  <c r="DK881" i="3"/>
  <c r="DL881" i="3"/>
  <c r="DK3313" i="3"/>
  <c r="M183" i="2"/>
  <c r="M56" i="2"/>
  <c r="N92" i="2"/>
  <c r="O222" i="2"/>
  <c r="N45" i="2"/>
  <c r="M184" i="2"/>
  <c r="M37" i="2"/>
  <c r="N135" i="2"/>
  <c r="M6" i="2"/>
  <c r="N142" i="2"/>
  <c r="DK367" i="3"/>
  <c r="DM367" i="3" s="1"/>
  <c r="DL367" i="3"/>
  <c r="DN367" i="3" s="1"/>
  <c r="DO367" i="3" s="1"/>
  <c r="N139" i="2"/>
  <c r="M39" i="2"/>
  <c r="M132" i="2"/>
  <c r="M136" i="2"/>
  <c r="N101" i="2"/>
  <c r="N186" i="2"/>
  <c r="M189" i="2"/>
  <c r="M46" i="2"/>
  <c r="N102" i="2"/>
  <c r="M7" i="2"/>
  <c r="M91" i="2"/>
  <c r="M197" i="2"/>
  <c r="N196" i="2"/>
  <c r="N220" i="2"/>
  <c r="M155" i="2"/>
  <c r="N100" i="2"/>
  <c r="M72" i="2"/>
  <c r="M53" i="2"/>
  <c r="M128" i="2"/>
  <c r="M8" i="2"/>
  <c r="M179" i="2"/>
  <c r="M137" i="2"/>
  <c r="DK3521" i="3"/>
  <c r="DL3521" i="3"/>
  <c r="DK310" i="3"/>
  <c r="DM310" i="3" s="1"/>
  <c r="M50" i="2"/>
  <c r="M209" i="2"/>
  <c r="M221" i="2"/>
  <c r="M76" i="2"/>
  <c r="N166" i="2"/>
  <c r="M151" i="2"/>
  <c r="N204" i="2"/>
  <c r="N84" i="2"/>
  <c r="M24" i="2"/>
  <c r="M105" i="2"/>
  <c r="DL5" i="3" l="1"/>
  <c r="DN2534" i="3"/>
  <c r="DO2534" i="3" s="1"/>
  <c r="DL2534" i="3"/>
  <c r="DN3464" i="3"/>
  <c r="DO3464" i="3" s="1"/>
  <c r="DL3464" i="3"/>
  <c r="DL4188" i="3"/>
  <c r="DN4188" i="3" s="1"/>
  <c r="DO4188" i="3" s="1"/>
  <c r="DN2419" i="3"/>
  <c r="DO2419" i="3" s="1"/>
  <c r="DL2419" i="3"/>
  <c r="DN1450" i="3"/>
  <c r="DO1450" i="3" s="1"/>
  <c r="DL1450" i="3"/>
  <c r="DL348" i="3"/>
  <c r="DN348" i="3" s="1"/>
  <c r="DO348" i="3" s="1"/>
  <c r="DN3389" i="3"/>
  <c r="DO3389" i="3" s="1"/>
  <c r="DL3389" i="3"/>
  <c r="DN2458" i="3"/>
  <c r="DO2458" i="3" s="1"/>
  <c r="DL2458" i="3"/>
  <c r="DN3426" i="3"/>
  <c r="DO3426" i="3" s="1"/>
  <c r="DL3426" i="3"/>
  <c r="DL3977" i="3"/>
  <c r="DN3977" i="3" s="1"/>
  <c r="DO3977" i="3" s="1"/>
  <c r="DN3237" i="3"/>
  <c r="DO3237" i="3" s="1"/>
  <c r="DL3237" i="3"/>
  <c r="DN2495" i="3"/>
  <c r="DO2495" i="3" s="1"/>
  <c r="DL2495" i="3"/>
  <c r="DL4091" i="3"/>
  <c r="DN4091" i="3" s="1"/>
  <c r="DO4091" i="3" s="1"/>
  <c r="DL3787" i="3"/>
  <c r="DN3787" i="3" s="1"/>
  <c r="DO3787" i="3" s="1"/>
  <c r="DL3958" i="3"/>
  <c r="DN3958" i="3" s="1"/>
  <c r="DO3958" i="3" s="1"/>
  <c r="DL25" i="3"/>
  <c r="DN25" i="3" s="1"/>
  <c r="DO25" i="3" s="1"/>
  <c r="DN2439" i="3"/>
  <c r="DO2439" i="3" s="1"/>
  <c r="DL2439" i="3"/>
  <c r="DL329" i="3"/>
  <c r="DN329" i="3" s="1"/>
  <c r="DO329" i="3" s="1"/>
  <c r="DN1469" i="3"/>
  <c r="DO1469" i="3" s="1"/>
  <c r="DL1469" i="3"/>
  <c r="DL196" i="3"/>
  <c r="DN196" i="3" s="1"/>
  <c r="DO196" i="3" s="1"/>
  <c r="DL3768" i="3"/>
  <c r="DN3768" i="3" s="1"/>
  <c r="DO3768" i="3" s="1"/>
  <c r="DN3730" i="3"/>
  <c r="DO3730" i="3" s="1"/>
  <c r="DL3730" i="3"/>
  <c r="DL1146" i="3"/>
  <c r="DN1146" i="3" s="1"/>
  <c r="DO1146" i="3" s="1"/>
  <c r="DL3825" i="3"/>
  <c r="DN3825" i="3" s="1"/>
  <c r="DO3825" i="3" s="1"/>
  <c r="DN3313" i="3"/>
  <c r="DO3313" i="3" s="1"/>
  <c r="DL3313" i="3"/>
  <c r="DL1412" i="3"/>
  <c r="DN1412" i="3" s="1"/>
  <c r="DO1412" i="3" s="1"/>
  <c r="DL3939" i="3"/>
  <c r="DN3939" i="3" s="1"/>
  <c r="DO3939" i="3" s="1"/>
  <c r="DN3369" i="3"/>
  <c r="DO3369" i="3" s="1"/>
  <c r="DL3369" i="3"/>
  <c r="DN2400" i="3"/>
  <c r="DO2400" i="3" s="1"/>
  <c r="DL2400" i="3"/>
  <c r="DN3693" i="3"/>
  <c r="DO3693" i="3" s="1"/>
  <c r="DL3693" i="3"/>
  <c r="DN2476" i="3"/>
  <c r="DO2476" i="3" s="1"/>
  <c r="DL2476" i="3"/>
  <c r="DN1507" i="3"/>
  <c r="DO1507" i="3" s="1"/>
  <c r="DL1507" i="3"/>
  <c r="DL4015" i="3"/>
  <c r="DN4015" i="3" s="1"/>
  <c r="DO4015" i="3" s="1"/>
  <c r="DN785" i="3"/>
  <c r="DO785" i="3" s="1"/>
  <c r="DL785" i="3"/>
  <c r="DL4034" i="3"/>
  <c r="DN4034" i="3" s="1"/>
  <c r="DO4034" i="3" s="1"/>
  <c r="DN1526" i="3"/>
  <c r="DO1526" i="3" s="1"/>
  <c r="DL1526" i="3"/>
  <c r="DN747" i="3"/>
  <c r="DO747" i="3" s="1"/>
  <c r="DL747" i="3"/>
  <c r="DL1393" i="3"/>
  <c r="DN1393" i="3" s="1"/>
  <c r="DO1393" i="3" s="1"/>
  <c r="DL139" i="3"/>
  <c r="DN139" i="3" s="1"/>
  <c r="DO139" i="3" s="1"/>
  <c r="DN2515" i="3"/>
  <c r="DO2515" i="3" s="1"/>
  <c r="DL2515" i="3"/>
  <c r="DL4244" i="3"/>
  <c r="DN4244" i="3" s="1"/>
  <c r="DO4244" i="3" s="1"/>
  <c r="DL4072" i="3"/>
  <c r="DN4072" i="3" s="1"/>
  <c r="DO4072" i="3" s="1"/>
  <c r="DN3255" i="3"/>
  <c r="DO3255" i="3" s="1"/>
  <c r="DL3255" i="3"/>
  <c r="DL4205" i="3"/>
  <c r="DN4205" i="3" s="1"/>
  <c r="DO4205" i="3" s="1"/>
  <c r="DL4281" i="3"/>
  <c r="DN4281" i="3" s="1"/>
  <c r="DO4281" i="3" s="1"/>
  <c r="DL3920" i="3"/>
  <c r="DN3920" i="3" s="1"/>
  <c r="DO3920" i="3" s="1"/>
  <c r="DL4111" i="3"/>
  <c r="DN4111" i="3" s="1"/>
  <c r="DO4111" i="3" s="1"/>
  <c r="DN824" i="3"/>
  <c r="DO824" i="3" s="1"/>
  <c r="DL824" i="3"/>
  <c r="DN3749" i="3"/>
  <c r="DO3749" i="3" s="1"/>
  <c r="DL3749" i="3"/>
  <c r="DN2382" i="3"/>
  <c r="DO2382" i="3" s="1"/>
  <c r="DL2382" i="3"/>
  <c r="DN3673" i="3"/>
  <c r="DO3673" i="3" s="1"/>
  <c r="DL3673" i="3"/>
  <c r="DL4129" i="3"/>
  <c r="DN4129" i="3" s="1"/>
  <c r="DO4129" i="3" s="1"/>
  <c r="DN3217" i="3"/>
  <c r="DO3217" i="3" s="1"/>
  <c r="DL3217" i="3"/>
  <c r="DN3407" i="3"/>
  <c r="DO3407" i="3" s="1"/>
  <c r="DL3407" i="3"/>
  <c r="DN1488" i="3"/>
  <c r="DO1488" i="3" s="1"/>
  <c r="DL1488" i="3"/>
  <c r="DN767" i="3"/>
  <c r="DO767" i="3" s="1"/>
  <c r="DL767" i="3"/>
  <c r="DL3997" i="3"/>
  <c r="DN3997" i="3" s="1"/>
  <c r="DO3997" i="3" s="1"/>
  <c r="DL4301" i="3"/>
  <c r="DN4301" i="3" s="1"/>
  <c r="DO4301" i="3" s="1"/>
  <c r="DL4226" i="3"/>
  <c r="DN4226" i="3" s="1"/>
  <c r="DO4226" i="3" s="1"/>
  <c r="DN500" i="3"/>
  <c r="DO500" i="3" s="1"/>
  <c r="DL500" i="3"/>
  <c r="DL1165" i="3"/>
  <c r="DN1165" i="3" s="1"/>
  <c r="DO1165" i="3" s="1"/>
  <c r="DN3445" i="3"/>
  <c r="DO3445" i="3" s="1"/>
  <c r="DL3445" i="3"/>
  <c r="DL3807" i="3"/>
  <c r="DN3807" i="3" s="1"/>
  <c r="DO3807" i="3" s="1"/>
  <c r="DL4262" i="3"/>
  <c r="DN4262" i="3" s="1"/>
  <c r="DO4262" i="3" s="1"/>
  <c r="DL310" i="3"/>
  <c r="DN310" i="3" s="1"/>
  <c r="DO310" i="3" s="1"/>
  <c r="DL3845" i="3"/>
  <c r="DN3845" i="3" s="1"/>
  <c r="DO3845" i="3" s="1"/>
  <c r="DL4167" i="3"/>
  <c r="DN4167" i="3" s="1"/>
  <c r="DO4167" i="3" s="1"/>
  <c r="DL120" i="3"/>
  <c r="DN120" i="3" s="1"/>
  <c r="DO120" i="3" s="1"/>
  <c r="DL4149" i="3"/>
  <c r="DN4149" i="3" s="1"/>
  <c r="DO4149" i="3" s="1"/>
  <c r="DN3711" i="3"/>
  <c r="DO3711" i="3" s="1"/>
  <c r="DL3711" i="3"/>
  <c r="DL101" i="3"/>
  <c r="DN101" i="3" s="1"/>
  <c r="DO101" i="3" s="1"/>
  <c r="DN3503" i="3"/>
  <c r="DO3503" i="3" s="1"/>
  <c r="DL3503" i="3"/>
  <c r="DN2552" i="3"/>
  <c r="DO2552" i="3" s="1"/>
  <c r="DL2552" i="3"/>
  <c r="DL44" i="3"/>
  <c r="DN44" i="3" s="1"/>
  <c r="DO44" i="3" s="1"/>
  <c r="DN3654" i="3"/>
  <c r="DO3654" i="3" s="1"/>
  <c r="DL3654" i="3"/>
  <c r="DL1374" i="3"/>
  <c r="DN1374" i="3" s="1"/>
  <c r="DO1374" i="3" s="1"/>
  <c r="DN3483" i="3"/>
  <c r="DO3483" i="3" s="1"/>
  <c r="DL3483" i="3"/>
  <c r="DN3293" i="3"/>
  <c r="DO3293" i="3" s="1"/>
  <c r="DL3293" i="3"/>
  <c r="DN3331" i="3"/>
  <c r="DO3331" i="3" s="1"/>
  <c r="DL3331" i="3"/>
  <c r="DL3863" i="3"/>
  <c r="DN3863" i="3" s="1"/>
  <c r="DO3863" i="3" s="1"/>
  <c r="DN3199" i="3"/>
  <c r="DO3199" i="3" s="1"/>
  <c r="DL3199" i="3"/>
  <c r="DN577" i="3"/>
  <c r="DO577" i="3" s="1"/>
  <c r="DL577" i="3"/>
  <c r="DN3635" i="3"/>
  <c r="DO3635" i="3" s="1"/>
  <c r="DL3635" i="3"/>
  <c r="DL1431" i="3"/>
  <c r="DN1431" i="3" s="1"/>
  <c r="DO1431" i="3" s="1"/>
  <c r="DN804" i="3"/>
  <c r="DO804" i="3" s="1"/>
  <c r="DL804" i="3"/>
  <c r="DN3274" i="3"/>
  <c r="DO3274" i="3" s="1"/>
  <c r="DL3274" i="3"/>
  <c r="DL216" i="3"/>
  <c r="DN216" i="3" s="1"/>
  <c r="DO216" i="3" s="1"/>
  <c r="DN3179" i="3"/>
  <c r="DO3179" i="3" s="1"/>
  <c r="DL3179" i="3"/>
  <c r="DN1545" i="3"/>
  <c r="DO1545" i="3" s="1"/>
  <c r="DL1545" i="3"/>
  <c r="DN481" i="3"/>
  <c r="DO481" i="3" s="1"/>
  <c r="DL481" i="3"/>
  <c r="DL3882" i="3"/>
  <c r="DN3882" i="3" s="1"/>
  <c r="DO3882" i="3" s="1"/>
  <c r="DN3351" i="3"/>
  <c r="DO3351" i="3" s="1"/>
  <c r="DL3351" i="3"/>
  <c r="DL3901" i="3"/>
  <c r="DN3901" i="3" s="1"/>
  <c r="DO3901" i="3" s="1"/>
  <c r="DL4053" i="3"/>
  <c r="DN4053" i="3" s="1"/>
  <c r="DO4053" i="3" s="1"/>
  <c r="DK6" i="3"/>
  <c r="DM6" i="3" s="1"/>
  <c r="DK3579" i="3"/>
  <c r="DL3579" i="3"/>
  <c r="M2" i="2"/>
  <c r="N190" i="2"/>
  <c r="N192" i="2"/>
  <c r="DK3617" i="3"/>
  <c r="DL3617" i="3"/>
  <c r="DK976" i="3"/>
  <c r="DM976" i="3" s="1"/>
  <c r="DL976" i="3"/>
  <c r="DN976" i="3" s="1"/>
  <c r="DO976" i="3" s="1"/>
  <c r="DK1870" i="3"/>
  <c r="DL1870" i="3"/>
  <c r="DK4150" i="3"/>
  <c r="DM4150" i="3" s="1"/>
  <c r="DK3712" i="3"/>
  <c r="DK102" i="3"/>
  <c r="DM102" i="3" s="1"/>
  <c r="DL843" i="3"/>
  <c r="DK843" i="3"/>
  <c r="DK3504" i="3"/>
  <c r="DK2553" i="3"/>
  <c r="DK710" i="3"/>
  <c r="DL710" i="3"/>
  <c r="DK83" i="3"/>
  <c r="DM83" i="3" s="1"/>
  <c r="DL83" i="3"/>
  <c r="DN83" i="3" s="1"/>
  <c r="DO83" i="3" s="1"/>
  <c r="DL672" i="3"/>
  <c r="DK672" i="3"/>
  <c r="DK825" i="3"/>
  <c r="DK1718" i="3"/>
  <c r="DL1718" i="3"/>
  <c r="DK3446" i="3"/>
  <c r="DK64" i="3"/>
  <c r="DM64" i="3" s="1"/>
  <c r="DL64" i="3"/>
  <c r="DN64" i="3" s="1"/>
  <c r="DO64" i="3" s="1"/>
  <c r="DK45" i="3"/>
  <c r="DM45" i="3" s="1"/>
  <c r="DK3655" i="3"/>
  <c r="DK995" i="3"/>
  <c r="DM995" i="3" s="1"/>
  <c r="DL995" i="3"/>
  <c r="DN995" i="3" s="1"/>
  <c r="DO995" i="3" s="1"/>
  <c r="DK1812" i="3"/>
  <c r="DL1812" i="3"/>
  <c r="O109" i="2"/>
  <c r="DK235" i="3"/>
  <c r="DM235" i="3" s="1"/>
  <c r="DL235" i="3"/>
  <c r="DN235" i="3" s="1"/>
  <c r="DO235" i="3" s="1"/>
  <c r="DK3085" i="3"/>
  <c r="DL3085" i="3"/>
  <c r="DK3808" i="3"/>
  <c r="DM3808" i="3" s="1"/>
  <c r="DK4263" i="3"/>
  <c r="DM4263" i="3" s="1"/>
  <c r="DK2648" i="3"/>
  <c r="DL2648" i="3"/>
  <c r="DK1261" i="3"/>
  <c r="DM1261" i="3" s="1"/>
  <c r="DL1261" i="3"/>
  <c r="DN1261" i="3" s="1"/>
  <c r="DO1261" i="3" s="1"/>
  <c r="DK2078" i="3"/>
  <c r="DL2078" i="3"/>
  <c r="DK635" i="3"/>
  <c r="DL635" i="3"/>
  <c r="DK1319" i="3"/>
  <c r="DM1319" i="3" s="1"/>
  <c r="DL1319" i="3"/>
  <c r="DN1319" i="3" s="1"/>
  <c r="DO1319" i="3" s="1"/>
  <c r="DK1527" i="3"/>
  <c r="DK1736" i="3"/>
  <c r="DL1736" i="3"/>
  <c r="DK445" i="3"/>
  <c r="DM445" i="3" s="1"/>
  <c r="DL445" i="3"/>
  <c r="DN445" i="3" s="1"/>
  <c r="DO445" i="3" s="1"/>
  <c r="DK2934" i="3"/>
  <c r="DL2934" i="3"/>
  <c r="DK3902" i="3"/>
  <c r="DM3902" i="3" s="1"/>
  <c r="DK4112" i="3"/>
  <c r="DM4112" i="3" s="1"/>
  <c r="DK349" i="3"/>
  <c r="DM349" i="3" s="1"/>
  <c r="DK3864" i="3"/>
  <c r="DM3864" i="3" s="1"/>
  <c r="DK2459" i="3"/>
  <c r="DK311" i="3"/>
  <c r="DM311" i="3" s="1"/>
  <c r="DK368" i="3"/>
  <c r="DM368" i="3" s="1"/>
  <c r="DL368" i="3"/>
  <c r="DN368" i="3" s="1"/>
  <c r="DO368" i="3" s="1"/>
  <c r="DK882" i="3"/>
  <c r="DL882" i="3"/>
  <c r="DK2021" i="3"/>
  <c r="DL2021" i="3"/>
  <c r="DK3826" i="3"/>
  <c r="DM3826" i="3" s="1"/>
  <c r="DK2059" i="3"/>
  <c r="DL2059" i="3"/>
  <c r="DK2629" i="3"/>
  <c r="DL2629" i="3"/>
  <c r="N165" i="2"/>
  <c r="DK3048" i="3"/>
  <c r="DL3048" i="3"/>
  <c r="DK1356" i="3"/>
  <c r="DM1356" i="3" s="1"/>
  <c r="DL1356" i="3"/>
  <c r="DN1356" i="3" s="1"/>
  <c r="DO1356" i="3" s="1"/>
  <c r="DK3218" i="3"/>
  <c r="DK3408" i="3"/>
  <c r="DK2287" i="3"/>
  <c r="DL2287" i="3"/>
  <c r="DK140" i="3"/>
  <c r="DM140" i="3" s="1"/>
  <c r="DK3598" i="3"/>
  <c r="DL3598" i="3"/>
  <c r="DK2952" i="3"/>
  <c r="DL2952" i="3"/>
  <c r="DK2972" i="3"/>
  <c r="DL2972" i="3"/>
  <c r="DK2516" i="3"/>
  <c r="DK4245" i="3"/>
  <c r="DM4245" i="3" s="1"/>
  <c r="DK3010" i="3"/>
  <c r="DL3010" i="3"/>
  <c r="DK805" i="3"/>
  <c r="DK2003" i="3"/>
  <c r="DL2003" i="3"/>
  <c r="DK1071" i="3"/>
  <c r="DM1071" i="3" s="1"/>
  <c r="DL1071" i="3"/>
  <c r="DN1071" i="3" s="1"/>
  <c r="DO1071" i="3" s="1"/>
  <c r="DK2307" i="3"/>
  <c r="DL2307" i="3"/>
  <c r="DK2858" i="3"/>
  <c r="DL2858" i="3"/>
  <c r="DK1489" i="3"/>
  <c r="DK2325" i="3"/>
  <c r="DL2325" i="3"/>
  <c r="DK768" i="3"/>
  <c r="DK1756" i="3"/>
  <c r="DL1756" i="3"/>
  <c r="N22" i="2"/>
  <c r="DK1604" i="3"/>
  <c r="DL1604" i="3"/>
  <c r="DK2896" i="3"/>
  <c r="DL2896" i="3"/>
  <c r="DK330" i="3"/>
  <c r="DM330" i="3" s="1"/>
  <c r="DK1470" i="3"/>
  <c r="DK2231" i="3"/>
  <c r="DL2231" i="3"/>
  <c r="DK1014" i="3"/>
  <c r="DM1014" i="3" s="1"/>
  <c r="DL1014" i="3"/>
  <c r="DN1014" i="3" s="1"/>
  <c r="DO1014" i="3" s="1"/>
  <c r="DK2174" i="3"/>
  <c r="DL2174" i="3"/>
  <c r="DK2781" i="3"/>
  <c r="DL2781" i="3"/>
  <c r="DK3256" i="3"/>
  <c r="DK3180" i="3"/>
  <c r="N65" i="2"/>
  <c r="DK4227" i="3"/>
  <c r="DM4227" i="3" s="1"/>
  <c r="DK1850" i="3"/>
  <c r="DL1850" i="3"/>
  <c r="DK2269" i="3"/>
  <c r="DL2269" i="3"/>
  <c r="O23" i="2"/>
  <c r="DK501" i="3"/>
  <c r="DK254" i="3"/>
  <c r="DM254" i="3" s="1"/>
  <c r="DL254" i="3"/>
  <c r="DN254" i="3" s="1"/>
  <c r="DO254" i="3" s="1"/>
  <c r="DK615" i="3"/>
  <c r="DL615" i="3"/>
  <c r="DK1223" i="3"/>
  <c r="DM1223" i="3" s="1"/>
  <c r="DL1223" i="3"/>
  <c r="DN1223" i="3" s="1"/>
  <c r="DO1223" i="3" s="1"/>
  <c r="DK464" i="3"/>
  <c r="DL464" i="3"/>
  <c r="DK1680" i="3"/>
  <c r="DL1680" i="3"/>
  <c r="DK1546" i="3"/>
  <c r="DK900" i="3"/>
  <c r="DL900" i="3"/>
  <c r="DK482" i="3"/>
  <c r="DL482" i="3"/>
  <c r="DK3883" i="3"/>
  <c r="DM3883" i="3" s="1"/>
  <c r="DK3674" i="3"/>
  <c r="DK3200" i="3"/>
  <c r="DK2249" i="3"/>
  <c r="DL2249" i="3"/>
  <c r="DK578" i="3"/>
  <c r="DL578" i="3"/>
  <c r="DL1281" i="3"/>
  <c r="DN1281" i="3" s="1"/>
  <c r="DO1281" i="3" s="1"/>
  <c r="DK1281" i="3"/>
  <c r="DM1281" i="3" s="1"/>
  <c r="DK748" i="3"/>
  <c r="DK2725" i="3"/>
  <c r="DL2725" i="3"/>
  <c r="DK2800" i="3"/>
  <c r="DL2800" i="3"/>
  <c r="DK957" i="3"/>
  <c r="DL957" i="3"/>
  <c r="DK2383" i="3"/>
  <c r="DK2363" i="3"/>
  <c r="DL2363" i="3"/>
  <c r="DK2838" i="3"/>
  <c r="DL2838" i="3"/>
  <c r="DK2572" i="3"/>
  <c r="DL2572" i="3"/>
  <c r="O84" i="2"/>
  <c r="N76" i="2"/>
  <c r="N137" i="2"/>
  <c r="O100" i="2"/>
  <c r="N197" i="2"/>
  <c r="N46" i="2"/>
  <c r="O186" i="2"/>
  <c r="N136" i="2"/>
  <c r="N39" i="2"/>
  <c r="N6" i="2"/>
  <c r="N37" i="2"/>
  <c r="O45" i="2"/>
  <c r="O92" i="2"/>
  <c r="N183" i="2"/>
  <c r="N5" i="2"/>
  <c r="N4" i="2"/>
  <c r="N194" i="2"/>
  <c r="N54" i="2"/>
  <c r="N97" i="2"/>
  <c r="DK2041" i="3"/>
  <c r="DL2041" i="3"/>
  <c r="N14" i="2"/>
  <c r="N164" i="2"/>
  <c r="O202" i="2"/>
  <c r="N226" i="2"/>
  <c r="N141" i="2"/>
  <c r="N68" i="2"/>
  <c r="N111" i="2"/>
  <c r="O35" i="2"/>
  <c r="O71" i="2"/>
  <c r="N82" i="2"/>
  <c r="N93" i="2"/>
  <c r="O25" i="2"/>
  <c r="O156" i="2"/>
  <c r="N207" i="2"/>
  <c r="O218" i="2"/>
  <c r="N20" i="2"/>
  <c r="N205" i="2"/>
  <c r="O131" i="2"/>
  <c r="N18" i="2"/>
  <c r="N21" i="2"/>
  <c r="O48" i="2"/>
  <c r="N108" i="2"/>
  <c r="N203" i="2"/>
  <c r="N110" i="2"/>
  <c r="N140" i="2"/>
  <c r="DK3104" i="3"/>
  <c r="DL3104" i="3"/>
  <c r="O162" i="2"/>
  <c r="N73" i="2"/>
  <c r="N171" i="2"/>
  <c r="N181" i="2"/>
  <c r="N122" i="2"/>
  <c r="N9" i="2"/>
  <c r="N191" i="2"/>
  <c r="N157" i="2"/>
  <c r="O158" i="2"/>
  <c r="O134" i="2"/>
  <c r="O225" i="2"/>
  <c r="O160" i="2"/>
  <c r="N44" i="2"/>
  <c r="O107" i="2"/>
  <c r="N58" i="2"/>
  <c r="O123" i="2"/>
  <c r="O152" i="2"/>
  <c r="N80" i="2"/>
  <c r="N124" i="2"/>
  <c r="O42" i="2"/>
  <c r="O94" i="2"/>
  <c r="DK387" i="3"/>
  <c r="DM387" i="3" s="1"/>
  <c r="DL387" i="3"/>
  <c r="DN387" i="3" s="1"/>
  <c r="DO387" i="3" s="1"/>
  <c r="O86" i="2"/>
  <c r="O154" i="2"/>
  <c r="N19" i="2"/>
  <c r="N79" i="2"/>
  <c r="O119" i="2"/>
  <c r="N55" i="2"/>
  <c r="O116" i="2"/>
  <c r="N148" i="2"/>
  <c r="N173" i="2"/>
  <c r="N169" i="2"/>
  <c r="DL1204" i="3"/>
  <c r="DN1204" i="3" s="1"/>
  <c r="DO1204" i="3" s="1"/>
  <c r="DK1204" i="3"/>
  <c r="DM1204" i="3" s="1"/>
  <c r="P224" i="2"/>
  <c r="N99" i="2"/>
  <c r="O121" i="2"/>
  <c r="DK407" i="3"/>
  <c r="DM407" i="3" s="1"/>
  <c r="DL407" i="3"/>
  <c r="DN407" i="3" s="1"/>
  <c r="DO407" i="3" s="1"/>
  <c r="N28" i="2"/>
  <c r="N15" i="2"/>
  <c r="N34" i="2"/>
  <c r="N66" i="2"/>
  <c r="O26" i="2"/>
  <c r="O90" i="2"/>
  <c r="N83" i="2"/>
  <c r="N49" i="2"/>
  <c r="N27" i="2"/>
  <c r="N206" i="2"/>
  <c r="N195" i="2"/>
  <c r="O170" i="2"/>
  <c r="N120" i="2"/>
  <c r="O32" i="2"/>
  <c r="O69" i="2"/>
  <c r="N41" i="2"/>
  <c r="O145" i="2"/>
  <c r="N149" i="2"/>
  <c r="N52" i="2"/>
  <c r="O127" i="2"/>
  <c r="N126" i="2"/>
  <c r="DK1964" i="3"/>
  <c r="DL1964" i="3"/>
  <c r="DK1413" i="3"/>
  <c r="DM1413" i="3" s="1"/>
  <c r="DK3940" i="3"/>
  <c r="DM3940" i="3" s="1"/>
  <c r="N105" i="2"/>
  <c r="N151" i="2"/>
  <c r="N209" i="2"/>
  <c r="N8" i="2"/>
  <c r="O220" i="2"/>
  <c r="DK425" i="3"/>
  <c r="DM425" i="3" s="1"/>
  <c r="DL425" i="3"/>
  <c r="DN425" i="3" s="1"/>
  <c r="DO425" i="3" s="1"/>
  <c r="DK3124" i="3"/>
  <c r="DL3124" i="3"/>
  <c r="DK4168" i="3"/>
  <c r="DM4168" i="3" s="1"/>
  <c r="DK919" i="3"/>
  <c r="DL919" i="3"/>
  <c r="DK2401" i="3"/>
  <c r="DK3694" i="3"/>
  <c r="DK3560" i="3"/>
  <c r="DL3560" i="3"/>
  <c r="DK2611" i="3"/>
  <c r="DL2611" i="3"/>
  <c r="DK2535" i="3"/>
  <c r="DK4189" i="3"/>
  <c r="DM4189" i="3" s="1"/>
  <c r="DK2762" i="3"/>
  <c r="DL2762" i="3"/>
  <c r="DK3750" i="3"/>
  <c r="DK1508" i="3"/>
  <c r="DK3142" i="3"/>
  <c r="DL3142" i="3"/>
  <c r="DK4016" i="3"/>
  <c r="DM4016" i="3" s="1"/>
  <c r="DK1945" i="3"/>
  <c r="DL1945" i="3"/>
  <c r="O113" i="2"/>
  <c r="DK786" i="3"/>
  <c r="DK4035" i="3"/>
  <c r="DM4035" i="3" s="1"/>
  <c r="DK273" i="3"/>
  <c r="DM273" i="3" s="1"/>
  <c r="DL273" i="3"/>
  <c r="DN273" i="3" s="1"/>
  <c r="DO273" i="3" s="1"/>
  <c r="DK2420" i="3"/>
  <c r="DK1451" i="3"/>
  <c r="DK1375" i="3"/>
  <c r="DM1375" i="3" s="1"/>
  <c r="DK2154" i="3"/>
  <c r="DL2154" i="3"/>
  <c r="DK3484" i="3"/>
  <c r="N57" i="2"/>
  <c r="DK3294" i="3"/>
  <c r="DK653" i="3"/>
  <c r="DL653" i="3"/>
  <c r="DK1185" i="3"/>
  <c r="DM1185" i="3" s="1"/>
  <c r="DL1185" i="3"/>
  <c r="DN1185" i="3" s="1"/>
  <c r="DO1185" i="3" s="1"/>
  <c r="DK1394" i="3"/>
  <c r="DM1394" i="3" s="1"/>
  <c r="O103" i="2"/>
  <c r="DK3332" i="3"/>
  <c r="DK179" i="3"/>
  <c r="DM179" i="3" s="1"/>
  <c r="DK1243" i="3"/>
  <c r="DM1243" i="3" s="1"/>
  <c r="DL1243" i="3"/>
  <c r="DN1243" i="3" s="1"/>
  <c r="DO1243" i="3" s="1"/>
  <c r="DK3390" i="3"/>
  <c r="DK3427" i="3"/>
  <c r="DK3522" i="3"/>
  <c r="DL3522" i="3"/>
  <c r="DK3314" i="3"/>
  <c r="DK2211" i="3"/>
  <c r="DL2211" i="3"/>
  <c r="DK2135" i="3"/>
  <c r="DL2135" i="3"/>
  <c r="DK1983" i="3"/>
  <c r="DL1983" i="3"/>
  <c r="N163" i="2"/>
  <c r="DK3238" i="3"/>
  <c r="DK1642" i="3"/>
  <c r="DL1642" i="3"/>
  <c r="DK2496" i="3"/>
  <c r="DK4092" i="3"/>
  <c r="DM4092" i="3" s="1"/>
  <c r="DK3788" i="3"/>
  <c r="DM3788" i="3" s="1"/>
  <c r="DK3636" i="3"/>
  <c r="DK2990" i="3"/>
  <c r="DL2990" i="3"/>
  <c r="DK1432" i="3"/>
  <c r="DM1432" i="3" s="1"/>
  <c r="DK3028" i="3"/>
  <c r="DL3028" i="3"/>
  <c r="DK1090" i="3"/>
  <c r="DM1090" i="3" s="1"/>
  <c r="DL1090" i="3"/>
  <c r="DN1090" i="3" s="1"/>
  <c r="DO1090" i="3" s="1"/>
  <c r="DK539" i="3"/>
  <c r="DL539" i="3"/>
  <c r="DK1622" i="3"/>
  <c r="DL1622" i="3"/>
  <c r="DK2820" i="3"/>
  <c r="DL2820" i="3"/>
  <c r="N216" i="2"/>
  <c r="DK596" i="3"/>
  <c r="DK2706" i="3"/>
  <c r="DL2706" i="3"/>
  <c r="DK3959" i="3"/>
  <c r="DM3959" i="3" s="1"/>
  <c r="DK26" i="3"/>
  <c r="DM26" i="3" s="1"/>
  <c r="DL26" i="3"/>
  <c r="DN26" i="3" s="1"/>
  <c r="DO26" i="3" s="1"/>
  <c r="DK692" i="3"/>
  <c r="DL692" i="3"/>
  <c r="DK2440" i="3"/>
  <c r="DK1110" i="3"/>
  <c r="DM1110" i="3" s="1"/>
  <c r="DL1110" i="3"/>
  <c r="DN1110" i="3" s="1"/>
  <c r="DO1110" i="3" s="1"/>
  <c r="DK1794" i="3"/>
  <c r="DL1794" i="3"/>
  <c r="DK1832" i="3"/>
  <c r="DL1832" i="3"/>
  <c r="DK3275" i="3"/>
  <c r="N61" i="2"/>
  <c r="DK3998" i="3"/>
  <c r="DM3998" i="3" s="1"/>
  <c r="O117" i="2"/>
  <c r="DK2345" i="3"/>
  <c r="DL2345" i="3"/>
  <c r="DK4302" i="3"/>
  <c r="DM4302" i="3" s="1"/>
  <c r="DK217" i="3"/>
  <c r="DM217" i="3" s="1"/>
  <c r="DK2098" i="3"/>
  <c r="DL2098" i="3"/>
  <c r="DK4206" i="3"/>
  <c r="DM4206" i="3" s="1"/>
  <c r="DK197" i="3"/>
  <c r="DM197" i="3" s="1"/>
  <c r="N40" i="2"/>
  <c r="DK292" i="3"/>
  <c r="DM292" i="3" s="1"/>
  <c r="DL292" i="3"/>
  <c r="DN292" i="3" s="1"/>
  <c r="DO292" i="3" s="1"/>
  <c r="N200" i="2"/>
  <c r="DK3731" i="3"/>
  <c r="DK1147" i="3"/>
  <c r="DM1147" i="3" s="1"/>
  <c r="DK1299" i="3"/>
  <c r="DM1299" i="3" s="1"/>
  <c r="DL1299" i="3"/>
  <c r="DN1299" i="3" s="1"/>
  <c r="DO1299" i="3" s="1"/>
  <c r="DK4282" i="3"/>
  <c r="DM4282" i="3" s="1"/>
  <c r="DK559" i="3"/>
  <c r="DL559" i="3"/>
  <c r="DK2687" i="3"/>
  <c r="DL2687" i="3"/>
  <c r="DK1166" i="3"/>
  <c r="DM1166" i="3" s="1"/>
  <c r="DK1584" i="3"/>
  <c r="DL1584" i="3"/>
  <c r="DK1660" i="3"/>
  <c r="DL1660" i="3"/>
  <c r="N208" i="2"/>
  <c r="DK862" i="3"/>
  <c r="DL862" i="3"/>
  <c r="DK3542" i="3"/>
  <c r="DL3542" i="3"/>
  <c r="DK2744" i="3"/>
  <c r="DL2744" i="3"/>
  <c r="DK4130" i="3"/>
  <c r="DM4130" i="3" s="1"/>
  <c r="DK159" i="3"/>
  <c r="DM159" i="3" s="1"/>
  <c r="DK3978" i="3"/>
  <c r="DM3978" i="3" s="1"/>
  <c r="DK1774" i="3"/>
  <c r="DL1774" i="3"/>
  <c r="DK2876" i="3"/>
  <c r="DL2876" i="3"/>
  <c r="DK4054" i="3"/>
  <c r="DM4054" i="3" s="1"/>
  <c r="DK938" i="3"/>
  <c r="DL938" i="3"/>
  <c r="DK2592" i="3"/>
  <c r="DL2592" i="3"/>
  <c r="DK520" i="3"/>
  <c r="DK3162" i="3"/>
  <c r="DL3162" i="3"/>
  <c r="DK3352" i="3"/>
  <c r="DK1566" i="3"/>
  <c r="DL1566" i="3"/>
  <c r="DK121" i="3"/>
  <c r="DM121" i="3" s="1"/>
  <c r="N53" i="2"/>
  <c r="N7" i="2"/>
  <c r="DK3846" i="3"/>
  <c r="DM3846" i="3" s="1"/>
  <c r="DK3370" i="3"/>
  <c r="DK1337" i="3"/>
  <c r="DM1337" i="3" s="1"/>
  <c r="DL1337" i="3"/>
  <c r="DN1337" i="3" s="1"/>
  <c r="DO1337" i="3" s="1"/>
  <c r="DK2914" i="3"/>
  <c r="DL2914" i="3"/>
  <c r="DK1698" i="3"/>
  <c r="DL1698" i="3"/>
  <c r="DK1908" i="3"/>
  <c r="DL1908" i="3"/>
  <c r="DK1889" i="3"/>
  <c r="DL1889" i="3"/>
  <c r="DK2477" i="3"/>
  <c r="DK2668" i="3"/>
  <c r="DL2668" i="3"/>
  <c r="N184" i="2"/>
  <c r="DK1033" i="3"/>
  <c r="DM1033" i="3" s="1"/>
  <c r="DL1033" i="3"/>
  <c r="DN1033" i="3" s="1"/>
  <c r="DO1033" i="3" s="1"/>
  <c r="N24" i="2"/>
  <c r="O204" i="2"/>
  <c r="O166" i="2"/>
  <c r="N221" i="2"/>
  <c r="N50" i="2"/>
  <c r="N179" i="2"/>
  <c r="N128" i="2"/>
  <c r="N72" i="2"/>
  <c r="N155" i="2"/>
  <c r="O196" i="2"/>
  <c r="N91" i="2"/>
  <c r="O102" i="2"/>
  <c r="N189" i="2"/>
  <c r="O101" i="2"/>
  <c r="N132" i="2"/>
  <c r="O139" i="2"/>
  <c r="O142" i="2"/>
  <c r="O135" i="2"/>
  <c r="DK3465" i="3"/>
  <c r="P222" i="2"/>
  <c r="N56" i="2"/>
  <c r="N147" i="2"/>
  <c r="N199" i="2"/>
  <c r="N81" i="2"/>
  <c r="N167" i="2"/>
  <c r="N213" i="2"/>
  <c r="N104" i="2"/>
  <c r="DK2117" i="3"/>
  <c r="DL2117" i="3"/>
  <c r="N43" i="2"/>
  <c r="N214" i="2"/>
  <c r="N16" i="2"/>
  <c r="N129" i="2"/>
  <c r="N78" i="2"/>
  <c r="N74" i="2"/>
  <c r="N115" i="2"/>
  <c r="N185" i="2"/>
  <c r="DK1052" i="3"/>
  <c r="DM1052" i="3" s="1"/>
  <c r="DL1052" i="3"/>
  <c r="DN1052" i="3" s="1"/>
  <c r="DO1052" i="3" s="1"/>
  <c r="N175" i="2"/>
  <c r="N36" i="2"/>
  <c r="N64" i="2"/>
  <c r="N75" i="2"/>
  <c r="DK1927" i="3"/>
  <c r="DL1927" i="3"/>
  <c r="N177" i="2"/>
  <c r="O11" i="2"/>
  <c r="O67" i="2"/>
  <c r="O180" i="2"/>
  <c r="N182" i="2"/>
  <c r="N187" i="2"/>
  <c r="O176" i="2"/>
  <c r="N118" i="2"/>
  <c r="N114" i="2"/>
  <c r="N106" i="2"/>
  <c r="DK3066" i="3"/>
  <c r="DL3066" i="3"/>
  <c r="O172" i="2"/>
  <c r="O88" i="2"/>
  <c r="N133" i="2"/>
  <c r="N217" i="2"/>
  <c r="N201" i="2"/>
  <c r="N193" i="2"/>
  <c r="N159" i="2"/>
  <c r="N77" i="2"/>
  <c r="N161" i="2"/>
  <c r="N59" i="2"/>
  <c r="N30" i="2"/>
  <c r="N87" i="2"/>
  <c r="O150" i="2"/>
  <c r="DK4073" i="3"/>
  <c r="DM4073" i="3" s="1"/>
  <c r="N33" i="2"/>
  <c r="O144" i="2"/>
  <c r="N210" i="2"/>
  <c r="N3" i="2"/>
  <c r="O38" i="2"/>
  <c r="O130" i="2"/>
  <c r="O60" i="2"/>
  <c r="O96" i="2"/>
  <c r="O98" i="2"/>
  <c r="N174" i="2"/>
  <c r="DL1128" i="3"/>
  <c r="DN1128" i="3" s="1"/>
  <c r="DO1128" i="3" s="1"/>
  <c r="DK1128" i="3"/>
  <c r="DM1128" i="3" s="1"/>
  <c r="O212" i="2"/>
  <c r="DK2193" i="3"/>
  <c r="DL2193" i="3"/>
  <c r="O125" i="2"/>
  <c r="O228" i="2"/>
  <c r="O13" i="2"/>
  <c r="O112" i="2"/>
  <c r="N223" i="2"/>
  <c r="N12" i="2"/>
  <c r="DK729" i="3"/>
  <c r="DL729" i="3"/>
  <c r="N17" i="2"/>
  <c r="DK3769" i="3"/>
  <c r="DM3769" i="3" s="1"/>
  <c r="N198" i="2"/>
  <c r="N62" i="2"/>
  <c r="N70" i="2"/>
  <c r="N227" i="2"/>
  <c r="O31" i="2"/>
  <c r="O143" i="2"/>
  <c r="N63" i="2"/>
  <c r="N85" i="2"/>
  <c r="N89" i="2"/>
  <c r="DK3921" i="3"/>
  <c r="DM3921" i="3" s="1"/>
  <c r="N47" i="2"/>
  <c r="O188" i="2"/>
  <c r="O146" i="2"/>
  <c r="N219" i="2"/>
  <c r="N10" i="2"/>
  <c r="N211" i="2"/>
  <c r="N95" i="2"/>
  <c r="N153" i="2"/>
  <c r="N215" i="2"/>
  <c r="N51" i="2"/>
  <c r="O138" i="2"/>
  <c r="N29" i="2"/>
  <c r="O168" i="2"/>
  <c r="O178" i="2"/>
  <c r="DN5" i="3" l="1"/>
  <c r="DO5" i="3" s="1"/>
  <c r="DL6" i="3"/>
  <c r="DN3370" i="3"/>
  <c r="DO3370" i="3" s="1"/>
  <c r="DL3370" i="3"/>
  <c r="DL4054" i="3"/>
  <c r="DN4054" i="3" s="1"/>
  <c r="DO4054" i="3" s="1"/>
  <c r="DL159" i="3"/>
  <c r="DN159" i="3" s="1"/>
  <c r="DO159" i="3" s="1"/>
  <c r="DL4092" i="3"/>
  <c r="DN4092" i="3" s="1"/>
  <c r="DO4092" i="3" s="1"/>
  <c r="DN3674" i="3"/>
  <c r="DO3674" i="3" s="1"/>
  <c r="DL3674" i="3"/>
  <c r="DN1546" i="3"/>
  <c r="DO1546" i="3" s="1"/>
  <c r="DL1546" i="3"/>
  <c r="DN501" i="3"/>
  <c r="DO501" i="3" s="1"/>
  <c r="DL501" i="3"/>
  <c r="DN3256" i="3"/>
  <c r="DO3256" i="3" s="1"/>
  <c r="DL3256" i="3"/>
  <c r="DL330" i="3"/>
  <c r="DN330" i="3" s="1"/>
  <c r="DO330" i="3" s="1"/>
  <c r="DN2459" i="3"/>
  <c r="DO2459" i="3" s="1"/>
  <c r="DL2459" i="3"/>
  <c r="DL349" i="3"/>
  <c r="DN349" i="3" s="1"/>
  <c r="DO349" i="3" s="1"/>
  <c r="DL3902" i="3"/>
  <c r="DN3902" i="3" s="1"/>
  <c r="DO3902" i="3" s="1"/>
  <c r="DN1527" i="3"/>
  <c r="DO1527" i="3" s="1"/>
  <c r="DL1527" i="3"/>
  <c r="DL4263" i="3"/>
  <c r="DN4263" i="3" s="1"/>
  <c r="DO4263" i="3" s="1"/>
  <c r="DN1432" i="3"/>
  <c r="DO1432" i="3" s="1"/>
  <c r="DL1432" i="3"/>
  <c r="DN3750" i="3"/>
  <c r="DO3750" i="3" s="1"/>
  <c r="DL3750" i="3"/>
  <c r="DL4189" i="3"/>
  <c r="DN4189" i="3" s="1"/>
  <c r="DO4189" i="3" s="1"/>
  <c r="DN3694" i="3"/>
  <c r="DO3694" i="3" s="1"/>
  <c r="DL3694" i="3"/>
  <c r="DL4282" i="3"/>
  <c r="DN4282" i="3" s="1"/>
  <c r="DO4282" i="3" s="1"/>
  <c r="DN1147" i="3"/>
  <c r="DO1147" i="3" s="1"/>
  <c r="DL1147" i="3"/>
  <c r="DL197" i="3"/>
  <c r="DN197" i="3" s="1"/>
  <c r="DO197" i="3" s="1"/>
  <c r="DL4302" i="3"/>
  <c r="DN4302" i="3" s="1"/>
  <c r="DO4302" i="3" s="1"/>
  <c r="DN3275" i="3"/>
  <c r="DO3275" i="3" s="1"/>
  <c r="DL3275" i="3"/>
  <c r="DN2440" i="3"/>
  <c r="DO2440" i="3" s="1"/>
  <c r="DL2440" i="3"/>
  <c r="DN3390" i="3"/>
  <c r="DO3390" i="3" s="1"/>
  <c r="DL3390" i="3"/>
  <c r="DL179" i="3"/>
  <c r="DN179" i="3" s="1"/>
  <c r="DO179" i="3" s="1"/>
  <c r="DN1451" i="3"/>
  <c r="DO1451" i="3" s="1"/>
  <c r="DL1451" i="3"/>
  <c r="DN786" i="3"/>
  <c r="DO786" i="3" s="1"/>
  <c r="DL786" i="3"/>
  <c r="DL3940" i="3"/>
  <c r="DN3940" i="3" s="1"/>
  <c r="DO3940" i="3" s="1"/>
  <c r="DN768" i="3"/>
  <c r="DO768" i="3" s="1"/>
  <c r="DL768" i="3"/>
  <c r="DN2516" i="3"/>
  <c r="DO2516" i="3" s="1"/>
  <c r="DL2516" i="3"/>
  <c r="DL140" i="3"/>
  <c r="DN140" i="3" s="1"/>
  <c r="DO140" i="3" s="1"/>
  <c r="DN3408" i="3"/>
  <c r="DO3408" i="3" s="1"/>
  <c r="DL3408" i="3"/>
  <c r="DN3655" i="3"/>
  <c r="DO3655" i="3" s="1"/>
  <c r="DL3655" i="3"/>
  <c r="DN3504" i="3"/>
  <c r="DO3504" i="3" s="1"/>
  <c r="DL3504" i="3"/>
  <c r="DL102" i="3"/>
  <c r="DN102" i="3" s="1"/>
  <c r="DO102" i="3" s="1"/>
  <c r="DL4150" i="3"/>
  <c r="DN4150" i="3" s="1"/>
  <c r="DO4150" i="3" s="1"/>
  <c r="DN3294" i="3"/>
  <c r="DO3294" i="3" s="1"/>
  <c r="DL3294" i="3"/>
  <c r="DL4073" i="3"/>
  <c r="DN4073" i="3" s="1"/>
  <c r="DO4073" i="3" s="1"/>
  <c r="DL3846" i="3"/>
  <c r="DN3846" i="3" s="1"/>
  <c r="DO3846" i="3" s="1"/>
  <c r="DN3352" i="3"/>
  <c r="DO3352" i="3" s="1"/>
  <c r="DL3352" i="3"/>
  <c r="DL3998" i="3"/>
  <c r="DN3998" i="3" s="1"/>
  <c r="DO3998" i="3" s="1"/>
  <c r="DL3788" i="3"/>
  <c r="DN3788" i="3" s="1"/>
  <c r="DO3788" i="3" s="1"/>
  <c r="DN2496" i="3"/>
  <c r="DO2496" i="3" s="1"/>
  <c r="DL2496" i="3"/>
  <c r="DN3238" i="3"/>
  <c r="DO3238" i="3" s="1"/>
  <c r="DL3238" i="3"/>
  <c r="DL1394" i="3"/>
  <c r="DN1394" i="3" s="1"/>
  <c r="DO1394" i="3" s="1"/>
  <c r="DL4016" i="3"/>
  <c r="DN4016" i="3" s="1"/>
  <c r="DO4016" i="3" s="1"/>
  <c r="DN1508" i="3"/>
  <c r="DO1508" i="3" s="1"/>
  <c r="DL1508" i="3"/>
  <c r="DN2535" i="3"/>
  <c r="DO2535" i="3" s="1"/>
  <c r="DL2535" i="3"/>
  <c r="DN2401" i="3"/>
  <c r="DO2401" i="3" s="1"/>
  <c r="DL2401" i="3"/>
  <c r="DL4168" i="3"/>
  <c r="DN4168" i="3" s="1"/>
  <c r="DO4168" i="3" s="1"/>
  <c r="DN2383" i="3"/>
  <c r="DO2383" i="3" s="1"/>
  <c r="DL2383" i="3"/>
  <c r="DN748" i="3"/>
  <c r="DO748" i="3" s="1"/>
  <c r="DL748" i="3"/>
  <c r="DN3200" i="3"/>
  <c r="DO3200" i="3" s="1"/>
  <c r="DL3200" i="3"/>
  <c r="DL3883" i="3"/>
  <c r="DN3883" i="3" s="1"/>
  <c r="DO3883" i="3" s="1"/>
  <c r="DN3180" i="3"/>
  <c r="DO3180" i="3" s="1"/>
  <c r="DL3180" i="3"/>
  <c r="DN1470" i="3"/>
  <c r="DO1470" i="3" s="1"/>
  <c r="DL1470" i="3"/>
  <c r="DN1489" i="3"/>
  <c r="DO1489" i="3" s="1"/>
  <c r="DL1489" i="3"/>
  <c r="DL3826" i="3"/>
  <c r="DN3826" i="3" s="1"/>
  <c r="DO3826" i="3" s="1"/>
  <c r="DL311" i="3"/>
  <c r="DN311" i="3" s="1"/>
  <c r="DO311" i="3" s="1"/>
  <c r="DL3864" i="3"/>
  <c r="DN3864" i="3" s="1"/>
  <c r="DO3864" i="3" s="1"/>
  <c r="DL4112" i="3"/>
  <c r="DN4112" i="3" s="1"/>
  <c r="DO4112" i="3" s="1"/>
  <c r="DL3808" i="3"/>
  <c r="DN3808" i="3" s="1"/>
  <c r="DO3808" i="3" s="1"/>
  <c r="DL3769" i="3"/>
  <c r="DN3769" i="3" s="1"/>
  <c r="DO3769" i="3" s="1"/>
  <c r="DN2477" i="3"/>
  <c r="DO2477" i="3" s="1"/>
  <c r="DL2477" i="3"/>
  <c r="DN3636" i="3"/>
  <c r="DO3636" i="3" s="1"/>
  <c r="DL3636" i="3"/>
  <c r="DL3921" i="3"/>
  <c r="DN3921" i="3" s="1"/>
  <c r="DO3921" i="3" s="1"/>
  <c r="DL121" i="3"/>
  <c r="DN121" i="3" s="1"/>
  <c r="DO121" i="3" s="1"/>
  <c r="DN520" i="3"/>
  <c r="DO520" i="3" s="1"/>
  <c r="DL520" i="3"/>
  <c r="DL3978" i="3"/>
  <c r="DN3978" i="3" s="1"/>
  <c r="DO3978" i="3" s="1"/>
  <c r="DL4130" i="3"/>
  <c r="DN4130" i="3" s="1"/>
  <c r="DO4130" i="3" s="1"/>
  <c r="DN3465" i="3"/>
  <c r="DO3465" i="3" s="1"/>
  <c r="DL3465" i="3"/>
  <c r="DL1166" i="3"/>
  <c r="DN1166" i="3" s="1"/>
  <c r="DO1166" i="3" s="1"/>
  <c r="DN3731" i="3"/>
  <c r="DO3731" i="3" s="1"/>
  <c r="DL3731" i="3"/>
  <c r="DL4206" i="3"/>
  <c r="DN4206" i="3" s="1"/>
  <c r="DO4206" i="3" s="1"/>
  <c r="DL217" i="3"/>
  <c r="DN217" i="3" s="1"/>
  <c r="DO217" i="3" s="1"/>
  <c r="DL3959" i="3"/>
  <c r="DN3959" i="3" s="1"/>
  <c r="DO3959" i="3" s="1"/>
  <c r="DN596" i="3"/>
  <c r="DO596" i="3" s="1"/>
  <c r="DL596" i="3"/>
  <c r="DN3314" i="3"/>
  <c r="DO3314" i="3" s="1"/>
  <c r="DL3314" i="3"/>
  <c r="DN3427" i="3"/>
  <c r="DO3427" i="3" s="1"/>
  <c r="DL3427" i="3"/>
  <c r="DN3332" i="3"/>
  <c r="DO3332" i="3" s="1"/>
  <c r="DL3332" i="3"/>
  <c r="DN3484" i="3"/>
  <c r="DO3484" i="3" s="1"/>
  <c r="DL3484" i="3"/>
  <c r="DL1375" i="3"/>
  <c r="DN1375" i="3" s="1"/>
  <c r="DO1375" i="3" s="1"/>
  <c r="DN2420" i="3"/>
  <c r="DO2420" i="3" s="1"/>
  <c r="DL2420" i="3"/>
  <c r="DL4035" i="3"/>
  <c r="DN4035" i="3" s="1"/>
  <c r="DO4035" i="3" s="1"/>
  <c r="DL1413" i="3"/>
  <c r="DN1413" i="3" s="1"/>
  <c r="DO1413" i="3" s="1"/>
  <c r="DL4227" i="3"/>
  <c r="DN4227" i="3" s="1"/>
  <c r="DO4227" i="3" s="1"/>
  <c r="DN805" i="3"/>
  <c r="DO805" i="3" s="1"/>
  <c r="DL805" i="3"/>
  <c r="DL4245" i="3"/>
  <c r="DN4245" i="3" s="1"/>
  <c r="DO4245" i="3" s="1"/>
  <c r="DN3218" i="3"/>
  <c r="DO3218" i="3" s="1"/>
  <c r="DL3218" i="3"/>
  <c r="DL45" i="3"/>
  <c r="DN45" i="3" s="1"/>
  <c r="DO45" i="3" s="1"/>
  <c r="DN3446" i="3"/>
  <c r="DO3446" i="3" s="1"/>
  <c r="DL3446" i="3"/>
  <c r="DN825" i="3"/>
  <c r="DO825" i="3" s="1"/>
  <c r="DL825" i="3"/>
  <c r="DN2553" i="3"/>
  <c r="DO2553" i="3" s="1"/>
  <c r="DL2553" i="3"/>
  <c r="DN3712" i="3"/>
  <c r="DO3712" i="3" s="1"/>
  <c r="DL3712" i="3"/>
  <c r="DK3580" i="3"/>
  <c r="DL3580" i="3"/>
  <c r="O190" i="2"/>
  <c r="DK3618" i="3"/>
  <c r="DL3618" i="3"/>
  <c r="DK7" i="3"/>
  <c r="DM7" i="3" s="1"/>
  <c r="O192" i="2"/>
  <c r="N2" i="2"/>
  <c r="DK4283" i="3"/>
  <c r="DM4283" i="3" s="1"/>
  <c r="O17" i="2"/>
  <c r="DK198" i="3"/>
  <c r="DM198" i="3" s="1"/>
  <c r="DL198" i="3"/>
  <c r="DN198" i="3" s="1"/>
  <c r="DO198" i="3" s="1"/>
  <c r="P112" i="2"/>
  <c r="DK4303" i="3"/>
  <c r="DM4303" i="3" s="1"/>
  <c r="P98" i="2"/>
  <c r="DK1111" i="3"/>
  <c r="DM1111" i="3" s="1"/>
  <c r="DL1111" i="3"/>
  <c r="DN1111" i="3" s="1"/>
  <c r="DO1111" i="3" s="1"/>
  <c r="DL693" i="3"/>
  <c r="DK693" i="3"/>
  <c r="DK3960" i="3"/>
  <c r="DM3960" i="3" s="1"/>
  <c r="DK597" i="3"/>
  <c r="DK2821" i="3"/>
  <c r="DL2821" i="3"/>
  <c r="O87" i="2"/>
  <c r="DK1091" i="3"/>
  <c r="DM1091" i="3" s="1"/>
  <c r="DL1091" i="3"/>
  <c r="DN1091" i="3" s="1"/>
  <c r="DO1091" i="3" s="1"/>
  <c r="DK1433" i="3"/>
  <c r="DM1433" i="3" s="1"/>
  <c r="DK3637" i="3"/>
  <c r="DK4093" i="3"/>
  <c r="DM4093" i="3" s="1"/>
  <c r="P88" i="2"/>
  <c r="DK2136" i="3"/>
  <c r="DL2136" i="3"/>
  <c r="DK3315" i="3"/>
  <c r="DK3428" i="3"/>
  <c r="DK1244" i="3"/>
  <c r="DM1244" i="3" s="1"/>
  <c r="DL1244" i="3"/>
  <c r="DN1244" i="3" s="1"/>
  <c r="DO1244" i="3" s="1"/>
  <c r="DK3333" i="3"/>
  <c r="DK1395" i="3"/>
  <c r="DM1395" i="3" s="1"/>
  <c r="DK654" i="3"/>
  <c r="DL654" i="3"/>
  <c r="O115" i="2"/>
  <c r="DK1452" i="3"/>
  <c r="DK274" i="3"/>
  <c r="DM274" i="3" s="1"/>
  <c r="DL274" i="3"/>
  <c r="DN274" i="3" s="1"/>
  <c r="DO274" i="3" s="1"/>
  <c r="O43" i="2"/>
  <c r="DK1946" i="3"/>
  <c r="DL1946" i="3"/>
  <c r="DK3143" i="3"/>
  <c r="DL3143" i="3"/>
  <c r="DK3751" i="3"/>
  <c r="DK1034" i="3"/>
  <c r="DM1034" i="3" s="1"/>
  <c r="DL1034" i="3"/>
  <c r="DN1034" i="3" s="1"/>
  <c r="DO1034" i="3" s="1"/>
  <c r="DK2669" i="3"/>
  <c r="DL2669" i="3"/>
  <c r="DK2478" i="3"/>
  <c r="DK3561" i="3"/>
  <c r="DL3561" i="3"/>
  <c r="O91" i="2"/>
  <c r="DK2915" i="3"/>
  <c r="DL2915" i="3"/>
  <c r="DK2402" i="3"/>
  <c r="DK920" i="3"/>
  <c r="DL920" i="3"/>
  <c r="DK3125" i="3"/>
  <c r="DL3125" i="3"/>
  <c r="DK426" i="3"/>
  <c r="DM426" i="3" s="1"/>
  <c r="DL426" i="3"/>
  <c r="DN426" i="3" s="1"/>
  <c r="DO426" i="3" s="1"/>
  <c r="DK3466" i="3"/>
  <c r="DK103" i="3"/>
  <c r="DM103" i="3" s="1"/>
  <c r="DK3922" i="3"/>
  <c r="DM3922" i="3" s="1"/>
  <c r="DK2194" i="3"/>
  <c r="DL2194" i="3"/>
  <c r="DK1129" i="3"/>
  <c r="DM1129" i="3" s="1"/>
  <c r="DL1129" i="3"/>
  <c r="DN1129" i="3" s="1"/>
  <c r="DO1129" i="3" s="1"/>
  <c r="DK3067" i="3"/>
  <c r="DL3067" i="3"/>
  <c r="DK1053" i="3"/>
  <c r="DM1053" i="3" s="1"/>
  <c r="DL1053" i="3"/>
  <c r="DN1053" i="3" s="1"/>
  <c r="DO1053" i="3" s="1"/>
  <c r="DK4151" i="3"/>
  <c r="DM4151" i="3" s="1"/>
  <c r="DK3941" i="3"/>
  <c r="DM3941" i="3" s="1"/>
  <c r="DK1965" i="3"/>
  <c r="DL1965" i="3"/>
  <c r="DK2364" i="3"/>
  <c r="DL2364" i="3"/>
  <c r="DK958" i="3"/>
  <c r="DL958" i="3"/>
  <c r="DK2726" i="3"/>
  <c r="DL2726" i="3"/>
  <c r="DK1282" i="3"/>
  <c r="DM1282" i="3" s="1"/>
  <c r="DL1282" i="3"/>
  <c r="DN1282" i="3" s="1"/>
  <c r="DO1282" i="3" s="1"/>
  <c r="DK2250" i="3"/>
  <c r="DL2250" i="3"/>
  <c r="DK3675" i="3"/>
  <c r="DK483" i="3"/>
  <c r="O83" i="2"/>
  <c r="DK465" i="3"/>
  <c r="DL465" i="3"/>
  <c r="DK616" i="3"/>
  <c r="DK502" i="3"/>
  <c r="DL502" i="3"/>
  <c r="DK2270" i="3"/>
  <c r="DL2270" i="3"/>
  <c r="DK4228" i="3"/>
  <c r="DM4228" i="3" s="1"/>
  <c r="DK3181" i="3"/>
  <c r="DK3257" i="3"/>
  <c r="P116" i="2"/>
  <c r="DK2232" i="3"/>
  <c r="DL2232" i="3"/>
  <c r="DK331" i="3"/>
  <c r="DM331" i="3" s="1"/>
  <c r="P86" i="2"/>
  <c r="P94" i="2"/>
  <c r="DK2326" i="3"/>
  <c r="DL2326" i="3"/>
  <c r="DK2859" i="3"/>
  <c r="DL2859" i="3"/>
  <c r="DK1072" i="3"/>
  <c r="DM1072" i="3" s="1"/>
  <c r="DL1072" i="3"/>
  <c r="DN1072" i="3" s="1"/>
  <c r="DO1072" i="3" s="1"/>
  <c r="DK806" i="3"/>
  <c r="DK4246" i="3"/>
  <c r="DM4246" i="3" s="1"/>
  <c r="DK2973" i="3"/>
  <c r="DL2973" i="3"/>
  <c r="DK3599" i="3"/>
  <c r="DL3599" i="3"/>
  <c r="DK2288" i="3"/>
  <c r="DL2288" i="3"/>
  <c r="DK3219" i="3"/>
  <c r="P162" i="2"/>
  <c r="DK2630" i="3"/>
  <c r="DL2630" i="3"/>
  <c r="DK3827" i="3"/>
  <c r="DM3827" i="3" s="1"/>
  <c r="DK883" i="3"/>
  <c r="DL883" i="3"/>
  <c r="DK312" i="3"/>
  <c r="DM312" i="3" s="1"/>
  <c r="DK3865" i="3"/>
  <c r="DM3865" i="3" s="1"/>
  <c r="DK4113" i="3"/>
  <c r="DM4113" i="3" s="1"/>
  <c r="DK2935" i="3"/>
  <c r="DL2935" i="3"/>
  <c r="O93" i="2"/>
  <c r="DK1320" i="3"/>
  <c r="DM1320" i="3" s="1"/>
  <c r="DL1320" i="3"/>
  <c r="DN1320" i="3" s="1"/>
  <c r="DO1320" i="3" s="1"/>
  <c r="O111" i="2"/>
  <c r="DK2649" i="3"/>
  <c r="DL2649" i="3"/>
  <c r="DK3809" i="3"/>
  <c r="DM3809" i="3" s="1"/>
  <c r="DK236" i="3"/>
  <c r="DM236" i="3" s="1"/>
  <c r="DL236" i="3"/>
  <c r="DN236" i="3" s="1"/>
  <c r="DO236" i="3" s="1"/>
  <c r="O97" i="2"/>
  <c r="DK3656" i="3"/>
  <c r="DK65" i="3"/>
  <c r="DM65" i="3" s="1"/>
  <c r="DL65" i="3"/>
  <c r="DN65" i="3" s="1"/>
  <c r="DO65" i="3" s="1"/>
  <c r="P92" i="2"/>
  <c r="DK673" i="3"/>
  <c r="DL673" i="3"/>
  <c r="DK711" i="3"/>
  <c r="DL711" i="3"/>
  <c r="DK3505" i="3"/>
  <c r="DK3713" i="3"/>
  <c r="DK2573" i="3"/>
  <c r="DL2573" i="3"/>
  <c r="P84" i="2"/>
  <c r="DK408" i="3"/>
  <c r="DM408" i="3" s="1"/>
  <c r="DL408" i="3"/>
  <c r="DN408" i="3" s="1"/>
  <c r="DO408" i="3" s="1"/>
  <c r="DK1205" i="3"/>
  <c r="DM1205" i="3" s="1"/>
  <c r="DL1205" i="3"/>
  <c r="DN1205" i="3" s="1"/>
  <c r="DO1205" i="3" s="1"/>
  <c r="DK388" i="3"/>
  <c r="DM388" i="3" s="1"/>
  <c r="DL388" i="3"/>
  <c r="DN388" i="3" s="1"/>
  <c r="DO388" i="3" s="1"/>
  <c r="DK3105" i="3"/>
  <c r="DL3105" i="3"/>
  <c r="DK2042" i="3"/>
  <c r="DL2042" i="3"/>
  <c r="DK3353" i="3"/>
  <c r="DK2877" i="3"/>
  <c r="DL2877" i="3"/>
  <c r="O85" i="2"/>
  <c r="DK3732" i="3"/>
  <c r="O153" i="2"/>
  <c r="P188" i="2"/>
  <c r="DK1585" i="3"/>
  <c r="DL1585" i="3"/>
  <c r="P143" i="2"/>
  <c r="O227" i="2"/>
  <c r="O70" i="2"/>
  <c r="O198" i="2"/>
  <c r="DK293" i="3"/>
  <c r="DM293" i="3" s="1"/>
  <c r="DL293" i="3"/>
  <c r="DN293" i="3" s="1"/>
  <c r="DO293" i="3" s="1"/>
  <c r="O12" i="2"/>
  <c r="DK2099" i="3"/>
  <c r="DL2099" i="3"/>
  <c r="P228" i="2"/>
  <c r="DK1833" i="3"/>
  <c r="DL1833" i="3"/>
  <c r="P60" i="2"/>
  <c r="P38" i="2"/>
  <c r="O210" i="2"/>
  <c r="O33" i="2"/>
  <c r="P150" i="2"/>
  <c r="DK1623" i="3"/>
  <c r="DL1623" i="3"/>
  <c r="O59" i="2"/>
  <c r="O77" i="2"/>
  <c r="O193" i="2"/>
  <c r="O217" i="2"/>
  <c r="DK1643" i="3"/>
  <c r="DL1643" i="3"/>
  <c r="O114" i="2"/>
  <c r="P176" i="2"/>
  <c r="O182" i="2"/>
  <c r="P67" i="2"/>
  <c r="O177" i="2"/>
  <c r="O75" i="2"/>
  <c r="O36" i="2"/>
  <c r="DK2155" i="3"/>
  <c r="DL2155" i="3"/>
  <c r="O78" i="2"/>
  <c r="O16" i="2"/>
  <c r="DK787" i="3"/>
  <c r="O104" i="2"/>
  <c r="O167" i="2"/>
  <c r="O199" i="2"/>
  <c r="O56" i="2"/>
  <c r="P142" i="2"/>
  <c r="O132" i="2"/>
  <c r="O189" i="2"/>
  <c r="DK1699" i="3"/>
  <c r="DL1699" i="3"/>
  <c r="O155" i="2"/>
  <c r="O128" i="2"/>
  <c r="O50" i="2"/>
  <c r="P166" i="2"/>
  <c r="O24" i="2"/>
  <c r="O184" i="2"/>
  <c r="O7" i="2"/>
  <c r="O208" i="2"/>
  <c r="P117" i="2"/>
  <c r="O61" i="2"/>
  <c r="O163" i="2"/>
  <c r="O57" i="2"/>
  <c r="P220" i="2"/>
  <c r="O209" i="2"/>
  <c r="O105" i="2"/>
  <c r="O126" i="2"/>
  <c r="O52" i="2"/>
  <c r="P145" i="2"/>
  <c r="P69" i="2"/>
  <c r="O120" i="2"/>
  <c r="O195" i="2"/>
  <c r="O27" i="2"/>
  <c r="DK1547" i="3"/>
  <c r="P26" i="2"/>
  <c r="O34" i="2"/>
  <c r="O28" i="2"/>
  <c r="P121" i="2"/>
  <c r="Q224" i="2"/>
  <c r="O169" i="2"/>
  <c r="O173" i="2"/>
  <c r="DK2175" i="3"/>
  <c r="DL2175" i="3"/>
  <c r="P119" i="2"/>
  <c r="O19" i="2"/>
  <c r="DK1605" i="3"/>
  <c r="DL1605" i="3"/>
  <c r="DK1757" i="3"/>
  <c r="DL1757" i="3"/>
  <c r="O124" i="2"/>
  <c r="P152" i="2"/>
  <c r="O58" i="2"/>
  <c r="O44" i="2"/>
  <c r="P225" i="2"/>
  <c r="P158" i="2"/>
  <c r="O191" i="2"/>
  <c r="O122" i="2"/>
  <c r="O171" i="2"/>
  <c r="DK3049" i="3"/>
  <c r="DL3049" i="3"/>
  <c r="O140" i="2"/>
  <c r="O203" i="2"/>
  <c r="P48" i="2"/>
  <c r="O18" i="2"/>
  <c r="O205" i="2"/>
  <c r="P218" i="2"/>
  <c r="P156" i="2"/>
  <c r="DK1737" i="3"/>
  <c r="DL1737" i="3"/>
  <c r="P71" i="2"/>
  <c r="DK2079" i="3"/>
  <c r="DL2079" i="3"/>
  <c r="O141" i="2"/>
  <c r="P202" i="2"/>
  <c r="O14" i="2"/>
  <c r="DK1813" i="3"/>
  <c r="DL1813" i="3"/>
  <c r="O194" i="2"/>
  <c r="O5" i="2"/>
  <c r="DK1719" i="3"/>
  <c r="DL1719" i="3"/>
  <c r="O37" i="2"/>
  <c r="O39" i="2"/>
  <c r="P186" i="2"/>
  <c r="O197" i="2"/>
  <c r="O137" i="2"/>
  <c r="DK1567" i="3"/>
  <c r="DL1567" i="3"/>
  <c r="P23" i="2"/>
  <c r="O65" i="2"/>
  <c r="O22" i="2"/>
  <c r="O165" i="2"/>
  <c r="P109" i="2"/>
  <c r="DK939" i="3"/>
  <c r="DL939" i="3"/>
  <c r="DK4131" i="3"/>
  <c r="DM4131" i="3" s="1"/>
  <c r="DK1300" i="3"/>
  <c r="DM1300" i="3" s="1"/>
  <c r="DL1300" i="3"/>
  <c r="DN1300" i="3" s="1"/>
  <c r="DO1300" i="3" s="1"/>
  <c r="O29" i="2"/>
  <c r="O211" i="2"/>
  <c r="DK3163" i="3"/>
  <c r="DL3163" i="3"/>
  <c r="O95" i="2"/>
  <c r="DK2745" i="3"/>
  <c r="DL2745" i="3"/>
  <c r="DK863" i="3"/>
  <c r="DL863" i="3"/>
  <c r="DK1167" i="3"/>
  <c r="DM1167" i="3" s="1"/>
  <c r="DK560" i="3"/>
  <c r="DK1148" i="3"/>
  <c r="DM1148" i="3" s="1"/>
  <c r="DK4207" i="3"/>
  <c r="DM4207" i="3" s="1"/>
  <c r="DK2346" i="3"/>
  <c r="DL2346" i="3"/>
  <c r="DK3999" i="3"/>
  <c r="DM3999" i="3" s="1"/>
  <c r="DK3276" i="3"/>
  <c r="DK2441" i="3"/>
  <c r="DK27" i="3"/>
  <c r="DM27" i="3" s="1"/>
  <c r="DL27" i="3"/>
  <c r="DN27" i="3" s="1"/>
  <c r="DO27" i="3" s="1"/>
  <c r="DK2707" i="3"/>
  <c r="DL2707" i="3"/>
  <c r="DK540" i="3"/>
  <c r="DK3029" i="3"/>
  <c r="DL3029" i="3"/>
  <c r="DK2991" i="3"/>
  <c r="DL2991" i="3"/>
  <c r="DK3789" i="3"/>
  <c r="DM3789" i="3" s="1"/>
  <c r="DK2497" i="3"/>
  <c r="DK3239" i="3"/>
  <c r="DK1984" i="3"/>
  <c r="DL1984" i="3"/>
  <c r="DK2212" i="3"/>
  <c r="DL2212" i="3"/>
  <c r="DK3523" i="3"/>
  <c r="DL3523" i="3"/>
  <c r="DK3391" i="3"/>
  <c r="DK180" i="3"/>
  <c r="DM180" i="3" s="1"/>
  <c r="DK1186" i="3"/>
  <c r="DM1186" i="3" s="1"/>
  <c r="DL1186" i="3"/>
  <c r="DN1186" i="3" s="1"/>
  <c r="DO1186" i="3" s="1"/>
  <c r="DK3295" i="3"/>
  <c r="DK3485" i="3"/>
  <c r="DK1376" i="3"/>
  <c r="DM1376" i="3" s="1"/>
  <c r="DK2421" i="3"/>
  <c r="DK4036" i="3"/>
  <c r="DM4036" i="3" s="1"/>
  <c r="DK4017" i="3"/>
  <c r="DM4017" i="3" s="1"/>
  <c r="DK1509" i="3"/>
  <c r="DK2763" i="3"/>
  <c r="DL2763" i="3"/>
  <c r="DK4190" i="3"/>
  <c r="DM4190" i="3" s="1"/>
  <c r="DK2536" i="3"/>
  <c r="DK2612" i="3"/>
  <c r="DL2612" i="3"/>
  <c r="DK1890" i="3"/>
  <c r="DL1890" i="3"/>
  <c r="P102" i="2"/>
  <c r="DK3695" i="3"/>
  <c r="DK1338" i="3"/>
  <c r="DM1338" i="3" s="1"/>
  <c r="DL1338" i="3"/>
  <c r="DN1338" i="3" s="1"/>
  <c r="DO1338" i="3" s="1"/>
  <c r="DK3371" i="3"/>
  <c r="DK4169" i="3"/>
  <c r="DM4169" i="3" s="1"/>
  <c r="DK3847" i="3"/>
  <c r="DM3847" i="3" s="1"/>
  <c r="DK977" i="3"/>
  <c r="DM977" i="3" s="1"/>
  <c r="DL977" i="3"/>
  <c r="DN977" i="3" s="1"/>
  <c r="DO977" i="3" s="1"/>
  <c r="DK3770" i="3"/>
  <c r="DM3770" i="3" s="1"/>
  <c r="DK730" i="3"/>
  <c r="DL730" i="3"/>
  <c r="DK4074" i="3"/>
  <c r="DM4074" i="3" s="1"/>
  <c r="DK1928" i="3"/>
  <c r="DL1928" i="3"/>
  <c r="DK2118" i="3"/>
  <c r="DL2118" i="3"/>
  <c r="DK122" i="3"/>
  <c r="DM122" i="3" s="1"/>
  <c r="DK2839" i="3"/>
  <c r="DL2839" i="3"/>
  <c r="DK2384" i="3"/>
  <c r="DK2801" i="3"/>
  <c r="DL2801" i="3"/>
  <c r="DK749" i="3"/>
  <c r="DK579" i="3"/>
  <c r="DL579" i="3"/>
  <c r="DK3201" i="3"/>
  <c r="DK3884" i="3"/>
  <c r="DM3884" i="3" s="1"/>
  <c r="DK901" i="3"/>
  <c r="DL901" i="3"/>
  <c r="P90" i="2"/>
  <c r="DK1224" i="3"/>
  <c r="DM1224" i="3" s="1"/>
  <c r="DL1224" i="3"/>
  <c r="DN1224" i="3" s="1"/>
  <c r="DO1224" i="3" s="1"/>
  <c r="DK255" i="3"/>
  <c r="DM255" i="3" s="1"/>
  <c r="DL255" i="3"/>
  <c r="DN255" i="3" s="1"/>
  <c r="DO255" i="3" s="1"/>
  <c r="O99" i="2"/>
  <c r="DK2782" i="3"/>
  <c r="DL2782" i="3"/>
  <c r="DK1015" i="3"/>
  <c r="DM1015" i="3" s="1"/>
  <c r="DL1015" i="3"/>
  <c r="DN1015" i="3" s="1"/>
  <c r="DO1015" i="3" s="1"/>
  <c r="DK1471" i="3"/>
  <c r="DK2897" i="3"/>
  <c r="DL2897" i="3"/>
  <c r="DK769" i="3"/>
  <c r="DK1490" i="3"/>
  <c r="DK2308" i="3"/>
  <c r="DL2308" i="3"/>
  <c r="P107" i="2"/>
  <c r="DK3011" i="3"/>
  <c r="DL3011" i="3"/>
  <c r="DK2517" i="3"/>
  <c r="DK2953" i="3"/>
  <c r="DL2953" i="3"/>
  <c r="DK141" i="3"/>
  <c r="DM141" i="3" s="1"/>
  <c r="DK3409" i="3"/>
  <c r="DK1357" i="3"/>
  <c r="DM1357" i="3" s="1"/>
  <c r="DL1357" i="3"/>
  <c r="DN1357" i="3" s="1"/>
  <c r="DO1357" i="3" s="1"/>
  <c r="DK2060" i="3"/>
  <c r="DL2060" i="3"/>
  <c r="DK2022" i="3"/>
  <c r="DL2022" i="3"/>
  <c r="DK369" i="3"/>
  <c r="DM369" i="3" s="1"/>
  <c r="DL369" i="3"/>
  <c r="DN369" i="3" s="1"/>
  <c r="DO369" i="3" s="1"/>
  <c r="DK2460" i="3"/>
  <c r="DK350" i="3"/>
  <c r="DM350" i="3" s="1"/>
  <c r="DK3903" i="3"/>
  <c r="DM3903" i="3" s="1"/>
  <c r="DK446" i="3"/>
  <c r="DM446" i="3" s="1"/>
  <c r="DL446" i="3"/>
  <c r="DN446" i="3" s="1"/>
  <c r="DO446" i="3" s="1"/>
  <c r="DK1528" i="3"/>
  <c r="DK636" i="3"/>
  <c r="DK1262" i="3"/>
  <c r="DM1262" i="3" s="1"/>
  <c r="DL1262" i="3"/>
  <c r="DN1262" i="3" s="1"/>
  <c r="DO1262" i="3" s="1"/>
  <c r="DK4264" i="3"/>
  <c r="DM4264" i="3" s="1"/>
  <c r="DK3086" i="3"/>
  <c r="DL3086" i="3"/>
  <c r="DK996" i="3"/>
  <c r="DM996" i="3" s="1"/>
  <c r="DL996" i="3"/>
  <c r="DN996" i="3" s="1"/>
  <c r="DO996" i="3" s="1"/>
  <c r="DK46" i="3"/>
  <c r="DM46" i="3" s="1"/>
  <c r="DL46" i="3"/>
  <c r="DN46" i="3" s="1"/>
  <c r="DO46" i="3" s="1"/>
  <c r="DK3447" i="3"/>
  <c r="DK826" i="3"/>
  <c r="DK84" i="3"/>
  <c r="DM84" i="3" s="1"/>
  <c r="DL84" i="3"/>
  <c r="DN84" i="3" s="1"/>
  <c r="DO84" i="3" s="1"/>
  <c r="DK2554" i="3"/>
  <c r="DK844" i="3"/>
  <c r="DL844" i="3"/>
  <c r="DK1871" i="3"/>
  <c r="DL1871" i="3"/>
  <c r="DK1414" i="3"/>
  <c r="DM1414" i="3" s="1"/>
  <c r="DK521" i="3"/>
  <c r="DK3979" i="3"/>
  <c r="DM3979" i="3" s="1"/>
  <c r="DK3543" i="3"/>
  <c r="DL3543" i="3"/>
  <c r="DK2688" i="3"/>
  <c r="DL2688" i="3"/>
  <c r="P178" i="2"/>
  <c r="O51" i="2"/>
  <c r="O219" i="2"/>
  <c r="DK2593" i="3"/>
  <c r="DL2593" i="3"/>
  <c r="DK4055" i="3"/>
  <c r="DM4055" i="3" s="1"/>
  <c r="DK160" i="3"/>
  <c r="DM160" i="3" s="1"/>
  <c r="O89" i="2"/>
  <c r="DK218" i="3"/>
  <c r="DM218" i="3" s="1"/>
  <c r="DL218" i="3"/>
  <c r="DN218" i="3" s="1"/>
  <c r="DO218" i="3" s="1"/>
  <c r="P96" i="2"/>
  <c r="P168" i="2"/>
  <c r="P138" i="2"/>
  <c r="O215" i="2"/>
  <c r="DK1775" i="3"/>
  <c r="DL1775" i="3"/>
  <c r="O10" i="2"/>
  <c r="P146" i="2"/>
  <c r="O47" i="2"/>
  <c r="DK1661" i="3"/>
  <c r="DL1661" i="3"/>
  <c r="O63" i="2"/>
  <c r="P31" i="2"/>
  <c r="O62" i="2"/>
  <c r="O223" i="2"/>
  <c r="P13" i="2"/>
  <c r="P125" i="2"/>
  <c r="P212" i="2"/>
  <c r="O174" i="2"/>
  <c r="DK1795" i="3"/>
  <c r="DL1795" i="3"/>
  <c r="P130" i="2"/>
  <c r="O3" i="2"/>
  <c r="P144" i="2"/>
  <c r="O30" i="2"/>
  <c r="O161" i="2"/>
  <c r="O159" i="2"/>
  <c r="O201" i="2"/>
  <c r="O133" i="2"/>
  <c r="P172" i="2"/>
  <c r="O106" i="2"/>
  <c r="O118" i="2"/>
  <c r="O187" i="2"/>
  <c r="P180" i="2"/>
  <c r="P11" i="2"/>
  <c r="O64" i="2"/>
  <c r="O175" i="2"/>
  <c r="O185" i="2"/>
  <c r="O74" i="2"/>
  <c r="O129" i="2"/>
  <c r="O214" i="2"/>
  <c r="O213" i="2"/>
  <c r="O81" i="2"/>
  <c r="O147" i="2"/>
  <c r="Q222" i="2"/>
  <c r="P135" i="2"/>
  <c r="P139" i="2"/>
  <c r="P101" i="2"/>
  <c r="DK1909" i="3"/>
  <c r="DL1909" i="3"/>
  <c r="P196" i="2"/>
  <c r="O72" i="2"/>
  <c r="O179" i="2"/>
  <c r="O221" i="2"/>
  <c r="P204" i="2"/>
  <c r="O53" i="2"/>
  <c r="O200" i="2"/>
  <c r="O40" i="2"/>
  <c r="O216" i="2"/>
  <c r="P103" i="2"/>
  <c r="P113" i="2"/>
  <c r="O8" i="2"/>
  <c r="O151" i="2"/>
  <c r="P127" i="2"/>
  <c r="O149" i="2"/>
  <c r="O41" i="2"/>
  <c r="P32" i="2"/>
  <c r="P170" i="2"/>
  <c r="O206" i="2"/>
  <c r="O49" i="2"/>
  <c r="DK1681" i="3"/>
  <c r="DL1681" i="3"/>
  <c r="O66" i="2"/>
  <c r="O15" i="2"/>
  <c r="DK1851" i="3"/>
  <c r="DL1851" i="3"/>
  <c r="O148" i="2"/>
  <c r="O55" i="2"/>
  <c r="O79" i="2"/>
  <c r="P154" i="2"/>
  <c r="P42" i="2"/>
  <c r="O80" i="2"/>
  <c r="P123" i="2"/>
  <c r="DK2004" i="3"/>
  <c r="DL2004" i="3"/>
  <c r="P160" i="2"/>
  <c r="P134" i="2"/>
  <c r="O157" i="2"/>
  <c r="O9" i="2"/>
  <c r="O181" i="2"/>
  <c r="O73" i="2"/>
  <c r="O110" i="2"/>
  <c r="O108" i="2"/>
  <c r="O21" i="2"/>
  <c r="P131" i="2"/>
  <c r="O20" i="2"/>
  <c r="O207" i="2"/>
  <c r="P25" i="2"/>
  <c r="O82" i="2"/>
  <c r="P35" i="2"/>
  <c r="O68" i="2"/>
  <c r="O226" i="2"/>
  <c r="O164" i="2"/>
  <c r="O54" i="2"/>
  <c r="O4" i="2"/>
  <c r="O183" i="2"/>
  <c r="P45" i="2"/>
  <c r="O6" i="2"/>
  <c r="O136" i="2"/>
  <c r="O46" i="2"/>
  <c r="P100" i="2"/>
  <c r="O76" i="2"/>
  <c r="DN6" i="3" l="1"/>
  <c r="DO6" i="3" s="1"/>
  <c r="DL7" i="3"/>
  <c r="DL160" i="3"/>
  <c r="DN160" i="3" s="1"/>
  <c r="DO160" i="3" s="1"/>
  <c r="DN769" i="3"/>
  <c r="DO769" i="3" s="1"/>
  <c r="DL769" i="3"/>
  <c r="DN1471" i="3"/>
  <c r="DO1471" i="3" s="1"/>
  <c r="DL1471" i="3"/>
  <c r="DN3201" i="3"/>
  <c r="DO3201" i="3" s="1"/>
  <c r="DL3201" i="3"/>
  <c r="DN749" i="3"/>
  <c r="DO749" i="3" s="1"/>
  <c r="DL749" i="3"/>
  <c r="DN2384" i="3"/>
  <c r="DO2384" i="3" s="1"/>
  <c r="DL2384" i="3"/>
  <c r="DL122" i="3"/>
  <c r="DN122" i="3" s="1"/>
  <c r="DO122" i="3" s="1"/>
  <c r="DL4169" i="3"/>
  <c r="DN4169" i="3" s="1"/>
  <c r="DO4169" i="3" s="1"/>
  <c r="DL1148" i="3"/>
  <c r="DN1148" i="3" s="1"/>
  <c r="DO1148" i="3" s="1"/>
  <c r="DL4131" i="3"/>
  <c r="DN4131" i="3" s="1"/>
  <c r="DO4131" i="3" s="1"/>
  <c r="DN787" i="3"/>
  <c r="DO787" i="3" s="1"/>
  <c r="DL787" i="3"/>
  <c r="DN3505" i="3"/>
  <c r="DO3505" i="3" s="1"/>
  <c r="DL3505" i="3"/>
  <c r="DL4113" i="3"/>
  <c r="DN4113" i="3" s="1"/>
  <c r="DO4113" i="3" s="1"/>
  <c r="DL312" i="3"/>
  <c r="DN312" i="3" s="1"/>
  <c r="DO312" i="3" s="1"/>
  <c r="DL3827" i="3"/>
  <c r="DN3827" i="3" s="1"/>
  <c r="DO3827" i="3" s="1"/>
  <c r="DN3181" i="3"/>
  <c r="DO3181" i="3" s="1"/>
  <c r="DL3181" i="3"/>
  <c r="DN616" i="3"/>
  <c r="DO616" i="3" s="1"/>
  <c r="DL616" i="3"/>
  <c r="DN2478" i="3"/>
  <c r="DO2478" i="3" s="1"/>
  <c r="DL2478" i="3"/>
  <c r="DL1395" i="3"/>
  <c r="DN1395" i="3" s="1"/>
  <c r="DO1395" i="3" s="1"/>
  <c r="DN3315" i="3"/>
  <c r="DO3315" i="3" s="1"/>
  <c r="DL3315" i="3"/>
  <c r="DN597" i="3"/>
  <c r="DO597" i="3" s="1"/>
  <c r="DL597" i="3"/>
  <c r="DL4055" i="3"/>
  <c r="DN4055" i="3" s="1"/>
  <c r="DO4055" i="3" s="1"/>
  <c r="DL3979" i="3"/>
  <c r="DN3979" i="3" s="1"/>
  <c r="DO3979" i="3" s="1"/>
  <c r="DL1414" i="3"/>
  <c r="DN1414" i="3" s="1"/>
  <c r="DO1414" i="3" s="1"/>
  <c r="DN3447" i="3"/>
  <c r="DO3447" i="3" s="1"/>
  <c r="DL3447" i="3"/>
  <c r="DL4264" i="3"/>
  <c r="DN4264" i="3" s="1"/>
  <c r="DO4264" i="3" s="1"/>
  <c r="DN636" i="3"/>
  <c r="DO636" i="3" s="1"/>
  <c r="DL636" i="3"/>
  <c r="DL350" i="3"/>
  <c r="DN350" i="3" s="1"/>
  <c r="DO350" i="3" s="1"/>
  <c r="DN3409" i="3"/>
  <c r="DO3409" i="3" s="1"/>
  <c r="DL3409" i="3"/>
  <c r="DN2536" i="3"/>
  <c r="DO2536" i="3" s="1"/>
  <c r="DL2536" i="3"/>
  <c r="DL4017" i="3"/>
  <c r="DN4017" i="3" s="1"/>
  <c r="DO4017" i="3" s="1"/>
  <c r="DN2421" i="3"/>
  <c r="DO2421" i="3" s="1"/>
  <c r="DL2421" i="3"/>
  <c r="DN3485" i="3"/>
  <c r="DO3485" i="3" s="1"/>
  <c r="DL3485" i="3"/>
  <c r="DN3391" i="3"/>
  <c r="DO3391" i="3" s="1"/>
  <c r="DL3391" i="3"/>
  <c r="DN3239" i="3"/>
  <c r="DO3239" i="3" s="1"/>
  <c r="DL3239" i="3"/>
  <c r="DL3789" i="3"/>
  <c r="DN3789" i="3" s="1"/>
  <c r="DO3789" i="3" s="1"/>
  <c r="DN2441" i="3"/>
  <c r="DO2441" i="3" s="1"/>
  <c r="DL2441" i="3"/>
  <c r="DL3999" i="3"/>
  <c r="DN3999" i="3" s="1"/>
  <c r="DO3999" i="3" s="1"/>
  <c r="DL4207" i="3"/>
  <c r="DN4207" i="3" s="1"/>
  <c r="DO4207" i="3" s="1"/>
  <c r="DN560" i="3"/>
  <c r="DO560" i="3" s="1"/>
  <c r="DL560" i="3"/>
  <c r="DN3656" i="3"/>
  <c r="DO3656" i="3" s="1"/>
  <c r="DL3656" i="3"/>
  <c r="DN3219" i="3"/>
  <c r="DO3219" i="3" s="1"/>
  <c r="DL3219" i="3"/>
  <c r="DL4246" i="3"/>
  <c r="DN4246" i="3" s="1"/>
  <c r="DO4246" i="3" s="1"/>
  <c r="DL331" i="3"/>
  <c r="DN331" i="3" s="1"/>
  <c r="DO331" i="3" s="1"/>
  <c r="DN483" i="3"/>
  <c r="DO483" i="3" s="1"/>
  <c r="DL483" i="3"/>
  <c r="DL3941" i="3"/>
  <c r="DN3941" i="3" s="1"/>
  <c r="DO3941" i="3" s="1"/>
  <c r="DL3922" i="3"/>
  <c r="DN3922" i="3" s="1"/>
  <c r="DO3922" i="3" s="1"/>
  <c r="DN3466" i="3"/>
  <c r="DO3466" i="3" s="1"/>
  <c r="DL3466" i="3"/>
  <c r="DN2402" i="3"/>
  <c r="DO2402" i="3" s="1"/>
  <c r="DL2402" i="3"/>
  <c r="DL4093" i="3"/>
  <c r="DN4093" i="3" s="1"/>
  <c r="DO4093" i="3" s="1"/>
  <c r="DL1433" i="3"/>
  <c r="DN1433" i="3" s="1"/>
  <c r="DO1433" i="3" s="1"/>
  <c r="DL4303" i="3"/>
  <c r="DN4303" i="3" s="1"/>
  <c r="DO4303" i="3" s="1"/>
  <c r="DN1490" i="3"/>
  <c r="DO1490" i="3" s="1"/>
  <c r="DL1490" i="3"/>
  <c r="DL4074" i="3"/>
  <c r="DN4074" i="3" s="1"/>
  <c r="DO4074" i="3" s="1"/>
  <c r="DL3847" i="3"/>
  <c r="DN3847" i="3" s="1"/>
  <c r="DO3847" i="3" s="1"/>
  <c r="DN3695" i="3"/>
  <c r="DO3695" i="3" s="1"/>
  <c r="DL3695" i="3"/>
  <c r="DN3732" i="3"/>
  <c r="DO3732" i="3" s="1"/>
  <c r="DL3732" i="3"/>
  <c r="DN3713" i="3"/>
  <c r="DO3713" i="3" s="1"/>
  <c r="DL3713" i="3"/>
  <c r="DL3809" i="3"/>
  <c r="DN3809" i="3" s="1"/>
  <c r="DO3809" i="3" s="1"/>
  <c r="DL3865" i="3"/>
  <c r="DN3865" i="3" s="1"/>
  <c r="DO3865" i="3" s="1"/>
  <c r="DN3257" i="3"/>
  <c r="DO3257" i="3" s="1"/>
  <c r="DL3257" i="3"/>
  <c r="DL4228" i="3"/>
  <c r="DN4228" i="3" s="1"/>
  <c r="DO4228" i="3" s="1"/>
  <c r="DN3751" i="3"/>
  <c r="DO3751" i="3" s="1"/>
  <c r="DL3751" i="3"/>
  <c r="DN3333" i="3"/>
  <c r="DO3333" i="3" s="1"/>
  <c r="DL3333" i="3"/>
  <c r="DN3428" i="3"/>
  <c r="DO3428" i="3" s="1"/>
  <c r="DL3428" i="3"/>
  <c r="DL3960" i="3"/>
  <c r="DN3960" i="3" s="1"/>
  <c r="DO3960" i="3" s="1"/>
  <c r="DL3884" i="3"/>
  <c r="DN3884" i="3" s="1"/>
  <c r="DO3884" i="3" s="1"/>
  <c r="DL3770" i="3"/>
  <c r="DN3770" i="3" s="1"/>
  <c r="DO3770" i="3" s="1"/>
  <c r="DN3371" i="3"/>
  <c r="DO3371" i="3" s="1"/>
  <c r="DL3371" i="3"/>
  <c r="DN521" i="3"/>
  <c r="DO521" i="3" s="1"/>
  <c r="DL521" i="3"/>
  <c r="DN2554" i="3"/>
  <c r="DO2554" i="3" s="1"/>
  <c r="DL2554" i="3"/>
  <c r="DN826" i="3"/>
  <c r="DO826" i="3" s="1"/>
  <c r="DL826" i="3"/>
  <c r="DN1528" i="3"/>
  <c r="DO1528" i="3" s="1"/>
  <c r="DL1528" i="3"/>
  <c r="DL3903" i="3"/>
  <c r="DN3903" i="3" s="1"/>
  <c r="DO3903" i="3" s="1"/>
  <c r="DN2460" i="3"/>
  <c r="DO2460" i="3" s="1"/>
  <c r="DL2460" i="3"/>
  <c r="DL141" i="3"/>
  <c r="DN141" i="3" s="1"/>
  <c r="DO141" i="3" s="1"/>
  <c r="DN2517" i="3"/>
  <c r="DO2517" i="3" s="1"/>
  <c r="DL2517" i="3"/>
  <c r="DL4190" i="3"/>
  <c r="DN4190" i="3" s="1"/>
  <c r="DO4190" i="3" s="1"/>
  <c r="DN1509" i="3"/>
  <c r="DO1509" i="3" s="1"/>
  <c r="DL1509" i="3"/>
  <c r="DL4036" i="3"/>
  <c r="DN4036" i="3" s="1"/>
  <c r="DO4036" i="3" s="1"/>
  <c r="DL1376" i="3"/>
  <c r="DN1376" i="3" s="1"/>
  <c r="DO1376" i="3" s="1"/>
  <c r="DN3295" i="3"/>
  <c r="DO3295" i="3" s="1"/>
  <c r="DL3295" i="3"/>
  <c r="DL180" i="3"/>
  <c r="DN180" i="3" s="1"/>
  <c r="DO180" i="3" s="1"/>
  <c r="DN2497" i="3"/>
  <c r="DO2497" i="3" s="1"/>
  <c r="DL2497" i="3"/>
  <c r="DN540" i="3"/>
  <c r="DO540" i="3" s="1"/>
  <c r="DL540" i="3"/>
  <c r="DN3276" i="3"/>
  <c r="DO3276" i="3" s="1"/>
  <c r="DL3276" i="3"/>
  <c r="DL1167" i="3"/>
  <c r="DN1167" i="3" s="1"/>
  <c r="DO1167" i="3" s="1"/>
  <c r="DN1547" i="3"/>
  <c r="DO1547" i="3" s="1"/>
  <c r="DL1547" i="3"/>
  <c r="DN3353" i="3"/>
  <c r="DO3353" i="3" s="1"/>
  <c r="DL3353" i="3"/>
  <c r="DN806" i="3"/>
  <c r="DO806" i="3" s="1"/>
  <c r="DL806" i="3"/>
  <c r="DN3675" i="3"/>
  <c r="DO3675" i="3" s="1"/>
  <c r="DL3675" i="3"/>
  <c r="DL4151" i="3"/>
  <c r="DN4151" i="3" s="1"/>
  <c r="DO4151" i="3" s="1"/>
  <c r="DL103" i="3"/>
  <c r="DN103" i="3" s="1"/>
  <c r="DO103" i="3" s="1"/>
  <c r="DN1452" i="3"/>
  <c r="DO1452" i="3" s="1"/>
  <c r="DL1452" i="3"/>
  <c r="DN3637" i="3"/>
  <c r="DO3637" i="3" s="1"/>
  <c r="DL3637" i="3"/>
  <c r="DL4283" i="3"/>
  <c r="DN4283" i="3" s="1"/>
  <c r="DO4283" i="3" s="1"/>
  <c r="DK8" i="3"/>
  <c r="DM8" i="3" s="1"/>
  <c r="DK3581" i="3"/>
  <c r="DL3581" i="3"/>
  <c r="O2" i="2"/>
  <c r="P190" i="2"/>
  <c r="DK3619" i="3"/>
  <c r="DL3619" i="3"/>
  <c r="P192" i="2"/>
  <c r="P46" i="2"/>
  <c r="P54" i="2"/>
  <c r="P20" i="2"/>
  <c r="DK827" i="3"/>
  <c r="DK1263" i="3"/>
  <c r="DM1263" i="3" s="1"/>
  <c r="DL1263" i="3"/>
  <c r="DN1263" i="3" s="1"/>
  <c r="DO1263" i="3" s="1"/>
  <c r="Q100" i="2"/>
  <c r="Q45" i="2"/>
  <c r="P164" i="2"/>
  <c r="P68" i="2"/>
  <c r="P207" i="2"/>
  <c r="P108" i="2"/>
  <c r="DK1415" i="3"/>
  <c r="DM1415" i="3" s="1"/>
  <c r="DK845" i="3"/>
  <c r="DL845" i="3"/>
  <c r="DK85" i="3"/>
  <c r="DM85" i="3" s="1"/>
  <c r="DL85" i="3"/>
  <c r="DN85" i="3" s="1"/>
  <c r="DO85" i="3" s="1"/>
  <c r="DK3448" i="3"/>
  <c r="DL997" i="3"/>
  <c r="DN997" i="3" s="1"/>
  <c r="DO997" i="3" s="1"/>
  <c r="DK997" i="3"/>
  <c r="DM997" i="3" s="1"/>
  <c r="DK4265" i="3"/>
  <c r="DM4265" i="3" s="1"/>
  <c r="DK637" i="3"/>
  <c r="DK447" i="3"/>
  <c r="DM447" i="3" s="1"/>
  <c r="DL447" i="3"/>
  <c r="DN447" i="3" s="1"/>
  <c r="DO447" i="3" s="1"/>
  <c r="DK351" i="3"/>
  <c r="DM351" i="3" s="1"/>
  <c r="DK370" i="3"/>
  <c r="DM370" i="3" s="1"/>
  <c r="DL370" i="3"/>
  <c r="DN370" i="3" s="1"/>
  <c r="DO370" i="3" s="1"/>
  <c r="P110" i="2"/>
  <c r="P181" i="2"/>
  <c r="DK2954" i="3"/>
  <c r="DL2954" i="3"/>
  <c r="DK3012" i="3"/>
  <c r="DL3012" i="3"/>
  <c r="DK2309" i="3"/>
  <c r="DL2309" i="3"/>
  <c r="DK770" i="3"/>
  <c r="DK1472" i="3"/>
  <c r="DK2783" i="3"/>
  <c r="DL2783" i="3"/>
  <c r="DK1225" i="3"/>
  <c r="DM1225" i="3" s="1"/>
  <c r="DL1225" i="3"/>
  <c r="DN1225" i="3" s="1"/>
  <c r="DO1225" i="3" s="1"/>
  <c r="DK902" i="3"/>
  <c r="DL902" i="3"/>
  <c r="DK3202" i="3"/>
  <c r="DK750" i="3"/>
  <c r="DK2385" i="3"/>
  <c r="DK123" i="3"/>
  <c r="DM123" i="3" s="1"/>
  <c r="DK1929" i="3"/>
  <c r="DL1929" i="3"/>
  <c r="DK731" i="3"/>
  <c r="DL731" i="3"/>
  <c r="DK978" i="3"/>
  <c r="DM978" i="3" s="1"/>
  <c r="DL978" i="3"/>
  <c r="DN978" i="3" s="1"/>
  <c r="DO978" i="3" s="1"/>
  <c r="DK4170" i="3"/>
  <c r="DM4170" i="3" s="1"/>
  <c r="DK1339" i="3"/>
  <c r="DM1339" i="3" s="1"/>
  <c r="DL1339" i="3"/>
  <c r="DN1339" i="3" s="1"/>
  <c r="DO1339" i="3" s="1"/>
  <c r="DK2613" i="3"/>
  <c r="DL2613" i="3"/>
  <c r="DK4191" i="3"/>
  <c r="DM4191" i="3" s="1"/>
  <c r="DK1510" i="3"/>
  <c r="DK4037" i="3"/>
  <c r="DM4037" i="3" s="1"/>
  <c r="DK1377" i="3"/>
  <c r="DM1377" i="3" s="1"/>
  <c r="DK3296" i="3"/>
  <c r="DK181" i="3"/>
  <c r="DM181" i="3" s="1"/>
  <c r="DK3524" i="3"/>
  <c r="DL3524" i="3"/>
  <c r="DK1985" i="3"/>
  <c r="DL1985" i="3"/>
  <c r="DK2498" i="3"/>
  <c r="DK2992" i="3"/>
  <c r="DL2992" i="3"/>
  <c r="DK541" i="3"/>
  <c r="DK2708" i="3"/>
  <c r="DL2708" i="3"/>
  <c r="DK2442" i="3"/>
  <c r="DK3277" i="3"/>
  <c r="DK2347" i="3"/>
  <c r="DL2347" i="3"/>
  <c r="DK4208" i="3"/>
  <c r="DM4208" i="3" s="1"/>
  <c r="DK1168" i="3"/>
  <c r="DM1168" i="3" s="1"/>
  <c r="DK864" i="3"/>
  <c r="DL864" i="3"/>
  <c r="DK161" i="3"/>
  <c r="DM161" i="3" s="1"/>
  <c r="DK4056" i="3"/>
  <c r="DM4056" i="3" s="1"/>
  <c r="DK3164" i="3"/>
  <c r="DL3164" i="3"/>
  <c r="DK1662" i="3"/>
  <c r="DL1662" i="3"/>
  <c r="DK4132" i="3"/>
  <c r="DM4132" i="3" s="1"/>
  <c r="DK3354" i="3"/>
  <c r="DK2005" i="3"/>
  <c r="DL2005" i="3"/>
  <c r="DK1682" i="3"/>
  <c r="DL1682" i="3"/>
  <c r="DK522" i="3"/>
  <c r="DL522" i="3"/>
  <c r="DK2043" i="3"/>
  <c r="DL2043" i="3"/>
  <c r="DK389" i="3"/>
  <c r="DM389" i="3" s="1"/>
  <c r="DL389" i="3"/>
  <c r="DN389" i="3" s="1"/>
  <c r="DO389" i="3" s="1"/>
  <c r="DK409" i="3"/>
  <c r="DM409" i="3" s="1"/>
  <c r="DL409" i="3"/>
  <c r="DN409" i="3" s="1"/>
  <c r="DO409" i="3" s="1"/>
  <c r="DK2574" i="3"/>
  <c r="DL2574" i="3"/>
  <c r="DK3506" i="3"/>
  <c r="DK674" i="3"/>
  <c r="DL674" i="3"/>
  <c r="DK66" i="3"/>
  <c r="DM66" i="3" s="1"/>
  <c r="DL66" i="3"/>
  <c r="DN66" i="3" s="1"/>
  <c r="DO66" i="3" s="1"/>
  <c r="DK3810" i="3"/>
  <c r="DM3810" i="3" s="1"/>
  <c r="DK4114" i="3"/>
  <c r="DM4114" i="3" s="1"/>
  <c r="DK313" i="3"/>
  <c r="DM313" i="3" s="1"/>
  <c r="DK3828" i="3"/>
  <c r="DM3828" i="3" s="1"/>
  <c r="P122" i="2"/>
  <c r="DK2974" i="3"/>
  <c r="DL2974" i="3"/>
  <c r="DK807" i="3"/>
  <c r="DK2860" i="3"/>
  <c r="DL2860" i="3"/>
  <c r="DK332" i="3"/>
  <c r="DM332" i="3" s="1"/>
  <c r="DK3182" i="3"/>
  <c r="DK2271" i="3"/>
  <c r="DL2271" i="3"/>
  <c r="DK617" i="3"/>
  <c r="DK3676" i="3"/>
  <c r="DK1283" i="3"/>
  <c r="DM1283" i="3" s="1"/>
  <c r="DL1283" i="3"/>
  <c r="DN1283" i="3" s="1"/>
  <c r="DO1283" i="3" s="1"/>
  <c r="DL959" i="3"/>
  <c r="DK959" i="3"/>
  <c r="P105" i="2"/>
  <c r="DK4152" i="3"/>
  <c r="DM4152" i="3" s="1"/>
  <c r="DK3068" i="3"/>
  <c r="DL3068" i="3"/>
  <c r="DK2195" i="3"/>
  <c r="DL2195" i="3"/>
  <c r="DK104" i="3"/>
  <c r="DM104" i="3" s="1"/>
  <c r="DK427" i="3"/>
  <c r="DM427" i="3" s="1"/>
  <c r="DL427" i="3"/>
  <c r="DN427" i="3" s="1"/>
  <c r="DO427" i="3" s="1"/>
  <c r="DL921" i="3"/>
  <c r="DK921" i="3"/>
  <c r="DK2916" i="3"/>
  <c r="DL2916" i="3"/>
  <c r="DK3562" i="3"/>
  <c r="DL3562" i="3"/>
  <c r="DK2670" i="3"/>
  <c r="DL2670" i="3"/>
  <c r="DK3752" i="3"/>
  <c r="DK1947" i="3"/>
  <c r="DL1947" i="3"/>
  <c r="DK275" i="3"/>
  <c r="DM275" i="3" s="1"/>
  <c r="DL275" i="3"/>
  <c r="DN275" i="3" s="1"/>
  <c r="DO275" i="3" s="1"/>
  <c r="DK1396" i="3"/>
  <c r="DM1396" i="3" s="1"/>
  <c r="DK1245" i="3"/>
  <c r="DM1245" i="3" s="1"/>
  <c r="DL1245" i="3"/>
  <c r="DN1245" i="3" s="1"/>
  <c r="DO1245" i="3" s="1"/>
  <c r="DK3316" i="3"/>
  <c r="DK3638" i="3"/>
  <c r="DK1092" i="3"/>
  <c r="DM1092" i="3" s="1"/>
  <c r="DL1092" i="3"/>
  <c r="DN1092" i="3" s="1"/>
  <c r="DO1092" i="3" s="1"/>
  <c r="DK2822" i="3"/>
  <c r="DL2822" i="3"/>
  <c r="DK3961" i="3"/>
  <c r="DM3961" i="3" s="1"/>
  <c r="DL1112" i="3"/>
  <c r="DN1112" i="3" s="1"/>
  <c r="DO1112" i="3" s="1"/>
  <c r="DK1112" i="3"/>
  <c r="DM1112" i="3" s="1"/>
  <c r="DK4304" i="3"/>
  <c r="DM4304" i="3" s="1"/>
  <c r="DK199" i="3"/>
  <c r="DM199" i="3" s="1"/>
  <c r="DK3733" i="3"/>
  <c r="DK4284" i="3"/>
  <c r="DM4284" i="3" s="1"/>
  <c r="DK2878" i="3"/>
  <c r="DL2878" i="3"/>
  <c r="DK1586" i="3"/>
  <c r="DL1586" i="3"/>
  <c r="DK1568" i="3"/>
  <c r="DL1568" i="3"/>
  <c r="DK1720" i="3"/>
  <c r="DL1720" i="3"/>
  <c r="DK1606" i="3"/>
  <c r="DL1606" i="3"/>
  <c r="DK1700" i="3"/>
  <c r="DL1700" i="3"/>
  <c r="DK788" i="3"/>
  <c r="DK1624" i="3"/>
  <c r="DL1624" i="3"/>
  <c r="DK1834" i="3"/>
  <c r="DL1834" i="3"/>
  <c r="DK2100" i="3"/>
  <c r="DL2100" i="3"/>
  <c r="DK294" i="3"/>
  <c r="DM294" i="3" s="1"/>
  <c r="DL294" i="3"/>
  <c r="DN294" i="3" s="1"/>
  <c r="DO294" i="3" s="1"/>
  <c r="P6" i="2"/>
  <c r="Q35" i="2"/>
  <c r="P21" i="2"/>
  <c r="DK2061" i="3"/>
  <c r="DL2061" i="3"/>
  <c r="DK3410" i="3"/>
  <c r="P157" i="2"/>
  <c r="Q160" i="2"/>
  <c r="Q123" i="2"/>
  <c r="Q42" i="2"/>
  <c r="P79" i="2"/>
  <c r="P148" i="2"/>
  <c r="P66" i="2"/>
  <c r="P49" i="2"/>
  <c r="Q170" i="2"/>
  <c r="P41" i="2"/>
  <c r="Q127" i="2"/>
  <c r="P8" i="2"/>
  <c r="Q103" i="2"/>
  <c r="P40" i="2"/>
  <c r="P53" i="2"/>
  <c r="P221" i="2"/>
  <c r="P72" i="2"/>
  <c r="Q139" i="2"/>
  <c r="R222" i="2"/>
  <c r="P81" i="2"/>
  <c r="P214" i="2"/>
  <c r="P74" i="2"/>
  <c r="P175" i="2"/>
  <c r="Q11" i="2"/>
  <c r="P187" i="2"/>
  <c r="P106" i="2"/>
  <c r="P133" i="2"/>
  <c r="P159" i="2"/>
  <c r="P30" i="2"/>
  <c r="Q144" i="2"/>
  <c r="Q130" i="2"/>
  <c r="P174" i="2"/>
  <c r="Q125" i="2"/>
  <c r="P223" i="2"/>
  <c r="P63" i="2"/>
  <c r="P47" i="2"/>
  <c r="P10" i="2"/>
  <c r="P215" i="2"/>
  <c r="Q168" i="2"/>
  <c r="P89" i="2"/>
  <c r="P219" i="2"/>
  <c r="Q178" i="2"/>
  <c r="Q107" i="2"/>
  <c r="Q90" i="2"/>
  <c r="P29" i="2"/>
  <c r="Q109" i="2"/>
  <c r="P22" i="2"/>
  <c r="Q23" i="2"/>
  <c r="P137" i="2"/>
  <c r="Q186" i="2"/>
  <c r="P37" i="2"/>
  <c r="P5" i="2"/>
  <c r="Q202" i="2"/>
  <c r="Q218" i="2"/>
  <c r="P18" i="2"/>
  <c r="P203" i="2"/>
  <c r="DK2289" i="3"/>
  <c r="DL2289" i="3"/>
  <c r="Q158" i="2"/>
  <c r="P44" i="2"/>
  <c r="Q152" i="2"/>
  <c r="P19" i="2"/>
  <c r="P169" i="2"/>
  <c r="Q121" i="2"/>
  <c r="P34" i="2"/>
  <c r="P195" i="2"/>
  <c r="Q69" i="2"/>
  <c r="P52" i="2"/>
  <c r="DK1966" i="3"/>
  <c r="DL1966" i="3"/>
  <c r="Q220" i="2"/>
  <c r="P163" i="2"/>
  <c r="Q117" i="2"/>
  <c r="P7" i="2"/>
  <c r="P24" i="2"/>
  <c r="P50" i="2"/>
  <c r="P155" i="2"/>
  <c r="P189" i="2"/>
  <c r="Q142" i="2"/>
  <c r="P199" i="2"/>
  <c r="P104" i="2"/>
  <c r="P16" i="2"/>
  <c r="P75" i="2"/>
  <c r="Q67" i="2"/>
  <c r="Q176" i="2"/>
  <c r="P193" i="2"/>
  <c r="P59" i="2"/>
  <c r="Q150" i="2"/>
  <c r="P210" i="2"/>
  <c r="Q60" i="2"/>
  <c r="Q228" i="2"/>
  <c r="P12" i="2"/>
  <c r="P198" i="2"/>
  <c r="P227" i="2"/>
  <c r="P153" i="2"/>
  <c r="P85" i="2"/>
  <c r="Q84" i="2"/>
  <c r="Q92" i="2"/>
  <c r="Q86" i="2"/>
  <c r="P91" i="2"/>
  <c r="P43" i="2"/>
  <c r="P87" i="2"/>
  <c r="Q98" i="2"/>
  <c r="Q112" i="2"/>
  <c r="P17" i="2"/>
  <c r="P76" i="2"/>
  <c r="P226" i="2"/>
  <c r="DK2555" i="3"/>
  <c r="DK3087" i="3"/>
  <c r="DL3087" i="3"/>
  <c r="DK1529" i="3"/>
  <c r="DK2461" i="3"/>
  <c r="DK2023" i="3"/>
  <c r="DL2023" i="3"/>
  <c r="DK1358" i="3"/>
  <c r="DM1358" i="3" s="1"/>
  <c r="DL1358" i="3"/>
  <c r="DN1358" i="3" s="1"/>
  <c r="DO1358" i="3" s="1"/>
  <c r="DK142" i="3"/>
  <c r="DM142" i="3" s="1"/>
  <c r="DL142" i="3"/>
  <c r="DN142" i="3" s="1"/>
  <c r="DO142" i="3" s="1"/>
  <c r="DK2518" i="3"/>
  <c r="DK1491" i="3"/>
  <c r="DK2898" i="3"/>
  <c r="DL2898" i="3"/>
  <c r="DL1016" i="3"/>
  <c r="DN1016" i="3" s="1"/>
  <c r="DO1016" i="3" s="1"/>
  <c r="DK1016" i="3"/>
  <c r="DM1016" i="3" s="1"/>
  <c r="DK256" i="3"/>
  <c r="DM256" i="3" s="1"/>
  <c r="DL256" i="3"/>
  <c r="DN256" i="3" s="1"/>
  <c r="DO256" i="3" s="1"/>
  <c r="DK3885" i="3"/>
  <c r="DM3885" i="3" s="1"/>
  <c r="DK580" i="3"/>
  <c r="DK2802" i="3"/>
  <c r="DL2802" i="3"/>
  <c r="DK2840" i="3"/>
  <c r="DL2840" i="3"/>
  <c r="DK2119" i="3"/>
  <c r="DL2119" i="3"/>
  <c r="DK4075" i="3"/>
  <c r="DM4075" i="3" s="1"/>
  <c r="DK3771" i="3"/>
  <c r="DM3771" i="3" s="1"/>
  <c r="DK3848" i="3"/>
  <c r="DM3848" i="3" s="1"/>
  <c r="DK3372" i="3"/>
  <c r="DK3696" i="3"/>
  <c r="DK1891" i="3"/>
  <c r="DL1891" i="3"/>
  <c r="DK2537" i="3"/>
  <c r="DK2764" i="3"/>
  <c r="DL2764" i="3"/>
  <c r="DK4018" i="3"/>
  <c r="DM4018" i="3" s="1"/>
  <c r="DK2422" i="3"/>
  <c r="DK3486" i="3"/>
  <c r="DK1187" i="3"/>
  <c r="DM1187" i="3" s="1"/>
  <c r="DL1187" i="3"/>
  <c r="DN1187" i="3" s="1"/>
  <c r="DO1187" i="3" s="1"/>
  <c r="DK3392" i="3"/>
  <c r="DK2213" i="3"/>
  <c r="DL2213" i="3"/>
  <c r="DK3240" i="3"/>
  <c r="DK3790" i="3"/>
  <c r="DM3790" i="3" s="1"/>
  <c r="DK3030" i="3"/>
  <c r="DL3030" i="3"/>
  <c r="DK28" i="3"/>
  <c r="DM28" i="3" s="1"/>
  <c r="DK4000" i="3"/>
  <c r="DM4000" i="3" s="1"/>
  <c r="DK219" i="3"/>
  <c r="DM219" i="3" s="1"/>
  <c r="DL219" i="3"/>
  <c r="DN219" i="3" s="1"/>
  <c r="DO219" i="3" s="1"/>
  <c r="P62" i="2"/>
  <c r="DK561" i="3"/>
  <c r="DK2746" i="3"/>
  <c r="DL2746" i="3"/>
  <c r="DK2594" i="3"/>
  <c r="DL2594" i="3"/>
  <c r="DK1796" i="3"/>
  <c r="DL1796" i="3"/>
  <c r="DK940" i="3"/>
  <c r="DL940" i="3"/>
  <c r="DK1852" i="3"/>
  <c r="DL1852" i="3"/>
  <c r="DK1910" i="3"/>
  <c r="DL1910" i="3"/>
  <c r="DK1776" i="3"/>
  <c r="DL1776" i="3"/>
  <c r="DK3980" i="3"/>
  <c r="DM3980" i="3" s="1"/>
  <c r="DK3106" i="3"/>
  <c r="DL3106" i="3"/>
  <c r="DK1206" i="3"/>
  <c r="DM1206" i="3" s="1"/>
  <c r="DL1206" i="3"/>
  <c r="DN1206" i="3" s="1"/>
  <c r="DO1206" i="3" s="1"/>
  <c r="DK3714" i="3"/>
  <c r="DK712" i="3"/>
  <c r="DL712" i="3"/>
  <c r="DK3657" i="3"/>
  <c r="P14" i="2"/>
  <c r="DK2650" i="3"/>
  <c r="DL2650" i="3"/>
  <c r="DK1321" i="3"/>
  <c r="DM1321" i="3" s="1"/>
  <c r="DL1321" i="3"/>
  <c r="DN1321" i="3" s="1"/>
  <c r="DO1321" i="3" s="1"/>
  <c r="DK2936" i="3"/>
  <c r="DL2936" i="3"/>
  <c r="DK3866" i="3"/>
  <c r="DM3866" i="3" s="1"/>
  <c r="DK884" i="3"/>
  <c r="DL884" i="3"/>
  <c r="DK2631" i="3"/>
  <c r="DL2631" i="3"/>
  <c r="DK3220" i="3"/>
  <c r="DK3600" i="3"/>
  <c r="DL3600" i="3"/>
  <c r="DK4247" i="3"/>
  <c r="DM4247" i="3" s="1"/>
  <c r="P58" i="2"/>
  <c r="P124" i="2"/>
  <c r="DK2233" i="3"/>
  <c r="DL2233" i="3"/>
  <c r="P173" i="2"/>
  <c r="DK4229" i="3"/>
  <c r="DM4229" i="3" s="1"/>
  <c r="DK503" i="3"/>
  <c r="DK466" i="3"/>
  <c r="DL466" i="3"/>
  <c r="DK484" i="3"/>
  <c r="DK2251" i="3"/>
  <c r="DL2251" i="3"/>
  <c r="DK2727" i="3"/>
  <c r="DL2727" i="3"/>
  <c r="P126" i="2"/>
  <c r="DK3942" i="3"/>
  <c r="DM3942" i="3" s="1"/>
  <c r="DK1054" i="3"/>
  <c r="DM1054" i="3" s="1"/>
  <c r="DL1054" i="3"/>
  <c r="DN1054" i="3" s="1"/>
  <c r="DO1054" i="3" s="1"/>
  <c r="DK1130" i="3"/>
  <c r="DM1130" i="3" s="1"/>
  <c r="DL1130" i="3"/>
  <c r="DN1130" i="3" s="1"/>
  <c r="DO1130" i="3" s="1"/>
  <c r="DK3923" i="3"/>
  <c r="DM3923" i="3" s="1"/>
  <c r="DK3467" i="3"/>
  <c r="DK3126" i="3"/>
  <c r="DL3126" i="3"/>
  <c r="DK2403" i="3"/>
  <c r="DK2479" i="3"/>
  <c r="DK1035" i="3"/>
  <c r="DM1035" i="3" s="1"/>
  <c r="DL1035" i="3"/>
  <c r="DN1035" i="3" s="1"/>
  <c r="DO1035" i="3" s="1"/>
  <c r="DK3144" i="3"/>
  <c r="DL3144" i="3"/>
  <c r="DK1453" i="3"/>
  <c r="DL655" i="3"/>
  <c r="DK655" i="3"/>
  <c r="DK3334" i="3"/>
  <c r="DK3429" i="3"/>
  <c r="P114" i="2"/>
  <c r="DK4094" i="3"/>
  <c r="DM4094" i="3" s="1"/>
  <c r="DK1434" i="3"/>
  <c r="DM1434" i="3" s="1"/>
  <c r="DK598" i="3"/>
  <c r="DL598" i="3"/>
  <c r="DK694" i="3"/>
  <c r="DL694" i="3"/>
  <c r="DK1301" i="3"/>
  <c r="DM1301" i="3" s="1"/>
  <c r="DL1301" i="3"/>
  <c r="DN1301" i="3" s="1"/>
  <c r="DO1301" i="3" s="1"/>
  <c r="DK2689" i="3"/>
  <c r="DL2689" i="3"/>
  <c r="DK3544" i="3"/>
  <c r="DL3544" i="3"/>
  <c r="DK1814" i="3"/>
  <c r="DL1814" i="3"/>
  <c r="DK2080" i="3"/>
  <c r="DL2080" i="3"/>
  <c r="DK1738" i="3"/>
  <c r="DL1738" i="3"/>
  <c r="DK3050" i="3"/>
  <c r="DL3050" i="3"/>
  <c r="DK1758" i="3"/>
  <c r="DL1758" i="3"/>
  <c r="DK2176" i="3"/>
  <c r="DL2176" i="3"/>
  <c r="DK1548" i="3"/>
  <c r="DK2156" i="3"/>
  <c r="DL2156" i="3"/>
  <c r="DK1644" i="3"/>
  <c r="DL1644" i="3"/>
  <c r="P183" i="2"/>
  <c r="Q25" i="2"/>
  <c r="DK1872" i="3"/>
  <c r="DL1872" i="3"/>
  <c r="DK47" i="3"/>
  <c r="DM47" i="3" s="1"/>
  <c r="DL47" i="3"/>
  <c r="DN47" i="3" s="1"/>
  <c r="DO47" i="3" s="1"/>
  <c r="DK3904" i="3"/>
  <c r="DM3904" i="3" s="1"/>
  <c r="P136" i="2"/>
  <c r="P4" i="2"/>
  <c r="P82" i="2"/>
  <c r="Q131" i="2"/>
  <c r="P73" i="2"/>
  <c r="P9" i="2"/>
  <c r="Q134" i="2"/>
  <c r="P80" i="2"/>
  <c r="Q154" i="2"/>
  <c r="P55" i="2"/>
  <c r="P15" i="2"/>
  <c r="P206" i="2"/>
  <c r="Q32" i="2"/>
  <c r="P149" i="2"/>
  <c r="P151" i="2"/>
  <c r="Q113" i="2"/>
  <c r="P216" i="2"/>
  <c r="P200" i="2"/>
  <c r="Q204" i="2"/>
  <c r="P179" i="2"/>
  <c r="Q196" i="2"/>
  <c r="Q101" i="2"/>
  <c r="Q135" i="2"/>
  <c r="P147" i="2"/>
  <c r="P213" i="2"/>
  <c r="P129" i="2"/>
  <c r="P185" i="2"/>
  <c r="P64" i="2"/>
  <c r="Q180" i="2"/>
  <c r="P118" i="2"/>
  <c r="Q172" i="2"/>
  <c r="P201" i="2"/>
  <c r="P161" i="2"/>
  <c r="P3" i="2"/>
  <c r="Q212" i="2"/>
  <c r="Q13" i="2"/>
  <c r="DK1149" i="3"/>
  <c r="DM1149" i="3" s="1"/>
  <c r="Q31" i="2"/>
  <c r="Q146" i="2"/>
  <c r="Q138" i="2"/>
  <c r="Q96" i="2"/>
  <c r="P51" i="2"/>
  <c r="P99" i="2"/>
  <c r="Q102" i="2"/>
  <c r="P95" i="2"/>
  <c r="P211" i="2"/>
  <c r="P165" i="2"/>
  <c r="P65" i="2"/>
  <c r="P197" i="2"/>
  <c r="P39" i="2"/>
  <c r="P194" i="2"/>
  <c r="DK237" i="3"/>
  <c r="DM237" i="3" s="1"/>
  <c r="DL237" i="3"/>
  <c r="DN237" i="3" s="1"/>
  <c r="DO237" i="3" s="1"/>
  <c r="P141" i="2"/>
  <c r="Q71" i="2"/>
  <c r="Q156" i="2"/>
  <c r="P205" i="2"/>
  <c r="Q48" i="2"/>
  <c r="P140" i="2"/>
  <c r="P171" i="2"/>
  <c r="P191" i="2"/>
  <c r="Q225" i="2"/>
  <c r="DK1073" i="3"/>
  <c r="DM1073" i="3" s="1"/>
  <c r="DL1073" i="3"/>
  <c r="DN1073" i="3" s="1"/>
  <c r="DO1073" i="3" s="1"/>
  <c r="DK2327" i="3"/>
  <c r="DL2327" i="3"/>
  <c r="Q119" i="2"/>
  <c r="DK3258" i="3"/>
  <c r="R224" i="2"/>
  <c r="P28" i="2"/>
  <c r="Q26" i="2"/>
  <c r="P27" i="2"/>
  <c r="P120" i="2"/>
  <c r="Q145" i="2"/>
  <c r="DK2365" i="3"/>
  <c r="DL2365" i="3"/>
  <c r="P209" i="2"/>
  <c r="P57" i="2"/>
  <c r="P61" i="2"/>
  <c r="P208" i="2"/>
  <c r="P184" i="2"/>
  <c r="Q166" i="2"/>
  <c r="P128" i="2"/>
  <c r="P132" i="2"/>
  <c r="P56" i="2"/>
  <c r="P167" i="2"/>
  <c r="P78" i="2"/>
  <c r="P36" i="2"/>
  <c r="P177" i="2"/>
  <c r="P182" i="2"/>
  <c r="DK2137" i="3"/>
  <c r="DL2137" i="3"/>
  <c r="P217" i="2"/>
  <c r="P77" i="2"/>
  <c r="P33" i="2"/>
  <c r="Q38" i="2"/>
  <c r="P70" i="2"/>
  <c r="Q143" i="2"/>
  <c r="Q188" i="2"/>
  <c r="P97" i="2"/>
  <c r="P111" i="2"/>
  <c r="P93" i="2"/>
  <c r="Q162" i="2"/>
  <c r="Q94" i="2"/>
  <c r="Q116" i="2"/>
  <c r="P83" i="2"/>
  <c r="P115" i="2"/>
  <c r="Q88" i="2"/>
  <c r="DN7" i="3" l="1"/>
  <c r="DO7" i="3" s="1"/>
  <c r="DL8" i="3"/>
  <c r="DN3334" i="3"/>
  <c r="DO3334" i="3" s="1"/>
  <c r="DL3334" i="3"/>
  <c r="DN2403" i="3"/>
  <c r="DO2403" i="3" s="1"/>
  <c r="DL2403" i="3"/>
  <c r="DN3467" i="3"/>
  <c r="DO3467" i="3" s="1"/>
  <c r="DL3467" i="3"/>
  <c r="DL3942" i="3"/>
  <c r="DN3942" i="3" s="1"/>
  <c r="DO3942" i="3" s="1"/>
  <c r="DL4247" i="3"/>
  <c r="DN4247" i="3" s="1"/>
  <c r="DO4247" i="3" s="1"/>
  <c r="DN3220" i="3"/>
  <c r="DO3220" i="3" s="1"/>
  <c r="DL3220" i="3"/>
  <c r="DL28" i="3"/>
  <c r="DN28" i="3" s="1"/>
  <c r="DO28" i="3" s="1"/>
  <c r="DL3790" i="3"/>
  <c r="DN3790" i="3" s="1"/>
  <c r="DO3790" i="3" s="1"/>
  <c r="DN2422" i="3"/>
  <c r="DO2422" i="3" s="1"/>
  <c r="DL2422" i="3"/>
  <c r="DN3372" i="3"/>
  <c r="DO3372" i="3" s="1"/>
  <c r="DL3372" i="3"/>
  <c r="DL3771" i="3"/>
  <c r="DN3771" i="3" s="1"/>
  <c r="DO3771" i="3" s="1"/>
  <c r="DL3885" i="3"/>
  <c r="DN3885" i="3" s="1"/>
  <c r="DO3885" i="3" s="1"/>
  <c r="DN1491" i="3"/>
  <c r="DO1491" i="3" s="1"/>
  <c r="DL1491" i="3"/>
  <c r="DN1529" i="3"/>
  <c r="DO1529" i="3" s="1"/>
  <c r="DL1529" i="3"/>
  <c r="DN2555" i="3"/>
  <c r="DO2555" i="3" s="1"/>
  <c r="DL2555" i="3"/>
  <c r="DN788" i="3"/>
  <c r="DO788" i="3" s="1"/>
  <c r="DL788" i="3"/>
  <c r="DN3733" i="3"/>
  <c r="DO3733" i="3" s="1"/>
  <c r="DL3733" i="3"/>
  <c r="DL4304" i="3"/>
  <c r="DN4304" i="3" s="1"/>
  <c r="DO4304" i="3" s="1"/>
  <c r="DL3961" i="3"/>
  <c r="DN3961" i="3" s="1"/>
  <c r="DO3961" i="3" s="1"/>
  <c r="DN3316" i="3"/>
  <c r="DO3316" i="3" s="1"/>
  <c r="DL3316" i="3"/>
  <c r="DL1396" i="3"/>
  <c r="DN1396" i="3" s="1"/>
  <c r="DO1396" i="3" s="1"/>
  <c r="DL4152" i="3"/>
  <c r="DN4152" i="3" s="1"/>
  <c r="DO4152" i="3" s="1"/>
  <c r="DL3828" i="3"/>
  <c r="DN3828" i="3" s="1"/>
  <c r="DO3828" i="3" s="1"/>
  <c r="DL4114" i="3"/>
  <c r="DN4114" i="3" s="1"/>
  <c r="DO4114" i="3" s="1"/>
  <c r="DN3506" i="3"/>
  <c r="DO3506" i="3" s="1"/>
  <c r="DL3506" i="3"/>
  <c r="DN3354" i="3"/>
  <c r="DO3354" i="3" s="1"/>
  <c r="DL3354" i="3"/>
  <c r="DL4056" i="3"/>
  <c r="DN4056" i="3" s="1"/>
  <c r="DO4056" i="3" s="1"/>
  <c r="DL4208" i="3"/>
  <c r="DN4208" i="3" s="1"/>
  <c r="DO4208" i="3" s="1"/>
  <c r="DN3277" i="3"/>
  <c r="DO3277" i="3" s="1"/>
  <c r="DL3277" i="3"/>
  <c r="DL181" i="3"/>
  <c r="DN181" i="3" s="1"/>
  <c r="DO181" i="3" s="1"/>
  <c r="DL1377" i="3"/>
  <c r="DN1377" i="3" s="1"/>
  <c r="DO1377" i="3" s="1"/>
  <c r="DN1510" i="3"/>
  <c r="DO1510" i="3" s="1"/>
  <c r="DL1510" i="3"/>
  <c r="DL4170" i="3"/>
  <c r="DN4170" i="3" s="1"/>
  <c r="DO4170" i="3" s="1"/>
  <c r="DL123" i="3"/>
  <c r="DN123" i="3" s="1"/>
  <c r="DO123" i="3" s="1"/>
  <c r="DN750" i="3"/>
  <c r="DO750" i="3" s="1"/>
  <c r="DL750" i="3"/>
  <c r="DN770" i="3"/>
  <c r="DO770" i="3" s="1"/>
  <c r="DL770" i="3"/>
  <c r="DL351" i="3"/>
  <c r="DN351" i="3" s="1"/>
  <c r="DO351" i="3" s="1"/>
  <c r="DL1415" i="3"/>
  <c r="DN1415" i="3" s="1"/>
  <c r="DO1415" i="3" s="1"/>
  <c r="DL3904" i="3"/>
  <c r="DN3904" i="3" s="1"/>
  <c r="DO3904" i="3" s="1"/>
  <c r="DN1548" i="3"/>
  <c r="DO1548" i="3" s="1"/>
  <c r="DL1548" i="3"/>
  <c r="DL1434" i="3"/>
  <c r="DN1434" i="3" s="1"/>
  <c r="DO1434" i="3" s="1"/>
  <c r="DN1453" i="3"/>
  <c r="DO1453" i="3" s="1"/>
  <c r="DL1453" i="3"/>
  <c r="DL4229" i="3"/>
  <c r="DN4229" i="3" s="1"/>
  <c r="DO4229" i="3" s="1"/>
  <c r="DL3980" i="3"/>
  <c r="DN3980" i="3" s="1"/>
  <c r="DO3980" i="3" s="1"/>
  <c r="DN561" i="3"/>
  <c r="DO561" i="3" s="1"/>
  <c r="DL561" i="3"/>
  <c r="DN3410" i="3"/>
  <c r="DO3410" i="3" s="1"/>
  <c r="DL3410" i="3"/>
  <c r="DN617" i="3"/>
  <c r="DO617" i="3" s="1"/>
  <c r="DL617" i="3"/>
  <c r="DN3182" i="3"/>
  <c r="DO3182" i="3" s="1"/>
  <c r="DL3182" i="3"/>
  <c r="DN637" i="3"/>
  <c r="DO637" i="3" s="1"/>
  <c r="DL637" i="3"/>
  <c r="DN3429" i="3"/>
  <c r="DO3429" i="3" s="1"/>
  <c r="DL3429" i="3"/>
  <c r="DN2479" i="3"/>
  <c r="DO2479" i="3" s="1"/>
  <c r="DL2479" i="3"/>
  <c r="DL3923" i="3"/>
  <c r="DN3923" i="3" s="1"/>
  <c r="DO3923" i="3" s="1"/>
  <c r="DL3866" i="3"/>
  <c r="DN3866" i="3" s="1"/>
  <c r="DO3866" i="3" s="1"/>
  <c r="DL4000" i="3"/>
  <c r="DN4000" i="3" s="1"/>
  <c r="DO4000" i="3" s="1"/>
  <c r="DN3240" i="3"/>
  <c r="DO3240" i="3" s="1"/>
  <c r="DL3240" i="3"/>
  <c r="DN3392" i="3"/>
  <c r="DO3392" i="3" s="1"/>
  <c r="DL3392" i="3"/>
  <c r="DN3486" i="3"/>
  <c r="DO3486" i="3" s="1"/>
  <c r="DL3486" i="3"/>
  <c r="DL4018" i="3"/>
  <c r="DN4018" i="3" s="1"/>
  <c r="DO4018" i="3" s="1"/>
  <c r="DN2537" i="3"/>
  <c r="DO2537" i="3" s="1"/>
  <c r="DL2537" i="3"/>
  <c r="DN3696" i="3"/>
  <c r="DO3696" i="3" s="1"/>
  <c r="DL3696" i="3"/>
  <c r="DL3848" i="3"/>
  <c r="DN3848" i="3" s="1"/>
  <c r="DO3848" i="3" s="1"/>
  <c r="DL4075" i="3"/>
  <c r="DN4075" i="3" s="1"/>
  <c r="DO4075" i="3" s="1"/>
  <c r="DN580" i="3"/>
  <c r="DO580" i="3" s="1"/>
  <c r="DL580" i="3"/>
  <c r="DN2518" i="3"/>
  <c r="DO2518" i="3" s="1"/>
  <c r="DL2518" i="3"/>
  <c r="DN2461" i="3"/>
  <c r="DO2461" i="3" s="1"/>
  <c r="DL2461" i="3"/>
  <c r="DL4284" i="3"/>
  <c r="DN4284" i="3" s="1"/>
  <c r="DO4284" i="3" s="1"/>
  <c r="DL199" i="3"/>
  <c r="DN199" i="3" s="1"/>
  <c r="DO199" i="3" s="1"/>
  <c r="DN3638" i="3"/>
  <c r="DO3638" i="3" s="1"/>
  <c r="DL3638" i="3"/>
  <c r="DN3752" i="3"/>
  <c r="DO3752" i="3" s="1"/>
  <c r="DL3752" i="3"/>
  <c r="DL104" i="3"/>
  <c r="DN104" i="3" s="1"/>
  <c r="DO104" i="3" s="1"/>
  <c r="DL313" i="3"/>
  <c r="DN313" i="3" s="1"/>
  <c r="DO313" i="3" s="1"/>
  <c r="DL3810" i="3"/>
  <c r="DN3810" i="3" s="1"/>
  <c r="DO3810" i="3" s="1"/>
  <c r="DL4132" i="3"/>
  <c r="DN4132" i="3" s="1"/>
  <c r="DO4132" i="3" s="1"/>
  <c r="DL161" i="3"/>
  <c r="DN161" i="3" s="1"/>
  <c r="DO161" i="3" s="1"/>
  <c r="DN2442" i="3"/>
  <c r="DO2442" i="3" s="1"/>
  <c r="DL2442" i="3"/>
  <c r="DN541" i="3"/>
  <c r="DO541" i="3" s="1"/>
  <c r="DL541" i="3"/>
  <c r="DN2498" i="3"/>
  <c r="DO2498" i="3" s="1"/>
  <c r="DL2498" i="3"/>
  <c r="DN3296" i="3"/>
  <c r="DO3296" i="3" s="1"/>
  <c r="DL3296" i="3"/>
  <c r="DL4037" i="3"/>
  <c r="DN4037" i="3" s="1"/>
  <c r="DO4037" i="3" s="1"/>
  <c r="DL4191" i="3"/>
  <c r="DN4191" i="3" s="1"/>
  <c r="DO4191" i="3" s="1"/>
  <c r="DN2385" i="3"/>
  <c r="DO2385" i="3" s="1"/>
  <c r="DL2385" i="3"/>
  <c r="DN3202" i="3"/>
  <c r="DO3202" i="3" s="1"/>
  <c r="DL3202" i="3"/>
  <c r="DN1472" i="3"/>
  <c r="DO1472" i="3" s="1"/>
  <c r="DL1472" i="3"/>
  <c r="DL4265" i="3"/>
  <c r="DN4265" i="3" s="1"/>
  <c r="DO4265" i="3" s="1"/>
  <c r="DN3448" i="3"/>
  <c r="DO3448" i="3" s="1"/>
  <c r="DL3448" i="3"/>
  <c r="DN3258" i="3"/>
  <c r="DO3258" i="3" s="1"/>
  <c r="DL3258" i="3"/>
  <c r="DL1149" i="3"/>
  <c r="DN1149" i="3" s="1"/>
  <c r="DO1149" i="3" s="1"/>
  <c r="DL4094" i="3"/>
  <c r="DN4094" i="3" s="1"/>
  <c r="DO4094" i="3" s="1"/>
  <c r="DN484" i="3"/>
  <c r="DO484" i="3" s="1"/>
  <c r="DL484" i="3"/>
  <c r="DN503" i="3"/>
  <c r="DO503" i="3" s="1"/>
  <c r="DL503" i="3"/>
  <c r="DN3657" i="3"/>
  <c r="DO3657" i="3" s="1"/>
  <c r="DL3657" i="3"/>
  <c r="DN3714" i="3"/>
  <c r="DO3714" i="3" s="1"/>
  <c r="DL3714" i="3"/>
  <c r="DN3676" i="3"/>
  <c r="DO3676" i="3" s="1"/>
  <c r="DL3676" i="3"/>
  <c r="DL332" i="3"/>
  <c r="DN332" i="3" s="1"/>
  <c r="DO332" i="3" s="1"/>
  <c r="DN807" i="3"/>
  <c r="DO807" i="3" s="1"/>
  <c r="DL807" i="3"/>
  <c r="DL1168" i="3"/>
  <c r="DN1168" i="3" s="1"/>
  <c r="DO1168" i="3" s="1"/>
  <c r="DN827" i="3"/>
  <c r="DO827" i="3" s="1"/>
  <c r="DL827" i="3"/>
  <c r="DK3620" i="3"/>
  <c r="DL3620" i="3"/>
  <c r="Q190" i="2"/>
  <c r="Q192" i="2"/>
  <c r="DK3582" i="3"/>
  <c r="DL3582" i="3"/>
  <c r="P2" i="2"/>
  <c r="DK9" i="3"/>
  <c r="DM9" i="3" s="1"/>
  <c r="R88" i="2"/>
  <c r="DK2177" i="3"/>
  <c r="DL2177" i="3"/>
  <c r="DK3545" i="3"/>
  <c r="DL3545" i="3"/>
  <c r="DK4095" i="3"/>
  <c r="DM4095" i="3" s="1"/>
  <c r="Q115" i="2"/>
  <c r="R162" i="2"/>
  <c r="R188" i="2"/>
  <c r="Q33" i="2"/>
  <c r="Q182" i="2"/>
  <c r="Q167" i="2"/>
  <c r="DK1645" i="3"/>
  <c r="DL1645" i="3"/>
  <c r="DK1549" i="3"/>
  <c r="DK1759" i="3"/>
  <c r="DL1759" i="3"/>
  <c r="DK1739" i="3"/>
  <c r="DL1739" i="3"/>
  <c r="DK1815" i="3"/>
  <c r="DL1815" i="3"/>
  <c r="DK2690" i="3"/>
  <c r="DL2690" i="3"/>
  <c r="DK695" i="3"/>
  <c r="DL695" i="3"/>
  <c r="DK1435" i="3"/>
  <c r="DM1435" i="3" s="1"/>
  <c r="DK3335" i="3"/>
  <c r="DK1454" i="3"/>
  <c r="DK1036" i="3"/>
  <c r="DM1036" i="3" s="1"/>
  <c r="DL1036" i="3"/>
  <c r="DN1036" i="3" s="1"/>
  <c r="DO1036" i="3" s="1"/>
  <c r="DK2404" i="3"/>
  <c r="DK3468" i="3"/>
  <c r="DK1131" i="3"/>
  <c r="DM1131" i="3" s="1"/>
  <c r="DL1131" i="3"/>
  <c r="DN1131" i="3" s="1"/>
  <c r="DO1131" i="3" s="1"/>
  <c r="DK3943" i="3"/>
  <c r="DM3943" i="3" s="1"/>
  <c r="DK2728" i="3"/>
  <c r="DL2728" i="3"/>
  <c r="DK485" i="3"/>
  <c r="DK504" i="3"/>
  <c r="DK4248" i="3"/>
  <c r="DM4248" i="3" s="1"/>
  <c r="DK3221" i="3"/>
  <c r="DK885" i="3"/>
  <c r="DL885" i="3"/>
  <c r="DK2937" i="3"/>
  <c r="DL2937" i="3"/>
  <c r="DK2651" i="3"/>
  <c r="DL2651" i="3"/>
  <c r="DK3658" i="3"/>
  <c r="DK3715" i="3"/>
  <c r="DK3107" i="3"/>
  <c r="DL3107" i="3"/>
  <c r="DK1777" i="3"/>
  <c r="DL1777" i="3"/>
  <c r="DK1853" i="3"/>
  <c r="DL1853" i="3"/>
  <c r="DK1797" i="3"/>
  <c r="DL1797" i="3"/>
  <c r="DK2747" i="3"/>
  <c r="DL2747" i="3"/>
  <c r="DK4001" i="3"/>
  <c r="DM4001" i="3" s="1"/>
  <c r="DK3791" i="3"/>
  <c r="DM3791" i="3" s="1"/>
  <c r="DK2214" i="3"/>
  <c r="DL2214" i="3"/>
  <c r="DK1188" i="3"/>
  <c r="DM1188" i="3" s="1"/>
  <c r="DL1188" i="3"/>
  <c r="DN1188" i="3" s="1"/>
  <c r="DO1188" i="3" s="1"/>
  <c r="DK2423" i="3"/>
  <c r="DK2765" i="3"/>
  <c r="DL2765" i="3"/>
  <c r="DK1892" i="3"/>
  <c r="DL1892" i="3"/>
  <c r="DK3373" i="3"/>
  <c r="DK3772" i="3"/>
  <c r="DM3772" i="3" s="1"/>
  <c r="DK2120" i="3"/>
  <c r="DL2120" i="3"/>
  <c r="DK2803" i="3"/>
  <c r="DL2803" i="3"/>
  <c r="DK3886" i="3"/>
  <c r="DM3886" i="3" s="1"/>
  <c r="DK2899" i="3"/>
  <c r="DL2899" i="3"/>
  <c r="DK2519" i="3"/>
  <c r="DK1359" i="3"/>
  <c r="DM1359" i="3" s="1"/>
  <c r="DL1359" i="3"/>
  <c r="DN1359" i="3" s="1"/>
  <c r="DO1359" i="3" s="1"/>
  <c r="DK1530" i="3"/>
  <c r="DK2556" i="3"/>
  <c r="DK448" i="3"/>
  <c r="DM448" i="3" s="1"/>
  <c r="DL448" i="3"/>
  <c r="DN448" i="3" s="1"/>
  <c r="DO448" i="3" s="1"/>
  <c r="DK2138" i="3"/>
  <c r="DL2138" i="3"/>
  <c r="DK3259" i="3"/>
  <c r="DK2328" i="3"/>
  <c r="DL2328" i="3"/>
  <c r="DK1150" i="3"/>
  <c r="DM1150" i="3" s="1"/>
  <c r="DK4266" i="3"/>
  <c r="DM4266" i="3" s="1"/>
  <c r="DK295" i="3"/>
  <c r="DM295" i="3" s="1"/>
  <c r="DL295" i="3"/>
  <c r="DN295" i="3" s="1"/>
  <c r="DO295" i="3" s="1"/>
  <c r="DK1835" i="3"/>
  <c r="DL1835" i="3"/>
  <c r="DK789" i="3"/>
  <c r="DK1607" i="3"/>
  <c r="DL1607" i="3"/>
  <c r="DK1569" i="3"/>
  <c r="DL1569" i="3"/>
  <c r="DK2879" i="3"/>
  <c r="DL2879" i="3"/>
  <c r="DK3734" i="3"/>
  <c r="DK4305" i="3"/>
  <c r="DM4305" i="3" s="1"/>
  <c r="DK3962" i="3"/>
  <c r="DM3962" i="3" s="1"/>
  <c r="DK1093" i="3"/>
  <c r="DM1093" i="3" s="1"/>
  <c r="DL1093" i="3"/>
  <c r="DN1093" i="3" s="1"/>
  <c r="DO1093" i="3" s="1"/>
  <c r="DK3317" i="3"/>
  <c r="DK1397" i="3"/>
  <c r="DM1397" i="3" s="1"/>
  <c r="DK1948" i="3"/>
  <c r="DL1948" i="3"/>
  <c r="DK2671" i="3"/>
  <c r="DL2671" i="3"/>
  <c r="DK2917" i="3"/>
  <c r="DL2917" i="3"/>
  <c r="Q24" i="2"/>
  <c r="DK2196" i="3"/>
  <c r="DL2196" i="3"/>
  <c r="DK4153" i="3"/>
  <c r="DM4153" i="3" s="1"/>
  <c r="DK960" i="3"/>
  <c r="DL960" i="3"/>
  <c r="DK3677" i="3"/>
  <c r="DK2272" i="3"/>
  <c r="DL2272" i="3"/>
  <c r="Q19" i="2"/>
  <c r="DK808" i="3"/>
  <c r="DK314" i="3"/>
  <c r="DM314" i="3" s="1"/>
  <c r="DK3811" i="3"/>
  <c r="DM3811" i="3" s="1"/>
  <c r="DK675" i="3"/>
  <c r="DL675" i="3"/>
  <c r="DK2575" i="3"/>
  <c r="DL2575" i="3"/>
  <c r="DK390" i="3"/>
  <c r="DM390" i="3" s="1"/>
  <c r="DL390" i="3"/>
  <c r="DN390" i="3" s="1"/>
  <c r="DO390" i="3" s="1"/>
  <c r="DK523" i="3"/>
  <c r="DL523" i="3"/>
  <c r="DK2006" i="3"/>
  <c r="DL2006" i="3"/>
  <c r="DK4133" i="3"/>
  <c r="DM4133" i="3" s="1"/>
  <c r="DK3165" i="3"/>
  <c r="DL3165" i="3"/>
  <c r="DK162" i="3"/>
  <c r="DM162" i="3" s="1"/>
  <c r="DL162" i="3"/>
  <c r="DN162" i="3" s="1"/>
  <c r="DO162" i="3" s="1"/>
  <c r="DK1169" i="3"/>
  <c r="DM1169" i="3" s="1"/>
  <c r="DK4209" i="3"/>
  <c r="DM4209" i="3" s="1"/>
  <c r="DK3278" i="3"/>
  <c r="DK2709" i="3"/>
  <c r="DL2709" i="3"/>
  <c r="DK2993" i="3"/>
  <c r="DL2993" i="3"/>
  <c r="DK1986" i="3"/>
  <c r="DL1986" i="3"/>
  <c r="DK182" i="3"/>
  <c r="DM182" i="3" s="1"/>
  <c r="DL182" i="3"/>
  <c r="DN182" i="3" s="1"/>
  <c r="DO182" i="3" s="1"/>
  <c r="DK1378" i="3"/>
  <c r="DM1378" i="3" s="1"/>
  <c r="DK1511" i="3"/>
  <c r="DK2614" i="3"/>
  <c r="DL2614" i="3"/>
  <c r="DK4171" i="3"/>
  <c r="DM4171" i="3" s="1"/>
  <c r="DK732" i="3"/>
  <c r="DL732" i="3"/>
  <c r="DK124" i="3"/>
  <c r="DM124" i="3" s="1"/>
  <c r="DK751" i="3"/>
  <c r="DL903" i="3"/>
  <c r="DK903" i="3"/>
  <c r="DK2784" i="3"/>
  <c r="DL2784" i="3"/>
  <c r="DK771" i="3"/>
  <c r="DK3013" i="3"/>
  <c r="DL3013" i="3"/>
  <c r="DK371" i="3"/>
  <c r="DM371" i="3" s="1"/>
  <c r="DL371" i="3"/>
  <c r="DN371" i="3" s="1"/>
  <c r="DO371" i="3" s="1"/>
  <c r="DK86" i="3"/>
  <c r="DM86" i="3" s="1"/>
  <c r="DL86" i="3"/>
  <c r="DN86" i="3" s="1"/>
  <c r="DO86" i="3" s="1"/>
  <c r="DK1967" i="3"/>
  <c r="DL1967" i="3"/>
  <c r="DK2062" i="3"/>
  <c r="DL2062" i="3"/>
  <c r="DK3905" i="3"/>
  <c r="DM3905" i="3" s="1"/>
  <c r="DK3088" i="3"/>
  <c r="DL3088" i="3"/>
  <c r="DK1873" i="3"/>
  <c r="DL1873" i="3"/>
  <c r="DK998" i="3"/>
  <c r="DM998" i="3" s="1"/>
  <c r="DL998" i="3"/>
  <c r="DN998" i="3" s="1"/>
  <c r="DO998" i="3" s="1"/>
  <c r="Q83" i="2"/>
  <c r="R94" i="2"/>
  <c r="Q93" i="2"/>
  <c r="Q97" i="2"/>
  <c r="R143" i="2"/>
  <c r="R38" i="2"/>
  <c r="Q77" i="2"/>
  <c r="Q177" i="2"/>
  <c r="Q78" i="2"/>
  <c r="Q56" i="2"/>
  <c r="Q128" i="2"/>
  <c r="Q184" i="2"/>
  <c r="Q61" i="2"/>
  <c r="Q209" i="2"/>
  <c r="R145" i="2"/>
  <c r="Q27" i="2"/>
  <c r="Q28" i="2"/>
  <c r="R225" i="2"/>
  <c r="Q171" i="2"/>
  <c r="R48" i="2"/>
  <c r="R156" i="2"/>
  <c r="Q141" i="2"/>
  <c r="Q194" i="2"/>
  <c r="Q197" i="2"/>
  <c r="Q165" i="2"/>
  <c r="Q95" i="2"/>
  <c r="Q99" i="2"/>
  <c r="R96" i="2"/>
  <c r="R146" i="2"/>
  <c r="R212" i="2"/>
  <c r="Q201" i="2"/>
  <c r="Q118" i="2"/>
  <c r="Q64" i="2"/>
  <c r="Q129" i="2"/>
  <c r="Q147" i="2"/>
  <c r="R101" i="2"/>
  <c r="Q179" i="2"/>
  <c r="Q200" i="2"/>
  <c r="R113" i="2"/>
  <c r="Q149" i="2"/>
  <c r="Q206" i="2"/>
  <c r="R154" i="2"/>
  <c r="R134" i="2"/>
  <c r="Q73" i="2"/>
  <c r="Q82" i="2"/>
  <c r="Q136" i="2"/>
  <c r="R25" i="2"/>
  <c r="Q114" i="2"/>
  <c r="Q173" i="2"/>
  <c r="Q124" i="2"/>
  <c r="Q62" i="2"/>
  <c r="Q226" i="2"/>
  <c r="Q17" i="2"/>
  <c r="R98" i="2"/>
  <c r="Q43" i="2"/>
  <c r="R86" i="2"/>
  <c r="R84" i="2"/>
  <c r="Q153" i="2"/>
  <c r="Q198" i="2"/>
  <c r="R228" i="2"/>
  <c r="Q210" i="2"/>
  <c r="Q59" i="2"/>
  <c r="R176" i="2"/>
  <c r="Q75" i="2"/>
  <c r="Q104" i="2"/>
  <c r="R142" i="2"/>
  <c r="Q155" i="2"/>
  <c r="DK428" i="3"/>
  <c r="DM428" i="3" s="1"/>
  <c r="DL428" i="3"/>
  <c r="DN428" i="3" s="1"/>
  <c r="DO428" i="3" s="1"/>
  <c r="R117" i="2"/>
  <c r="R220" i="2"/>
  <c r="Q52" i="2"/>
  <c r="Q195" i="2"/>
  <c r="R121" i="2"/>
  <c r="DK333" i="3"/>
  <c r="DM333" i="3" s="1"/>
  <c r="Q44" i="2"/>
  <c r="Q18" i="2"/>
  <c r="R202" i="2"/>
  <c r="Q37" i="2"/>
  <c r="Q137" i="2"/>
  <c r="Q22" i="2"/>
  <c r="Q29" i="2"/>
  <c r="R107" i="2"/>
  <c r="Q219" i="2"/>
  <c r="R168" i="2"/>
  <c r="Q10" i="2"/>
  <c r="Q63" i="2"/>
  <c r="Q223" i="2"/>
  <c r="Q174" i="2"/>
  <c r="R144" i="2"/>
  <c r="Q159" i="2"/>
  <c r="Q106" i="2"/>
  <c r="R11" i="2"/>
  <c r="Q74" i="2"/>
  <c r="Q81" i="2"/>
  <c r="R139" i="2"/>
  <c r="Q221" i="2"/>
  <c r="Q40" i="2"/>
  <c r="Q8" i="2"/>
  <c r="Q41" i="2"/>
  <c r="Q49" i="2"/>
  <c r="Q148" i="2"/>
  <c r="R42" i="2"/>
  <c r="R160" i="2"/>
  <c r="Q21" i="2"/>
  <c r="Q6" i="2"/>
  <c r="Q105" i="2"/>
  <c r="Q110" i="2"/>
  <c r="Q207" i="2"/>
  <c r="Q164" i="2"/>
  <c r="R100" i="2"/>
  <c r="Q54" i="2"/>
  <c r="DK2157" i="3"/>
  <c r="DL2157" i="3"/>
  <c r="DK2081" i="3"/>
  <c r="DL2081" i="3"/>
  <c r="DK1302" i="3"/>
  <c r="DM1302" i="3" s="1"/>
  <c r="DL1302" i="3"/>
  <c r="DN1302" i="3" s="1"/>
  <c r="DO1302" i="3" s="1"/>
  <c r="DK3430" i="3"/>
  <c r="DK656" i="3"/>
  <c r="DL656" i="3"/>
  <c r="DK3145" i="3"/>
  <c r="DL3145" i="3"/>
  <c r="DK2480" i="3"/>
  <c r="DK3127" i="3"/>
  <c r="DL3127" i="3"/>
  <c r="DK3924" i="3"/>
  <c r="DM3924" i="3" s="1"/>
  <c r="DK1055" i="3"/>
  <c r="DM1055" i="3" s="1"/>
  <c r="DL1055" i="3"/>
  <c r="DN1055" i="3" s="1"/>
  <c r="DO1055" i="3" s="1"/>
  <c r="DK2252" i="3"/>
  <c r="DL2252" i="3"/>
  <c r="DK467" i="3"/>
  <c r="DL467" i="3"/>
  <c r="DK4230" i="3"/>
  <c r="DM4230" i="3" s="1"/>
  <c r="DK2234" i="3"/>
  <c r="DL2234" i="3"/>
  <c r="DK3601" i="3"/>
  <c r="DL3601" i="3"/>
  <c r="DK2632" i="3"/>
  <c r="DL2632" i="3"/>
  <c r="DK3867" i="3"/>
  <c r="DM3867" i="3" s="1"/>
  <c r="DK1322" i="3"/>
  <c r="DM1322" i="3" s="1"/>
  <c r="DL1322" i="3"/>
  <c r="DN1322" i="3" s="1"/>
  <c r="DO1322" i="3" s="1"/>
  <c r="DK713" i="3"/>
  <c r="DL713" i="3"/>
  <c r="DK1207" i="3"/>
  <c r="DM1207" i="3" s="1"/>
  <c r="DL1207" i="3"/>
  <c r="DN1207" i="3" s="1"/>
  <c r="DO1207" i="3" s="1"/>
  <c r="DK3981" i="3"/>
  <c r="DM3981" i="3" s="1"/>
  <c r="DK1911" i="3"/>
  <c r="DL1911" i="3"/>
  <c r="DK941" i="3"/>
  <c r="DL941" i="3"/>
  <c r="DK2595" i="3"/>
  <c r="DL2595" i="3"/>
  <c r="R31" i="2"/>
  <c r="DK220" i="3"/>
  <c r="DM220" i="3" s="1"/>
  <c r="DK29" i="3"/>
  <c r="DM29" i="3" s="1"/>
  <c r="DK3031" i="3"/>
  <c r="DL3031" i="3"/>
  <c r="DK3241" i="3"/>
  <c r="DK3393" i="3"/>
  <c r="DK3487" i="3"/>
  <c r="DK4019" i="3"/>
  <c r="DM4019" i="3" s="1"/>
  <c r="DK2538" i="3"/>
  <c r="DK3697" i="3"/>
  <c r="DK3849" i="3"/>
  <c r="DM3849" i="3" s="1"/>
  <c r="DK4076" i="3"/>
  <c r="DM4076" i="3" s="1"/>
  <c r="DK2841" i="3"/>
  <c r="DL2841" i="3"/>
  <c r="DK581" i="3"/>
  <c r="DK257" i="3"/>
  <c r="DM257" i="3" s="1"/>
  <c r="DL257" i="3"/>
  <c r="DN257" i="3" s="1"/>
  <c r="DO257" i="3" s="1"/>
  <c r="DK1017" i="3"/>
  <c r="DM1017" i="3" s="1"/>
  <c r="DL1017" i="3"/>
  <c r="DN1017" i="3" s="1"/>
  <c r="DO1017" i="3" s="1"/>
  <c r="DK1492" i="3"/>
  <c r="DK143" i="3"/>
  <c r="DM143" i="3" s="1"/>
  <c r="DK2462" i="3"/>
  <c r="DK48" i="3"/>
  <c r="DM48" i="3" s="1"/>
  <c r="DK3449" i="3"/>
  <c r="DK2366" i="3"/>
  <c r="DL2366" i="3"/>
  <c r="DK1074" i="3"/>
  <c r="DM1074" i="3" s="1"/>
  <c r="DL1074" i="3"/>
  <c r="DN1074" i="3" s="1"/>
  <c r="DO1074" i="3" s="1"/>
  <c r="DK238" i="3"/>
  <c r="DM238" i="3" s="1"/>
  <c r="DL238" i="3"/>
  <c r="DN238" i="3" s="1"/>
  <c r="DO238" i="3" s="1"/>
  <c r="DK1416" i="3"/>
  <c r="DM1416" i="3" s="1"/>
  <c r="DK2101" i="3"/>
  <c r="DL2101" i="3"/>
  <c r="DK1625" i="3"/>
  <c r="DL1625" i="3"/>
  <c r="DK1701" i="3"/>
  <c r="DL1701" i="3"/>
  <c r="DK1721" i="3"/>
  <c r="DL1721" i="3"/>
  <c r="DK1587" i="3"/>
  <c r="DL1587" i="3"/>
  <c r="DK4285" i="3"/>
  <c r="DM4285" i="3" s="1"/>
  <c r="DK200" i="3"/>
  <c r="DM200" i="3" s="1"/>
  <c r="DK1113" i="3"/>
  <c r="DM1113" i="3" s="1"/>
  <c r="DL1113" i="3"/>
  <c r="DN1113" i="3" s="1"/>
  <c r="DO1113" i="3" s="1"/>
  <c r="DK2823" i="3"/>
  <c r="DL2823" i="3"/>
  <c r="DK3639" i="3"/>
  <c r="DK1246" i="3"/>
  <c r="DM1246" i="3" s="1"/>
  <c r="DL1246" i="3"/>
  <c r="DN1246" i="3" s="1"/>
  <c r="DO1246" i="3" s="1"/>
  <c r="Q16" i="2"/>
  <c r="DK3753" i="3"/>
  <c r="DK3563" i="3"/>
  <c r="DL3563" i="3"/>
  <c r="DK922" i="3"/>
  <c r="DL922" i="3"/>
  <c r="DK105" i="3"/>
  <c r="DM105" i="3" s="1"/>
  <c r="DK3069" i="3"/>
  <c r="DL3069" i="3"/>
  <c r="DL1284" i="3"/>
  <c r="DN1284" i="3" s="1"/>
  <c r="DO1284" i="3" s="1"/>
  <c r="DK1284" i="3"/>
  <c r="DM1284" i="3" s="1"/>
  <c r="DL618" i="3"/>
  <c r="DK618" i="3"/>
  <c r="DK3183" i="3"/>
  <c r="DK2861" i="3"/>
  <c r="DL2861" i="3"/>
  <c r="DK2975" i="3"/>
  <c r="DL2975" i="3"/>
  <c r="DK3829" i="3"/>
  <c r="DM3829" i="3" s="1"/>
  <c r="DK4115" i="3"/>
  <c r="DM4115" i="3" s="1"/>
  <c r="DK67" i="3"/>
  <c r="DM67" i="3" s="1"/>
  <c r="DL67" i="3"/>
  <c r="DN67" i="3" s="1"/>
  <c r="DO67" i="3" s="1"/>
  <c r="DK3507" i="3"/>
  <c r="DK410" i="3"/>
  <c r="DM410" i="3" s="1"/>
  <c r="DL410" i="3"/>
  <c r="DN410" i="3" s="1"/>
  <c r="DO410" i="3" s="1"/>
  <c r="DK2044" i="3"/>
  <c r="DL2044" i="3"/>
  <c r="DK1683" i="3"/>
  <c r="DL1683" i="3"/>
  <c r="R178" i="2"/>
  <c r="DK1663" i="3"/>
  <c r="DL1663" i="3"/>
  <c r="DK4057" i="3"/>
  <c r="DM4057" i="3" s="1"/>
  <c r="DK865" i="3"/>
  <c r="DL865" i="3"/>
  <c r="DK2348" i="3"/>
  <c r="DL2348" i="3"/>
  <c r="DK2443" i="3"/>
  <c r="DK542" i="3"/>
  <c r="DL542" i="3"/>
  <c r="DK2499" i="3"/>
  <c r="DK3525" i="3"/>
  <c r="DL3525" i="3"/>
  <c r="DK3297" i="3"/>
  <c r="DK4038" i="3"/>
  <c r="DM4038" i="3" s="1"/>
  <c r="DK4192" i="3"/>
  <c r="DM4192" i="3" s="1"/>
  <c r="DL1340" i="3"/>
  <c r="DN1340" i="3" s="1"/>
  <c r="DO1340" i="3" s="1"/>
  <c r="DK1340" i="3"/>
  <c r="DM1340" i="3" s="1"/>
  <c r="DK979" i="3"/>
  <c r="DM979" i="3" s="1"/>
  <c r="DL979" i="3"/>
  <c r="DN979" i="3" s="1"/>
  <c r="DO979" i="3" s="1"/>
  <c r="DK1930" i="3"/>
  <c r="DL1930" i="3"/>
  <c r="DK2386" i="3"/>
  <c r="R170" i="2"/>
  <c r="DK1226" i="3"/>
  <c r="DM1226" i="3" s="1"/>
  <c r="DL1226" i="3"/>
  <c r="DN1226" i="3" s="1"/>
  <c r="DO1226" i="3" s="1"/>
  <c r="DK1473" i="3"/>
  <c r="DK2310" i="3"/>
  <c r="DL2310" i="3"/>
  <c r="DK2955" i="3"/>
  <c r="DL2955" i="3"/>
  <c r="DK638" i="3"/>
  <c r="DL638" i="3"/>
  <c r="DK2290" i="3"/>
  <c r="DL2290" i="3"/>
  <c r="DK3411" i="3"/>
  <c r="DK2024" i="3"/>
  <c r="DL2024" i="3"/>
  <c r="DL1264" i="3"/>
  <c r="DN1264" i="3" s="1"/>
  <c r="DO1264" i="3" s="1"/>
  <c r="DK1264" i="3"/>
  <c r="DM1264" i="3" s="1"/>
  <c r="DK828" i="3"/>
  <c r="DK352" i="3"/>
  <c r="DM352" i="3" s="1"/>
  <c r="DK846" i="3"/>
  <c r="DL846" i="3"/>
  <c r="DK3051" i="3"/>
  <c r="DL3051" i="3"/>
  <c r="DK599" i="3"/>
  <c r="DL599" i="3"/>
  <c r="R116" i="2"/>
  <c r="Q111" i="2"/>
  <c r="Q70" i="2"/>
  <c r="Q217" i="2"/>
  <c r="Q36" i="2"/>
  <c r="Q132" i="2"/>
  <c r="R166" i="2"/>
  <c r="Q208" i="2"/>
  <c r="Q57" i="2"/>
  <c r="Q120" i="2"/>
  <c r="R26" i="2"/>
  <c r="S224" i="2"/>
  <c r="R119" i="2"/>
  <c r="Q191" i="2"/>
  <c r="Q140" i="2"/>
  <c r="Q205" i="2"/>
  <c r="R71" i="2"/>
  <c r="Q39" i="2"/>
  <c r="Q65" i="2"/>
  <c r="Q211" i="2"/>
  <c r="R102" i="2"/>
  <c r="Q51" i="2"/>
  <c r="R138" i="2"/>
  <c r="DK562" i="3"/>
  <c r="DL562" i="3"/>
  <c r="R13" i="2"/>
  <c r="Q3" i="2"/>
  <c r="Q161" i="2"/>
  <c r="R172" i="2"/>
  <c r="R180" i="2"/>
  <c r="Q185" i="2"/>
  <c r="Q213" i="2"/>
  <c r="R135" i="2"/>
  <c r="R196" i="2"/>
  <c r="R204" i="2"/>
  <c r="Q216" i="2"/>
  <c r="Q151" i="2"/>
  <c r="R32" i="2"/>
  <c r="Q15" i="2"/>
  <c r="Q55" i="2"/>
  <c r="Q80" i="2"/>
  <c r="Q9" i="2"/>
  <c r="R131" i="2"/>
  <c r="Q4" i="2"/>
  <c r="Q183" i="2"/>
  <c r="Q126" i="2"/>
  <c r="Q58" i="2"/>
  <c r="Q14" i="2"/>
  <c r="Q76" i="2"/>
  <c r="R112" i="2"/>
  <c r="Q87" i="2"/>
  <c r="Q91" i="2"/>
  <c r="R92" i="2"/>
  <c r="Q85" i="2"/>
  <c r="Q227" i="2"/>
  <c r="Q12" i="2"/>
  <c r="R60" i="2"/>
  <c r="R150" i="2"/>
  <c r="Q193" i="2"/>
  <c r="R67" i="2"/>
  <c r="DK276" i="3"/>
  <c r="DM276" i="3" s="1"/>
  <c r="DL276" i="3"/>
  <c r="DN276" i="3" s="1"/>
  <c r="DO276" i="3" s="1"/>
  <c r="Q199" i="2"/>
  <c r="Q189" i="2"/>
  <c r="Q50" i="2"/>
  <c r="Q7" i="2"/>
  <c r="Q163" i="2"/>
  <c r="R69" i="2"/>
  <c r="Q34" i="2"/>
  <c r="Q169" i="2"/>
  <c r="R152" i="2"/>
  <c r="R158" i="2"/>
  <c r="Q203" i="2"/>
  <c r="R218" i="2"/>
  <c r="Q5" i="2"/>
  <c r="R186" i="2"/>
  <c r="R23" i="2"/>
  <c r="R109" i="2"/>
  <c r="R90" i="2"/>
  <c r="DK3355" i="3"/>
  <c r="Q89" i="2"/>
  <c r="Q215" i="2"/>
  <c r="Q47" i="2"/>
  <c r="R125" i="2"/>
  <c r="R130" i="2"/>
  <c r="Q30" i="2"/>
  <c r="Q133" i="2"/>
  <c r="Q187" i="2"/>
  <c r="Q175" i="2"/>
  <c r="Q214" i="2"/>
  <c r="S222" i="2"/>
  <c r="Q72" i="2"/>
  <c r="Q53" i="2"/>
  <c r="R103" i="2"/>
  <c r="R127" i="2"/>
  <c r="DK3203" i="3"/>
  <c r="Q66" i="2"/>
  <c r="Q79" i="2"/>
  <c r="R123" i="2"/>
  <c r="Q157" i="2"/>
  <c r="R35" i="2"/>
  <c r="Q122" i="2"/>
  <c r="Q181" i="2"/>
  <c r="Q108" i="2"/>
  <c r="Q68" i="2"/>
  <c r="R45" i="2"/>
  <c r="Q20" i="2"/>
  <c r="Q46" i="2"/>
  <c r="DN8" i="3" l="1"/>
  <c r="DO8" i="3" s="1"/>
  <c r="DL9" i="3"/>
  <c r="DN3355" i="3"/>
  <c r="DO3355" i="3" s="1"/>
  <c r="DL3355" i="3"/>
  <c r="DN2386" i="3"/>
  <c r="DO2386" i="3" s="1"/>
  <c r="DL2386" i="3"/>
  <c r="DL4192" i="3"/>
  <c r="DN4192" i="3" s="1"/>
  <c r="DO4192" i="3" s="1"/>
  <c r="DN3297" i="3"/>
  <c r="DO3297" i="3" s="1"/>
  <c r="DL3297" i="3"/>
  <c r="DN2499" i="3"/>
  <c r="DO2499" i="3" s="1"/>
  <c r="DL2499" i="3"/>
  <c r="DN2443" i="3"/>
  <c r="DO2443" i="3" s="1"/>
  <c r="DL2443" i="3"/>
  <c r="DN3639" i="3"/>
  <c r="DO3639" i="3" s="1"/>
  <c r="DL3639" i="3"/>
  <c r="DL4285" i="3"/>
  <c r="DN4285" i="3" s="1"/>
  <c r="DO4285" i="3" s="1"/>
  <c r="DL1416" i="3"/>
  <c r="DN1416" i="3" s="1"/>
  <c r="DO1416" i="3" s="1"/>
  <c r="DN3449" i="3"/>
  <c r="DO3449" i="3" s="1"/>
  <c r="DL3449" i="3"/>
  <c r="DN2462" i="3"/>
  <c r="DO2462" i="3" s="1"/>
  <c r="DL2462" i="3"/>
  <c r="DN1492" i="3"/>
  <c r="DO1492" i="3" s="1"/>
  <c r="DL1492" i="3"/>
  <c r="DL3849" i="3"/>
  <c r="DN3849" i="3" s="1"/>
  <c r="DO3849" i="3" s="1"/>
  <c r="DN2538" i="3"/>
  <c r="DO2538" i="3" s="1"/>
  <c r="DL2538" i="3"/>
  <c r="DN3487" i="3"/>
  <c r="DO3487" i="3" s="1"/>
  <c r="DL3487" i="3"/>
  <c r="DN3241" i="3"/>
  <c r="DO3241" i="3" s="1"/>
  <c r="DL3241" i="3"/>
  <c r="DL29" i="3"/>
  <c r="DN29" i="3" s="1"/>
  <c r="DO29" i="3" s="1"/>
  <c r="DL3905" i="3"/>
  <c r="DN3905" i="3" s="1"/>
  <c r="DO3905" i="3" s="1"/>
  <c r="DN771" i="3"/>
  <c r="DO771" i="3" s="1"/>
  <c r="DL771" i="3"/>
  <c r="DL124" i="3"/>
  <c r="DN124" i="3" s="1"/>
  <c r="DO124" i="3" s="1"/>
  <c r="DL4171" i="3"/>
  <c r="DN4171" i="3" s="1"/>
  <c r="DO4171" i="3" s="1"/>
  <c r="DN1511" i="3"/>
  <c r="DO1511" i="3" s="1"/>
  <c r="DL1511" i="3"/>
  <c r="DN3278" i="3"/>
  <c r="DO3278" i="3" s="1"/>
  <c r="DL3278" i="3"/>
  <c r="DL1169" i="3"/>
  <c r="DN1169" i="3" s="1"/>
  <c r="DO1169" i="3" s="1"/>
  <c r="DL314" i="3"/>
  <c r="DN314" i="3" s="1"/>
  <c r="DO314" i="3" s="1"/>
  <c r="DN3317" i="3"/>
  <c r="DO3317" i="3" s="1"/>
  <c r="DL3317" i="3"/>
  <c r="DL3962" i="3"/>
  <c r="DN3962" i="3" s="1"/>
  <c r="DO3962" i="3" s="1"/>
  <c r="DN3734" i="3"/>
  <c r="DO3734" i="3" s="1"/>
  <c r="DL3734" i="3"/>
  <c r="DN789" i="3"/>
  <c r="DO789" i="3" s="1"/>
  <c r="DL789" i="3"/>
  <c r="DL1150" i="3"/>
  <c r="DN1150" i="3" s="1"/>
  <c r="DO1150" i="3" s="1"/>
  <c r="DN3259" i="3"/>
  <c r="DO3259" i="3" s="1"/>
  <c r="DL3259" i="3"/>
  <c r="DN1530" i="3"/>
  <c r="DO1530" i="3" s="1"/>
  <c r="DL1530" i="3"/>
  <c r="DN2519" i="3"/>
  <c r="DO2519" i="3" s="1"/>
  <c r="DL2519" i="3"/>
  <c r="DL3886" i="3"/>
  <c r="DN3886" i="3" s="1"/>
  <c r="DO3886" i="3" s="1"/>
  <c r="DN3373" i="3"/>
  <c r="DO3373" i="3" s="1"/>
  <c r="DL3373" i="3"/>
  <c r="DL3791" i="3"/>
  <c r="DN3791" i="3" s="1"/>
  <c r="DO3791" i="3" s="1"/>
  <c r="DN3658" i="3"/>
  <c r="DO3658" i="3" s="1"/>
  <c r="DL3658" i="3"/>
  <c r="DN3221" i="3"/>
  <c r="DO3221" i="3" s="1"/>
  <c r="DL3221" i="3"/>
  <c r="DN504" i="3"/>
  <c r="DO504" i="3" s="1"/>
  <c r="DL504" i="3"/>
  <c r="DN2404" i="3"/>
  <c r="DO2404" i="3" s="1"/>
  <c r="DL2404" i="3"/>
  <c r="DN1454" i="3"/>
  <c r="DO1454" i="3" s="1"/>
  <c r="DL1454" i="3"/>
  <c r="DL1435" i="3"/>
  <c r="DN1435" i="3" s="1"/>
  <c r="DO1435" i="3" s="1"/>
  <c r="DN1549" i="3"/>
  <c r="DO1549" i="3" s="1"/>
  <c r="DL1549" i="3"/>
  <c r="DN3203" i="3"/>
  <c r="DO3203" i="3" s="1"/>
  <c r="DL3203" i="3"/>
  <c r="DL352" i="3"/>
  <c r="DN352" i="3" s="1"/>
  <c r="DO352" i="3" s="1"/>
  <c r="DN3411" i="3"/>
  <c r="DO3411" i="3" s="1"/>
  <c r="DL3411" i="3"/>
  <c r="DN3507" i="3"/>
  <c r="DO3507" i="3" s="1"/>
  <c r="DL3507" i="3"/>
  <c r="DL4115" i="3"/>
  <c r="DN4115" i="3" s="1"/>
  <c r="DO4115" i="3" s="1"/>
  <c r="DN3183" i="3"/>
  <c r="DO3183" i="3" s="1"/>
  <c r="DL3183" i="3"/>
  <c r="DL105" i="3"/>
  <c r="DN105" i="3" s="1"/>
  <c r="DO105" i="3" s="1"/>
  <c r="DN3430" i="3"/>
  <c r="DO3430" i="3" s="1"/>
  <c r="DL3430" i="3"/>
  <c r="DL4038" i="3"/>
  <c r="DN4038" i="3" s="1"/>
  <c r="DO4038" i="3" s="1"/>
  <c r="DL4057" i="3"/>
  <c r="DN4057" i="3" s="1"/>
  <c r="DO4057" i="3" s="1"/>
  <c r="DL200" i="3"/>
  <c r="DN200" i="3" s="1"/>
  <c r="DO200" i="3" s="1"/>
  <c r="DL48" i="3"/>
  <c r="DN48" i="3" s="1"/>
  <c r="DO48" i="3" s="1"/>
  <c r="DL143" i="3"/>
  <c r="DN143" i="3" s="1"/>
  <c r="DO143" i="3" s="1"/>
  <c r="DN581" i="3"/>
  <c r="DO581" i="3" s="1"/>
  <c r="DL581" i="3"/>
  <c r="DL4076" i="3"/>
  <c r="DN4076" i="3" s="1"/>
  <c r="DO4076" i="3" s="1"/>
  <c r="DN3697" i="3"/>
  <c r="DO3697" i="3" s="1"/>
  <c r="DL3697" i="3"/>
  <c r="DL4019" i="3"/>
  <c r="DN4019" i="3" s="1"/>
  <c r="DO4019" i="3" s="1"/>
  <c r="DN3393" i="3"/>
  <c r="DO3393" i="3" s="1"/>
  <c r="DL3393" i="3"/>
  <c r="DL220" i="3"/>
  <c r="DN220" i="3" s="1"/>
  <c r="DO220" i="3" s="1"/>
  <c r="DL333" i="3"/>
  <c r="DN333" i="3" s="1"/>
  <c r="DO333" i="3" s="1"/>
  <c r="DN751" i="3"/>
  <c r="DO751" i="3" s="1"/>
  <c r="DL751" i="3"/>
  <c r="DL1378" i="3"/>
  <c r="DN1378" i="3" s="1"/>
  <c r="DO1378" i="3" s="1"/>
  <c r="DL4209" i="3"/>
  <c r="DN4209" i="3" s="1"/>
  <c r="DO4209" i="3" s="1"/>
  <c r="DL4133" i="3"/>
  <c r="DN4133" i="3" s="1"/>
  <c r="DO4133" i="3" s="1"/>
  <c r="DL3811" i="3"/>
  <c r="DN3811" i="3" s="1"/>
  <c r="DO3811" i="3" s="1"/>
  <c r="DN808" i="3"/>
  <c r="DO808" i="3" s="1"/>
  <c r="DL808" i="3"/>
  <c r="DL1397" i="3"/>
  <c r="DN1397" i="3" s="1"/>
  <c r="DO1397" i="3" s="1"/>
  <c r="DL4305" i="3"/>
  <c r="DN4305" i="3" s="1"/>
  <c r="DO4305" i="3" s="1"/>
  <c r="DL4266" i="3"/>
  <c r="DN4266" i="3" s="1"/>
  <c r="DO4266" i="3" s="1"/>
  <c r="DN2556" i="3"/>
  <c r="DO2556" i="3" s="1"/>
  <c r="DL2556" i="3"/>
  <c r="DL3772" i="3"/>
  <c r="DN3772" i="3" s="1"/>
  <c r="DO3772" i="3" s="1"/>
  <c r="DN2423" i="3"/>
  <c r="DO2423" i="3" s="1"/>
  <c r="DL2423" i="3"/>
  <c r="DL4001" i="3"/>
  <c r="DN4001" i="3" s="1"/>
  <c r="DO4001" i="3" s="1"/>
  <c r="DN3715" i="3"/>
  <c r="DO3715" i="3" s="1"/>
  <c r="DL3715" i="3"/>
  <c r="DL4248" i="3"/>
  <c r="DN4248" i="3" s="1"/>
  <c r="DO4248" i="3" s="1"/>
  <c r="DN485" i="3"/>
  <c r="DO485" i="3" s="1"/>
  <c r="DL485" i="3"/>
  <c r="DL3943" i="3"/>
  <c r="DN3943" i="3" s="1"/>
  <c r="DO3943" i="3" s="1"/>
  <c r="DN3468" i="3"/>
  <c r="DO3468" i="3" s="1"/>
  <c r="DL3468" i="3"/>
  <c r="DN3335" i="3"/>
  <c r="DO3335" i="3" s="1"/>
  <c r="DL3335" i="3"/>
  <c r="DL4095" i="3"/>
  <c r="DN4095" i="3" s="1"/>
  <c r="DO4095" i="3" s="1"/>
  <c r="DN828" i="3"/>
  <c r="DO828" i="3" s="1"/>
  <c r="DL828" i="3"/>
  <c r="DN1473" i="3"/>
  <c r="DO1473" i="3" s="1"/>
  <c r="DL1473" i="3"/>
  <c r="DL3829" i="3"/>
  <c r="DN3829" i="3" s="1"/>
  <c r="DO3829" i="3" s="1"/>
  <c r="DN3753" i="3"/>
  <c r="DO3753" i="3" s="1"/>
  <c r="DL3753" i="3"/>
  <c r="DL3981" i="3"/>
  <c r="DN3981" i="3" s="1"/>
  <c r="DO3981" i="3" s="1"/>
  <c r="DL3867" i="3"/>
  <c r="DN3867" i="3" s="1"/>
  <c r="DO3867" i="3" s="1"/>
  <c r="DL4230" i="3"/>
  <c r="DN4230" i="3" s="1"/>
  <c r="DO4230" i="3" s="1"/>
  <c r="DL3924" i="3"/>
  <c r="DN3924" i="3" s="1"/>
  <c r="DO3924" i="3" s="1"/>
  <c r="DN2480" i="3"/>
  <c r="DO2480" i="3" s="1"/>
  <c r="DL2480" i="3"/>
  <c r="DN3677" i="3"/>
  <c r="DO3677" i="3" s="1"/>
  <c r="DL3677" i="3"/>
  <c r="DL4153" i="3"/>
  <c r="DN4153" i="3" s="1"/>
  <c r="DO4153" i="3" s="1"/>
  <c r="DK3583" i="3"/>
  <c r="DL3583" i="3"/>
  <c r="R190" i="2"/>
  <c r="DK10" i="3"/>
  <c r="DM10" i="3" s="1"/>
  <c r="DK3621" i="3"/>
  <c r="DL3621" i="3"/>
  <c r="Q2" i="2"/>
  <c r="R192" i="2"/>
  <c r="DK3526" i="3"/>
  <c r="DL3526" i="3"/>
  <c r="DK1664" i="3"/>
  <c r="DL1664" i="3"/>
  <c r="DK3070" i="3"/>
  <c r="DL3070" i="3"/>
  <c r="DK201" i="3"/>
  <c r="DM201" i="3" s="1"/>
  <c r="DK2367" i="3"/>
  <c r="DL2367" i="3"/>
  <c r="DK3698" i="3"/>
  <c r="DK2596" i="3"/>
  <c r="DL2596" i="3"/>
  <c r="DK468" i="3"/>
  <c r="DL468" i="3"/>
  <c r="DK1303" i="3"/>
  <c r="DM1303" i="3" s="1"/>
  <c r="DL1303" i="3"/>
  <c r="DN1303" i="3" s="1"/>
  <c r="DO1303" i="3" s="1"/>
  <c r="DK3356" i="3"/>
  <c r="DK277" i="3"/>
  <c r="DM277" i="3" s="1"/>
  <c r="DL277" i="3"/>
  <c r="DN277" i="3" s="1"/>
  <c r="DO277" i="3" s="1"/>
  <c r="DK563" i="3"/>
  <c r="DL563" i="3"/>
  <c r="DK1874" i="3"/>
  <c r="DL1874" i="3"/>
  <c r="DK3906" i="3"/>
  <c r="DM3906" i="3" s="1"/>
  <c r="DK1968" i="3"/>
  <c r="DL1968" i="3"/>
  <c r="DK372" i="3"/>
  <c r="DM372" i="3" s="1"/>
  <c r="DL372" i="3"/>
  <c r="DN372" i="3" s="1"/>
  <c r="DO372" i="3" s="1"/>
  <c r="DK772" i="3"/>
  <c r="DK904" i="3"/>
  <c r="DL904" i="3"/>
  <c r="DK125" i="3"/>
  <c r="DM125" i="3" s="1"/>
  <c r="DK4172" i="3"/>
  <c r="DM4172" i="3" s="1"/>
  <c r="DK1512" i="3"/>
  <c r="DK183" i="3"/>
  <c r="DM183" i="3" s="1"/>
  <c r="DK2994" i="3"/>
  <c r="DL2994" i="3"/>
  <c r="DK3279" i="3"/>
  <c r="DK1170" i="3"/>
  <c r="DM1170" i="3" s="1"/>
  <c r="DK3166" i="3"/>
  <c r="DL3166" i="3"/>
  <c r="DK2007" i="3"/>
  <c r="DL2007" i="3"/>
  <c r="DK391" i="3"/>
  <c r="DM391" i="3" s="1"/>
  <c r="DL391" i="3"/>
  <c r="DN391" i="3" s="1"/>
  <c r="DO391" i="3" s="1"/>
  <c r="DK676" i="3"/>
  <c r="DL676" i="3"/>
  <c r="DK315" i="3"/>
  <c r="DM315" i="3" s="1"/>
  <c r="DK3678" i="3"/>
  <c r="DK4154" i="3"/>
  <c r="DM4154" i="3" s="1"/>
  <c r="DK2672" i="3"/>
  <c r="DL2672" i="3"/>
  <c r="DK1398" i="3"/>
  <c r="DM1398" i="3" s="1"/>
  <c r="DK1094" i="3"/>
  <c r="DM1094" i="3" s="1"/>
  <c r="DL1094" i="3"/>
  <c r="DN1094" i="3" s="1"/>
  <c r="DO1094" i="3" s="1"/>
  <c r="DK4306" i="3"/>
  <c r="DM4306" i="3" s="1"/>
  <c r="DK2880" i="3"/>
  <c r="DL2880" i="3"/>
  <c r="DK1608" i="3"/>
  <c r="DL1608" i="3"/>
  <c r="DK1836" i="3"/>
  <c r="DL1836" i="3"/>
  <c r="DK4267" i="3"/>
  <c r="DM4267" i="3" s="1"/>
  <c r="DK2329" i="3"/>
  <c r="DL2329" i="3"/>
  <c r="DK2139" i="3"/>
  <c r="DL2139" i="3"/>
  <c r="DK2557" i="3"/>
  <c r="DL1360" i="3"/>
  <c r="DN1360" i="3" s="1"/>
  <c r="DO1360" i="3" s="1"/>
  <c r="DK1360" i="3"/>
  <c r="DM1360" i="3" s="1"/>
  <c r="DK2900" i="3"/>
  <c r="DL2900" i="3"/>
  <c r="DK3887" i="3"/>
  <c r="DM3887" i="3" s="1"/>
  <c r="DK2121" i="3"/>
  <c r="DL2121" i="3"/>
  <c r="DK3374" i="3"/>
  <c r="DK2766" i="3"/>
  <c r="DL2766" i="3"/>
  <c r="DK1189" i="3"/>
  <c r="DM1189" i="3" s="1"/>
  <c r="DL1189" i="3"/>
  <c r="DN1189" i="3" s="1"/>
  <c r="DO1189" i="3" s="1"/>
  <c r="DK3792" i="3"/>
  <c r="DM3792" i="3" s="1"/>
  <c r="DK4002" i="3"/>
  <c r="DM4002" i="3" s="1"/>
  <c r="DK1798" i="3"/>
  <c r="DL1798" i="3"/>
  <c r="DK1778" i="3"/>
  <c r="DL1778" i="3"/>
  <c r="DK3716" i="3"/>
  <c r="DK2652" i="3"/>
  <c r="DL2652" i="3"/>
  <c r="DL886" i="3"/>
  <c r="DK886" i="3"/>
  <c r="DK4249" i="3"/>
  <c r="DM4249" i="3" s="1"/>
  <c r="DK486" i="3"/>
  <c r="DL486" i="3"/>
  <c r="DK3944" i="3"/>
  <c r="DM3944" i="3" s="1"/>
  <c r="DK3469" i="3"/>
  <c r="DK1037" i="3"/>
  <c r="DM1037" i="3" s="1"/>
  <c r="DL1037" i="3"/>
  <c r="DN1037" i="3" s="1"/>
  <c r="DO1037" i="3" s="1"/>
  <c r="DK3336" i="3"/>
  <c r="DK696" i="3"/>
  <c r="DL696" i="3"/>
  <c r="DK1816" i="3"/>
  <c r="DL1816" i="3"/>
  <c r="DK1760" i="3"/>
  <c r="DL1760" i="3"/>
  <c r="DK3146" i="3"/>
  <c r="DL3146" i="3"/>
  <c r="DK600" i="3"/>
  <c r="DK3052" i="3"/>
  <c r="DL3052" i="3"/>
  <c r="DK847" i="3"/>
  <c r="DL847" i="3"/>
  <c r="DK2291" i="3"/>
  <c r="DL2291" i="3"/>
  <c r="DK1474" i="3"/>
  <c r="DK1341" i="3"/>
  <c r="DM1341" i="3" s="1"/>
  <c r="DL1341" i="3"/>
  <c r="DN1341" i="3" s="1"/>
  <c r="DO1341" i="3" s="1"/>
  <c r="DK2349" i="3"/>
  <c r="DL2349" i="3"/>
  <c r="DK866" i="3"/>
  <c r="DL866" i="3"/>
  <c r="DK1684" i="3"/>
  <c r="DL1684" i="3"/>
  <c r="DK3830" i="3"/>
  <c r="DM3830" i="3" s="1"/>
  <c r="DK923" i="3"/>
  <c r="DL923" i="3"/>
  <c r="DK1247" i="3"/>
  <c r="DM1247" i="3" s="1"/>
  <c r="DL1247" i="3"/>
  <c r="DN1247" i="3" s="1"/>
  <c r="DO1247" i="3" s="1"/>
  <c r="DK1588" i="3"/>
  <c r="DL1588" i="3"/>
  <c r="DK2102" i="3"/>
  <c r="DL2102" i="3"/>
  <c r="DK144" i="3"/>
  <c r="DM144" i="3" s="1"/>
  <c r="DK4077" i="3"/>
  <c r="DM4077" i="3" s="1"/>
  <c r="DK221" i="3"/>
  <c r="DM221" i="3" s="1"/>
  <c r="DK1323" i="3"/>
  <c r="DM1323" i="3" s="1"/>
  <c r="DL1323" i="3"/>
  <c r="DN1323" i="3" s="1"/>
  <c r="DO1323" i="3" s="1"/>
  <c r="DK2235" i="3"/>
  <c r="DL2235" i="3"/>
  <c r="DK657" i="3"/>
  <c r="DL657" i="3"/>
  <c r="DK2178" i="3"/>
  <c r="DL2178" i="3"/>
  <c r="S45" i="2"/>
  <c r="R108" i="2"/>
  <c r="R122" i="2"/>
  <c r="R157" i="2"/>
  <c r="R79" i="2"/>
  <c r="S103" i="2"/>
  <c r="R72" i="2"/>
  <c r="R214" i="2"/>
  <c r="R187" i="2"/>
  <c r="R30" i="2"/>
  <c r="S125" i="2"/>
  <c r="R47" i="2"/>
  <c r="R89" i="2"/>
  <c r="S90" i="2"/>
  <c r="S23" i="2"/>
  <c r="R5" i="2"/>
  <c r="R203" i="2"/>
  <c r="S152" i="2"/>
  <c r="R34" i="2"/>
  <c r="R163" i="2"/>
  <c r="R50" i="2"/>
  <c r="R199" i="2"/>
  <c r="S67" i="2"/>
  <c r="S150" i="2"/>
  <c r="R12" i="2"/>
  <c r="R85" i="2"/>
  <c r="R91" i="2"/>
  <c r="S112" i="2"/>
  <c r="R14" i="2"/>
  <c r="R126" i="2"/>
  <c r="R4" i="2"/>
  <c r="R9" i="2"/>
  <c r="R55" i="2"/>
  <c r="S32" i="2"/>
  <c r="R216" i="2"/>
  <c r="S196" i="2"/>
  <c r="R213" i="2"/>
  <c r="S180" i="2"/>
  <c r="R161" i="2"/>
  <c r="S13" i="2"/>
  <c r="S138" i="2"/>
  <c r="S102" i="2"/>
  <c r="R65" i="2"/>
  <c r="S71" i="2"/>
  <c r="R140" i="2"/>
  <c r="S119" i="2"/>
  <c r="S26" i="2"/>
  <c r="R57" i="2"/>
  <c r="S166" i="2"/>
  <c r="R36" i="2"/>
  <c r="R70" i="2"/>
  <c r="S116" i="2"/>
  <c r="S178" i="2"/>
  <c r="R16" i="2"/>
  <c r="S31" i="2"/>
  <c r="S100" i="2"/>
  <c r="R207" i="2"/>
  <c r="R105" i="2"/>
  <c r="R21" i="2"/>
  <c r="S42" i="2"/>
  <c r="R49" i="2"/>
  <c r="R8" i="2"/>
  <c r="R221" i="2"/>
  <c r="R81" i="2"/>
  <c r="S11" i="2"/>
  <c r="R159" i="2"/>
  <c r="R174" i="2"/>
  <c r="R63" i="2"/>
  <c r="S168" i="2"/>
  <c r="S107" i="2"/>
  <c r="R22" i="2"/>
  <c r="R37" i="2"/>
  <c r="R18" i="2"/>
  <c r="R195" i="2"/>
  <c r="S220" i="2"/>
  <c r="S142" i="2"/>
  <c r="R75" i="2"/>
  <c r="R59" i="2"/>
  <c r="S228" i="2"/>
  <c r="R153" i="2"/>
  <c r="S86" i="2"/>
  <c r="S98" i="2"/>
  <c r="R226" i="2"/>
  <c r="R124" i="2"/>
  <c r="R114" i="2"/>
  <c r="R136" i="2"/>
  <c r="R73" i="2"/>
  <c r="S154" i="2"/>
  <c r="R206" i="2"/>
  <c r="S113" i="2"/>
  <c r="R179" i="2"/>
  <c r="R147" i="2"/>
  <c r="R64" i="2"/>
  <c r="R201" i="2"/>
  <c r="S212" i="2"/>
  <c r="S96" i="2"/>
  <c r="R95" i="2"/>
  <c r="R197" i="2"/>
  <c r="R141" i="2"/>
  <c r="S48" i="2"/>
  <c r="S225" i="2"/>
  <c r="R27" i="2"/>
  <c r="R209" i="2"/>
  <c r="R184" i="2"/>
  <c r="R56" i="2"/>
  <c r="R177" i="2"/>
  <c r="S38" i="2"/>
  <c r="R97" i="2"/>
  <c r="S94" i="2"/>
  <c r="R167" i="2"/>
  <c r="R33" i="2"/>
  <c r="S162" i="2"/>
  <c r="DK2025" i="3"/>
  <c r="DL2025" i="3"/>
  <c r="DK4039" i="3"/>
  <c r="DM4039" i="3" s="1"/>
  <c r="DK68" i="3"/>
  <c r="DM68" i="3" s="1"/>
  <c r="DL68" i="3"/>
  <c r="DN68" i="3" s="1"/>
  <c r="DO68" i="3" s="1"/>
  <c r="DK619" i="3"/>
  <c r="DL619" i="3"/>
  <c r="DK2824" i="3"/>
  <c r="DL2824" i="3"/>
  <c r="DK1702" i="3"/>
  <c r="DL1702" i="3"/>
  <c r="DK49" i="3"/>
  <c r="DM49" i="3" s="1"/>
  <c r="DK582" i="3"/>
  <c r="DL582" i="3"/>
  <c r="DK3394" i="3"/>
  <c r="DK1912" i="3"/>
  <c r="DL1912" i="3"/>
  <c r="DK1056" i="3"/>
  <c r="DM1056" i="3" s="1"/>
  <c r="DL1056" i="3"/>
  <c r="DN1056" i="3" s="1"/>
  <c r="DO1056" i="3" s="1"/>
  <c r="R46" i="2"/>
  <c r="DK353" i="3"/>
  <c r="DM353" i="3" s="1"/>
  <c r="DK1265" i="3"/>
  <c r="DM1265" i="3" s="1"/>
  <c r="DL1265" i="3"/>
  <c r="DN1265" i="3" s="1"/>
  <c r="DO1265" i="3" s="1"/>
  <c r="DK3412" i="3"/>
  <c r="DK639" i="3"/>
  <c r="DL639" i="3"/>
  <c r="DK2311" i="3"/>
  <c r="DL2311" i="3"/>
  <c r="DK1227" i="3"/>
  <c r="DM1227" i="3" s="1"/>
  <c r="DL1227" i="3"/>
  <c r="DN1227" i="3" s="1"/>
  <c r="DO1227" i="3" s="1"/>
  <c r="DK2387" i="3"/>
  <c r="DK980" i="3"/>
  <c r="DM980" i="3" s="1"/>
  <c r="DL980" i="3"/>
  <c r="DN980" i="3" s="1"/>
  <c r="DO980" i="3" s="1"/>
  <c r="DK4193" i="3"/>
  <c r="DM4193" i="3" s="1"/>
  <c r="DK3298" i="3"/>
  <c r="DK2500" i="3"/>
  <c r="DK2444" i="3"/>
  <c r="DK4058" i="3"/>
  <c r="DM4058" i="3" s="1"/>
  <c r="DK2045" i="3"/>
  <c r="DL2045" i="3"/>
  <c r="DK3508" i="3"/>
  <c r="DK4116" i="3"/>
  <c r="DM4116" i="3" s="1"/>
  <c r="DK2976" i="3"/>
  <c r="DL2976" i="3"/>
  <c r="DK3184" i="3"/>
  <c r="DK1285" i="3"/>
  <c r="DM1285" i="3" s="1"/>
  <c r="DL1285" i="3"/>
  <c r="DN1285" i="3" s="1"/>
  <c r="DO1285" i="3" s="1"/>
  <c r="DK106" i="3"/>
  <c r="DM106" i="3" s="1"/>
  <c r="DK3564" i="3"/>
  <c r="DL3564" i="3"/>
  <c r="DK3640" i="3"/>
  <c r="DK1114" i="3"/>
  <c r="DM1114" i="3" s="1"/>
  <c r="DL1114" i="3"/>
  <c r="DN1114" i="3" s="1"/>
  <c r="DO1114" i="3" s="1"/>
  <c r="DK4286" i="3"/>
  <c r="DM4286" i="3" s="1"/>
  <c r="DK1722" i="3"/>
  <c r="DL1722" i="3"/>
  <c r="DK1626" i="3"/>
  <c r="DL1626" i="3"/>
  <c r="DK1417" i="3"/>
  <c r="DM1417" i="3" s="1"/>
  <c r="DK1075" i="3"/>
  <c r="DM1075" i="3" s="1"/>
  <c r="DL1075" i="3"/>
  <c r="DN1075" i="3" s="1"/>
  <c r="DO1075" i="3" s="1"/>
  <c r="DK3450" i="3"/>
  <c r="DK2463" i="3"/>
  <c r="DK1493" i="3"/>
  <c r="DK258" i="3"/>
  <c r="DM258" i="3" s="1"/>
  <c r="DL258" i="3"/>
  <c r="DN258" i="3" s="1"/>
  <c r="DO258" i="3" s="1"/>
  <c r="DK2842" i="3"/>
  <c r="DL2842" i="3"/>
  <c r="DK3850" i="3"/>
  <c r="DM3850" i="3" s="1"/>
  <c r="DK2539" i="3"/>
  <c r="DK3488" i="3"/>
  <c r="DK3242" i="3"/>
  <c r="DK30" i="3"/>
  <c r="DM30" i="3" s="1"/>
  <c r="DL30" i="3"/>
  <c r="DN30" i="3" s="1"/>
  <c r="DO30" i="3" s="1"/>
  <c r="DK942" i="3"/>
  <c r="DL942" i="3"/>
  <c r="DK3982" i="3"/>
  <c r="DM3982" i="3" s="1"/>
  <c r="R39" i="2"/>
  <c r="DK3868" i="3"/>
  <c r="DM3868" i="3" s="1"/>
  <c r="DK3602" i="3"/>
  <c r="DL3602" i="3"/>
  <c r="DK4231" i="3"/>
  <c r="DM4231" i="3" s="1"/>
  <c r="DK2253" i="3"/>
  <c r="DL2253" i="3"/>
  <c r="DK3925" i="3"/>
  <c r="DM3925" i="3" s="1"/>
  <c r="DK2481" i="3"/>
  <c r="DK4096" i="3"/>
  <c r="DM4096" i="3" s="1"/>
  <c r="DK2082" i="3"/>
  <c r="DL2082" i="3"/>
  <c r="DK3204" i="3"/>
  <c r="DK999" i="3"/>
  <c r="DM999" i="3" s="1"/>
  <c r="DL999" i="3"/>
  <c r="DN999" i="3" s="1"/>
  <c r="DO999" i="3" s="1"/>
  <c r="DK3089" i="3"/>
  <c r="DL3089" i="3"/>
  <c r="DK2063" i="3"/>
  <c r="DL2063" i="3"/>
  <c r="DK87" i="3"/>
  <c r="DM87" i="3" s="1"/>
  <c r="DL87" i="3"/>
  <c r="DN87" i="3" s="1"/>
  <c r="DO87" i="3" s="1"/>
  <c r="DK3014" i="3"/>
  <c r="DL3014" i="3"/>
  <c r="DK2785" i="3"/>
  <c r="DL2785" i="3"/>
  <c r="DK752" i="3"/>
  <c r="DK733" i="3"/>
  <c r="DL733" i="3"/>
  <c r="DK2615" i="3"/>
  <c r="DL2615" i="3"/>
  <c r="DK1379" i="3"/>
  <c r="DM1379" i="3" s="1"/>
  <c r="DK1987" i="3"/>
  <c r="DL1987" i="3"/>
  <c r="DK2710" i="3"/>
  <c r="DL2710" i="3"/>
  <c r="DK4210" i="3"/>
  <c r="DM4210" i="3" s="1"/>
  <c r="DK163" i="3"/>
  <c r="DM163" i="3" s="1"/>
  <c r="DK4134" i="3"/>
  <c r="DM4134" i="3" s="1"/>
  <c r="DK524" i="3"/>
  <c r="DK2576" i="3"/>
  <c r="DL2576" i="3"/>
  <c r="DK3812" i="3"/>
  <c r="DM3812" i="3" s="1"/>
  <c r="DK809" i="3"/>
  <c r="DK2273" i="3"/>
  <c r="DL2273" i="3"/>
  <c r="DK961" i="3"/>
  <c r="DL961" i="3"/>
  <c r="DK2197" i="3"/>
  <c r="DL2197" i="3"/>
  <c r="DK2918" i="3"/>
  <c r="DL2918" i="3"/>
  <c r="DK1949" i="3"/>
  <c r="DL1949" i="3"/>
  <c r="DK3318" i="3"/>
  <c r="DK3963" i="3"/>
  <c r="DM3963" i="3" s="1"/>
  <c r="DK3735" i="3"/>
  <c r="DK1570" i="3"/>
  <c r="DL1570" i="3"/>
  <c r="DK790" i="3"/>
  <c r="DK296" i="3"/>
  <c r="DM296" i="3" s="1"/>
  <c r="DL296" i="3"/>
  <c r="DN296" i="3" s="1"/>
  <c r="DO296" i="3" s="1"/>
  <c r="DK1151" i="3"/>
  <c r="DM1151" i="3" s="1"/>
  <c r="DK3260" i="3"/>
  <c r="DK449" i="3"/>
  <c r="DM449" i="3" s="1"/>
  <c r="DL449" i="3"/>
  <c r="DN449" i="3" s="1"/>
  <c r="DO449" i="3" s="1"/>
  <c r="DK1531" i="3"/>
  <c r="DK2520" i="3"/>
  <c r="DK2804" i="3"/>
  <c r="DL2804" i="3"/>
  <c r="DK3773" i="3"/>
  <c r="DM3773" i="3" s="1"/>
  <c r="DK1893" i="3"/>
  <c r="DL1893" i="3"/>
  <c r="DK2424" i="3"/>
  <c r="DK2215" i="3"/>
  <c r="DL2215" i="3"/>
  <c r="DK2748" i="3"/>
  <c r="DL2748" i="3"/>
  <c r="DK1854" i="3"/>
  <c r="DL1854" i="3"/>
  <c r="DK3108" i="3"/>
  <c r="DL3108" i="3"/>
  <c r="DK3659" i="3"/>
  <c r="DK2938" i="3"/>
  <c r="DL2938" i="3"/>
  <c r="DK3222" i="3"/>
  <c r="DK505" i="3"/>
  <c r="DK2729" i="3"/>
  <c r="DL2729" i="3"/>
  <c r="DL1132" i="3"/>
  <c r="DN1132" i="3" s="1"/>
  <c r="DO1132" i="3" s="1"/>
  <c r="DK1132" i="3"/>
  <c r="DM1132" i="3" s="1"/>
  <c r="DK2405" i="3"/>
  <c r="DK1455" i="3"/>
  <c r="DK1436" i="3"/>
  <c r="DM1436" i="3" s="1"/>
  <c r="DK2691" i="3"/>
  <c r="DL2691" i="3"/>
  <c r="DK1740" i="3"/>
  <c r="DL1740" i="3"/>
  <c r="DK1550" i="3"/>
  <c r="DK334" i="3"/>
  <c r="DM334" i="3" s="1"/>
  <c r="DK429" i="3"/>
  <c r="DM429" i="3" s="1"/>
  <c r="DL429" i="3"/>
  <c r="DN429" i="3" s="1"/>
  <c r="DO429" i="3" s="1"/>
  <c r="DK3431" i="3"/>
  <c r="DK3546" i="3"/>
  <c r="DL3546" i="3"/>
  <c r="DK2158" i="3"/>
  <c r="DL2158" i="3"/>
  <c r="DK1646" i="3"/>
  <c r="DL1646" i="3"/>
  <c r="DK829" i="3"/>
  <c r="DK2956" i="3"/>
  <c r="DL2956" i="3"/>
  <c r="DK1931" i="3"/>
  <c r="DL1931" i="3"/>
  <c r="DK543" i="3"/>
  <c r="DL543" i="3"/>
  <c r="DK411" i="3"/>
  <c r="DM411" i="3" s="1"/>
  <c r="DL411" i="3"/>
  <c r="DN411" i="3" s="1"/>
  <c r="DO411" i="3" s="1"/>
  <c r="DK2862" i="3"/>
  <c r="DL2862" i="3"/>
  <c r="DK3754" i="3"/>
  <c r="DK239" i="3"/>
  <c r="DM239" i="3" s="1"/>
  <c r="DL239" i="3"/>
  <c r="DN239" i="3" s="1"/>
  <c r="DO239" i="3" s="1"/>
  <c r="DK1018" i="3"/>
  <c r="DM1018" i="3" s="1"/>
  <c r="DL1018" i="3"/>
  <c r="DN1018" i="3" s="1"/>
  <c r="DO1018" i="3" s="1"/>
  <c r="DK4020" i="3"/>
  <c r="DM4020" i="3" s="1"/>
  <c r="DK3032" i="3"/>
  <c r="DL3032" i="3"/>
  <c r="DL1208" i="3"/>
  <c r="DN1208" i="3" s="1"/>
  <c r="DO1208" i="3" s="1"/>
  <c r="DK1208" i="3"/>
  <c r="DM1208" i="3" s="1"/>
  <c r="DK2633" i="3"/>
  <c r="DL2633" i="3"/>
  <c r="DK3128" i="3"/>
  <c r="DL3128" i="3"/>
  <c r="R20" i="2"/>
  <c r="R68" i="2"/>
  <c r="R181" i="2"/>
  <c r="S35" i="2"/>
  <c r="S123" i="2"/>
  <c r="R66" i="2"/>
  <c r="S127" i="2"/>
  <c r="R53" i="2"/>
  <c r="T222" i="2"/>
  <c r="R175" i="2"/>
  <c r="R133" i="2"/>
  <c r="S130" i="2"/>
  <c r="R215" i="2"/>
  <c r="S109" i="2"/>
  <c r="S186" i="2"/>
  <c r="S218" i="2"/>
  <c r="S158" i="2"/>
  <c r="R169" i="2"/>
  <c r="S69" i="2"/>
  <c r="R7" i="2"/>
  <c r="R189" i="2"/>
  <c r="R193" i="2"/>
  <c r="S60" i="2"/>
  <c r="R227" i="2"/>
  <c r="S92" i="2"/>
  <c r="R87" i="2"/>
  <c r="R76" i="2"/>
  <c r="R58" i="2"/>
  <c r="R183" i="2"/>
  <c r="S131" i="2"/>
  <c r="R80" i="2"/>
  <c r="R15" i="2"/>
  <c r="R151" i="2"/>
  <c r="S204" i="2"/>
  <c r="S135" i="2"/>
  <c r="R185" i="2"/>
  <c r="S172" i="2"/>
  <c r="R3" i="2"/>
  <c r="R51" i="2"/>
  <c r="R211" i="2"/>
  <c r="DK714" i="3"/>
  <c r="DL714" i="3"/>
  <c r="R205" i="2"/>
  <c r="R191" i="2"/>
  <c r="T224" i="2"/>
  <c r="R120" i="2"/>
  <c r="R208" i="2"/>
  <c r="R132" i="2"/>
  <c r="R217" i="2"/>
  <c r="R111" i="2"/>
  <c r="S170" i="2"/>
  <c r="R54" i="2"/>
  <c r="R164" i="2"/>
  <c r="R110" i="2"/>
  <c r="R6" i="2"/>
  <c r="S160" i="2"/>
  <c r="R148" i="2"/>
  <c r="R41" i="2"/>
  <c r="R40" i="2"/>
  <c r="S139" i="2"/>
  <c r="R74" i="2"/>
  <c r="R106" i="2"/>
  <c r="S144" i="2"/>
  <c r="R223" i="2"/>
  <c r="R10" i="2"/>
  <c r="R219" i="2"/>
  <c r="R29" i="2"/>
  <c r="R137" i="2"/>
  <c r="S202" i="2"/>
  <c r="R44" i="2"/>
  <c r="S121" i="2"/>
  <c r="R52" i="2"/>
  <c r="S117" i="2"/>
  <c r="R155" i="2"/>
  <c r="R104" i="2"/>
  <c r="S176" i="2"/>
  <c r="R210" i="2"/>
  <c r="R198" i="2"/>
  <c r="S84" i="2"/>
  <c r="R43" i="2"/>
  <c r="R17" i="2"/>
  <c r="R62" i="2"/>
  <c r="R173" i="2"/>
  <c r="S25" i="2"/>
  <c r="R82" i="2"/>
  <c r="S134" i="2"/>
  <c r="R149" i="2"/>
  <c r="R200" i="2"/>
  <c r="S101" i="2"/>
  <c r="R129" i="2"/>
  <c r="R118" i="2"/>
  <c r="S146" i="2"/>
  <c r="R99" i="2"/>
  <c r="R165" i="2"/>
  <c r="R194" i="2"/>
  <c r="S156" i="2"/>
  <c r="R171" i="2"/>
  <c r="R28" i="2"/>
  <c r="S145" i="2"/>
  <c r="R61" i="2"/>
  <c r="R128" i="2"/>
  <c r="R78" i="2"/>
  <c r="R77" i="2"/>
  <c r="S143" i="2"/>
  <c r="R93" i="2"/>
  <c r="R83" i="2"/>
  <c r="R19" i="2"/>
  <c r="R24" i="2"/>
  <c r="R182" i="2"/>
  <c r="S188" i="2"/>
  <c r="R115" i="2"/>
  <c r="S88" i="2"/>
  <c r="DN9" i="3" l="1"/>
  <c r="DO9" i="3" s="1"/>
  <c r="DL10" i="3"/>
  <c r="DL3982" i="3"/>
  <c r="DN3982" i="3" s="1"/>
  <c r="DO3982" i="3" s="1"/>
  <c r="DN3488" i="3"/>
  <c r="DO3488" i="3" s="1"/>
  <c r="DL3488" i="3"/>
  <c r="DL3850" i="3"/>
  <c r="DN3850" i="3" s="1"/>
  <c r="DO3850" i="3" s="1"/>
  <c r="DN2463" i="3"/>
  <c r="DO2463" i="3" s="1"/>
  <c r="DL2463" i="3"/>
  <c r="DL4286" i="3"/>
  <c r="DN4286" i="3" s="1"/>
  <c r="DO4286" i="3" s="1"/>
  <c r="DN3640" i="3"/>
  <c r="DO3640" i="3" s="1"/>
  <c r="DL3640" i="3"/>
  <c r="DL106" i="3"/>
  <c r="DN106" i="3" s="1"/>
  <c r="DO106" i="3" s="1"/>
  <c r="DN3184" i="3"/>
  <c r="DO3184" i="3" s="1"/>
  <c r="DL3184" i="3"/>
  <c r="DL4116" i="3"/>
  <c r="DN4116" i="3" s="1"/>
  <c r="DO4116" i="3" s="1"/>
  <c r="DN2444" i="3"/>
  <c r="DO2444" i="3" s="1"/>
  <c r="DL2444" i="3"/>
  <c r="DN3298" i="3"/>
  <c r="DO3298" i="3" s="1"/>
  <c r="DL3298" i="3"/>
  <c r="DN3754" i="3"/>
  <c r="DO3754" i="3" s="1"/>
  <c r="DL3754" i="3"/>
  <c r="DN829" i="3"/>
  <c r="DO829" i="3" s="1"/>
  <c r="DL829" i="3"/>
  <c r="DN3431" i="3"/>
  <c r="DO3431" i="3" s="1"/>
  <c r="DL3431" i="3"/>
  <c r="DL334" i="3"/>
  <c r="DN334" i="3" s="1"/>
  <c r="DO334" i="3" s="1"/>
  <c r="DL1436" i="3"/>
  <c r="DN1436" i="3" s="1"/>
  <c r="DO1436" i="3" s="1"/>
  <c r="DN2405" i="3"/>
  <c r="DO2405" i="3" s="1"/>
  <c r="DL2405" i="3"/>
  <c r="DN3222" i="3"/>
  <c r="DO3222" i="3" s="1"/>
  <c r="DL3222" i="3"/>
  <c r="DN3659" i="3"/>
  <c r="DO3659" i="3" s="1"/>
  <c r="DL3659" i="3"/>
  <c r="DN1531" i="3"/>
  <c r="DO1531" i="3" s="1"/>
  <c r="DL1531" i="3"/>
  <c r="DN3260" i="3"/>
  <c r="DO3260" i="3" s="1"/>
  <c r="DL3260" i="3"/>
  <c r="DL3963" i="3"/>
  <c r="DN3963" i="3" s="1"/>
  <c r="DO3963" i="3" s="1"/>
  <c r="DL3812" i="3"/>
  <c r="DN3812" i="3" s="1"/>
  <c r="DO3812" i="3" s="1"/>
  <c r="DN524" i="3"/>
  <c r="DO524" i="3" s="1"/>
  <c r="DL524" i="3"/>
  <c r="DL163" i="3"/>
  <c r="DN163" i="3" s="1"/>
  <c r="DO163" i="3" s="1"/>
  <c r="DL1379" i="3"/>
  <c r="DN1379" i="3" s="1"/>
  <c r="DO1379" i="3" s="1"/>
  <c r="DN3204" i="3"/>
  <c r="DO3204" i="3" s="1"/>
  <c r="DL3204" i="3"/>
  <c r="DL4096" i="3"/>
  <c r="DN4096" i="3" s="1"/>
  <c r="DO4096" i="3" s="1"/>
  <c r="DL3925" i="3"/>
  <c r="DN3925" i="3" s="1"/>
  <c r="DO3925" i="3" s="1"/>
  <c r="DL4231" i="3"/>
  <c r="DN4231" i="3" s="1"/>
  <c r="DO4231" i="3" s="1"/>
  <c r="DL3868" i="3"/>
  <c r="DN3868" i="3" s="1"/>
  <c r="DO3868" i="3" s="1"/>
  <c r="DN3394" i="3"/>
  <c r="DO3394" i="3" s="1"/>
  <c r="DL3394" i="3"/>
  <c r="DL49" i="3"/>
  <c r="DN49" i="3" s="1"/>
  <c r="DO49" i="3" s="1"/>
  <c r="DL4077" i="3"/>
  <c r="DN4077" i="3" s="1"/>
  <c r="DO4077" i="3" s="1"/>
  <c r="DL3830" i="3"/>
  <c r="DN3830" i="3" s="1"/>
  <c r="DO3830" i="3" s="1"/>
  <c r="DN3336" i="3"/>
  <c r="DO3336" i="3" s="1"/>
  <c r="DL3336" i="3"/>
  <c r="DN3469" i="3"/>
  <c r="DO3469" i="3" s="1"/>
  <c r="DL3469" i="3"/>
  <c r="DN3716" i="3"/>
  <c r="DO3716" i="3" s="1"/>
  <c r="DL3716" i="3"/>
  <c r="DL3792" i="3"/>
  <c r="DN3792" i="3" s="1"/>
  <c r="DO3792" i="3" s="1"/>
  <c r="DN2557" i="3"/>
  <c r="DO2557" i="3" s="1"/>
  <c r="DL2557" i="3"/>
  <c r="DN3678" i="3"/>
  <c r="DO3678" i="3" s="1"/>
  <c r="DL3678" i="3"/>
  <c r="DL1170" i="3"/>
  <c r="DN1170" i="3" s="1"/>
  <c r="DO1170" i="3" s="1"/>
  <c r="DN1512" i="3"/>
  <c r="DO1512" i="3" s="1"/>
  <c r="DL1512" i="3"/>
  <c r="DL125" i="3"/>
  <c r="DN125" i="3" s="1"/>
  <c r="DO125" i="3" s="1"/>
  <c r="DN772" i="3"/>
  <c r="DO772" i="3" s="1"/>
  <c r="DL772" i="3"/>
  <c r="DN3242" i="3"/>
  <c r="DO3242" i="3" s="1"/>
  <c r="DL3242" i="3"/>
  <c r="DN2539" i="3"/>
  <c r="DO2539" i="3" s="1"/>
  <c r="DL2539" i="3"/>
  <c r="DN1493" i="3"/>
  <c r="DO1493" i="3" s="1"/>
  <c r="DL1493" i="3"/>
  <c r="DN3450" i="3"/>
  <c r="DO3450" i="3" s="1"/>
  <c r="DL3450" i="3"/>
  <c r="DL1417" i="3"/>
  <c r="DN1417" i="3" s="1"/>
  <c r="DO1417" i="3" s="1"/>
  <c r="DL4058" i="3"/>
  <c r="DN4058" i="3" s="1"/>
  <c r="DO4058" i="3" s="1"/>
  <c r="DL4193" i="3"/>
  <c r="DN4193" i="3" s="1"/>
  <c r="DO4193" i="3" s="1"/>
  <c r="DN3412" i="3"/>
  <c r="DO3412" i="3" s="1"/>
  <c r="DL3412" i="3"/>
  <c r="DL353" i="3"/>
  <c r="DN353" i="3" s="1"/>
  <c r="DO353" i="3" s="1"/>
  <c r="DN3508" i="3"/>
  <c r="DO3508" i="3" s="1"/>
  <c r="DL3508" i="3"/>
  <c r="DN2500" i="3"/>
  <c r="DO2500" i="3" s="1"/>
  <c r="DL2500" i="3"/>
  <c r="DN2387" i="3"/>
  <c r="DO2387" i="3" s="1"/>
  <c r="DL2387" i="3"/>
  <c r="DL4020" i="3"/>
  <c r="DN4020" i="3" s="1"/>
  <c r="DO4020" i="3" s="1"/>
  <c r="DN1550" i="3"/>
  <c r="DO1550" i="3" s="1"/>
  <c r="DL1550" i="3"/>
  <c r="DN1455" i="3"/>
  <c r="DO1455" i="3" s="1"/>
  <c r="DL1455" i="3"/>
  <c r="DN505" i="3"/>
  <c r="DO505" i="3" s="1"/>
  <c r="DL505" i="3"/>
  <c r="DN2424" i="3"/>
  <c r="DO2424" i="3" s="1"/>
  <c r="DL2424" i="3"/>
  <c r="DL3773" i="3"/>
  <c r="DN3773" i="3" s="1"/>
  <c r="DO3773" i="3" s="1"/>
  <c r="DN2520" i="3"/>
  <c r="DO2520" i="3" s="1"/>
  <c r="DL2520" i="3"/>
  <c r="DL1151" i="3"/>
  <c r="DN1151" i="3" s="1"/>
  <c r="DO1151" i="3" s="1"/>
  <c r="DN790" i="3"/>
  <c r="DO790" i="3" s="1"/>
  <c r="DL790" i="3"/>
  <c r="DN3735" i="3"/>
  <c r="DO3735" i="3" s="1"/>
  <c r="DL3735" i="3"/>
  <c r="DN3318" i="3"/>
  <c r="DO3318" i="3" s="1"/>
  <c r="DL3318" i="3"/>
  <c r="DN809" i="3"/>
  <c r="DO809" i="3" s="1"/>
  <c r="DL809" i="3"/>
  <c r="DL4134" i="3"/>
  <c r="DN4134" i="3" s="1"/>
  <c r="DO4134" i="3" s="1"/>
  <c r="DL4210" i="3"/>
  <c r="DN4210" i="3" s="1"/>
  <c r="DO4210" i="3" s="1"/>
  <c r="DN752" i="3"/>
  <c r="DO752" i="3" s="1"/>
  <c r="DL752" i="3"/>
  <c r="DN2481" i="3"/>
  <c r="DO2481" i="3" s="1"/>
  <c r="DL2481" i="3"/>
  <c r="DL4039" i="3"/>
  <c r="DN4039" i="3" s="1"/>
  <c r="DO4039" i="3" s="1"/>
  <c r="DL221" i="3"/>
  <c r="DN221" i="3" s="1"/>
  <c r="DO221" i="3" s="1"/>
  <c r="DL144" i="3"/>
  <c r="DN144" i="3" s="1"/>
  <c r="DO144" i="3" s="1"/>
  <c r="DN1474" i="3"/>
  <c r="DO1474" i="3" s="1"/>
  <c r="DL1474" i="3"/>
  <c r="DN600" i="3"/>
  <c r="DO600" i="3" s="1"/>
  <c r="DL600" i="3"/>
  <c r="DL3944" i="3"/>
  <c r="DN3944" i="3" s="1"/>
  <c r="DO3944" i="3" s="1"/>
  <c r="DL4249" i="3"/>
  <c r="DN4249" i="3" s="1"/>
  <c r="DO4249" i="3" s="1"/>
  <c r="DL4002" i="3"/>
  <c r="DN4002" i="3" s="1"/>
  <c r="DO4002" i="3" s="1"/>
  <c r="DN3374" i="3"/>
  <c r="DO3374" i="3" s="1"/>
  <c r="DL3374" i="3"/>
  <c r="DL3887" i="3"/>
  <c r="DN3887" i="3" s="1"/>
  <c r="DO3887" i="3" s="1"/>
  <c r="DL4267" i="3"/>
  <c r="DN4267" i="3" s="1"/>
  <c r="DO4267" i="3" s="1"/>
  <c r="DL4306" i="3"/>
  <c r="DN4306" i="3" s="1"/>
  <c r="DO4306" i="3" s="1"/>
  <c r="DL1398" i="3"/>
  <c r="DN1398" i="3" s="1"/>
  <c r="DO1398" i="3" s="1"/>
  <c r="DL4154" i="3"/>
  <c r="DN4154" i="3" s="1"/>
  <c r="DO4154" i="3" s="1"/>
  <c r="DL315" i="3"/>
  <c r="DN315" i="3" s="1"/>
  <c r="DO315" i="3" s="1"/>
  <c r="DN3279" i="3"/>
  <c r="DO3279" i="3" s="1"/>
  <c r="DL3279" i="3"/>
  <c r="DL183" i="3"/>
  <c r="DN183" i="3" s="1"/>
  <c r="DO183" i="3" s="1"/>
  <c r="DL4172" i="3"/>
  <c r="DN4172" i="3" s="1"/>
  <c r="DO4172" i="3" s="1"/>
  <c r="DL3906" i="3"/>
  <c r="DN3906" i="3" s="1"/>
  <c r="DO3906" i="3" s="1"/>
  <c r="DN3356" i="3"/>
  <c r="DO3356" i="3" s="1"/>
  <c r="DL3356" i="3"/>
  <c r="DN3698" i="3"/>
  <c r="DO3698" i="3" s="1"/>
  <c r="DL3698" i="3"/>
  <c r="DL201" i="3"/>
  <c r="DN201" i="3" s="1"/>
  <c r="DO201" i="3" s="1"/>
  <c r="DK3622" i="3"/>
  <c r="DL3622" i="3"/>
  <c r="DK3584" i="3"/>
  <c r="DL3584" i="3"/>
  <c r="S192" i="2"/>
  <c r="S190" i="2"/>
  <c r="DK11" i="3"/>
  <c r="DM11" i="3" s="1"/>
  <c r="R2" i="2"/>
  <c r="DK1741" i="3"/>
  <c r="DL1741" i="3"/>
  <c r="DK2730" i="3"/>
  <c r="DL2730" i="3"/>
  <c r="DK1855" i="3"/>
  <c r="DL1855" i="3"/>
  <c r="DK297" i="3"/>
  <c r="DM297" i="3" s="1"/>
  <c r="DL297" i="3"/>
  <c r="DN297" i="3" s="1"/>
  <c r="DO297" i="3" s="1"/>
  <c r="DK1950" i="3"/>
  <c r="DL1950" i="3"/>
  <c r="DK164" i="3"/>
  <c r="DM164" i="3" s="1"/>
  <c r="DK734" i="3"/>
  <c r="DL734" i="3"/>
  <c r="DK3090" i="3"/>
  <c r="DL3090" i="3"/>
  <c r="DK3926" i="3"/>
  <c r="DM3926" i="3" s="1"/>
  <c r="DK31" i="3"/>
  <c r="DM31" i="3" s="1"/>
  <c r="DL31" i="3"/>
  <c r="DN31" i="3" s="1"/>
  <c r="DO31" i="3" s="1"/>
  <c r="DK3851" i="3"/>
  <c r="DM3851" i="3" s="1"/>
  <c r="DK1076" i="3"/>
  <c r="DM1076" i="3" s="1"/>
  <c r="DL1076" i="3"/>
  <c r="DN1076" i="3" s="1"/>
  <c r="DO1076" i="3" s="1"/>
  <c r="DK1627" i="3"/>
  <c r="DL1627" i="3"/>
  <c r="DK3641" i="3"/>
  <c r="DK4117" i="3"/>
  <c r="DM4117" i="3" s="1"/>
  <c r="DK2388" i="3"/>
  <c r="DK601" i="3"/>
  <c r="DK1038" i="3"/>
  <c r="DM1038" i="3" s="1"/>
  <c r="DL1038" i="3"/>
  <c r="DN1038" i="3" s="1"/>
  <c r="DO1038" i="3" s="1"/>
  <c r="DK2653" i="3"/>
  <c r="DL2653" i="3"/>
  <c r="DK1190" i="3"/>
  <c r="DM1190" i="3" s="1"/>
  <c r="DL1190" i="3"/>
  <c r="DN1190" i="3" s="1"/>
  <c r="DO1190" i="3" s="1"/>
  <c r="DK2140" i="3"/>
  <c r="DL2140" i="3"/>
  <c r="DK4307" i="3"/>
  <c r="DM4307" i="3" s="1"/>
  <c r="DK4155" i="3"/>
  <c r="DM4155" i="3" s="1"/>
  <c r="DK3280" i="3"/>
  <c r="DK373" i="3"/>
  <c r="DM373" i="3" s="1"/>
  <c r="DL373" i="3"/>
  <c r="DN373" i="3" s="1"/>
  <c r="DO373" i="3" s="1"/>
  <c r="DK3357" i="3"/>
  <c r="DK469" i="3"/>
  <c r="DL469" i="3"/>
  <c r="DK1209" i="3"/>
  <c r="DM1209" i="3" s="1"/>
  <c r="DL1209" i="3"/>
  <c r="DN1209" i="3" s="1"/>
  <c r="DO1209" i="3" s="1"/>
  <c r="DK4021" i="3"/>
  <c r="DM4021" i="3" s="1"/>
  <c r="DK1019" i="3"/>
  <c r="DM1019" i="3" s="1"/>
  <c r="DL1019" i="3"/>
  <c r="DN1019" i="3" s="1"/>
  <c r="DO1019" i="3" s="1"/>
  <c r="DK202" i="3"/>
  <c r="DM202" i="3" s="1"/>
  <c r="DL202" i="3"/>
  <c r="DN202" i="3" s="1"/>
  <c r="DO202" i="3" s="1"/>
  <c r="DK412" i="3"/>
  <c r="DM412" i="3" s="1"/>
  <c r="DL412" i="3"/>
  <c r="DN412" i="3" s="1"/>
  <c r="DO412" i="3" s="1"/>
  <c r="DK1342" i="3"/>
  <c r="DM1342" i="3" s="1"/>
  <c r="DL1342" i="3"/>
  <c r="DN1342" i="3" s="1"/>
  <c r="DO1342" i="3" s="1"/>
  <c r="S115" i="2"/>
  <c r="S19" i="2"/>
  <c r="S77" i="2"/>
  <c r="T145" i="2"/>
  <c r="S194" i="2"/>
  <c r="S99" i="2"/>
  <c r="S129" i="2"/>
  <c r="S82" i="2"/>
  <c r="T84" i="2"/>
  <c r="S104" i="2"/>
  <c r="T117" i="2"/>
  <c r="T202" i="2"/>
  <c r="S10" i="2"/>
  <c r="T144" i="2"/>
  <c r="S40" i="2"/>
  <c r="S6" i="2"/>
  <c r="T170" i="2"/>
  <c r="S217" i="2"/>
  <c r="U224" i="2"/>
  <c r="S211" i="2"/>
  <c r="S3" i="2"/>
  <c r="T204" i="2"/>
  <c r="T131" i="2"/>
  <c r="S87" i="2"/>
  <c r="S193" i="2"/>
  <c r="S7" i="2"/>
  <c r="T218" i="2"/>
  <c r="U222" i="2"/>
  <c r="S181" i="2"/>
  <c r="DK1647" i="3"/>
  <c r="DL1647" i="3"/>
  <c r="DK3547" i="3"/>
  <c r="DL3547" i="3"/>
  <c r="DK430" i="3"/>
  <c r="DM430" i="3" s="1"/>
  <c r="DL430" i="3"/>
  <c r="DN430" i="3" s="1"/>
  <c r="DO430" i="3" s="1"/>
  <c r="DK1551" i="3"/>
  <c r="DK2692" i="3"/>
  <c r="DL2692" i="3"/>
  <c r="DK1456" i="3"/>
  <c r="DK1133" i="3"/>
  <c r="DM1133" i="3" s="1"/>
  <c r="DL1133" i="3"/>
  <c r="DN1133" i="3" s="1"/>
  <c r="DO1133" i="3" s="1"/>
  <c r="DK506" i="3"/>
  <c r="DL506" i="3"/>
  <c r="DK2939" i="3"/>
  <c r="DL2939" i="3"/>
  <c r="DK3109" i="3"/>
  <c r="DL3109" i="3"/>
  <c r="DK2749" i="3"/>
  <c r="DL2749" i="3"/>
  <c r="DK2216" i="3"/>
  <c r="DL2216" i="3"/>
  <c r="DK1894" i="3"/>
  <c r="DL1894" i="3"/>
  <c r="DK2805" i="3"/>
  <c r="DL2805" i="3"/>
  <c r="DK2521" i="3"/>
  <c r="DK450" i="3"/>
  <c r="DM450" i="3" s="1"/>
  <c r="DL450" i="3"/>
  <c r="DN450" i="3" s="1"/>
  <c r="DO450" i="3" s="1"/>
  <c r="DK1152" i="3"/>
  <c r="DM1152" i="3" s="1"/>
  <c r="DK791" i="3"/>
  <c r="DK3736" i="3"/>
  <c r="DK3319" i="3"/>
  <c r="DK2919" i="3"/>
  <c r="DL2919" i="3"/>
  <c r="DK962" i="3"/>
  <c r="DL962" i="3"/>
  <c r="DK810" i="3"/>
  <c r="DK2577" i="3"/>
  <c r="DL2577" i="3"/>
  <c r="DK4135" i="3"/>
  <c r="DM4135" i="3" s="1"/>
  <c r="DK4211" i="3"/>
  <c r="DM4211" i="3" s="1"/>
  <c r="DK1988" i="3"/>
  <c r="DL1988" i="3"/>
  <c r="DK2616" i="3"/>
  <c r="DL2616" i="3"/>
  <c r="DK753" i="3"/>
  <c r="DK3015" i="3"/>
  <c r="DL3015" i="3"/>
  <c r="DK2064" i="3"/>
  <c r="DL2064" i="3"/>
  <c r="DK1000" i="3"/>
  <c r="DM1000" i="3" s="1"/>
  <c r="DL1000" i="3"/>
  <c r="DN1000" i="3" s="1"/>
  <c r="DO1000" i="3" s="1"/>
  <c r="DK2083" i="3"/>
  <c r="DL2083" i="3"/>
  <c r="DK2482" i="3"/>
  <c r="DK2254" i="3"/>
  <c r="DL2254" i="3"/>
  <c r="DK3603" i="3"/>
  <c r="DL3603" i="3"/>
  <c r="DK943" i="3"/>
  <c r="DL943" i="3"/>
  <c r="DK3243" i="3"/>
  <c r="DK2540" i="3"/>
  <c r="DK2843" i="3"/>
  <c r="DL2843" i="3"/>
  <c r="DK1494" i="3"/>
  <c r="DK3451" i="3"/>
  <c r="DK1418" i="3"/>
  <c r="DM1418" i="3" s="1"/>
  <c r="DK1723" i="3"/>
  <c r="DL1723" i="3"/>
  <c r="DK1115" i="3"/>
  <c r="DM1115" i="3" s="1"/>
  <c r="DL1115" i="3"/>
  <c r="DN1115" i="3" s="1"/>
  <c r="DO1115" i="3" s="1"/>
  <c r="DK3565" i="3"/>
  <c r="DL3565" i="3"/>
  <c r="DK1286" i="3"/>
  <c r="DM1286" i="3" s="1"/>
  <c r="DL1286" i="3"/>
  <c r="DN1286" i="3" s="1"/>
  <c r="DO1286" i="3" s="1"/>
  <c r="DK2977" i="3"/>
  <c r="DL2977" i="3"/>
  <c r="DK3509" i="3"/>
  <c r="DK4059" i="3"/>
  <c r="DM4059" i="3" s="1"/>
  <c r="DK2445" i="3"/>
  <c r="DK3299" i="3"/>
  <c r="DK981" i="3"/>
  <c r="DM981" i="3" s="1"/>
  <c r="DL981" i="3"/>
  <c r="DN981" i="3" s="1"/>
  <c r="DO981" i="3" s="1"/>
  <c r="DK1228" i="3"/>
  <c r="DM1228" i="3" s="1"/>
  <c r="DL1228" i="3"/>
  <c r="DN1228" i="3" s="1"/>
  <c r="DO1228" i="3" s="1"/>
  <c r="DK640" i="3"/>
  <c r="DK1266" i="3"/>
  <c r="DM1266" i="3" s="1"/>
  <c r="DL1266" i="3"/>
  <c r="DN1266" i="3" s="1"/>
  <c r="DO1266" i="3" s="1"/>
  <c r="DK715" i="3"/>
  <c r="DL715" i="3"/>
  <c r="DK848" i="3"/>
  <c r="DL848" i="3"/>
  <c r="DK3053" i="3"/>
  <c r="DL3053" i="3"/>
  <c r="DK3147" i="3"/>
  <c r="DL3147" i="3"/>
  <c r="DK1817" i="3"/>
  <c r="DL1817" i="3"/>
  <c r="DK3337" i="3"/>
  <c r="DK3470" i="3"/>
  <c r="DK487" i="3"/>
  <c r="DK887" i="3"/>
  <c r="DL887" i="3"/>
  <c r="DK3717" i="3"/>
  <c r="DK1799" i="3"/>
  <c r="DL1799" i="3"/>
  <c r="DK3793" i="3"/>
  <c r="DM3793" i="3" s="1"/>
  <c r="DK2767" i="3"/>
  <c r="DL2767" i="3"/>
  <c r="DK2122" i="3"/>
  <c r="DL2122" i="3"/>
  <c r="DK2901" i="3"/>
  <c r="DL2901" i="3"/>
  <c r="DK2558" i="3"/>
  <c r="DK2330" i="3"/>
  <c r="DL2330" i="3"/>
  <c r="DK1837" i="3"/>
  <c r="DL1837" i="3"/>
  <c r="DK2881" i="3"/>
  <c r="DL2881" i="3"/>
  <c r="DK1095" i="3"/>
  <c r="DM1095" i="3" s="1"/>
  <c r="DL1095" i="3"/>
  <c r="DN1095" i="3" s="1"/>
  <c r="DO1095" i="3" s="1"/>
  <c r="DK2673" i="3"/>
  <c r="DL2673" i="3"/>
  <c r="DK3679" i="3"/>
  <c r="DL677" i="3"/>
  <c r="DK677" i="3"/>
  <c r="DK2008" i="3"/>
  <c r="DL2008" i="3"/>
  <c r="DK1171" i="3"/>
  <c r="DM1171" i="3" s="1"/>
  <c r="DK2995" i="3"/>
  <c r="DL2995" i="3"/>
  <c r="DK1513" i="3"/>
  <c r="DK126" i="3"/>
  <c r="DM126" i="3" s="1"/>
  <c r="DK773" i="3"/>
  <c r="DK1969" i="3"/>
  <c r="DL1969" i="3"/>
  <c r="DK1875" i="3"/>
  <c r="DL1875" i="3"/>
  <c r="DK278" i="3"/>
  <c r="DM278" i="3" s="1"/>
  <c r="DL278" i="3"/>
  <c r="DN278" i="3" s="1"/>
  <c r="DO278" i="3" s="1"/>
  <c r="DK2179" i="3"/>
  <c r="DL2179" i="3"/>
  <c r="DK658" i="3"/>
  <c r="DL658" i="3"/>
  <c r="DK1057" i="3"/>
  <c r="DM1057" i="3" s="1"/>
  <c r="DL1057" i="3"/>
  <c r="DN1057" i="3" s="1"/>
  <c r="DO1057" i="3" s="1"/>
  <c r="DK2236" i="3"/>
  <c r="DL2236" i="3"/>
  <c r="DK1324" i="3"/>
  <c r="DM1324" i="3" s="1"/>
  <c r="DL1324" i="3"/>
  <c r="DN1324" i="3" s="1"/>
  <c r="DO1324" i="3" s="1"/>
  <c r="DK1913" i="3"/>
  <c r="DL1913" i="3"/>
  <c r="DK222" i="3"/>
  <c r="DM222" i="3" s="1"/>
  <c r="DL222" i="3"/>
  <c r="DN222" i="3" s="1"/>
  <c r="DO222" i="3" s="1"/>
  <c r="DK3395" i="3"/>
  <c r="DK3699" i="3"/>
  <c r="DK583" i="3"/>
  <c r="DL583" i="3"/>
  <c r="DK145" i="3"/>
  <c r="DM145" i="3" s="1"/>
  <c r="DK2368" i="3"/>
  <c r="DL2368" i="3"/>
  <c r="DK2103" i="3"/>
  <c r="DL2103" i="3"/>
  <c r="DK1589" i="3"/>
  <c r="DL1589" i="3"/>
  <c r="DK2825" i="3"/>
  <c r="DL2825" i="3"/>
  <c r="DK3755" i="3"/>
  <c r="DK3071" i="3"/>
  <c r="DL3071" i="3"/>
  <c r="DK2863" i="3"/>
  <c r="DL2863" i="3"/>
  <c r="DK69" i="3"/>
  <c r="DM69" i="3" s="1"/>
  <c r="DL69" i="3"/>
  <c r="DN69" i="3" s="1"/>
  <c r="DO69" i="3" s="1"/>
  <c r="DK1685" i="3"/>
  <c r="DL1685" i="3"/>
  <c r="DL867" i="3"/>
  <c r="DK867" i="3"/>
  <c r="DK544" i="3"/>
  <c r="DK4040" i="3"/>
  <c r="DM4040" i="3" s="1"/>
  <c r="DK1932" i="3"/>
  <c r="DL1932" i="3"/>
  <c r="DK2957" i="3"/>
  <c r="DL2957" i="3"/>
  <c r="DK2026" i="3"/>
  <c r="DL2026" i="3"/>
  <c r="DK2159" i="3"/>
  <c r="DL2159" i="3"/>
  <c r="DK335" i="3"/>
  <c r="DM335" i="3" s="1"/>
  <c r="DK1437" i="3"/>
  <c r="DM1437" i="3" s="1"/>
  <c r="DK3223" i="3"/>
  <c r="DK3774" i="3"/>
  <c r="DM3774" i="3" s="1"/>
  <c r="DK3261" i="3"/>
  <c r="DK3964" i="3"/>
  <c r="DM3964" i="3" s="1"/>
  <c r="DK2274" i="3"/>
  <c r="DL2274" i="3"/>
  <c r="DK525" i="3"/>
  <c r="DK1380" i="3"/>
  <c r="DM1380" i="3" s="1"/>
  <c r="DK88" i="3"/>
  <c r="DM88" i="3" s="1"/>
  <c r="DL88" i="3"/>
  <c r="DN88" i="3" s="1"/>
  <c r="DO88" i="3" s="1"/>
  <c r="DK4097" i="3"/>
  <c r="DM4097" i="3" s="1"/>
  <c r="DK4232" i="3"/>
  <c r="DM4232" i="3" s="1"/>
  <c r="DK3983" i="3"/>
  <c r="DM3983" i="3" s="1"/>
  <c r="DK3489" i="3"/>
  <c r="DK2464" i="3"/>
  <c r="DK4287" i="3"/>
  <c r="DM4287" i="3" s="1"/>
  <c r="DK4194" i="3"/>
  <c r="DM4194" i="3" s="1"/>
  <c r="DK3413" i="3"/>
  <c r="DK1761" i="3"/>
  <c r="DL1761" i="3"/>
  <c r="DK3945" i="3"/>
  <c r="DM3945" i="3" s="1"/>
  <c r="DK1779" i="3"/>
  <c r="DL1779" i="3"/>
  <c r="DK3375" i="3"/>
  <c r="DK1361" i="3"/>
  <c r="DM1361" i="3" s="1"/>
  <c r="DL1361" i="3"/>
  <c r="DN1361" i="3" s="1"/>
  <c r="DO1361" i="3" s="1"/>
  <c r="DK1609" i="3"/>
  <c r="DL1609" i="3"/>
  <c r="DK1399" i="3"/>
  <c r="DM1399" i="3" s="1"/>
  <c r="DK392" i="3"/>
  <c r="DM392" i="3" s="1"/>
  <c r="DL392" i="3"/>
  <c r="DN392" i="3" s="1"/>
  <c r="DO392" i="3" s="1"/>
  <c r="DK184" i="3"/>
  <c r="DM184" i="3" s="1"/>
  <c r="DK905" i="3"/>
  <c r="DL905" i="3"/>
  <c r="DK3907" i="3"/>
  <c r="DM3907" i="3" s="1"/>
  <c r="DL1304" i="3"/>
  <c r="DN1304" i="3" s="1"/>
  <c r="DO1304" i="3" s="1"/>
  <c r="DK1304" i="3"/>
  <c r="DM1304" i="3" s="1"/>
  <c r="DK2634" i="3"/>
  <c r="DL2634" i="3"/>
  <c r="DK3033" i="3"/>
  <c r="DL3033" i="3"/>
  <c r="DK4078" i="3"/>
  <c r="DM4078" i="3" s="1"/>
  <c r="DK50" i="3"/>
  <c r="DM50" i="3" s="1"/>
  <c r="DL50" i="3"/>
  <c r="DN50" i="3" s="1"/>
  <c r="DO50" i="3" s="1"/>
  <c r="DK1703" i="3"/>
  <c r="DL1703" i="3"/>
  <c r="DK924" i="3"/>
  <c r="DL924" i="3"/>
  <c r="DK620" i="3"/>
  <c r="DK1665" i="3"/>
  <c r="DL1665" i="3"/>
  <c r="DK2350" i="3"/>
  <c r="DL2350" i="3"/>
  <c r="DK1475" i="3"/>
  <c r="DK2292" i="3"/>
  <c r="DL2292" i="3"/>
  <c r="DK830" i="3"/>
  <c r="T88" i="2"/>
  <c r="T188" i="2"/>
  <c r="S24" i="2"/>
  <c r="S83" i="2"/>
  <c r="T143" i="2"/>
  <c r="S78" i="2"/>
  <c r="S61" i="2"/>
  <c r="S28" i="2"/>
  <c r="T156" i="2"/>
  <c r="S165" i="2"/>
  <c r="T146" i="2"/>
  <c r="S118" i="2"/>
  <c r="T101" i="2"/>
  <c r="S149" i="2"/>
  <c r="T134" i="2"/>
  <c r="T25" i="2"/>
  <c r="S62" i="2"/>
  <c r="S43" i="2"/>
  <c r="S198" i="2"/>
  <c r="T176" i="2"/>
  <c r="S155" i="2"/>
  <c r="S52" i="2"/>
  <c r="S44" i="2"/>
  <c r="S137" i="2"/>
  <c r="S219" i="2"/>
  <c r="S223" i="2"/>
  <c r="S106" i="2"/>
  <c r="T139" i="2"/>
  <c r="S41" i="2"/>
  <c r="T160" i="2"/>
  <c r="S110" i="2"/>
  <c r="S54" i="2"/>
  <c r="S111" i="2"/>
  <c r="S132" i="2"/>
  <c r="S120" i="2"/>
  <c r="S191" i="2"/>
  <c r="S51" i="2"/>
  <c r="T172" i="2"/>
  <c r="T135" i="2"/>
  <c r="S151" i="2"/>
  <c r="S80" i="2"/>
  <c r="S183" i="2"/>
  <c r="S76" i="2"/>
  <c r="T92" i="2"/>
  <c r="T60" i="2"/>
  <c r="S189" i="2"/>
  <c r="T69" i="2"/>
  <c r="T158" i="2"/>
  <c r="T186" i="2"/>
  <c r="S215" i="2"/>
  <c r="T130" i="2"/>
  <c r="S175" i="2"/>
  <c r="S53" i="2"/>
  <c r="S66" i="2"/>
  <c r="T35" i="2"/>
  <c r="S68" i="2"/>
  <c r="S39" i="2"/>
  <c r="S46" i="2"/>
  <c r="T162" i="2"/>
  <c r="S167" i="2"/>
  <c r="S97" i="2"/>
  <c r="S177" i="2"/>
  <c r="S184" i="2"/>
  <c r="S27" i="2"/>
  <c r="T48" i="2"/>
  <c r="S197" i="2"/>
  <c r="T96" i="2"/>
  <c r="S201" i="2"/>
  <c r="S147" i="2"/>
  <c r="T113" i="2"/>
  <c r="T154" i="2"/>
  <c r="S136" i="2"/>
  <c r="S124" i="2"/>
  <c r="T98" i="2"/>
  <c r="S153" i="2"/>
  <c r="S59" i="2"/>
  <c r="T142" i="2"/>
  <c r="S195" i="2"/>
  <c r="S37" i="2"/>
  <c r="T107" i="2"/>
  <c r="S63" i="2"/>
  <c r="S159" i="2"/>
  <c r="S81" i="2"/>
  <c r="S8" i="2"/>
  <c r="T42" i="2"/>
  <c r="S105" i="2"/>
  <c r="T100" i="2"/>
  <c r="S16" i="2"/>
  <c r="T116" i="2"/>
  <c r="S36" i="2"/>
  <c r="S57" i="2"/>
  <c r="T119" i="2"/>
  <c r="T71" i="2"/>
  <c r="T102" i="2"/>
  <c r="T13" i="2"/>
  <c r="T180" i="2"/>
  <c r="T196" i="2"/>
  <c r="T32" i="2"/>
  <c r="S9" i="2"/>
  <c r="S126" i="2"/>
  <c r="T112" i="2"/>
  <c r="S85" i="2"/>
  <c r="T150" i="2"/>
  <c r="S199" i="2"/>
  <c r="S163" i="2"/>
  <c r="T152" i="2"/>
  <c r="S5" i="2"/>
  <c r="T90" i="2"/>
  <c r="S47" i="2"/>
  <c r="S30" i="2"/>
  <c r="S214" i="2"/>
  <c r="T103" i="2"/>
  <c r="S157" i="2"/>
  <c r="S108" i="2"/>
  <c r="DK3432" i="3"/>
  <c r="DK2406" i="3"/>
  <c r="DK3660" i="3"/>
  <c r="DK2425" i="3"/>
  <c r="DK1532" i="3"/>
  <c r="DK1571" i="3"/>
  <c r="DL1571" i="3"/>
  <c r="DK2198" i="3"/>
  <c r="DL2198" i="3"/>
  <c r="DK3813" i="3"/>
  <c r="DM3813" i="3" s="1"/>
  <c r="DK2711" i="3"/>
  <c r="DL2711" i="3"/>
  <c r="DK2786" i="3"/>
  <c r="DL2786" i="3"/>
  <c r="DK3205" i="3"/>
  <c r="DK3869" i="3"/>
  <c r="DM3869" i="3" s="1"/>
  <c r="DK259" i="3"/>
  <c r="DM259" i="3" s="1"/>
  <c r="DL259" i="3"/>
  <c r="DN259" i="3" s="1"/>
  <c r="DO259" i="3" s="1"/>
  <c r="DK107" i="3"/>
  <c r="DM107" i="3" s="1"/>
  <c r="DK3185" i="3"/>
  <c r="DK2046" i="3"/>
  <c r="DL2046" i="3"/>
  <c r="DK2501" i="3"/>
  <c r="DK2312" i="3"/>
  <c r="DL2312" i="3"/>
  <c r="DK354" i="3"/>
  <c r="DM354" i="3" s="1"/>
  <c r="DK697" i="3"/>
  <c r="DL697" i="3"/>
  <c r="DK4250" i="3"/>
  <c r="DM4250" i="3" s="1"/>
  <c r="DK4003" i="3"/>
  <c r="DM4003" i="3" s="1"/>
  <c r="DK3888" i="3"/>
  <c r="DM3888" i="3" s="1"/>
  <c r="DK4268" i="3"/>
  <c r="DM4268" i="3" s="1"/>
  <c r="DK316" i="3"/>
  <c r="DM316" i="3" s="1"/>
  <c r="DK3167" i="3"/>
  <c r="DL3167" i="3"/>
  <c r="DK4173" i="3"/>
  <c r="DM4173" i="3" s="1"/>
  <c r="DK564" i="3"/>
  <c r="DK3129" i="3"/>
  <c r="DL3129" i="3"/>
  <c r="DK2597" i="3"/>
  <c r="DL2597" i="3"/>
  <c r="DK240" i="3"/>
  <c r="DM240" i="3" s="1"/>
  <c r="DL240" i="3"/>
  <c r="DN240" i="3" s="1"/>
  <c r="DO240" i="3" s="1"/>
  <c r="DK1248" i="3"/>
  <c r="DM1248" i="3" s="1"/>
  <c r="DL1248" i="3"/>
  <c r="DN1248" i="3" s="1"/>
  <c r="DO1248" i="3" s="1"/>
  <c r="DK3831" i="3"/>
  <c r="DM3831" i="3" s="1"/>
  <c r="DK3527" i="3"/>
  <c r="DL3527" i="3"/>
  <c r="S182" i="2"/>
  <c r="S93" i="2"/>
  <c r="S128" i="2"/>
  <c r="S171" i="2"/>
  <c r="S200" i="2"/>
  <c r="S173" i="2"/>
  <c r="S17" i="2"/>
  <c r="S210" i="2"/>
  <c r="T121" i="2"/>
  <c r="S29" i="2"/>
  <c r="S74" i="2"/>
  <c r="S148" i="2"/>
  <c r="S164" i="2"/>
  <c r="S208" i="2"/>
  <c r="S205" i="2"/>
  <c r="S185" i="2"/>
  <c r="S15" i="2"/>
  <c r="S58" i="2"/>
  <c r="S227" i="2"/>
  <c r="S169" i="2"/>
  <c r="T109" i="2"/>
  <c r="S133" i="2"/>
  <c r="T127" i="2"/>
  <c r="T123" i="2"/>
  <c r="S20" i="2"/>
  <c r="S33" i="2"/>
  <c r="T94" i="2"/>
  <c r="T38" i="2"/>
  <c r="S56" i="2"/>
  <c r="S209" i="2"/>
  <c r="T225" i="2"/>
  <c r="S141" i="2"/>
  <c r="S95" i="2"/>
  <c r="T212" i="2"/>
  <c r="S64" i="2"/>
  <c r="S179" i="2"/>
  <c r="S206" i="2"/>
  <c r="S73" i="2"/>
  <c r="S114" i="2"/>
  <c r="S226" i="2"/>
  <c r="T86" i="2"/>
  <c r="T228" i="2"/>
  <c r="S75" i="2"/>
  <c r="T220" i="2"/>
  <c r="S18" i="2"/>
  <c r="S22" i="2"/>
  <c r="T168" i="2"/>
  <c r="S174" i="2"/>
  <c r="T11" i="2"/>
  <c r="S221" i="2"/>
  <c r="S49" i="2"/>
  <c r="S21" i="2"/>
  <c r="S207" i="2"/>
  <c r="T31" i="2"/>
  <c r="T178" i="2"/>
  <c r="S70" i="2"/>
  <c r="T166" i="2"/>
  <c r="T26" i="2"/>
  <c r="S140" i="2"/>
  <c r="S65" i="2"/>
  <c r="T138" i="2"/>
  <c r="S161" i="2"/>
  <c r="S213" i="2"/>
  <c r="S216" i="2"/>
  <c r="S55" i="2"/>
  <c r="S4" i="2"/>
  <c r="S14" i="2"/>
  <c r="S91" i="2"/>
  <c r="S12" i="2"/>
  <c r="T67" i="2"/>
  <c r="S50" i="2"/>
  <c r="S34" i="2"/>
  <c r="S203" i="2"/>
  <c r="T23" i="2"/>
  <c r="S89" i="2"/>
  <c r="T125" i="2"/>
  <c r="S187" i="2"/>
  <c r="S72" i="2"/>
  <c r="S79" i="2"/>
  <c r="S122" i="2"/>
  <c r="T45" i="2"/>
  <c r="DN10" i="3" l="1"/>
  <c r="DO10" i="3" s="1"/>
  <c r="DL11" i="3"/>
  <c r="DL3831" i="3"/>
  <c r="DN3831" i="3" s="1"/>
  <c r="DO3831" i="3" s="1"/>
  <c r="DL4173" i="3"/>
  <c r="DN4173" i="3" s="1"/>
  <c r="DO4173" i="3" s="1"/>
  <c r="DL316" i="3"/>
  <c r="DN316" i="3" s="1"/>
  <c r="DO316" i="3" s="1"/>
  <c r="DL3888" i="3"/>
  <c r="DN3888" i="3" s="1"/>
  <c r="DO3888" i="3" s="1"/>
  <c r="DL4250" i="3"/>
  <c r="DN4250" i="3" s="1"/>
  <c r="DO4250" i="3" s="1"/>
  <c r="DL354" i="3"/>
  <c r="DN354" i="3" s="1"/>
  <c r="DO354" i="3" s="1"/>
  <c r="DN2501" i="3"/>
  <c r="DO2501" i="3" s="1"/>
  <c r="DL2501" i="3"/>
  <c r="DN3185" i="3"/>
  <c r="DO3185" i="3" s="1"/>
  <c r="DL3185" i="3"/>
  <c r="DN3205" i="3"/>
  <c r="DO3205" i="3" s="1"/>
  <c r="DL3205" i="3"/>
  <c r="DN1532" i="3"/>
  <c r="DO1532" i="3" s="1"/>
  <c r="DL1532" i="3"/>
  <c r="DN3660" i="3"/>
  <c r="DO3660" i="3" s="1"/>
  <c r="DL3660" i="3"/>
  <c r="DN3432" i="3"/>
  <c r="DO3432" i="3" s="1"/>
  <c r="DL3432" i="3"/>
  <c r="DN830" i="3"/>
  <c r="DO830" i="3" s="1"/>
  <c r="DL830" i="3"/>
  <c r="DN1475" i="3"/>
  <c r="DO1475" i="3" s="1"/>
  <c r="DL1475" i="3"/>
  <c r="DN3375" i="3"/>
  <c r="DO3375" i="3" s="1"/>
  <c r="DL3375" i="3"/>
  <c r="DL3945" i="3"/>
  <c r="DN3945" i="3" s="1"/>
  <c r="DO3945" i="3" s="1"/>
  <c r="DN3413" i="3"/>
  <c r="DO3413" i="3" s="1"/>
  <c r="DL3413" i="3"/>
  <c r="DL4287" i="3"/>
  <c r="DN4287" i="3" s="1"/>
  <c r="DO4287" i="3" s="1"/>
  <c r="DN3489" i="3"/>
  <c r="DO3489" i="3" s="1"/>
  <c r="DL3489" i="3"/>
  <c r="DL4232" i="3"/>
  <c r="DN4232" i="3" s="1"/>
  <c r="DO4232" i="3" s="1"/>
  <c r="DN525" i="3"/>
  <c r="DO525" i="3" s="1"/>
  <c r="DL525" i="3"/>
  <c r="DL3964" i="3"/>
  <c r="DN3964" i="3" s="1"/>
  <c r="DO3964" i="3" s="1"/>
  <c r="DL3774" i="3"/>
  <c r="DN3774" i="3" s="1"/>
  <c r="DO3774" i="3" s="1"/>
  <c r="DL4040" i="3"/>
  <c r="DN4040" i="3" s="1"/>
  <c r="DO4040" i="3" s="1"/>
  <c r="DL145" i="3"/>
  <c r="DN145" i="3" s="1"/>
  <c r="DO145" i="3" s="1"/>
  <c r="DN3699" i="3"/>
  <c r="DO3699" i="3" s="1"/>
  <c r="DL3699" i="3"/>
  <c r="DN773" i="3"/>
  <c r="DO773" i="3" s="1"/>
  <c r="DL773" i="3"/>
  <c r="DN1513" i="3"/>
  <c r="DO1513" i="3" s="1"/>
  <c r="DL1513" i="3"/>
  <c r="DL1171" i="3"/>
  <c r="DN1171" i="3" s="1"/>
  <c r="DO1171" i="3" s="1"/>
  <c r="DN3470" i="3"/>
  <c r="DO3470" i="3" s="1"/>
  <c r="DL3470" i="3"/>
  <c r="DN640" i="3"/>
  <c r="DO640" i="3" s="1"/>
  <c r="DL640" i="3"/>
  <c r="DN2445" i="3"/>
  <c r="DO2445" i="3" s="1"/>
  <c r="DL2445" i="3"/>
  <c r="DN3509" i="3"/>
  <c r="DO3509" i="3" s="1"/>
  <c r="DL3509" i="3"/>
  <c r="DL1418" i="3"/>
  <c r="DN1418" i="3" s="1"/>
  <c r="DO1418" i="3" s="1"/>
  <c r="DN1494" i="3"/>
  <c r="DO1494" i="3" s="1"/>
  <c r="DL1494" i="3"/>
  <c r="DN2540" i="3"/>
  <c r="DO2540" i="3" s="1"/>
  <c r="DL2540" i="3"/>
  <c r="DL4135" i="3"/>
  <c r="DN4135" i="3" s="1"/>
  <c r="DO4135" i="3" s="1"/>
  <c r="DN810" i="3"/>
  <c r="DO810" i="3" s="1"/>
  <c r="DL810" i="3"/>
  <c r="DN3736" i="3"/>
  <c r="DO3736" i="3" s="1"/>
  <c r="DL3736" i="3"/>
  <c r="DL1152" i="3"/>
  <c r="DN1152" i="3" s="1"/>
  <c r="DO1152" i="3" s="1"/>
  <c r="DN2521" i="3"/>
  <c r="DO2521" i="3" s="1"/>
  <c r="DL2521" i="3"/>
  <c r="DL1437" i="3"/>
  <c r="DN1437" i="3" s="1"/>
  <c r="DO1437" i="3" s="1"/>
  <c r="DN753" i="3"/>
  <c r="DO753" i="3" s="1"/>
  <c r="DL753" i="3"/>
  <c r="DN3357" i="3"/>
  <c r="DO3357" i="3" s="1"/>
  <c r="DL3357" i="3"/>
  <c r="DN3280" i="3"/>
  <c r="DO3280" i="3" s="1"/>
  <c r="DL3280" i="3"/>
  <c r="DL4307" i="3"/>
  <c r="DN4307" i="3" s="1"/>
  <c r="DO4307" i="3" s="1"/>
  <c r="DN2388" i="3"/>
  <c r="DO2388" i="3" s="1"/>
  <c r="DL2388" i="3"/>
  <c r="DN3641" i="3"/>
  <c r="DO3641" i="3" s="1"/>
  <c r="DL3641" i="3"/>
  <c r="DL164" i="3"/>
  <c r="DN164" i="3" s="1"/>
  <c r="DO164" i="3" s="1"/>
  <c r="DN564" i="3"/>
  <c r="DO564" i="3" s="1"/>
  <c r="DL564" i="3"/>
  <c r="DL4268" i="3"/>
  <c r="DN4268" i="3" s="1"/>
  <c r="DO4268" i="3" s="1"/>
  <c r="DL4003" i="3"/>
  <c r="DN4003" i="3" s="1"/>
  <c r="DO4003" i="3" s="1"/>
  <c r="DL107" i="3"/>
  <c r="DN107" i="3" s="1"/>
  <c r="DO107" i="3" s="1"/>
  <c r="DL3869" i="3"/>
  <c r="DN3869" i="3" s="1"/>
  <c r="DO3869" i="3" s="1"/>
  <c r="DL3813" i="3"/>
  <c r="DN3813" i="3" s="1"/>
  <c r="DO3813" i="3" s="1"/>
  <c r="DN2425" i="3"/>
  <c r="DO2425" i="3" s="1"/>
  <c r="DL2425" i="3"/>
  <c r="DN2406" i="3"/>
  <c r="DO2406" i="3" s="1"/>
  <c r="DL2406" i="3"/>
  <c r="DN620" i="3"/>
  <c r="DO620" i="3" s="1"/>
  <c r="DL620" i="3"/>
  <c r="DL4078" i="3"/>
  <c r="DN4078" i="3" s="1"/>
  <c r="DO4078" i="3" s="1"/>
  <c r="DL3907" i="3"/>
  <c r="DN3907" i="3" s="1"/>
  <c r="DO3907" i="3" s="1"/>
  <c r="DL184" i="3"/>
  <c r="DN184" i="3" s="1"/>
  <c r="DO184" i="3" s="1"/>
  <c r="DL1399" i="3"/>
  <c r="DN1399" i="3" s="1"/>
  <c r="DO1399" i="3" s="1"/>
  <c r="DL4194" i="3"/>
  <c r="DN4194" i="3" s="1"/>
  <c r="DO4194" i="3" s="1"/>
  <c r="DN2464" i="3"/>
  <c r="DO2464" i="3" s="1"/>
  <c r="DL2464" i="3"/>
  <c r="DL3983" i="3"/>
  <c r="DN3983" i="3" s="1"/>
  <c r="DO3983" i="3" s="1"/>
  <c r="DL4097" i="3"/>
  <c r="DN4097" i="3" s="1"/>
  <c r="DO4097" i="3" s="1"/>
  <c r="DL1380" i="3"/>
  <c r="DN1380" i="3" s="1"/>
  <c r="DO1380" i="3" s="1"/>
  <c r="DN3261" i="3"/>
  <c r="DO3261" i="3" s="1"/>
  <c r="DL3261" i="3"/>
  <c r="DN3223" i="3"/>
  <c r="DO3223" i="3" s="1"/>
  <c r="DL3223" i="3"/>
  <c r="DL335" i="3"/>
  <c r="DN335" i="3" s="1"/>
  <c r="DO335" i="3" s="1"/>
  <c r="DN544" i="3"/>
  <c r="DO544" i="3" s="1"/>
  <c r="DL544" i="3"/>
  <c r="DN3755" i="3"/>
  <c r="DO3755" i="3" s="1"/>
  <c r="DL3755" i="3"/>
  <c r="DN3395" i="3"/>
  <c r="DO3395" i="3" s="1"/>
  <c r="DL3395" i="3"/>
  <c r="DL126" i="3"/>
  <c r="DN126" i="3" s="1"/>
  <c r="DO126" i="3" s="1"/>
  <c r="DN3679" i="3"/>
  <c r="DO3679" i="3" s="1"/>
  <c r="DL3679" i="3"/>
  <c r="DN2558" i="3"/>
  <c r="DO2558" i="3" s="1"/>
  <c r="DL2558" i="3"/>
  <c r="DL3793" i="3"/>
  <c r="DN3793" i="3" s="1"/>
  <c r="DO3793" i="3" s="1"/>
  <c r="DN3717" i="3"/>
  <c r="DO3717" i="3" s="1"/>
  <c r="DL3717" i="3"/>
  <c r="DN487" i="3"/>
  <c r="DO487" i="3" s="1"/>
  <c r="DL487" i="3"/>
  <c r="DN3337" i="3"/>
  <c r="DO3337" i="3" s="1"/>
  <c r="DL3337" i="3"/>
  <c r="DN3299" i="3"/>
  <c r="DO3299" i="3" s="1"/>
  <c r="DL3299" i="3"/>
  <c r="DL4059" i="3"/>
  <c r="DN4059" i="3" s="1"/>
  <c r="DO4059" i="3" s="1"/>
  <c r="DN3451" i="3"/>
  <c r="DO3451" i="3" s="1"/>
  <c r="DL3451" i="3"/>
  <c r="DN3243" i="3"/>
  <c r="DO3243" i="3" s="1"/>
  <c r="DL3243" i="3"/>
  <c r="DN2482" i="3"/>
  <c r="DO2482" i="3" s="1"/>
  <c r="DL2482" i="3"/>
  <c r="DL4211" i="3"/>
  <c r="DN4211" i="3" s="1"/>
  <c r="DO4211" i="3" s="1"/>
  <c r="DN3319" i="3"/>
  <c r="DO3319" i="3" s="1"/>
  <c r="DL3319" i="3"/>
  <c r="DN791" i="3"/>
  <c r="DO791" i="3" s="1"/>
  <c r="DL791" i="3"/>
  <c r="DN1456" i="3"/>
  <c r="DO1456" i="3" s="1"/>
  <c r="DL1456" i="3"/>
  <c r="DN1551" i="3"/>
  <c r="DO1551" i="3" s="1"/>
  <c r="DL1551" i="3"/>
  <c r="DL4021" i="3"/>
  <c r="DN4021" i="3" s="1"/>
  <c r="DO4021" i="3" s="1"/>
  <c r="DL4155" i="3"/>
  <c r="DN4155" i="3" s="1"/>
  <c r="DO4155" i="3" s="1"/>
  <c r="DN601" i="3"/>
  <c r="DO601" i="3" s="1"/>
  <c r="DL601" i="3"/>
  <c r="DL4117" i="3"/>
  <c r="DN4117" i="3" s="1"/>
  <c r="DO4117" i="3" s="1"/>
  <c r="DL3851" i="3"/>
  <c r="DN3851" i="3" s="1"/>
  <c r="DO3851" i="3" s="1"/>
  <c r="DL3926" i="3"/>
  <c r="DN3926" i="3" s="1"/>
  <c r="DO3926" i="3" s="1"/>
  <c r="DK12" i="3"/>
  <c r="DM12" i="3" s="1"/>
  <c r="DL3585" i="3"/>
  <c r="DK3585" i="3"/>
  <c r="S2" i="2"/>
  <c r="T190" i="2"/>
  <c r="DL3623" i="3"/>
  <c r="DK3623" i="3"/>
  <c r="T192" i="2"/>
  <c r="DK831" i="3"/>
  <c r="DK1476" i="3"/>
  <c r="DK3528" i="3"/>
  <c r="DL3528" i="3"/>
  <c r="DK1666" i="3"/>
  <c r="DL1666" i="3"/>
  <c r="DK3832" i="3"/>
  <c r="DM3832" i="3" s="1"/>
  <c r="DK925" i="3"/>
  <c r="DL925" i="3"/>
  <c r="DK203" i="3"/>
  <c r="DM203" i="3" s="1"/>
  <c r="DK241" i="3"/>
  <c r="DM241" i="3" s="1"/>
  <c r="DL241" i="3"/>
  <c r="DN241" i="3" s="1"/>
  <c r="DO241" i="3" s="1"/>
  <c r="DK1020" i="3"/>
  <c r="DM1020" i="3" s="1"/>
  <c r="DL1020" i="3"/>
  <c r="DN1020" i="3" s="1"/>
  <c r="DO1020" i="3" s="1"/>
  <c r="DK4022" i="3"/>
  <c r="DM4022" i="3" s="1"/>
  <c r="DK2598" i="3"/>
  <c r="DL2598" i="3"/>
  <c r="DK2635" i="3"/>
  <c r="DL2635" i="3"/>
  <c r="DK3130" i="3"/>
  <c r="DL3130" i="3"/>
  <c r="DK3358" i="3"/>
  <c r="DK3908" i="3"/>
  <c r="DM3908" i="3" s="1"/>
  <c r="DK906" i="3"/>
  <c r="DL906" i="3"/>
  <c r="DK185" i="3"/>
  <c r="DM185" i="3" s="1"/>
  <c r="DK3168" i="3"/>
  <c r="DL3168" i="3"/>
  <c r="DK317" i="3"/>
  <c r="DM317" i="3" s="1"/>
  <c r="DK1400" i="3"/>
  <c r="DM1400" i="3" s="1"/>
  <c r="DK1610" i="3"/>
  <c r="DL1610" i="3"/>
  <c r="DK2141" i="3"/>
  <c r="DL2141" i="3"/>
  <c r="DK3889" i="3"/>
  <c r="DM3889" i="3" s="1"/>
  <c r="DK1191" i="3"/>
  <c r="DM1191" i="3" s="1"/>
  <c r="DL1191" i="3"/>
  <c r="DN1191" i="3" s="1"/>
  <c r="DO1191" i="3" s="1"/>
  <c r="DK1780" i="3"/>
  <c r="DL1780" i="3"/>
  <c r="DK4251" i="3"/>
  <c r="DM4251" i="3" s="1"/>
  <c r="DK1039" i="3"/>
  <c r="DM1039" i="3" s="1"/>
  <c r="DL1039" i="3"/>
  <c r="DN1039" i="3" s="1"/>
  <c r="DO1039" i="3" s="1"/>
  <c r="DK1762" i="3"/>
  <c r="DL1762" i="3"/>
  <c r="DK355" i="3"/>
  <c r="DM355" i="3" s="1"/>
  <c r="DK2389" i="3"/>
  <c r="DK2047" i="3"/>
  <c r="DL2047" i="3"/>
  <c r="DK4288" i="3"/>
  <c r="DM4288" i="3" s="1"/>
  <c r="DK260" i="3"/>
  <c r="DM260" i="3" s="1"/>
  <c r="DL260" i="3"/>
  <c r="DN260" i="3" s="1"/>
  <c r="DO260" i="3" s="1"/>
  <c r="DK3870" i="3"/>
  <c r="DM3870" i="3" s="1"/>
  <c r="DK3091" i="3"/>
  <c r="DL3091" i="3"/>
  <c r="DK1381" i="3"/>
  <c r="DM1381" i="3" s="1"/>
  <c r="DK2275" i="3"/>
  <c r="DL2275" i="3"/>
  <c r="DK298" i="3"/>
  <c r="DM298" i="3" s="1"/>
  <c r="DL298" i="3"/>
  <c r="DN298" i="3" s="1"/>
  <c r="DO298" i="3" s="1"/>
  <c r="DK3775" i="3"/>
  <c r="DM3775" i="3" s="1"/>
  <c r="DK3224" i="3"/>
  <c r="DK1742" i="3"/>
  <c r="DL1742" i="3"/>
  <c r="DK2027" i="3"/>
  <c r="DL2027" i="3"/>
  <c r="DK1933" i="3"/>
  <c r="DL1933" i="3"/>
  <c r="DK545" i="3"/>
  <c r="DK1686" i="3"/>
  <c r="DL1686" i="3"/>
  <c r="DK2864" i="3"/>
  <c r="DL2864" i="3"/>
  <c r="DK3756" i="3"/>
  <c r="DK1590" i="3"/>
  <c r="DL1590" i="3"/>
  <c r="DK2369" i="3"/>
  <c r="DL2369" i="3"/>
  <c r="DK584" i="3"/>
  <c r="DK3396" i="3"/>
  <c r="U102" i="2"/>
  <c r="DK2237" i="3"/>
  <c r="DL2237" i="3"/>
  <c r="DK659" i="3"/>
  <c r="DL659" i="3"/>
  <c r="DK279" i="3"/>
  <c r="DM279" i="3" s="1"/>
  <c r="DL279" i="3"/>
  <c r="DN279" i="3" s="1"/>
  <c r="DO279" i="3" s="1"/>
  <c r="DK1970" i="3"/>
  <c r="DL1970" i="3"/>
  <c r="DK127" i="3"/>
  <c r="DM127" i="3" s="1"/>
  <c r="DK2996" i="3"/>
  <c r="DL2996" i="3"/>
  <c r="DK2009" i="3"/>
  <c r="DL2009" i="3"/>
  <c r="DK3680" i="3"/>
  <c r="DK1096" i="3"/>
  <c r="DM1096" i="3" s="1"/>
  <c r="DL1096" i="3"/>
  <c r="DN1096" i="3" s="1"/>
  <c r="DO1096" i="3" s="1"/>
  <c r="DK1838" i="3"/>
  <c r="DL1838" i="3"/>
  <c r="DK2559" i="3"/>
  <c r="DK2123" i="3"/>
  <c r="DL2123" i="3"/>
  <c r="DK3794" i="3"/>
  <c r="DM3794" i="3" s="1"/>
  <c r="DK3718" i="3"/>
  <c r="DK488" i="3"/>
  <c r="DK3338" i="3"/>
  <c r="DK3148" i="3"/>
  <c r="DL3148" i="3"/>
  <c r="DK849" i="3"/>
  <c r="DL849" i="3"/>
  <c r="DK1267" i="3"/>
  <c r="DM1267" i="3" s="1"/>
  <c r="DL1267" i="3"/>
  <c r="DN1267" i="3" s="1"/>
  <c r="DO1267" i="3" s="1"/>
  <c r="DK1229" i="3"/>
  <c r="DM1229" i="3" s="1"/>
  <c r="DL1229" i="3"/>
  <c r="DN1229" i="3" s="1"/>
  <c r="DO1229" i="3" s="1"/>
  <c r="DK3300" i="3"/>
  <c r="DK4060" i="3"/>
  <c r="DM4060" i="3" s="1"/>
  <c r="DK2978" i="3"/>
  <c r="DL2978" i="3"/>
  <c r="DK3566" i="3"/>
  <c r="DL3566" i="3"/>
  <c r="DK1724" i="3"/>
  <c r="DL1724" i="3"/>
  <c r="DK3452" i="3"/>
  <c r="DK2844" i="3"/>
  <c r="DL2844" i="3"/>
  <c r="DK3244" i="3"/>
  <c r="DK3604" i="3"/>
  <c r="DL3604" i="3"/>
  <c r="DK2483" i="3"/>
  <c r="DK1001" i="3"/>
  <c r="DM1001" i="3" s="1"/>
  <c r="DL1001" i="3"/>
  <c r="DN1001" i="3" s="1"/>
  <c r="DO1001" i="3" s="1"/>
  <c r="DK3016" i="3"/>
  <c r="DL3016" i="3"/>
  <c r="DK2617" i="3"/>
  <c r="DL2617" i="3"/>
  <c r="DK4212" i="3"/>
  <c r="DM4212" i="3" s="1"/>
  <c r="DK2578" i="3"/>
  <c r="DL2578" i="3"/>
  <c r="DK963" i="3"/>
  <c r="DL963" i="3"/>
  <c r="DK3320" i="3"/>
  <c r="DK792" i="3"/>
  <c r="DK451" i="3"/>
  <c r="DM451" i="3" s="1"/>
  <c r="DL451" i="3"/>
  <c r="DN451" i="3" s="1"/>
  <c r="DO451" i="3" s="1"/>
  <c r="DK2806" i="3"/>
  <c r="DL2806" i="3"/>
  <c r="DK2217" i="3"/>
  <c r="DL2217" i="3"/>
  <c r="DK3110" i="3"/>
  <c r="DL3110" i="3"/>
  <c r="DK507" i="3"/>
  <c r="DK1457" i="3"/>
  <c r="DK1552" i="3"/>
  <c r="DK3548" i="3"/>
  <c r="DL3548" i="3"/>
  <c r="DK4195" i="3"/>
  <c r="DM4195" i="3" s="1"/>
  <c r="DK4118" i="3"/>
  <c r="DM4118" i="3" s="1"/>
  <c r="DK3642" i="3"/>
  <c r="DK2465" i="3"/>
  <c r="DK32" i="3"/>
  <c r="DM32" i="3" s="1"/>
  <c r="DK4233" i="3"/>
  <c r="DM4233" i="3" s="1"/>
  <c r="DK3206" i="3"/>
  <c r="DK735" i="3"/>
  <c r="DL735" i="3"/>
  <c r="DK165" i="3"/>
  <c r="DM165" i="3" s="1"/>
  <c r="DK2199" i="3"/>
  <c r="DL2199" i="3"/>
  <c r="DK1572" i="3"/>
  <c r="DL1572" i="3"/>
  <c r="DK1856" i="3"/>
  <c r="DL1856" i="3"/>
  <c r="DK2731" i="3"/>
  <c r="DL2731" i="3"/>
  <c r="DK336" i="3"/>
  <c r="DM336" i="3" s="1"/>
  <c r="T79" i="2"/>
  <c r="T203" i="2"/>
  <c r="T55" i="2"/>
  <c r="U166" i="2"/>
  <c r="T49" i="2"/>
  <c r="U86" i="2"/>
  <c r="T64" i="2"/>
  <c r="U225" i="2"/>
  <c r="T20" i="2"/>
  <c r="T227" i="2"/>
  <c r="T164" i="2"/>
  <c r="T200" i="2"/>
  <c r="U103" i="2"/>
  <c r="T30" i="2"/>
  <c r="U90" i="2"/>
  <c r="U152" i="2"/>
  <c r="T199" i="2"/>
  <c r="T85" i="2"/>
  <c r="T126" i="2"/>
  <c r="U32" i="2"/>
  <c r="U180" i="2"/>
  <c r="DK1914" i="3"/>
  <c r="DL1914" i="3"/>
  <c r="U119" i="2"/>
  <c r="T36" i="2"/>
  <c r="T16" i="2"/>
  <c r="T105" i="2"/>
  <c r="T8" i="2"/>
  <c r="T159" i="2"/>
  <c r="U107" i="2"/>
  <c r="T195" i="2"/>
  <c r="T59" i="2"/>
  <c r="U98" i="2"/>
  <c r="T136" i="2"/>
  <c r="U113" i="2"/>
  <c r="T201" i="2"/>
  <c r="T197" i="2"/>
  <c r="T27" i="2"/>
  <c r="T177" i="2"/>
  <c r="T167" i="2"/>
  <c r="T46" i="2"/>
  <c r="T68" i="2"/>
  <c r="T66" i="2"/>
  <c r="T175" i="2"/>
  <c r="T215" i="2"/>
  <c r="U158" i="2"/>
  <c r="T189" i="2"/>
  <c r="U92" i="2"/>
  <c r="T183" i="2"/>
  <c r="T151" i="2"/>
  <c r="U172" i="2"/>
  <c r="T191" i="2"/>
  <c r="T132" i="2"/>
  <c r="T54" i="2"/>
  <c r="U160" i="2"/>
  <c r="U139" i="2"/>
  <c r="T223" i="2"/>
  <c r="T137" i="2"/>
  <c r="T52" i="2"/>
  <c r="U176" i="2"/>
  <c r="T43" i="2"/>
  <c r="U25" i="2"/>
  <c r="T149" i="2"/>
  <c r="T118" i="2"/>
  <c r="T165" i="2"/>
  <c r="T28" i="2"/>
  <c r="T78" i="2"/>
  <c r="T83" i="2"/>
  <c r="U188" i="2"/>
  <c r="V222" i="2"/>
  <c r="U218" i="2"/>
  <c r="T193" i="2"/>
  <c r="U131" i="2"/>
  <c r="T3" i="2"/>
  <c r="V224" i="2"/>
  <c r="U170" i="2"/>
  <c r="T40" i="2"/>
  <c r="T10" i="2"/>
  <c r="U117" i="2"/>
  <c r="U84" i="2"/>
  <c r="T99" i="2"/>
  <c r="U145" i="2"/>
  <c r="T19" i="2"/>
  <c r="T187" i="2"/>
  <c r="T50" i="2"/>
  <c r="T14" i="2"/>
  <c r="U138" i="2"/>
  <c r="U178" i="2"/>
  <c r="U168" i="2"/>
  <c r="T18" i="2"/>
  <c r="T114" i="2"/>
  <c r="T95" i="2"/>
  <c r="U94" i="2"/>
  <c r="U109" i="2"/>
  <c r="T15" i="2"/>
  <c r="T74" i="2"/>
  <c r="T17" i="2"/>
  <c r="T93" i="2"/>
  <c r="DK2293" i="3"/>
  <c r="DL2293" i="3"/>
  <c r="DK2351" i="3"/>
  <c r="DL2351" i="3"/>
  <c r="DK1249" i="3"/>
  <c r="DM1249" i="3" s="1"/>
  <c r="DL1249" i="3"/>
  <c r="DN1249" i="3" s="1"/>
  <c r="DO1249" i="3" s="1"/>
  <c r="DK51" i="3"/>
  <c r="DM51" i="3" s="1"/>
  <c r="DL51" i="3"/>
  <c r="DN51" i="3" s="1"/>
  <c r="DO51" i="3" s="1"/>
  <c r="DK3034" i="3"/>
  <c r="DL3034" i="3"/>
  <c r="DK1210" i="3"/>
  <c r="DM1210" i="3" s="1"/>
  <c r="DL1210" i="3"/>
  <c r="DN1210" i="3" s="1"/>
  <c r="DO1210" i="3" s="1"/>
  <c r="DK1305" i="3"/>
  <c r="DM1305" i="3" s="1"/>
  <c r="DL1305" i="3"/>
  <c r="DN1305" i="3" s="1"/>
  <c r="DO1305" i="3" s="1"/>
  <c r="DK565" i="3"/>
  <c r="DK4174" i="3"/>
  <c r="DM4174" i="3" s="1"/>
  <c r="DK3281" i="3"/>
  <c r="DK393" i="3"/>
  <c r="DM393" i="3" s="1"/>
  <c r="DL393" i="3"/>
  <c r="DN393" i="3" s="1"/>
  <c r="DO393" i="3" s="1"/>
  <c r="DK4156" i="3"/>
  <c r="DM4156" i="3" s="1"/>
  <c r="DK4308" i="3"/>
  <c r="DM4308" i="3" s="1"/>
  <c r="DK4269" i="3"/>
  <c r="DM4269" i="3" s="1"/>
  <c r="DK1362" i="3"/>
  <c r="DM1362" i="3" s="1"/>
  <c r="DL1362" i="3"/>
  <c r="DN1362" i="3" s="1"/>
  <c r="DO1362" i="3" s="1"/>
  <c r="DK3376" i="3"/>
  <c r="DK4004" i="3"/>
  <c r="DM4004" i="3" s="1"/>
  <c r="DK2654" i="3"/>
  <c r="DL2654" i="3"/>
  <c r="DK3946" i="3"/>
  <c r="DM3946" i="3" s="1"/>
  <c r="DK698" i="3"/>
  <c r="DL698" i="3"/>
  <c r="DK602" i="3"/>
  <c r="DL602" i="3"/>
  <c r="DK2313" i="3"/>
  <c r="DL2313" i="3"/>
  <c r="DK2502" i="3"/>
  <c r="DK3186" i="3"/>
  <c r="DK1077" i="3"/>
  <c r="DM1077" i="3" s="1"/>
  <c r="DL1077" i="3"/>
  <c r="DN1077" i="3" s="1"/>
  <c r="DO1077" i="3" s="1"/>
  <c r="DK3490" i="3"/>
  <c r="DK3927" i="3"/>
  <c r="DM3927" i="3" s="1"/>
  <c r="DK2787" i="3"/>
  <c r="DL2787" i="3"/>
  <c r="DK526" i="3"/>
  <c r="DL526" i="3"/>
  <c r="DK3965" i="3"/>
  <c r="DM3965" i="3" s="1"/>
  <c r="DK3262" i="3"/>
  <c r="DK2407" i="3"/>
  <c r="DK3433" i="3"/>
  <c r="DK2958" i="3"/>
  <c r="DL2958" i="3"/>
  <c r="DK4041" i="3"/>
  <c r="DM4041" i="3" s="1"/>
  <c r="DK868" i="3"/>
  <c r="DL868" i="3"/>
  <c r="DK70" i="3"/>
  <c r="DM70" i="3" s="1"/>
  <c r="DL70" i="3"/>
  <c r="DN70" i="3" s="1"/>
  <c r="DO70" i="3" s="1"/>
  <c r="T163" i="2"/>
  <c r="DK2826" i="3"/>
  <c r="DL2826" i="3"/>
  <c r="DK2104" i="3"/>
  <c r="DL2104" i="3"/>
  <c r="DK146" i="3"/>
  <c r="DM146" i="3" s="1"/>
  <c r="DL146" i="3"/>
  <c r="DN146" i="3" s="1"/>
  <c r="DO146" i="3" s="1"/>
  <c r="DK3700" i="3"/>
  <c r="DK223" i="3"/>
  <c r="DM223" i="3" s="1"/>
  <c r="DL223" i="3"/>
  <c r="DN223" i="3" s="1"/>
  <c r="DO223" i="3" s="1"/>
  <c r="DL1325" i="3"/>
  <c r="DN1325" i="3" s="1"/>
  <c r="DO1325" i="3" s="1"/>
  <c r="DK1325" i="3"/>
  <c r="DM1325" i="3" s="1"/>
  <c r="DK1058" i="3"/>
  <c r="DM1058" i="3" s="1"/>
  <c r="DL1058" i="3"/>
  <c r="DN1058" i="3" s="1"/>
  <c r="DO1058" i="3" s="1"/>
  <c r="DK2180" i="3"/>
  <c r="DL2180" i="3"/>
  <c r="DK1876" i="3"/>
  <c r="DL1876" i="3"/>
  <c r="DK774" i="3"/>
  <c r="DK1514" i="3"/>
  <c r="DK1172" i="3"/>
  <c r="DM1172" i="3" s="1"/>
  <c r="DK678" i="3"/>
  <c r="DL678" i="3"/>
  <c r="DK2674" i="3"/>
  <c r="DL2674" i="3"/>
  <c r="DK2882" i="3"/>
  <c r="DL2882" i="3"/>
  <c r="DK2331" i="3"/>
  <c r="DL2331" i="3"/>
  <c r="DK2902" i="3"/>
  <c r="DL2902" i="3"/>
  <c r="DK2768" i="3"/>
  <c r="DL2768" i="3"/>
  <c r="DK1800" i="3"/>
  <c r="DL1800" i="3"/>
  <c r="DK888" i="3"/>
  <c r="DL888" i="3"/>
  <c r="DK3471" i="3"/>
  <c r="DK1818" i="3"/>
  <c r="DL1818" i="3"/>
  <c r="DK3054" i="3"/>
  <c r="DL3054" i="3"/>
  <c r="DK716" i="3"/>
  <c r="DL716" i="3"/>
  <c r="DK641" i="3"/>
  <c r="DK982" i="3"/>
  <c r="DM982" i="3" s="1"/>
  <c r="DL982" i="3"/>
  <c r="DN982" i="3" s="1"/>
  <c r="DO982" i="3" s="1"/>
  <c r="DK2446" i="3"/>
  <c r="DK3510" i="3"/>
  <c r="DK1287" i="3"/>
  <c r="DM1287" i="3" s="1"/>
  <c r="DL1287" i="3"/>
  <c r="DN1287" i="3" s="1"/>
  <c r="DO1287" i="3" s="1"/>
  <c r="DK1116" i="3"/>
  <c r="DM1116" i="3" s="1"/>
  <c r="DL1116" i="3"/>
  <c r="DN1116" i="3" s="1"/>
  <c r="DO1116" i="3" s="1"/>
  <c r="DK1419" i="3"/>
  <c r="DM1419" i="3" s="1"/>
  <c r="DK1495" i="3"/>
  <c r="DK2541" i="3"/>
  <c r="DK944" i="3"/>
  <c r="DL944" i="3"/>
  <c r="DK2255" i="3"/>
  <c r="DL2255" i="3"/>
  <c r="DK2084" i="3"/>
  <c r="DL2084" i="3"/>
  <c r="DK2065" i="3"/>
  <c r="DL2065" i="3"/>
  <c r="DK754" i="3"/>
  <c r="DK1989" i="3"/>
  <c r="DL1989" i="3"/>
  <c r="DK4136" i="3"/>
  <c r="DM4136" i="3" s="1"/>
  <c r="DK811" i="3"/>
  <c r="DK2920" i="3"/>
  <c r="DL2920" i="3"/>
  <c r="DK3737" i="3"/>
  <c r="DK1153" i="3"/>
  <c r="DM1153" i="3" s="1"/>
  <c r="DK2522" i="3"/>
  <c r="DK1895" i="3"/>
  <c r="DL1895" i="3"/>
  <c r="DK2750" i="3"/>
  <c r="DL2750" i="3"/>
  <c r="DK2940" i="3"/>
  <c r="DL2940" i="3"/>
  <c r="DK1134" i="3"/>
  <c r="DM1134" i="3" s="1"/>
  <c r="DL1134" i="3"/>
  <c r="DN1134" i="3" s="1"/>
  <c r="DO1134" i="3" s="1"/>
  <c r="DK2693" i="3"/>
  <c r="DL2693" i="3"/>
  <c r="DK431" i="3"/>
  <c r="DM431" i="3" s="1"/>
  <c r="DL431" i="3"/>
  <c r="DN431" i="3" s="1"/>
  <c r="DO431" i="3" s="1"/>
  <c r="DK1648" i="3"/>
  <c r="DL1648" i="3"/>
  <c r="DK3414" i="3"/>
  <c r="DK108" i="3"/>
  <c r="DM108" i="3" s="1"/>
  <c r="DK1628" i="3"/>
  <c r="DL1628" i="3"/>
  <c r="DK3852" i="3"/>
  <c r="DM3852" i="3" s="1"/>
  <c r="DK3984" i="3"/>
  <c r="DM3984" i="3" s="1"/>
  <c r="DK4098" i="3"/>
  <c r="DM4098" i="3" s="1"/>
  <c r="DK89" i="3"/>
  <c r="DM89" i="3" s="1"/>
  <c r="DL89" i="3"/>
  <c r="DN89" i="3" s="1"/>
  <c r="DO89" i="3" s="1"/>
  <c r="DK2712" i="3"/>
  <c r="DL2712" i="3"/>
  <c r="DK3814" i="3"/>
  <c r="DM3814" i="3" s="1"/>
  <c r="DK1951" i="3"/>
  <c r="DL1951" i="3"/>
  <c r="DK1533" i="3"/>
  <c r="DK2426" i="3"/>
  <c r="DK3661" i="3"/>
  <c r="DK1438" i="3"/>
  <c r="DM1438" i="3" s="1"/>
  <c r="DK2160" i="3"/>
  <c r="DL2160" i="3"/>
  <c r="U45" i="2"/>
  <c r="T89" i="2"/>
  <c r="T12" i="2"/>
  <c r="T213" i="2"/>
  <c r="T140" i="2"/>
  <c r="T207" i="2"/>
  <c r="U11" i="2"/>
  <c r="T75" i="2"/>
  <c r="T206" i="2"/>
  <c r="T56" i="2"/>
  <c r="U127" i="2"/>
  <c r="T205" i="2"/>
  <c r="U121" i="2"/>
  <c r="T171" i="2"/>
  <c r="T108" i="2"/>
  <c r="DK1343" i="3"/>
  <c r="DM1343" i="3" s="1"/>
  <c r="DL1343" i="3"/>
  <c r="DN1343" i="3" s="1"/>
  <c r="DO1343" i="3" s="1"/>
  <c r="DK413" i="3"/>
  <c r="DM413" i="3" s="1"/>
  <c r="DL413" i="3"/>
  <c r="DN413" i="3" s="1"/>
  <c r="DO413" i="3" s="1"/>
  <c r="DK621" i="3"/>
  <c r="DK1704" i="3"/>
  <c r="DL1704" i="3"/>
  <c r="DK4079" i="3"/>
  <c r="DM4079" i="3" s="1"/>
  <c r="DK470" i="3"/>
  <c r="DL470" i="3"/>
  <c r="DK374" i="3"/>
  <c r="DM374" i="3" s="1"/>
  <c r="DL374" i="3"/>
  <c r="DN374" i="3" s="1"/>
  <c r="DO374" i="3" s="1"/>
  <c r="T122" i="2"/>
  <c r="T72" i="2"/>
  <c r="U125" i="2"/>
  <c r="U23" i="2"/>
  <c r="T34" i="2"/>
  <c r="U67" i="2"/>
  <c r="T91" i="2"/>
  <c r="T4" i="2"/>
  <c r="T216" i="2"/>
  <c r="T161" i="2"/>
  <c r="T65" i="2"/>
  <c r="U26" i="2"/>
  <c r="T70" i="2"/>
  <c r="U31" i="2"/>
  <c r="T21" i="2"/>
  <c r="T221" i="2"/>
  <c r="T174" i="2"/>
  <c r="T22" i="2"/>
  <c r="U220" i="2"/>
  <c r="U228" i="2"/>
  <c r="T226" i="2"/>
  <c r="T73" i="2"/>
  <c r="T179" i="2"/>
  <c r="U212" i="2"/>
  <c r="T141" i="2"/>
  <c r="T209" i="2"/>
  <c r="U38" i="2"/>
  <c r="T33" i="2"/>
  <c r="U123" i="2"/>
  <c r="T133" i="2"/>
  <c r="T169" i="2"/>
  <c r="T58" i="2"/>
  <c r="T185" i="2"/>
  <c r="T208" i="2"/>
  <c r="T148" i="2"/>
  <c r="T29" i="2"/>
  <c r="T210" i="2"/>
  <c r="T173" i="2"/>
  <c r="T128" i="2"/>
  <c r="T182" i="2"/>
  <c r="T157" i="2"/>
  <c r="T214" i="2"/>
  <c r="T47" i="2"/>
  <c r="T5" i="2"/>
  <c r="DK3072" i="3"/>
  <c r="DL3072" i="3"/>
  <c r="U150" i="2"/>
  <c r="U112" i="2"/>
  <c r="T9" i="2"/>
  <c r="U196" i="2"/>
  <c r="U13" i="2"/>
  <c r="U71" i="2"/>
  <c r="T57" i="2"/>
  <c r="U116" i="2"/>
  <c r="U100" i="2"/>
  <c r="U42" i="2"/>
  <c r="T81" i="2"/>
  <c r="T63" i="2"/>
  <c r="T37" i="2"/>
  <c r="U142" i="2"/>
  <c r="T153" i="2"/>
  <c r="T124" i="2"/>
  <c r="U154" i="2"/>
  <c r="T147" i="2"/>
  <c r="U96" i="2"/>
  <c r="U48" i="2"/>
  <c r="T184" i="2"/>
  <c r="T97" i="2"/>
  <c r="U162" i="2"/>
  <c r="T39" i="2"/>
  <c r="U35" i="2"/>
  <c r="T53" i="2"/>
  <c r="U130" i="2"/>
  <c r="U186" i="2"/>
  <c r="U69" i="2"/>
  <c r="U60" i="2"/>
  <c r="T76" i="2"/>
  <c r="T80" i="2"/>
  <c r="U135" i="2"/>
  <c r="T51" i="2"/>
  <c r="T120" i="2"/>
  <c r="T111" i="2"/>
  <c r="T110" i="2"/>
  <c r="T41" i="2"/>
  <c r="T106" i="2"/>
  <c r="T219" i="2"/>
  <c r="T44" i="2"/>
  <c r="T155" i="2"/>
  <c r="T198" i="2"/>
  <c r="T62" i="2"/>
  <c r="U134" i="2"/>
  <c r="U101" i="2"/>
  <c r="U146" i="2"/>
  <c r="U156" i="2"/>
  <c r="T61" i="2"/>
  <c r="U143" i="2"/>
  <c r="T24" i="2"/>
  <c r="U88" i="2"/>
  <c r="T181" i="2"/>
  <c r="T7" i="2"/>
  <c r="T87" i="2"/>
  <c r="U204" i="2"/>
  <c r="T211" i="2"/>
  <c r="T217" i="2"/>
  <c r="T6" i="2"/>
  <c r="U144" i="2"/>
  <c r="U202" i="2"/>
  <c r="T104" i="2"/>
  <c r="T82" i="2"/>
  <c r="T129" i="2"/>
  <c r="T194" i="2"/>
  <c r="T77" i="2"/>
  <c r="T115" i="2"/>
  <c r="DN11" i="3" l="1"/>
  <c r="DO11" i="3" s="1"/>
  <c r="DL12" i="3"/>
  <c r="DL1172" i="3"/>
  <c r="DN1172" i="3" s="1"/>
  <c r="DO1172" i="3" s="1"/>
  <c r="DL4041" i="3"/>
  <c r="DN4041" i="3" s="1"/>
  <c r="DO4041" i="3" s="1"/>
  <c r="DN3433" i="3"/>
  <c r="DO3433" i="3" s="1"/>
  <c r="DL3433" i="3"/>
  <c r="DN3262" i="3"/>
  <c r="DO3262" i="3" s="1"/>
  <c r="DL3262" i="3"/>
  <c r="DL3927" i="3"/>
  <c r="DN3927" i="3" s="1"/>
  <c r="DO3927" i="3" s="1"/>
  <c r="DN2502" i="3"/>
  <c r="DO2502" i="3" s="1"/>
  <c r="DL2502" i="3"/>
  <c r="DL3946" i="3"/>
  <c r="DN3946" i="3" s="1"/>
  <c r="DO3946" i="3" s="1"/>
  <c r="DL4004" i="3"/>
  <c r="DN4004" i="3" s="1"/>
  <c r="DO4004" i="3" s="1"/>
  <c r="DL4308" i="3"/>
  <c r="DN4308" i="3" s="1"/>
  <c r="DO4308" i="3" s="1"/>
  <c r="DL4174" i="3"/>
  <c r="DN4174" i="3" s="1"/>
  <c r="DO4174" i="3" s="1"/>
  <c r="DL336" i="3"/>
  <c r="DN336" i="3" s="1"/>
  <c r="DO336" i="3" s="1"/>
  <c r="DL4233" i="3"/>
  <c r="DN4233" i="3" s="1"/>
  <c r="DO4233" i="3" s="1"/>
  <c r="DN2465" i="3"/>
  <c r="DO2465" i="3" s="1"/>
  <c r="DL2465" i="3"/>
  <c r="DL4118" i="3"/>
  <c r="DN4118" i="3" s="1"/>
  <c r="DO4118" i="3" s="1"/>
  <c r="DN1457" i="3"/>
  <c r="DO1457" i="3" s="1"/>
  <c r="DL1457" i="3"/>
  <c r="DN792" i="3"/>
  <c r="DO792" i="3" s="1"/>
  <c r="DL792" i="3"/>
  <c r="DL4212" i="3"/>
  <c r="DN4212" i="3" s="1"/>
  <c r="DO4212" i="3" s="1"/>
  <c r="DN2483" i="3"/>
  <c r="DO2483" i="3" s="1"/>
  <c r="DL2483" i="3"/>
  <c r="DN3244" i="3"/>
  <c r="DO3244" i="3" s="1"/>
  <c r="DL3244" i="3"/>
  <c r="DN3452" i="3"/>
  <c r="DO3452" i="3" s="1"/>
  <c r="DL3452" i="3"/>
  <c r="DL4060" i="3"/>
  <c r="DN4060" i="3" s="1"/>
  <c r="DO4060" i="3" s="1"/>
  <c r="DN3338" i="3"/>
  <c r="DO3338" i="3" s="1"/>
  <c r="DL3338" i="3"/>
  <c r="DN3718" i="3"/>
  <c r="DO3718" i="3" s="1"/>
  <c r="DL3718" i="3"/>
  <c r="DN3680" i="3"/>
  <c r="DO3680" i="3" s="1"/>
  <c r="DL3680" i="3"/>
  <c r="DN3661" i="3"/>
  <c r="DO3661" i="3" s="1"/>
  <c r="DL3661" i="3"/>
  <c r="DN1533" i="3"/>
  <c r="DO1533" i="3" s="1"/>
  <c r="DL1533" i="3"/>
  <c r="DL3814" i="3"/>
  <c r="DN3814" i="3" s="1"/>
  <c r="DO3814" i="3" s="1"/>
  <c r="DL3984" i="3"/>
  <c r="DN3984" i="3" s="1"/>
  <c r="DO3984" i="3" s="1"/>
  <c r="DN3414" i="3"/>
  <c r="DO3414" i="3" s="1"/>
  <c r="DL3414" i="3"/>
  <c r="DN2522" i="3"/>
  <c r="DO2522" i="3" s="1"/>
  <c r="DL2522" i="3"/>
  <c r="DN3737" i="3"/>
  <c r="DO3737" i="3" s="1"/>
  <c r="DL3737" i="3"/>
  <c r="DN811" i="3"/>
  <c r="DO811" i="3" s="1"/>
  <c r="DL811" i="3"/>
  <c r="DN2541" i="3"/>
  <c r="DO2541" i="3" s="1"/>
  <c r="DL2541" i="3"/>
  <c r="DL1419" i="3"/>
  <c r="DN1419" i="3" s="1"/>
  <c r="DO1419" i="3" s="1"/>
  <c r="DN2446" i="3"/>
  <c r="DO2446" i="3" s="1"/>
  <c r="DL2446" i="3"/>
  <c r="DN641" i="3"/>
  <c r="DO641" i="3" s="1"/>
  <c r="DL641" i="3"/>
  <c r="DN3471" i="3"/>
  <c r="DO3471" i="3" s="1"/>
  <c r="DL3471" i="3"/>
  <c r="DN1514" i="3"/>
  <c r="DO1514" i="3" s="1"/>
  <c r="DL1514" i="3"/>
  <c r="DN3396" i="3"/>
  <c r="DO3396" i="3" s="1"/>
  <c r="DL3396" i="3"/>
  <c r="DN3756" i="3"/>
  <c r="DO3756" i="3" s="1"/>
  <c r="DL3756" i="3"/>
  <c r="DL3775" i="3"/>
  <c r="DN3775" i="3" s="1"/>
  <c r="DO3775" i="3" s="1"/>
  <c r="DL355" i="3"/>
  <c r="DN355" i="3" s="1"/>
  <c r="DO355" i="3" s="1"/>
  <c r="DL3889" i="3"/>
  <c r="DN3889" i="3" s="1"/>
  <c r="DO3889" i="3" s="1"/>
  <c r="DL317" i="3"/>
  <c r="DN317" i="3" s="1"/>
  <c r="DO317" i="3" s="1"/>
  <c r="DL185" i="3"/>
  <c r="DN185" i="3" s="1"/>
  <c r="DO185" i="3" s="1"/>
  <c r="DL3908" i="3"/>
  <c r="DN3908" i="3" s="1"/>
  <c r="DO3908" i="3" s="1"/>
  <c r="DL203" i="3"/>
  <c r="DN203" i="3" s="1"/>
  <c r="DO203" i="3" s="1"/>
  <c r="DL3832" i="3"/>
  <c r="DN3832" i="3" s="1"/>
  <c r="DO3832" i="3" s="1"/>
  <c r="DN621" i="3"/>
  <c r="DO621" i="3" s="1"/>
  <c r="DL621" i="3"/>
  <c r="DN2407" i="3"/>
  <c r="DO2407" i="3" s="1"/>
  <c r="DL2407" i="3"/>
  <c r="DL3965" i="3"/>
  <c r="DN3965" i="3" s="1"/>
  <c r="DO3965" i="3" s="1"/>
  <c r="DN3490" i="3"/>
  <c r="DO3490" i="3" s="1"/>
  <c r="DL3490" i="3"/>
  <c r="DN3186" i="3"/>
  <c r="DO3186" i="3" s="1"/>
  <c r="DL3186" i="3"/>
  <c r="DN3376" i="3"/>
  <c r="DO3376" i="3" s="1"/>
  <c r="DL3376" i="3"/>
  <c r="DL4269" i="3"/>
  <c r="DN4269" i="3" s="1"/>
  <c r="DO4269" i="3" s="1"/>
  <c r="DL4156" i="3"/>
  <c r="DN4156" i="3" s="1"/>
  <c r="DO4156" i="3" s="1"/>
  <c r="DN3281" i="3"/>
  <c r="DO3281" i="3" s="1"/>
  <c r="DL3281" i="3"/>
  <c r="DN565" i="3"/>
  <c r="DO565" i="3" s="1"/>
  <c r="DL565" i="3"/>
  <c r="DL165" i="3"/>
  <c r="DN165" i="3" s="1"/>
  <c r="DO165" i="3" s="1"/>
  <c r="DN3206" i="3"/>
  <c r="DO3206" i="3" s="1"/>
  <c r="DL3206" i="3"/>
  <c r="DL32" i="3"/>
  <c r="DN32" i="3" s="1"/>
  <c r="DO32" i="3" s="1"/>
  <c r="DN3642" i="3"/>
  <c r="DO3642" i="3" s="1"/>
  <c r="DL3642" i="3"/>
  <c r="DL4195" i="3"/>
  <c r="DN4195" i="3" s="1"/>
  <c r="DO4195" i="3" s="1"/>
  <c r="DN1552" i="3"/>
  <c r="DO1552" i="3" s="1"/>
  <c r="DL1552" i="3"/>
  <c r="DN507" i="3"/>
  <c r="DO507" i="3" s="1"/>
  <c r="DL507" i="3"/>
  <c r="DN3320" i="3"/>
  <c r="DO3320" i="3" s="1"/>
  <c r="DL3320" i="3"/>
  <c r="DN3300" i="3"/>
  <c r="DO3300" i="3" s="1"/>
  <c r="DL3300" i="3"/>
  <c r="DN488" i="3"/>
  <c r="DO488" i="3" s="1"/>
  <c r="DL488" i="3"/>
  <c r="DL3794" i="3"/>
  <c r="DN3794" i="3" s="1"/>
  <c r="DO3794" i="3" s="1"/>
  <c r="DN2559" i="3"/>
  <c r="DO2559" i="3" s="1"/>
  <c r="DL2559" i="3"/>
  <c r="DL127" i="3"/>
  <c r="DN127" i="3" s="1"/>
  <c r="DO127" i="3" s="1"/>
  <c r="DN831" i="3"/>
  <c r="DO831" i="3" s="1"/>
  <c r="DL831" i="3"/>
  <c r="DL4079" i="3"/>
  <c r="DN4079" i="3" s="1"/>
  <c r="DO4079" i="3" s="1"/>
  <c r="DL1438" i="3"/>
  <c r="DN1438" i="3" s="1"/>
  <c r="DO1438" i="3" s="1"/>
  <c r="DN2426" i="3"/>
  <c r="DO2426" i="3" s="1"/>
  <c r="DL2426" i="3"/>
  <c r="DL4098" i="3"/>
  <c r="DN4098" i="3" s="1"/>
  <c r="DO4098" i="3" s="1"/>
  <c r="DL3852" i="3"/>
  <c r="DN3852" i="3" s="1"/>
  <c r="DO3852" i="3" s="1"/>
  <c r="DL108" i="3"/>
  <c r="DN108" i="3" s="1"/>
  <c r="DO108" i="3" s="1"/>
  <c r="DL1153" i="3"/>
  <c r="DN1153" i="3" s="1"/>
  <c r="DO1153" i="3" s="1"/>
  <c r="DL4136" i="3"/>
  <c r="DN4136" i="3" s="1"/>
  <c r="DO4136" i="3" s="1"/>
  <c r="DN754" i="3"/>
  <c r="DO754" i="3" s="1"/>
  <c r="DL754" i="3"/>
  <c r="DN1495" i="3"/>
  <c r="DO1495" i="3" s="1"/>
  <c r="DL1495" i="3"/>
  <c r="DN3510" i="3"/>
  <c r="DO3510" i="3" s="1"/>
  <c r="DL3510" i="3"/>
  <c r="DN774" i="3"/>
  <c r="DO774" i="3" s="1"/>
  <c r="DL774" i="3"/>
  <c r="DN3700" i="3"/>
  <c r="DO3700" i="3" s="1"/>
  <c r="DL3700" i="3"/>
  <c r="DN584" i="3"/>
  <c r="DO584" i="3" s="1"/>
  <c r="DL584" i="3"/>
  <c r="DN545" i="3"/>
  <c r="DO545" i="3" s="1"/>
  <c r="DL545" i="3"/>
  <c r="DN3224" i="3"/>
  <c r="DO3224" i="3" s="1"/>
  <c r="DL3224" i="3"/>
  <c r="DL1381" i="3"/>
  <c r="DN1381" i="3" s="1"/>
  <c r="DO1381" i="3" s="1"/>
  <c r="DL3870" i="3"/>
  <c r="DN3870" i="3" s="1"/>
  <c r="DO3870" i="3" s="1"/>
  <c r="DL4288" i="3"/>
  <c r="DN4288" i="3" s="1"/>
  <c r="DO4288" i="3" s="1"/>
  <c r="DN2389" i="3"/>
  <c r="DO2389" i="3" s="1"/>
  <c r="DL2389" i="3"/>
  <c r="DL4251" i="3"/>
  <c r="DN4251" i="3" s="1"/>
  <c r="DO4251" i="3" s="1"/>
  <c r="DL1400" i="3"/>
  <c r="DN1400" i="3" s="1"/>
  <c r="DO1400" i="3" s="1"/>
  <c r="DN3358" i="3"/>
  <c r="DO3358" i="3" s="1"/>
  <c r="DL3358" i="3"/>
  <c r="DL4022" i="3"/>
  <c r="DN4022" i="3" s="1"/>
  <c r="DO4022" i="3" s="1"/>
  <c r="DN1476" i="3"/>
  <c r="DO1476" i="3" s="1"/>
  <c r="DL1476" i="3"/>
  <c r="U192" i="2"/>
  <c r="U190" i="2"/>
  <c r="DK3624" i="3"/>
  <c r="DL3624" i="3"/>
  <c r="DK3586" i="3"/>
  <c r="DL3586" i="3"/>
  <c r="T2" i="2"/>
  <c r="DK13" i="3"/>
  <c r="DM13" i="3" s="1"/>
  <c r="U104" i="2"/>
  <c r="V204" i="2"/>
  <c r="U61" i="2"/>
  <c r="DK2161" i="3"/>
  <c r="DL2161" i="3"/>
  <c r="DK3662" i="3"/>
  <c r="DK3815" i="3"/>
  <c r="DM3815" i="3" s="1"/>
  <c r="DK90" i="3"/>
  <c r="DM90" i="3" s="1"/>
  <c r="DL90" i="3"/>
  <c r="DN90" i="3" s="1"/>
  <c r="DO90" i="3" s="1"/>
  <c r="DK3985" i="3"/>
  <c r="DM3985" i="3" s="1"/>
  <c r="DK1629" i="3"/>
  <c r="DL1629" i="3"/>
  <c r="DK1649" i="3"/>
  <c r="DL1649" i="3"/>
  <c r="DK2694" i="3"/>
  <c r="DL2694" i="3"/>
  <c r="DK2941" i="3"/>
  <c r="DL2941" i="3"/>
  <c r="DK1896" i="3"/>
  <c r="DL1896" i="3"/>
  <c r="DK1154" i="3"/>
  <c r="DM1154" i="3" s="1"/>
  <c r="DK2921" i="3"/>
  <c r="DL2921" i="3"/>
  <c r="DK4137" i="3"/>
  <c r="DM4137" i="3" s="1"/>
  <c r="DK755" i="3"/>
  <c r="DK2085" i="3"/>
  <c r="DL2085" i="3"/>
  <c r="DK945" i="3"/>
  <c r="DL945" i="3"/>
  <c r="DK1496" i="3"/>
  <c r="DK1117" i="3"/>
  <c r="DM1117" i="3" s="1"/>
  <c r="DL1117" i="3"/>
  <c r="DN1117" i="3" s="1"/>
  <c r="DO1117" i="3" s="1"/>
  <c r="DK3511" i="3"/>
  <c r="DK983" i="3"/>
  <c r="DM983" i="3" s="1"/>
  <c r="DL983" i="3"/>
  <c r="DN983" i="3" s="1"/>
  <c r="DO983" i="3" s="1"/>
  <c r="DK717" i="3"/>
  <c r="DL717" i="3"/>
  <c r="DK1819" i="3"/>
  <c r="DL1819" i="3"/>
  <c r="DK889" i="3"/>
  <c r="DL889" i="3"/>
  <c r="DK2769" i="3"/>
  <c r="DL2769" i="3"/>
  <c r="DK2332" i="3"/>
  <c r="DL2332" i="3"/>
  <c r="DK2675" i="3"/>
  <c r="DL2675" i="3"/>
  <c r="DK1173" i="3"/>
  <c r="DM1173" i="3" s="1"/>
  <c r="DK775" i="3"/>
  <c r="DK2181" i="3"/>
  <c r="DL2181" i="3"/>
  <c r="DK1326" i="3"/>
  <c r="DM1326" i="3" s="1"/>
  <c r="DL1326" i="3"/>
  <c r="DN1326" i="3" s="1"/>
  <c r="DO1326" i="3" s="1"/>
  <c r="DK3701" i="3"/>
  <c r="DK2105" i="3"/>
  <c r="DL2105" i="3"/>
  <c r="DK869" i="3"/>
  <c r="DL869" i="3"/>
  <c r="DK2959" i="3"/>
  <c r="DL2959" i="3"/>
  <c r="DK2408" i="3"/>
  <c r="DK3263" i="3"/>
  <c r="DK527" i="3"/>
  <c r="DL527" i="3"/>
  <c r="DK3928" i="3"/>
  <c r="DM3928" i="3" s="1"/>
  <c r="DK1078" i="3"/>
  <c r="DM1078" i="3" s="1"/>
  <c r="DL1078" i="3"/>
  <c r="DN1078" i="3" s="1"/>
  <c r="DO1078" i="3" s="1"/>
  <c r="DK2503" i="3"/>
  <c r="DK603" i="3"/>
  <c r="DL603" i="3"/>
  <c r="DK3947" i="3"/>
  <c r="DM3947" i="3" s="1"/>
  <c r="DK4005" i="3"/>
  <c r="DM4005" i="3" s="1"/>
  <c r="DK1363" i="3"/>
  <c r="DM1363" i="3" s="1"/>
  <c r="DL1363" i="3"/>
  <c r="DN1363" i="3" s="1"/>
  <c r="DO1363" i="3" s="1"/>
  <c r="DK4309" i="3"/>
  <c r="DM4309" i="3" s="1"/>
  <c r="DK394" i="3"/>
  <c r="DM394" i="3" s="1"/>
  <c r="DL394" i="3"/>
  <c r="DN394" i="3" s="1"/>
  <c r="DO394" i="3" s="1"/>
  <c r="DK4175" i="3"/>
  <c r="DM4175" i="3" s="1"/>
  <c r="DK566" i="3"/>
  <c r="DL566" i="3"/>
  <c r="DK471" i="3"/>
  <c r="DL471" i="3"/>
  <c r="DK3035" i="3"/>
  <c r="DL3035" i="3"/>
  <c r="DK52" i="3"/>
  <c r="DM52" i="3" s="1"/>
  <c r="DK1250" i="3"/>
  <c r="DM1250" i="3" s="1"/>
  <c r="DL1250" i="3"/>
  <c r="DN1250" i="3" s="1"/>
  <c r="DO1250" i="3" s="1"/>
  <c r="DK414" i="3"/>
  <c r="DM414" i="3" s="1"/>
  <c r="DL414" i="3"/>
  <c r="DN414" i="3" s="1"/>
  <c r="DO414" i="3" s="1"/>
  <c r="DL1344" i="3"/>
  <c r="DN1344" i="3" s="1"/>
  <c r="DO1344" i="3" s="1"/>
  <c r="DK1344" i="3"/>
  <c r="DM1344" i="3" s="1"/>
  <c r="DK3225" i="3"/>
  <c r="DK3871" i="3"/>
  <c r="DM3871" i="3" s="1"/>
  <c r="DK1040" i="3"/>
  <c r="DM1040" i="3" s="1"/>
  <c r="DL1040" i="3"/>
  <c r="DN1040" i="3" s="1"/>
  <c r="DO1040" i="3" s="1"/>
  <c r="DK1401" i="3"/>
  <c r="DM1401" i="3" s="1"/>
  <c r="DK3909" i="3"/>
  <c r="DM3909" i="3" s="1"/>
  <c r="DK4023" i="3"/>
  <c r="DM4023" i="3" s="1"/>
  <c r="DK1667" i="3"/>
  <c r="DL1667" i="3"/>
  <c r="DK3073" i="3"/>
  <c r="DL3073" i="3"/>
  <c r="U17" i="2"/>
  <c r="DK261" i="3"/>
  <c r="DM261" i="3" s="1"/>
  <c r="DL261" i="3"/>
  <c r="DN261" i="3" s="1"/>
  <c r="DO261" i="3" s="1"/>
  <c r="DK1763" i="3"/>
  <c r="DL1763" i="3"/>
  <c r="DK2142" i="3"/>
  <c r="DL2142" i="3"/>
  <c r="DK3169" i="3"/>
  <c r="DL3169" i="3"/>
  <c r="DK2599" i="3"/>
  <c r="DL2599" i="3"/>
  <c r="DK926" i="3"/>
  <c r="DL926" i="3"/>
  <c r="DK337" i="3"/>
  <c r="DM337" i="3" s="1"/>
  <c r="DK1857" i="3"/>
  <c r="DL1857" i="3"/>
  <c r="DK1573" i="3"/>
  <c r="DL1573" i="3"/>
  <c r="DK166" i="3"/>
  <c r="DM166" i="3" s="1"/>
  <c r="DL166" i="3"/>
  <c r="DN166" i="3" s="1"/>
  <c r="DO166" i="3" s="1"/>
  <c r="DK3207" i="3"/>
  <c r="DK33" i="3"/>
  <c r="DM33" i="3" s="1"/>
  <c r="DK3643" i="3"/>
  <c r="DK4196" i="3"/>
  <c r="DM4196" i="3" s="1"/>
  <c r="DK1553" i="3"/>
  <c r="DK508" i="3"/>
  <c r="DK2218" i="3"/>
  <c r="DL2218" i="3"/>
  <c r="DK452" i="3"/>
  <c r="DM452" i="3" s="1"/>
  <c r="DL452" i="3"/>
  <c r="DN452" i="3" s="1"/>
  <c r="DO452" i="3" s="1"/>
  <c r="DK3321" i="3"/>
  <c r="DK2579" i="3"/>
  <c r="DL2579" i="3"/>
  <c r="DK2618" i="3"/>
  <c r="DL2618" i="3"/>
  <c r="DK1002" i="3"/>
  <c r="DM1002" i="3" s="1"/>
  <c r="DL1002" i="3"/>
  <c r="DN1002" i="3" s="1"/>
  <c r="DO1002" i="3" s="1"/>
  <c r="DK3605" i="3"/>
  <c r="DL3605" i="3"/>
  <c r="DK2845" i="3"/>
  <c r="DL2845" i="3"/>
  <c r="DK1725" i="3"/>
  <c r="DL1725" i="3"/>
  <c r="DK2979" i="3"/>
  <c r="DL2979" i="3"/>
  <c r="DK3301" i="3"/>
  <c r="DK1268" i="3"/>
  <c r="DM1268" i="3" s="1"/>
  <c r="DL1268" i="3"/>
  <c r="DN1268" i="3" s="1"/>
  <c r="DO1268" i="3" s="1"/>
  <c r="DK3149" i="3"/>
  <c r="DL3149" i="3"/>
  <c r="DK489" i="3"/>
  <c r="DK3795" i="3"/>
  <c r="DM3795" i="3" s="1"/>
  <c r="DK2560" i="3"/>
  <c r="DL1097" i="3"/>
  <c r="DN1097" i="3" s="1"/>
  <c r="DO1097" i="3" s="1"/>
  <c r="DK1097" i="3"/>
  <c r="DM1097" i="3" s="1"/>
  <c r="DK2010" i="3"/>
  <c r="DL2010" i="3"/>
  <c r="DK128" i="3"/>
  <c r="DM128" i="3" s="1"/>
  <c r="DK280" i="3"/>
  <c r="DM280" i="3" s="1"/>
  <c r="DL280" i="3"/>
  <c r="DN280" i="3" s="1"/>
  <c r="DO280" i="3" s="1"/>
  <c r="DK2238" i="3"/>
  <c r="DL2238" i="3"/>
  <c r="DK3397" i="3"/>
  <c r="DK2370" i="3"/>
  <c r="DL2370" i="3"/>
  <c r="DK3757" i="3"/>
  <c r="DK1687" i="3"/>
  <c r="DL1687" i="3"/>
  <c r="DK1934" i="3"/>
  <c r="DL1934" i="3"/>
  <c r="DK3092" i="3"/>
  <c r="DL3092" i="3"/>
  <c r="DK356" i="3"/>
  <c r="DM356" i="3" s="1"/>
  <c r="DL1192" i="3"/>
  <c r="DN1192" i="3" s="1"/>
  <c r="DO1192" i="3" s="1"/>
  <c r="DK1192" i="3"/>
  <c r="DM1192" i="3" s="1"/>
  <c r="DK907" i="3"/>
  <c r="DL907" i="3"/>
  <c r="DK1021" i="3"/>
  <c r="DM1021" i="3" s="1"/>
  <c r="DL1021" i="3"/>
  <c r="DN1021" i="3" s="1"/>
  <c r="DO1021" i="3" s="1"/>
  <c r="DK1477" i="3"/>
  <c r="DK1915" i="3"/>
  <c r="DL1915" i="3"/>
  <c r="U129" i="2"/>
  <c r="U217" i="2"/>
  <c r="U181" i="2"/>
  <c r="V134" i="2"/>
  <c r="DK1534" i="3"/>
  <c r="U115" i="2"/>
  <c r="U194" i="2"/>
  <c r="U82" i="2"/>
  <c r="V202" i="2"/>
  <c r="U6" i="2"/>
  <c r="U211" i="2"/>
  <c r="U87" i="2"/>
  <c r="V88" i="2"/>
  <c r="V143" i="2"/>
  <c r="V156" i="2"/>
  <c r="V101" i="2"/>
  <c r="U62" i="2"/>
  <c r="U155" i="2"/>
  <c r="U219" i="2"/>
  <c r="U41" i="2"/>
  <c r="U111" i="2"/>
  <c r="U51" i="2"/>
  <c r="U80" i="2"/>
  <c r="V60" i="2"/>
  <c r="V186" i="2"/>
  <c r="U53" i="2"/>
  <c r="U39" i="2"/>
  <c r="U97" i="2"/>
  <c r="V48" i="2"/>
  <c r="U147" i="2"/>
  <c r="U124" i="2"/>
  <c r="V142" i="2"/>
  <c r="U63" i="2"/>
  <c r="V42" i="2"/>
  <c r="V116" i="2"/>
  <c r="V71" i="2"/>
  <c r="V196" i="2"/>
  <c r="V112" i="2"/>
  <c r="U47" i="2"/>
  <c r="U157" i="2"/>
  <c r="U128" i="2"/>
  <c r="U173" i="2"/>
  <c r="U29" i="2"/>
  <c r="U208" i="2"/>
  <c r="U58" i="2"/>
  <c r="U133" i="2"/>
  <c r="U33" i="2"/>
  <c r="U209" i="2"/>
  <c r="V212" i="2"/>
  <c r="U73" i="2"/>
  <c r="V228" i="2"/>
  <c r="U22" i="2"/>
  <c r="U221" i="2"/>
  <c r="V31" i="2"/>
  <c r="V26" i="2"/>
  <c r="U161" i="2"/>
  <c r="U4" i="2"/>
  <c r="V67" i="2"/>
  <c r="V23" i="2"/>
  <c r="U72" i="2"/>
  <c r="U171" i="2"/>
  <c r="U205" i="2"/>
  <c r="U56" i="2"/>
  <c r="U75" i="2"/>
  <c r="U207" i="2"/>
  <c r="U213" i="2"/>
  <c r="U89" i="2"/>
  <c r="U163" i="2"/>
  <c r="DK299" i="3"/>
  <c r="DM299" i="3" s="1"/>
  <c r="DL299" i="3"/>
  <c r="DN299" i="3" s="1"/>
  <c r="DO299" i="3" s="1"/>
  <c r="U15" i="2"/>
  <c r="V94" i="2"/>
  <c r="U114" i="2"/>
  <c r="V168" i="2"/>
  <c r="V138" i="2"/>
  <c r="U50" i="2"/>
  <c r="U19" i="2"/>
  <c r="U99" i="2"/>
  <c r="V84" i="2"/>
  <c r="U10" i="2"/>
  <c r="V170" i="2"/>
  <c r="U3" i="2"/>
  <c r="U193" i="2"/>
  <c r="W222" i="2"/>
  <c r="U83" i="2"/>
  <c r="U28" i="2"/>
  <c r="U118" i="2"/>
  <c r="V25" i="2"/>
  <c r="V176" i="2"/>
  <c r="U137" i="2"/>
  <c r="V139" i="2"/>
  <c r="U54" i="2"/>
  <c r="U191" i="2"/>
  <c r="U151" i="2"/>
  <c r="V92" i="2"/>
  <c r="V158" i="2"/>
  <c r="U175" i="2"/>
  <c r="U68" i="2"/>
  <c r="U167" i="2"/>
  <c r="U27" i="2"/>
  <c r="U201" i="2"/>
  <c r="U136" i="2"/>
  <c r="U59" i="2"/>
  <c r="V107" i="2"/>
  <c r="U8" i="2"/>
  <c r="U16" i="2"/>
  <c r="V119" i="2"/>
  <c r="V180" i="2"/>
  <c r="U126" i="2"/>
  <c r="U199" i="2"/>
  <c r="V90" i="2"/>
  <c r="V103" i="2"/>
  <c r="U164" i="2"/>
  <c r="U20" i="2"/>
  <c r="U64" i="2"/>
  <c r="U49" i="2"/>
  <c r="U55" i="2"/>
  <c r="U79" i="2"/>
  <c r="V102" i="2"/>
  <c r="DK1439" i="3"/>
  <c r="DM1439" i="3" s="1"/>
  <c r="DK2427" i="3"/>
  <c r="DK1952" i="3"/>
  <c r="DL1952" i="3"/>
  <c r="DK2713" i="3"/>
  <c r="DL2713" i="3"/>
  <c r="DK4099" i="3"/>
  <c r="DM4099" i="3" s="1"/>
  <c r="DK3853" i="3"/>
  <c r="DM3853" i="3" s="1"/>
  <c r="DK109" i="3"/>
  <c r="DM109" i="3" s="1"/>
  <c r="DK3415" i="3"/>
  <c r="DK432" i="3"/>
  <c r="DM432" i="3" s="1"/>
  <c r="DL432" i="3"/>
  <c r="DN432" i="3" s="1"/>
  <c r="DO432" i="3" s="1"/>
  <c r="DK1135" i="3"/>
  <c r="DM1135" i="3" s="1"/>
  <c r="DL1135" i="3"/>
  <c r="DN1135" i="3" s="1"/>
  <c r="DO1135" i="3" s="1"/>
  <c r="DK2751" i="3"/>
  <c r="DL2751" i="3"/>
  <c r="DK2523" i="3"/>
  <c r="DK3738" i="3"/>
  <c r="DK812" i="3"/>
  <c r="DK1990" i="3"/>
  <c r="DL1990" i="3"/>
  <c r="DK2066" i="3"/>
  <c r="DL2066" i="3"/>
  <c r="DK2256" i="3"/>
  <c r="DL2256" i="3"/>
  <c r="DK2542" i="3"/>
  <c r="DK1420" i="3"/>
  <c r="DM1420" i="3" s="1"/>
  <c r="DL1288" i="3"/>
  <c r="DN1288" i="3" s="1"/>
  <c r="DO1288" i="3" s="1"/>
  <c r="DK1288" i="3"/>
  <c r="DM1288" i="3" s="1"/>
  <c r="DK2447" i="3"/>
  <c r="DK642" i="3"/>
  <c r="DL642" i="3"/>
  <c r="DK3055" i="3"/>
  <c r="DL3055" i="3"/>
  <c r="DK3472" i="3"/>
  <c r="DK1801" i="3"/>
  <c r="DL1801" i="3"/>
  <c r="DK2903" i="3"/>
  <c r="DL2903" i="3"/>
  <c r="DK2883" i="3"/>
  <c r="DL2883" i="3"/>
  <c r="DK679" i="3"/>
  <c r="DL679" i="3"/>
  <c r="DK1515" i="3"/>
  <c r="DK1877" i="3"/>
  <c r="DL1877" i="3"/>
  <c r="DK1059" i="3"/>
  <c r="DM1059" i="3" s="1"/>
  <c r="DL1059" i="3"/>
  <c r="DN1059" i="3" s="1"/>
  <c r="DO1059" i="3" s="1"/>
  <c r="DK224" i="3"/>
  <c r="DM224" i="3" s="1"/>
  <c r="DK147" i="3"/>
  <c r="DM147" i="3" s="1"/>
  <c r="DK2827" i="3"/>
  <c r="DL2827" i="3"/>
  <c r="DK71" i="3"/>
  <c r="DM71" i="3" s="1"/>
  <c r="DL71" i="3"/>
  <c r="DN71" i="3" s="1"/>
  <c r="DO71" i="3" s="1"/>
  <c r="DK4042" i="3"/>
  <c r="DM4042" i="3" s="1"/>
  <c r="DK3434" i="3"/>
  <c r="DK3966" i="3"/>
  <c r="DM3966" i="3" s="1"/>
  <c r="DK2788" i="3"/>
  <c r="DL2788" i="3"/>
  <c r="DK3491" i="3"/>
  <c r="DK3187" i="3"/>
  <c r="DK2314" i="3"/>
  <c r="DL2314" i="3"/>
  <c r="DK699" i="3"/>
  <c r="DL699" i="3"/>
  <c r="DK2655" i="3"/>
  <c r="DL2655" i="3"/>
  <c r="DK3377" i="3"/>
  <c r="DK4270" i="3"/>
  <c r="DM4270" i="3" s="1"/>
  <c r="DK4157" i="3"/>
  <c r="DM4157" i="3" s="1"/>
  <c r="DK3282" i="3"/>
  <c r="DK375" i="3"/>
  <c r="DM375" i="3" s="1"/>
  <c r="DL375" i="3"/>
  <c r="DN375" i="3" s="1"/>
  <c r="DO375" i="3" s="1"/>
  <c r="DK1306" i="3"/>
  <c r="DM1306" i="3" s="1"/>
  <c r="DL1306" i="3"/>
  <c r="DN1306" i="3" s="1"/>
  <c r="DO1306" i="3" s="1"/>
  <c r="DK1211" i="3"/>
  <c r="DM1211" i="3" s="1"/>
  <c r="DL1211" i="3"/>
  <c r="DN1211" i="3" s="1"/>
  <c r="DO1211" i="3" s="1"/>
  <c r="DK4080" i="3"/>
  <c r="DM4080" i="3" s="1"/>
  <c r="DK1705" i="3"/>
  <c r="DL1705" i="3"/>
  <c r="DK622" i="3"/>
  <c r="DL622" i="3"/>
  <c r="DK2352" i="3"/>
  <c r="DL2352" i="3"/>
  <c r="DK2294" i="3"/>
  <c r="DL2294" i="3"/>
  <c r="DK2028" i="3"/>
  <c r="DL2028" i="3"/>
  <c r="DK2276" i="3"/>
  <c r="DL2276" i="3"/>
  <c r="DK2390" i="3"/>
  <c r="DK3890" i="3"/>
  <c r="DM3890" i="3" s="1"/>
  <c r="DK186" i="3"/>
  <c r="DM186" i="3" s="1"/>
  <c r="DL186" i="3"/>
  <c r="DN186" i="3" s="1"/>
  <c r="DO186" i="3" s="1"/>
  <c r="DK2636" i="3"/>
  <c r="DL2636" i="3"/>
  <c r="DK204" i="3"/>
  <c r="DM204" i="3" s="1"/>
  <c r="DK832" i="3"/>
  <c r="DK1743" i="3"/>
  <c r="DL1743" i="3"/>
  <c r="DK1382" i="3"/>
  <c r="DM1382" i="3" s="1"/>
  <c r="DK2048" i="3"/>
  <c r="DL2048" i="3"/>
  <c r="DK1781" i="3"/>
  <c r="DL1781" i="3"/>
  <c r="DK318" i="3"/>
  <c r="DM318" i="3" s="1"/>
  <c r="DK3359" i="3"/>
  <c r="U14" i="2"/>
  <c r="DK3529" i="3"/>
  <c r="DL3529" i="3"/>
  <c r="DK2732" i="3"/>
  <c r="DL2732" i="3"/>
  <c r="DK2200" i="3"/>
  <c r="DL2200" i="3"/>
  <c r="DL736" i="3"/>
  <c r="DK736" i="3"/>
  <c r="DK4234" i="3"/>
  <c r="DM4234" i="3" s="1"/>
  <c r="DK2466" i="3"/>
  <c r="DK4119" i="3"/>
  <c r="DM4119" i="3" s="1"/>
  <c r="DK3549" i="3"/>
  <c r="DL3549" i="3"/>
  <c r="DK1458" i="3"/>
  <c r="DK3111" i="3"/>
  <c r="DL3111" i="3"/>
  <c r="DK2807" i="3"/>
  <c r="DL2807" i="3"/>
  <c r="DK793" i="3"/>
  <c r="DL964" i="3"/>
  <c r="DK964" i="3"/>
  <c r="DK4213" i="3"/>
  <c r="DM4213" i="3" s="1"/>
  <c r="DK3017" i="3"/>
  <c r="DL3017" i="3"/>
  <c r="DK2484" i="3"/>
  <c r="DK3245" i="3"/>
  <c r="DK3453" i="3"/>
  <c r="DK3567" i="3"/>
  <c r="DL3567" i="3"/>
  <c r="DK4061" i="3"/>
  <c r="DM4061" i="3" s="1"/>
  <c r="DK1230" i="3"/>
  <c r="DM1230" i="3" s="1"/>
  <c r="DL1230" i="3"/>
  <c r="DN1230" i="3" s="1"/>
  <c r="DO1230" i="3" s="1"/>
  <c r="DK850" i="3"/>
  <c r="DL850" i="3"/>
  <c r="DK3339" i="3"/>
  <c r="DK3719" i="3"/>
  <c r="DK2124" i="3"/>
  <c r="DL2124" i="3"/>
  <c r="DK1839" i="3"/>
  <c r="DL1839" i="3"/>
  <c r="DK3681" i="3"/>
  <c r="DK2997" i="3"/>
  <c r="DL2997" i="3"/>
  <c r="DK1971" i="3"/>
  <c r="DL1971" i="3"/>
  <c r="DK660" i="3"/>
  <c r="DL660" i="3"/>
  <c r="DK585" i="3"/>
  <c r="DK1591" i="3"/>
  <c r="DL1591" i="3"/>
  <c r="DK2865" i="3"/>
  <c r="DL2865" i="3"/>
  <c r="DK546" i="3"/>
  <c r="DL546" i="3"/>
  <c r="DK3776" i="3"/>
  <c r="DM3776" i="3" s="1"/>
  <c r="DK4289" i="3"/>
  <c r="DM4289" i="3" s="1"/>
  <c r="DK4252" i="3"/>
  <c r="DM4252" i="3" s="1"/>
  <c r="DK1611" i="3"/>
  <c r="DL1611" i="3"/>
  <c r="DK3131" i="3"/>
  <c r="DL3131" i="3"/>
  <c r="DK3833" i="3"/>
  <c r="DM3833" i="3" s="1"/>
  <c r="U77" i="2"/>
  <c r="V144" i="2"/>
  <c r="U7" i="2"/>
  <c r="U24" i="2"/>
  <c r="V146" i="2"/>
  <c r="U198" i="2"/>
  <c r="U44" i="2"/>
  <c r="U106" i="2"/>
  <c r="U110" i="2"/>
  <c r="U120" i="2"/>
  <c r="V135" i="2"/>
  <c r="U76" i="2"/>
  <c r="V69" i="2"/>
  <c r="V130" i="2"/>
  <c r="V35" i="2"/>
  <c r="V162" i="2"/>
  <c r="U184" i="2"/>
  <c r="V96" i="2"/>
  <c r="V154" i="2"/>
  <c r="U153" i="2"/>
  <c r="U37" i="2"/>
  <c r="U81" i="2"/>
  <c r="V100" i="2"/>
  <c r="U57" i="2"/>
  <c r="V13" i="2"/>
  <c r="U9" i="2"/>
  <c r="V150" i="2"/>
  <c r="U5" i="2"/>
  <c r="U214" i="2"/>
  <c r="U182" i="2"/>
  <c r="U210" i="2"/>
  <c r="U148" i="2"/>
  <c r="U185" i="2"/>
  <c r="U169" i="2"/>
  <c r="V123" i="2"/>
  <c r="V38" i="2"/>
  <c r="U141" i="2"/>
  <c r="U179" i="2"/>
  <c r="U226" i="2"/>
  <c r="V220" i="2"/>
  <c r="U174" i="2"/>
  <c r="U21" i="2"/>
  <c r="U70" i="2"/>
  <c r="U65" i="2"/>
  <c r="U216" i="2"/>
  <c r="U91" i="2"/>
  <c r="U34" i="2"/>
  <c r="V125" i="2"/>
  <c r="U122" i="2"/>
  <c r="U108" i="2"/>
  <c r="V121" i="2"/>
  <c r="V127" i="2"/>
  <c r="U206" i="2"/>
  <c r="V11" i="2"/>
  <c r="U140" i="2"/>
  <c r="U12" i="2"/>
  <c r="V45" i="2"/>
  <c r="U93" i="2"/>
  <c r="U74" i="2"/>
  <c r="V109" i="2"/>
  <c r="U95" i="2"/>
  <c r="U18" i="2"/>
  <c r="V178" i="2"/>
  <c r="DK242" i="3"/>
  <c r="DM242" i="3" s="1"/>
  <c r="DL242" i="3"/>
  <c r="DN242" i="3" s="1"/>
  <c r="DO242" i="3" s="1"/>
  <c r="U187" i="2"/>
  <c r="V145" i="2"/>
  <c r="V117" i="2"/>
  <c r="U40" i="2"/>
  <c r="W224" i="2"/>
  <c r="V131" i="2"/>
  <c r="V218" i="2"/>
  <c r="V188" i="2"/>
  <c r="U78" i="2"/>
  <c r="U165" i="2"/>
  <c r="U149" i="2"/>
  <c r="U43" i="2"/>
  <c r="U52" i="2"/>
  <c r="U223" i="2"/>
  <c r="V160" i="2"/>
  <c r="U132" i="2"/>
  <c r="V172" i="2"/>
  <c r="U183" i="2"/>
  <c r="U189" i="2"/>
  <c r="U215" i="2"/>
  <c r="U66" i="2"/>
  <c r="U46" i="2"/>
  <c r="U177" i="2"/>
  <c r="U197" i="2"/>
  <c r="V113" i="2"/>
  <c r="V98" i="2"/>
  <c r="U195" i="2"/>
  <c r="U159" i="2"/>
  <c r="U105" i="2"/>
  <c r="U36" i="2"/>
  <c r="V32" i="2"/>
  <c r="U85" i="2"/>
  <c r="V152" i="2"/>
  <c r="U30" i="2"/>
  <c r="U200" i="2"/>
  <c r="U227" i="2"/>
  <c r="V225" i="2"/>
  <c r="V86" i="2"/>
  <c r="V166" i="2"/>
  <c r="U203" i="2"/>
  <c r="DN12" i="3" l="1"/>
  <c r="DO12" i="3" s="1"/>
  <c r="DL13" i="3"/>
  <c r="DL4252" i="3"/>
  <c r="DN4252" i="3" s="1"/>
  <c r="DO4252" i="3" s="1"/>
  <c r="DL3776" i="3"/>
  <c r="DN3776" i="3" s="1"/>
  <c r="DO3776" i="3" s="1"/>
  <c r="DN585" i="3"/>
  <c r="DO585" i="3" s="1"/>
  <c r="DL585" i="3"/>
  <c r="DN3339" i="3"/>
  <c r="DO3339" i="3" s="1"/>
  <c r="DL3339" i="3"/>
  <c r="DN3245" i="3"/>
  <c r="DO3245" i="3" s="1"/>
  <c r="DL3245" i="3"/>
  <c r="DL3909" i="3"/>
  <c r="DN3909" i="3" s="1"/>
  <c r="DO3909" i="3" s="1"/>
  <c r="DN3225" i="3"/>
  <c r="DO3225" i="3" s="1"/>
  <c r="DL3225" i="3"/>
  <c r="DL52" i="3"/>
  <c r="DN52" i="3" s="1"/>
  <c r="DO52" i="3" s="1"/>
  <c r="DL4175" i="3"/>
  <c r="DN4175" i="3" s="1"/>
  <c r="DO4175" i="3" s="1"/>
  <c r="DL4309" i="3"/>
  <c r="DN4309" i="3" s="1"/>
  <c r="DO4309" i="3" s="1"/>
  <c r="DL4005" i="3"/>
  <c r="DN4005" i="3" s="1"/>
  <c r="DO4005" i="3" s="1"/>
  <c r="DN2408" i="3"/>
  <c r="DO2408" i="3" s="1"/>
  <c r="DL2408" i="3"/>
  <c r="DN3701" i="3"/>
  <c r="DO3701" i="3" s="1"/>
  <c r="DL3701" i="3"/>
  <c r="DN3511" i="3"/>
  <c r="DO3511" i="3" s="1"/>
  <c r="DL3511" i="3"/>
  <c r="DN1496" i="3"/>
  <c r="DO1496" i="3" s="1"/>
  <c r="DL1496" i="3"/>
  <c r="DL4137" i="3"/>
  <c r="DN4137" i="3" s="1"/>
  <c r="DO4137" i="3" s="1"/>
  <c r="DL1154" i="3"/>
  <c r="DN1154" i="3" s="1"/>
  <c r="DO1154" i="3" s="1"/>
  <c r="DL3985" i="3"/>
  <c r="DN3985" i="3" s="1"/>
  <c r="DO3985" i="3" s="1"/>
  <c r="DL3815" i="3"/>
  <c r="DN3815" i="3" s="1"/>
  <c r="DO3815" i="3" s="1"/>
  <c r="DN3681" i="3"/>
  <c r="DO3681" i="3" s="1"/>
  <c r="DL3681" i="3"/>
  <c r="DN1458" i="3"/>
  <c r="DO1458" i="3" s="1"/>
  <c r="DL1458" i="3"/>
  <c r="DL4119" i="3"/>
  <c r="DN4119" i="3" s="1"/>
  <c r="DO4119" i="3" s="1"/>
  <c r="DL4234" i="3"/>
  <c r="DN4234" i="3" s="1"/>
  <c r="DO4234" i="3" s="1"/>
  <c r="DL318" i="3"/>
  <c r="DN318" i="3" s="1"/>
  <c r="DO318" i="3" s="1"/>
  <c r="DL204" i="3"/>
  <c r="DN204" i="3" s="1"/>
  <c r="DO204" i="3" s="1"/>
  <c r="DN2390" i="3"/>
  <c r="DO2390" i="3" s="1"/>
  <c r="DL2390" i="3"/>
  <c r="DL4157" i="3"/>
  <c r="DN4157" i="3" s="1"/>
  <c r="DO4157" i="3" s="1"/>
  <c r="DN3377" i="3"/>
  <c r="DO3377" i="3" s="1"/>
  <c r="DL3377" i="3"/>
  <c r="DN3187" i="3"/>
  <c r="DO3187" i="3" s="1"/>
  <c r="DL3187" i="3"/>
  <c r="DN3434" i="3"/>
  <c r="DO3434" i="3" s="1"/>
  <c r="DL3434" i="3"/>
  <c r="DL147" i="3"/>
  <c r="DN147" i="3" s="1"/>
  <c r="DO147" i="3" s="1"/>
  <c r="DN1515" i="3"/>
  <c r="DO1515" i="3" s="1"/>
  <c r="DL1515" i="3"/>
  <c r="DN2447" i="3"/>
  <c r="DO2447" i="3" s="1"/>
  <c r="DL2447" i="3"/>
  <c r="DL1420" i="3"/>
  <c r="DN1420" i="3" s="1"/>
  <c r="DO1420" i="3" s="1"/>
  <c r="DN3738" i="3"/>
  <c r="DO3738" i="3" s="1"/>
  <c r="DL3738" i="3"/>
  <c r="DL109" i="3"/>
  <c r="DN109" i="3" s="1"/>
  <c r="DO109" i="3" s="1"/>
  <c r="DL4099" i="3"/>
  <c r="DN4099" i="3" s="1"/>
  <c r="DO4099" i="3" s="1"/>
  <c r="DL1439" i="3"/>
  <c r="DN1439" i="3" s="1"/>
  <c r="DO1439" i="3" s="1"/>
  <c r="DN1534" i="3"/>
  <c r="DO1534" i="3" s="1"/>
  <c r="DL1534" i="3"/>
  <c r="DL356" i="3"/>
  <c r="DN356" i="3" s="1"/>
  <c r="DO356" i="3" s="1"/>
  <c r="DN3757" i="3"/>
  <c r="DO3757" i="3" s="1"/>
  <c r="DL3757" i="3"/>
  <c r="DN3397" i="3"/>
  <c r="DO3397" i="3" s="1"/>
  <c r="DL3397" i="3"/>
  <c r="DN2560" i="3"/>
  <c r="DO2560" i="3" s="1"/>
  <c r="DL2560" i="3"/>
  <c r="DN489" i="3"/>
  <c r="DO489" i="3" s="1"/>
  <c r="DL489" i="3"/>
  <c r="DN508" i="3"/>
  <c r="DO508" i="3" s="1"/>
  <c r="DL508" i="3"/>
  <c r="DL4196" i="3"/>
  <c r="DN4196" i="3" s="1"/>
  <c r="DO4196" i="3" s="1"/>
  <c r="DL33" i="3"/>
  <c r="DN33" i="3" s="1"/>
  <c r="DO33" i="3" s="1"/>
  <c r="DL1173" i="3"/>
  <c r="DN1173" i="3" s="1"/>
  <c r="DO1173" i="3" s="1"/>
  <c r="DL4289" i="3"/>
  <c r="DN4289" i="3" s="1"/>
  <c r="DO4289" i="3" s="1"/>
  <c r="DN1477" i="3"/>
  <c r="DO1477" i="3" s="1"/>
  <c r="DL1477" i="3"/>
  <c r="DL4023" i="3"/>
  <c r="DN4023" i="3" s="1"/>
  <c r="DO4023" i="3" s="1"/>
  <c r="DL1401" i="3"/>
  <c r="DN1401" i="3" s="1"/>
  <c r="DO1401" i="3" s="1"/>
  <c r="DL3871" i="3"/>
  <c r="DN3871" i="3" s="1"/>
  <c r="DO3871" i="3" s="1"/>
  <c r="DL3947" i="3"/>
  <c r="DN3947" i="3" s="1"/>
  <c r="DO3947" i="3" s="1"/>
  <c r="DN2503" i="3"/>
  <c r="DO2503" i="3" s="1"/>
  <c r="DL2503" i="3"/>
  <c r="DL3928" i="3"/>
  <c r="DN3928" i="3" s="1"/>
  <c r="DO3928" i="3" s="1"/>
  <c r="DN3263" i="3"/>
  <c r="DO3263" i="3" s="1"/>
  <c r="DL3263" i="3"/>
  <c r="DN775" i="3"/>
  <c r="DO775" i="3" s="1"/>
  <c r="DL775" i="3"/>
  <c r="DN755" i="3"/>
  <c r="DO755" i="3" s="1"/>
  <c r="DL755" i="3"/>
  <c r="DN3662" i="3"/>
  <c r="DO3662" i="3" s="1"/>
  <c r="DL3662" i="3"/>
  <c r="DL3833" i="3"/>
  <c r="DN3833" i="3" s="1"/>
  <c r="DO3833" i="3" s="1"/>
  <c r="DN3719" i="3"/>
  <c r="DO3719" i="3" s="1"/>
  <c r="DL3719" i="3"/>
  <c r="DL4061" i="3"/>
  <c r="DN4061" i="3" s="1"/>
  <c r="DO4061" i="3" s="1"/>
  <c r="DN3453" i="3"/>
  <c r="DO3453" i="3" s="1"/>
  <c r="DL3453" i="3"/>
  <c r="DN2484" i="3"/>
  <c r="DO2484" i="3" s="1"/>
  <c r="DL2484" i="3"/>
  <c r="DL4213" i="3"/>
  <c r="DN4213" i="3" s="1"/>
  <c r="DO4213" i="3" s="1"/>
  <c r="DN793" i="3"/>
  <c r="DO793" i="3" s="1"/>
  <c r="DL793" i="3"/>
  <c r="DN2466" i="3"/>
  <c r="DO2466" i="3" s="1"/>
  <c r="DL2466" i="3"/>
  <c r="DN3359" i="3"/>
  <c r="DO3359" i="3" s="1"/>
  <c r="DL3359" i="3"/>
  <c r="DL1382" i="3"/>
  <c r="DN1382" i="3" s="1"/>
  <c r="DO1382" i="3" s="1"/>
  <c r="DN832" i="3"/>
  <c r="DO832" i="3" s="1"/>
  <c r="DL832" i="3"/>
  <c r="DL3890" i="3"/>
  <c r="DN3890" i="3" s="1"/>
  <c r="DO3890" i="3" s="1"/>
  <c r="DL4080" i="3"/>
  <c r="DN4080" i="3" s="1"/>
  <c r="DO4080" i="3" s="1"/>
  <c r="DN3282" i="3"/>
  <c r="DO3282" i="3" s="1"/>
  <c r="DL3282" i="3"/>
  <c r="DL4270" i="3"/>
  <c r="DN4270" i="3" s="1"/>
  <c r="DO4270" i="3" s="1"/>
  <c r="DN3491" i="3"/>
  <c r="DO3491" i="3" s="1"/>
  <c r="DL3491" i="3"/>
  <c r="DL3966" i="3"/>
  <c r="DN3966" i="3" s="1"/>
  <c r="DO3966" i="3" s="1"/>
  <c r="DL4042" i="3"/>
  <c r="DN4042" i="3" s="1"/>
  <c r="DO4042" i="3" s="1"/>
  <c r="DL224" i="3"/>
  <c r="DN224" i="3" s="1"/>
  <c r="DO224" i="3" s="1"/>
  <c r="DN3472" i="3"/>
  <c r="DO3472" i="3" s="1"/>
  <c r="DL3472" i="3"/>
  <c r="DN2542" i="3"/>
  <c r="DO2542" i="3" s="1"/>
  <c r="DL2542" i="3"/>
  <c r="DN812" i="3"/>
  <c r="DO812" i="3" s="1"/>
  <c r="DL812" i="3"/>
  <c r="DN2523" i="3"/>
  <c r="DO2523" i="3" s="1"/>
  <c r="DL2523" i="3"/>
  <c r="DN3415" i="3"/>
  <c r="DO3415" i="3" s="1"/>
  <c r="DL3415" i="3"/>
  <c r="DL3853" i="3"/>
  <c r="DN3853" i="3" s="1"/>
  <c r="DO3853" i="3" s="1"/>
  <c r="DN2427" i="3"/>
  <c r="DO2427" i="3" s="1"/>
  <c r="DL2427" i="3"/>
  <c r="DL128" i="3"/>
  <c r="DN128" i="3" s="1"/>
  <c r="DO128" i="3" s="1"/>
  <c r="DL3795" i="3"/>
  <c r="DN3795" i="3" s="1"/>
  <c r="DO3795" i="3" s="1"/>
  <c r="DN3301" i="3"/>
  <c r="DO3301" i="3" s="1"/>
  <c r="DL3301" i="3"/>
  <c r="DN3321" i="3"/>
  <c r="DO3321" i="3" s="1"/>
  <c r="DL3321" i="3"/>
  <c r="DN1553" i="3"/>
  <c r="DO1553" i="3" s="1"/>
  <c r="DL1553" i="3"/>
  <c r="DN3643" i="3"/>
  <c r="DO3643" i="3" s="1"/>
  <c r="DL3643" i="3"/>
  <c r="DN3207" i="3"/>
  <c r="DO3207" i="3" s="1"/>
  <c r="DL3207" i="3"/>
  <c r="DL337" i="3"/>
  <c r="DN337" i="3" s="1"/>
  <c r="DO337" i="3" s="1"/>
  <c r="DK3587" i="3"/>
  <c r="DL3587" i="3"/>
  <c r="V190" i="2"/>
  <c r="DK14" i="3"/>
  <c r="DM14" i="3" s="1"/>
  <c r="DK3625" i="3"/>
  <c r="DL3625" i="3"/>
  <c r="U2" i="2"/>
  <c r="V192" i="2"/>
  <c r="DK3132" i="3"/>
  <c r="DL3132" i="3"/>
  <c r="DK2866" i="3"/>
  <c r="DL2866" i="3"/>
  <c r="DK3340" i="3"/>
  <c r="DK965" i="3"/>
  <c r="DL965" i="3"/>
  <c r="DK1744" i="3"/>
  <c r="DL1744" i="3"/>
  <c r="DK2391" i="3"/>
  <c r="DK2353" i="3"/>
  <c r="DL2353" i="3"/>
  <c r="DK376" i="3"/>
  <c r="DM376" i="3" s="1"/>
  <c r="DL376" i="3"/>
  <c r="DN376" i="3" s="1"/>
  <c r="DO376" i="3" s="1"/>
  <c r="DK700" i="3"/>
  <c r="DL700" i="3"/>
  <c r="DK2789" i="3"/>
  <c r="DL2789" i="3"/>
  <c r="DK4043" i="3"/>
  <c r="DM4043" i="3" s="1"/>
  <c r="DK643" i="3"/>
  <c r="DL643" i="3"/>
  <c r="W225" i="2"/>
  <c r="W152" i="2"/>
  <c r="V105" i="2"/>
  <c r="DK3834" i="3"/>
  <c r="DM3834" i="3" s="1"/>
  <c r="DK1612" i="3"/>
  <c r="DL1612" i="3"/>
  <c r="DK4290" i="3"/>
  <c r="DM4290" i="3" s="1"/>
  <c r="DK547" i="3"/>
  <c r="DL547" i="3"/>
  <c r="DK1592" i="3"/>
  <c r="DL1592" i="3"/>
  <c r="DK661" i="3"/>
  <c r="DL661" i="3"/>
  <c r="DK2998" i="3"/>
  <c r="DL2998" i="3"/>
  <c r="DK1840" i="3"/>
  <c r="DL1840" i="3"/>
  <c r="DK3720" i="3"/>
  <c r="DK851" i="3"/>
  <c r="DL851" i="3"/>
  <c r="DK4062" i="3"/>
  <c r="DM4062" i="3" s="1"/>
  <c r="DK3454" i="3"/>
  <c r="DK2485" i="3"/>
  <c r="DK4214" i="3"/>
  <c r="DM4214" i="3" s="1"/>
  <c r="DK794" i="3"/>
  <c r="DK3112" i="3"/>
  <c r="DL3112" i="3"/>
  <c r="DK3550" i="3"/>
  <c r="DL3550" i="3"/>
  <c r="DK2467" i="3"/>
  <c r="DK737" i="3"/>
  <c r="DL737" i="3"/>
  <c r="DK3530" i="3"/>
  <c r="DL3530" i="3"/>
  <c r="DK3360" i="3"/>
  <c r="DK1782" i="3"/>
  <c r="DL1782" i="3"/>
  <c r="DK1383" i="3"/>
  <c r="DM1383" i="3" s="1"/>
  <c r="DK833" i="3"/>
  <c r="DK2637" i="3"/>
  <c r="DL2637" i="3"/>
  <c r="DK3891" i="3"/>
  <c r="DM3891" i="3" s="1"/>
  <c r="DK2277" i="3"/>
  <c r="DL2277" i="3"/>
  <c r="DK2295" i="3"/>
  <c r="DL2295" i="3"/>
  <c r="DK623" i="3"/>
  <c r="DL623" i="3"/>
  <c r="DK4081" i="3"/>
  <c r="DM4081" i="3" s="1"/>
  <c r="DK1307" i="3"/>
  <c r="DM1307" i="3" s="1"/>
  <c r="DL1307" i="3"/>
  <c r="DN1307" i="3" s="1"/>
  <c r="DO1307" i="3" s="1"/>
  <c r="DK3283" i="3"/>
  <c r="DK4271" i="3"/>
  <c r="DM4271" i="3" s="1"/>
  <c r="DK2656" i="3"/>
  <c r="DL2656" i="3"/>
  <c r="DK2315" i="3"/>
  <c r="DL2315" i="3"/>
  <c r="DK3492" i="3"/>
  <c r="DK3967" i="3"/>
  <c r="DM3967" i="3" s="1"/>
  <c r="DK3435" i="3"/>
  <c r="DK72" i="3"/>
  <c r="DM72" i="3" s="1"/>
  <c r="DL72" i="3"/>
  <c r="DN72" i="3" s="1"/>
  <c r="DO72" i="3" s="1"/>
  <c r="DK148" i="3"/>
  <c r="DM148" i="3" s="1"/>
  <c r="DK1060" i="3"/>
  <c r="DM1060" i="3" s="1"/>
  <c r="DL1060" i="3"/>
  <c r="DN1060" i="3" s="1"/>
  <c r="DO1060" i="3" s="1"/>
  <c r="DK1516" i="3"/>
  <c r="DK2884" i="3"/>
  <c r="DL2884" i="3"/>
  <c r="DK1802" i="3"/>
  <c r="DL1802" i="3"/>
  <c r="DK3056" i="3"/>
  <c r="DL3056" i="3"/>
  <c r="DK2448" i="3"/>
  <c r="DK1421" i="3"/>
  <c r="DM1421" i="3" s="1"/>
  <c r="DK2257" i="3"/>
  <c r="DL2257" i="3"/>
  <c r="DK1991" i="3"/>
  <c r="DL1991" i="3"/>
  <c r="DK3739" i="3"/>
  <c r="DK433" i="3"/>
  <c r="DM433" i="3" s="1"/>
  <c r="DL433" i="3"/>
  <c r="DN433" i="3" s="1"/>
  <c r="DO433" i="3" s="1"/>
  <c r="DK2714" i="3"/>
  <c r="DL2714" i="3"/>
  <c r="DK1478" i="3"/>
  <c r="DL908" i="3"/>
  <c r="DK908" i="3"/>
  <c r="DK357" i="3"/>
  <c r="DM357" i="3" s="1"/>
  <c r="DK1935" i="3"/>
  <c r="DL1935" i="3"/>
  <c r="DK3758" i="3"/>
  <c r="DK3398" i="3"/>
  <c r="DK281" i="3"/>
  <c r="DM281" i="3" s="1"/>
  <c r="DL281" i="3"/>
  <c r="DN281" i="3" s="1"/>
  <c r="DO281" i="3" s="1"/>
  <c r="DK2011" i="3"/>
  <c r="DL2011" i="3"/>
  <c r="DK2561" i="3"/>
  <c r="DK490" i="3"/>
  <c r="DL490" i="3"/>
  <c r="DK1269" i="3"/>
  <c r="DM1269" i="3" s="1"/>
  <c r="DL1269" i="3"/>
  <c r="DN1269" i="3" s="1"/>
  <c r="DO1269" i="3" s="1"/>
  <c r="DK2980" i="3"/>
  <c r="DL2980" i="3"/>
  <c r="DK2846" i="3"/>
  <c r="DL2846" i="3"/>
  <c r="DK1003" i="3"/>
  <c r="DM1003" i="3" s="1"/>
  <c r="DL1003" i="3"/>
  <c r="DN1003" i="3" s="1"/>
  <c r="DO1003" i="3" s="1"/>
  <c r="DK2580" i="3"/>
  <c r="DL2580" i="3"/>
  <c r="DK453" i="3"/>
  <c r="DM453" i="3" s="1"/>
  <c r="DL453" i="3"/>
  <c r="DN453" i="3" s="1"/>
  <c r="DO453" i="3" s="1"/>
  <c r="DK509" i="3"/>
  <c r="DK4197" i="3"/>
  <c r="DM4197" i="3" s="1"/>
  <c r="DK34" i="3"/>
  <c r="DM34" i="3" s="1"/>
  <c r="DL34" i="3"/>
  <c r="DN34" i="3" s="1"/>
  <c r="DO34" i="3" s="1"/>
  <c r="DK167" i="3"/>
  <c r="DM167" i="3" s="1"/>
  <c r="DK1858" i="3"/>
  <c r="DL1858" i="3"/>
  <c r="V50" i="2"/>
  <c r="DK3170" i="3"/>
  <c r="DL3170" i="3"/>
  <c r="DK1764" i="3"/>
  <c r="DL1764" i="3"/>
  <c r="DK1668" i="3"/>
  <c r="DL1668" i="3"/>
  <c r="DK3910" i="3"/>
  <c r="DM3910" i="3" s="1"/>
  <c r="DK1041" i="3"/>
  <c r="DM1041" i="3" s="1"/>
  <c r="DL1041" i="3"/>
  <c r="DN1041" i="3" s="1"/>
  <c r="DO1041" i="3" s="1"/>
  <c r="DK3226" i="3"/>
  <c r="DK415" i="3"/>
  <c r="DM415" i="3" s="1"/>
  <c r="DL415" i="3"/>
  <c r="DN415" i="3" s="1"/>
  <c r="DO415" i="3" s="1"/>
  <c r="DK53" i="3"/>
  <c r="DM53" i="3" s="1"/>
  <c r="DK472" i="3"/>
  <c r="DL472" i="3"/>
  <c r="DK4176" i="3"/>
  <c r="DM4176" i="3" s="1"/>
  <c r="DK4310" i="3"/>
  <c r="DM4310" i="3" s="1"/>
  <c r="DK4006" i="3"/>
  <c r="DM4006" i="3" s="1"/>
  <c r="DK604" i="3"/>
  <c r="DK1079" i="3"/>
  <c r="DM1079" i="3" s="1"/>
  <c r="DL1079" i="3"/>
  <c r="DN1079" i="3" s="1"/>
  <c r="DO1079" i="3" s="1"/>
  <c r="DK528" i="3"/>
  <c r="DK2409" i="3"/>
  <c r="DK870" i="3"/>
  <c r="DL870" i="3"/>
  <c r="DK3702" i="3"/>
  <c r="DK2182" i="3"/>
  <c r="DL2182" i="3"/>
  <c r="DK1174" i="3"/>
  <c r="DM1174" i="3" s="1"/>
  <c r="DK2333" i="3"/>
  <c r="DL2333" i="3"/>
  <c r="DK890" i="3"/>
  <c r="DL890" i="3"/>
  <c r="DK718" i="3"/>
  <c r="DL718" i="3"/>
  <c r="DK3512" i="3"/>
  <c r="DK1497" i="3"/>
  <c r="DK2086" i="3"/>
  <c r="DL2086" i="3"/>
  <c r="DK4138" i="3"/>
  <c r="DM4138" i="3" s="1"/>
  <c r="DK1155" i="3"/>
  <c r="DM1155" i="3" s="1"/>
  <c r="DK2942" i="3"/>
  <c r="DL2942" i="3"/>
  <c r="DK1650" i="3"/>
  <c r="DL1650" i="3"/>
  <c r="DK1630" i="3"/>
  <c r="DL1630" i="3"/>
  <c r="DK91" i="3"/>
  <c r="DM91" i="3" s="1"/>
  <c r="DL91" i="3"/>
  <c r="DN91" i="3" s="1"/>
  <c r="DO91" i="3" s="1"/>
  <c r="DK1535" i="3"/>
  <c r="DK2162" i="3"/>
  <c r="DL2162" i="3"/>
  <c r="DK2524" i="3"/>
  <c r="DK4100" i="3"/>
  <c r="DM4100" i="3" s="1"/>
  <c r="DK3854" i="3"/>
  <c r="DM3854" i="3" s="1"/>
  <c r="DK3777" i="3"/>
  <c r="DM3777" i="3" s="1"/>
  <c r="DK1972" i="3"/>
  <c r="DL1972" i="3"/>
  <c r="DK1231" i="3"/>
  <c r="DM1231" i="3" s="1"/>
  <c r="DL1231" i="3"/>
  <c r="DN1231" i="3" s="1"/>
  <c r="DO1231" i="3" s="1"/>
  <c r="DK3246" i="3"/>
  <c r="DK2808" i="3"/>
  <c r="DL2808" i="3"/>
  <c r="DK4120" i="3"/>
  <c r="DM4120" i="3" s="1"/>
  <c r="DK205" i="3"/>
  <c r="DM205" i="3" s="1"/>
  <c r="V203" i="2"/>
  <c r="W86" i="2"/>
  <c r="V227" i="2"/>
  <c r="V30" i="2"/>
  <c r="V85" i="2"/>
  <c r="V36" i="2"/>
  <c r="V159" i="2"/>
  <c r="W98" i="2"/>
  <c r="V197" i="2"/>
  <c r="V46" i="2"/>
  <c r="V215" i="2"/>
  <c r="V183" i="2"/>
  <c r="V132" i="2"/>
  <c r="V223" i="2"/>
  <c r="V43" i="2"/>
  <c r="V165" i="2"/>
  <c r="W188" i="2"/>
  <c r="W131" i="2"/>
  <c r="V40" i="2"/>
  <c r="V187" i="2"/>
  <c r="W178" i="2"/>
  <c r="V95" i="2"/>
  <c r="V74" i="2"/>
  <c r="W45" i="2"/>
  <c r="V140" i="2"/>
  <c r="V206" i="2"/>
  <c r="W121" i="2"/>
  <c r="V122" i="2"/>
  <c r="V34" i="2"/>
  <c r="V216" i="2"/>
  <c r="V70" i="2"/>
  <c r="V174" i="2"/>
  <c r="V226" i="2"/>
  <c r="V141" i="2"/>
  <c r="W123" i="2"/>
  <c r="V185" i="2"/>
  <c r="V210" i="2"/>
  <c r="V182" i="2"/>
  <c r="V5" i="2"/>
  <c r="V9" i="2"/>
  <c r="V57" i="2"/>
  <c r="V81" i="2"/>
  <c r="V153" i="2"/>
  <c r="W96" i="2"/>
  <c r="W162" i="2"/>
  <c r="W130" i="2"/>
  <c r="V76" i="2"/>
  <c r="V120" i="2"/>
  <c r="V106" i="2"/>
  <c r="V198" i="2"/>
  <c r="V24" i="2"/>
  <c r="W144" i="2"/>
  <c r="V79" i="2"/>
  <c r="V49" i="2"/>
  <c r="V20" i="2"/>
  <c r="W103" i="2"/>
  <c r="V199" i="2"/>
  <c r="W180" i="2"/>
  <c r="V16" i="2"/>
  <c r="W107" i="2"/>
  <c r="V136" i="2"/>
  <c r="V27" i="2"/>
  <c r="V68" i="2"/>
  <c r="W158" i="2"/>
  <c r="V151" i="2"/>
  <c r="V54" i="2"/>
  <c r="V137" i="2"/>
  <c r="W25" i="2"/>
  <c r="V28" i="2"/>
  <c r="X222" i="2"/>
  <c r="V3" i="2"/>
  <c r="V10" i="2"/>
  <c r="V99" i="2"/>
  <c r="DK927" i="3"/>
  <c r="DL927" i="3"/>
  <c r="W168" i="2"/>
  <c r="W94" i="2"/>
  <c r="V89" i="2"/>
  <c r="V207" i="2"/>
  <c r="V56" i="2"/>
  <c r="V171" i="2"/>
  <c r="W23" i="2"/>
  <c r="V4" i="2"/>
  <c r="W26" i="2"/>
  <c r="V221" i="2"/>
  <c r="W228" i="2"/>
  <c r="W212" i="2"/>
  <c r="V33" i="2"/>
  <c r="V58" i="2"/>
  <c r="V29" i="2"/>
  <c r="V128" i="2"/>
  <c r="V47" i="2"/>
  <c r="W196" i="2"/>
  <c r="W116" i="2"/>
  <c r="V63" i="2"/>
  <c r="V124" i="2"/>
  <c r="W48" i="2"/>
  <c r="V39" i="2"/>
  <c r="W186" i="2"/>
  <c r="V80" i="2"/>
  <c r="V111" i="2"/>
  <c r="V219" i="2"/>
  <c r="V62" i="2"/>
  <c r="W156" i="2"/>
  <c r="W88" i="2"/>
  <c r="V87" i="2"/>
  <c r="V6" i="2"/>
  <c r="V82" i="2"/>
  <c r="V115" i="2"/>
  <c r="W134" i="2"/>
  <c r="V217" i="2"/>
  <c r="W204" i="2"/>
  <c r="DK3682" i="3"/>
  <c r="W117" i="2"/>
  <c r="DK2733" i="3"/>
  <c r="DL2733" i="3"/>
  <c r="DK2049" i="3"/>
  <c r="DL2049" i="3"/>
  <c r="DK2029" i="3"/>
  <c r="DL2029" i="3"/>
  <c r="DK1212" i="3"/>
  <c r="DM1212" i="3" s="1"/>
  <c r="DL1212" i="3"/>
  <c r="DN1212" i="3" s="1"/>
  <c r="DO1212" i="3" s="1"/>
  <c r="DK4158" i="3"/>
  <c r="DM4158" i="3" s="1"/>
  <c r="DK3188" i="3"/>
  <c r="DK2828" i="3"/>
  <c r="DL2828" i="3"/>
  <c r="DK225" i="3"/>
  <c r="DM225" i="3" s="1"/>
  <c r="DK1878" i="3"/>
  <c r="DL1878" i="3"/>
  <c r="DK2904" i="3"/>
  <c r="DL2904" i="3"/>
  <c r="DK3473" i="3"/>
  <c r="DL1289" i="3"/>
  <c r="DN1289" i="3" s="1"/>
  <c r="DO1289" i="3" s="1"/>
  <c r="DK1289" i="3"/>
  <c r="DM1289" i="3" s="1"/>
  <c r="DK2543" i="3"/>
  <c r="DK2067" i="3"/>
  <c r="DL2067" i="3"/>
  <c r="DK813" i="3"/>
  <c r="DK2752" i="3"/>
  <c r="DL2752" i="3"/>
  <c r="DK110" i="3"/>
  <c r="DM110" i="3" s="1"/>
  <c r="DK1440" i="3"/>
  <c r="DM1440" i="3" s="1"/>
  <c r="DK243" i="3"/>
  <c r="DM243" i="3" s="1"/>
  <c r="DL243" i="3"/>
  <c r="DN243" i="3" s="1"/>
  <c r="DO243" i="3" s="1"/>
  <c r="DK1916" i="3"/>
  <c r="DL1916" i="3"/>
  <c r="DK1022" i="3"/>
  <c r="DM1022" i="3" s="1"/>
  <c r="DL1022" i="3"/>
  <c r="DN1022" i="3" s="1"/>
  <c r="DO1022" i="3" s="1"/>
  <c r="DK1193" i="3"/>
  <c r="DM1193" i="3" s="1"/>
  <c r="DL1193" i="3"/>
  <c r="DN1193" i="3" s="1"/>
  <c r="DO1193" i="3" s="1"/>
  <c r="DK3093" i="3"/>
  <c r="DL3093" i="3"/>
  <c r="DK1688" i="3"/>
  <c r="DL1688" i="3"/>
  <c r="DK2371" i="3"/>
  <c r="DL2371" i="3"/>
  <c r="DK2239" i="3"/>
  <c r="DL2239" i="3"/>
  <c r="DK129" i="3"/>
  <c r="DM129" i="3" s="1"/>
  <c r="DK1098" i="3"/>
  <c r="DM1098" i="3" s="1"/>
  <c r="DL1098" i="3"/>
  <c r="DN1098" i="3" s="1"/>
  <c r="DO1098" i="3" s="1"/>
  <c r="DK3796" i="3"/>
  <c r="DM3796" i="3" s="1"/>
  <c r="DK3150" i="3"/>
  <c r="DL3150" i="3"/>
  <c r="DK3302" i="3"/>
  <c r="DK1726" i="3"/>
  <c r="DL1726" i="3"/>
  <c r="DK3606" i="3"/>
  <c r="DL3606" i="3"/>
  <c r="DK2619" i="3"/>
  <c r="DL2619" i="3"/>
  <c r="DK3322" i="3"/>
  <c r="DK2219" i="3"/>
  <c r="DL2219" i="3"/>
  <c r="DK1554" i="3"/>
  <c r="DK3644" i="3"/>
  <c r="DK3208" i="3"/>
  <c r="DK1574" i="3"/>
  <c r="DL1574" i="3"/>
  <c r="V19" i="2"/>
  <c r="DK2600" i="3"/>
  <c r="DL2600" i="3"/>
  <c r="DK2143" i="3"/>
  <c r="DL2143" i="3"/>
  <c r="DK262" i="3"/>
  <c r="DM262" i="3" s="1"/>
  <c r="DL262" i="3"/>
  <c r="DN262" i="3" s="1"/>
  <c r="DO262" i="3" s="1"/>
  <c r="DK3074" i="3"/>
  <c r="DL3074" i="3"/>
  <c r="DK4024" i="3"/>
  <c r="DM4024" i="3" s="1"/>
  <c r="DK1402" i="3"/>
  <c r="DM1402" i="3" s="1"/>
  <c r="DK3872" i="3"/>
  <c r="DM3872" i="3" s="1"/>
  <c r="DK1345" i="3"/>
  <c r="DM1345" i="3" s="1"/>
  <c r="DL1345" i="3"/>
  <c r="DN1345" i="3" s="1"/>
  <c r="DO1345" i="3" s="1"/>
  <c r="DK1251" i="3"/>
  <c r="DM1251" i="3" s="1"/>
  <c r="DL1251" i="3"/>
  <c r="DN1251" i="3" s="1"/>
  <c r="DO1251" i="3" s="1"/>
  <c r="DK3036" i="3"/>
  <c r="DL3036" i="3"/>
  <c r="DK567" i="3"/>
  <c r="DL567" i="3"/>
  <c r="DK395" i="3"/>
  <c r="DM395" i="3" s="1"/>
  <c r="DL395" i="3"/>
  <c r="DN395" i="3" s="1"/>
  <c r="DO395" i="3" s="1"/>
  <c r="DK1364" i="3"/>
  <c r="DM1364" i="3" s="1"/>
  <c r="DL1364" i="3"/>
  <c r="DN1364" i="3" s="1"/>
  <c r="DO1364" i="3" s="1"/>
  <c r="DK3948" i="3"/>
  <c r="DM3948" i="3" s="1"/>
  <c r="DK2504" i="3"/>
  <c r="DK3929" i="3"/>
  <c r="DM3929" i="3" s="1"/>
  <c r="DK3264" i="3"/>
  <c r="DK2960" i="3"/>
  <c r="DL2960" i="3"/>
  <c r="DK2106" i="3"/>
  <c r="DL2106" i="3"/>
  <c r="DK1327" i="3"/>
  <c r="DM1327" i="3" s="1"/>
  <c r="DL1327" i="3"/>
  <c r="DN1327" i="3" s="1"/>
  <c r="DO1327" i="3" s="1"/>
  <c r="DK776" i="3"/>
  <c r="DK2676" i="3"/>
  <c r="DL2676" i="3"/>
  <c r="DK2770" i="3"/>
  <c r="DL2770" i="3"/>
  <c r="DK1820" i="3"/>
  <c r="DL1820" i="3"/>
  <c r="DK984" i="3"/>
  <c r="DM984" i="3" s="1"/>
  <c r="DL984" i="3"/>
  <c r="DN984" i="3" s="1"/>
  <c r="DO984" i="3" s="1"/>
  <c r="DK1118" i="3"/>
  <c r="DM1118" i="3" s="1"/>
  <c r="DL1118" i="3"/>
  <c r="DN1118" i="3" s="1"/>
  <c r="DO1118" i="3" s="1"/>
  <c r="DK946" i="3"/>
  <c r="DL946" i="3"/>
  <c r="DK756" i="3"/>
  <c r="DK2922" i="3"/>
  <c r="DL2922" i="3"/>
  <c r="DK1897" i="3"/>
  <c r="DL1897" i="3"/>
  <c r="DK2695" i="3"/>
  <c r="DL2695" i="3"/>
  <c r="DK3986" i="3"/>
  <c r="DM3986" i="3" s="1"/>
  <c r="DK3816" i="3"/>
  <c r="DM3816" i="3" s="1"/>
  <c r="DK3663" i="3"/>
  <c r="DK3416" i="3"/>
  <c r="DK2428" i="3"/>
  <c r="DK300" i="3"/>
  <c r="DM300" i="3" s="1"/>
  <c r="DL300" i="3"/>
  <c r="DN300" i="3" s="1"/>
  <c r="DO300" i="3" s="1"/>
  <c r="DL1136" i="3"/>
  <c r="DN1136" i="3" s="1"/>
  <c r="DO1136" i="3" s="1"/>
  <c r="DK1136" i="3"/>
  <c r="DM1136" i="3" s="1"/>
  <c r="DK1953" i="3"/>
  <c r="DL1953" i="3"/>
  <c r="DK4253" i="3"/>
  <c r="DM4253" i="3" s="1"/>
  <c r="DK586" i="3"/>
  <c r="DL586" i="3"/>
  <c r="DK2125" i="3"/>
  <c r="DL2125" i="3"/>
  <c r="DK3568" i="3"/>
  <c r="DL3568" i="3"/>
  <c r="DK3018" i="3"/>
  <c r="DL3018" i="3"/>
  <c r="DK1459" i="3"/>
  <c r="DK4235" i="3"/>
  <c r="DM4235" i="3" s="1"/>
  <c r="DK319" i="3"/>
  <c r="DM319" i="3" s="1"/>
  <c r="DK187" i="3"/>
  <c r="DM187" i="3" s="1"/>
  <c r="DK1706" i="3"/>
  <c r="DL1706" i="3"/>
  <c r="DK3378" i="3"/>
  <c r="DK680" i="3"/>
  <c r="DL680" i="3"/>
  <c r="W166" i="2"/>
  <c r="V200" i="2"/>
  <c r="W32" i="2"/>
  <c r="V195" i="2"/>
  <c r="W113" i="2"/>
  <c r="V177" i="2"/>
  <c r="V66" i="2"/>
  <c r="V189" i="2"/>
  <c r="W172" i="2"/>
  <c r="W160" i="2"/>
  <c r="V52" i="2"/>
  <c r="V149" i="2"/>
  <c r="V78" i="2"/>
  <c r="W218" i="2"/>
  <c r="X224" i="2"/>
  <c r="DK2201" i="3"/>
  <c r="DL2201" i="3"/>
  <c r="W145" i="2"/>
  <c r="V18" i="2"/>
  <c r="W109" i="2"/>
  <c r="V93" i="2"/>
  <c r="V12" i="2"/>
  <c r="W11" i="2"/>
  <c r="W127" i="2"/>
  <c r="V108" i="2"/>
  <c r="W125" i="2"/>
  <c r="V91" i="2"/>
  <c r="V65" i="2"/>
  <c r="V21" i="2"/>
  <c r="W220" i="2"/>
  <c r="V179" i="2"/>
  <c r="W38" i="2"/>
  <c r="V169" i="2"/>
  <c r="V148" i="2"/>
  <c r="V214" i="2"/>
  <c r="W150" i="2"/>
  <c r="W13" i="2"/>
  <c r="W100" i="2"/>
  <c r="V37" i="2"/>
  <c r="W154" i="2"/>
  <c r="V184" i="2"/>
  <c r="W35" i="2"/>
  <c r="W69" i="2"/>
  <c r="W135" i="2"/>
  <c r="V110" i="2"/>
  <c r="V44" i="2"/>
  <c r="W146" i="2"/>
  <c r="V7" i="2"/>
  <c r="V77" i="2"/>
  <c r="V14" i="2"/>
  <c r="W102" i="2"/>
  <c r="V55" i="2"/>
  <c r="V64" i="2"/>
  <c r="V164" i="2"/>
  <c r="W90" i="2"/>
  <c r="V126" i="2"/>
  <c r="W119" i="2"/>
  <c r="V8" i="2"/>
  <c r="V59" i="2"/>
  <c r="V201" i="2"/>
  <c r="V167" i="2"/>
  <c r="V175" i="2"/>
  <c r="W92" i="2"/>
  <c r="V191" i="2"/>
  <c r="W139" i="2"/>
  <c r="W176" i="2"/>
  <c r="V118" i="2"/>
  <c r="V83" i="2"/>
  <c r="V193" i="2"/>
  <c r="W170" i="2"/>
  <c r="W84" i="2"/>
  <c r="DK338" i="3"/>
  <c r="DM338" i="3" s="1"/>
  <c r="W138" i="2"/>
  <c r="V114" i="2"/>
  <c r="V15" i="2"/>
  <c r="V163" i="2"/>
  <c r="V213" i="2"/>
  <c r="V75" i="2"/>
  <c r="V205" i="2"/>
  <c r="V72" i="2"/>
  <c r="W67" i="2"/>
  <c r="V161" i="2"/>
  <c r="W31" i="2"/>
  <c r="V22" i="2"/>
  <c r="V73" i="2"/>
  <c r="V209" i="2"/>
  <c r="V133" i="2"/>
  <c r="V208" i="2"/>
  <c r="V173" i="2"/>
  <c r="V157" i="2"/>
  <c r="W112" i="2"/>
  <c r="W71" i="2"/>
  <c r="W42" i="2"/>
  <c r="W142" i="2"/>
  <c r="V147" i="2"/>
  <c r="V97" i="2"/>
  <c r="V53" i="2"/>
  <c r="W60" i="2"/>
  <c r="V51" i="2"/>
  <c r="V41" i="2"/>
  <c r="V155" i="2"/>
  <c r="W101" i="2"/>
  <c r="W143" i="2"/>
  <c r="V211" i="2"/>
  <c r="W202" i="2"/>
  <c r="V194" i="2"/>
  <c r="V181" i="2"/>
  <c r="V129" i="2"/>
  <c r="V17" i="2"/>
  <c r="V61" i="2"/>
  <c r="V104" i="2"/>
  <c r="DN13" i="3" l="1"/>
  <c r="DO13" i="3" s="1"/>
  <c r="DL14" i="3"/>
  <c r="DL338" i="3"/>
  <c r="DN338" i="3" s="1"/>
  <c r="DO338" i="3" s="1"/>
  <c r="DN3208" i="3"/>
  <c r="DO3208" i="3" s="1"/>
  <c r="DL3208" i="3"/>
  <c r="DN1554" i="3"/>
  <c r="DO1554" i="3" s="1"/>
  <c r="DL1554" i="3"/>
  <c r="DN3322" i="3"/>
  <c r="DO3322" i="3" s="1"/>
  <c r="DL3322" i="3"/>
  <c r="DN3302" i="3"/>
  <c r="DO3302" i="3" s="1"/>
  <c r="DL3302" i="3"/>
  <c r="DL3796" i="3"/>
  <c r="DN3796" i="3" s="1"/>
  <c r="DO3796" i="3" s="1"/>
  <c r="DL129" i="3"/>
  <c r="DN129" i="3" s="1"/>
  <c r="DO129" i="3" s="1"/>
  <c r="DL110" i="3"/>
  <c r="DN110" i="3" s="1"/>
  <c r="DO110" i="3" s="1"/>
  <c r="DN813" i="3"/>
  <c r="DO813" i="3" s="1"/>
  <c r="DL813" i="3"/>
  <c r="DN2543" i="3"/>
  <c r="DO2543" i="3" s="1"/>
  <c r="DL2543" i="3"/>
  <c r="DN3473" i="3"/>
  <c r="DO3473" i="3" s="1"/>
  <c r="DL3473" i="3"/>
  <c r="DL4158" i="3"/>
  <c r="DN4158" i="3" s="1"/>
  <c r="DO4158" i="3" s="1"/>
  <c r="DL167" i="3"/>
  <c r="DN167" i="3" s="1"/>
  <c r="DO167" i="3" s="1"/>
  <c r="DL4197" i="3"/>
  <c r="DN4197" i="3" s="1"/>
  <c r="DO4197" i="3" s="1"/>
  <c r="DN3398" i="3"/>
  <c r="DO3398" i="3" s="1"/>
  <c r="DL3398" i="3"/>
  <c r="DN3739" i="3"/>
  <c r="DO3739" i="3" s="1"/>
  <c r="DL3739" i="3"/>
  <c r="DN2448" i="3"/>
  <c r="DO2448" i="3" s="1"/>
  <c r="DL2448" i="3"/>
  <c r="DN1516" i="3"/>
  <c r="DO1516" i="3" s="1"/>
  <c r="DL1516" i="3"/>
  <c r="DL148" i="3"/>
  <c r="DN148" i="3" s="1"/>
  <c r="DO148" i="3" s="1"/>
  <c r="DN3435" i="3"/>
  <c r="DO3435" i="3" s="1"/>
  <c r="DL3435" i="3"/>
  <c r="DN3492" i="3"/>
  <c r="DO3492" i="3" s="1"/>
  <c r="DL3492" i="3"/>
  <c r="DN3283" i="3"/>
  <c r="DO3283" i="3" s="1"/>
  <c r="DL3283" i="3"/>
  <c r="DL4081" i="3"/>
  <c r="DN4081" i="3" s="1"/>
  <c r="DO4081" i="3" s="1"/>
  <c r="DL3891" i="3"/>
  <c r="DN3891" i="3" s="1"/>
  <c r="DO3891" i="3" s="1"/>
  <c r="DN833" i="3"/>
  <c r="DO833" i="3" s="1"/>
  <c r="DL833" i="3"/>
  <c r="DN2467" i="3"/>
  <c r="DO2467" i="3" s="1"/>
  <c r="DL2467" i="3"/>
  <c r="DL4214" i="3"/>
  <c r="DN4214" i="3" s="1"/>
  <c r="DO4214" i="3" s="1"/>
  <c r="DN3454" i="3"/>
  <c r="DO3454" i="3" s="1"/>
  <c r="DL3454" i="3"/>
  <c r="DN3378" i="3"/>
  <c r="DO3378" i="3" s="1"/>
  <c r="DL3378" i="3"/>
  <c r="DL187" i="3"/>
  <c r="DN187" i="3" s="1"/>
  <c r="DO187" i="3" s="1"/>
  <c r="DL4235" i="3"/>
  <c r="DN4235" i="3" s="1"/>
  <c r="DO4235" i="3" s="1"/>
  <c r="DL4253" i="3"/>
  <c r="DN4253" i="3" s="1"/>
  <c r="DO4253" i="3" s="1"/>
  <c r="DN2428" i="3"/>
  <c r="DO2428" i="3" s="1"/>
  <c r="DL2428" i="3"/>
  <c r="DN3663" i="3"/>
  <c r="DO3663" i="3" s="1"/>
  <c r="DL3663" i="3"/>
  <c r="DL3986" i="3"/>
  <c r="DN3986" i="3" s="1"/>
  <c r="DO3986" i="3" s="1"/>
  <c r="DN756" i="3"/>
  <c r="DO756" i="3" s="1"/>
  <c r="DL756" i="3"/>
  <c r="DL3929" i="3"/>
  <c r="DN3929" i="3" s="1"/>
  <c r="DO3929" i="3" s="1"/>
  <c r="DL3948" i="3"/>
  <c r="DN3948" i="3" s="1"/>
  <c r="DO3948" i="3" s="1"/>
  <c r="DL1402" i="3"/>
  <c r="DN1402" i="3" s="1"/>
  <c r="DO1402" i="3" s="1"/>
  <c r="DL205" i="3"/>
  <c r="DN205" i="3" s="1"/>
  <c r="DO205" i="3" s="1"/>
  <c r="DL3777" i="3"/>
  <c r="DN3777" i="3" s="1"/>
  <c r="DO3777" i="3" s="1"/>
  <c r="DL4100" i="3"/>
  <c r="DN4100" i="3" s="1"/>
  <c r="DO4100" i="3" s="1"/>
  <c r="DL1155" i="3"/>
  <c r="DN1155" i="3" s="1"/>
  <c r="DO1155" i="3" s="1"/>
  <c r="DN3512" i="3"/>
  <c r="DO3512" i="3" s="1"/>
  <c r="DL3512" i="3"/>
  <c r="DL1174" i="3"/>
  <c r="DN1174" i="3" s="1"/>
  <c r="DO1174" i="3" s="1"/>
  <c r="DN3702" i="3"/>
  <c r="DO3702" i="3" s="1"/>
  <c r="DL3702" i="3"/>
  <c r="DN2409" i="3"/>
  <c r="DO2409" i="3" s="1"/>
  <c r="DL2409" i="3"/>
  <c r="DL4006" i="3"/>
  <c r="DN4006" i="3" s="1"/>
  <c r="DO4006" i="3" s="1"/>
  <c r="DL4176" i="3"/>
  <c r="DN4176" i="3" s="1"/>
  <c r="DO4176" i="3" s="1"/>
  <c r="DL53" i="3"/>
  <c r="DN53" i="3" s="1"/>
  <c r="DO53" i="3" s="1"/>
  <c r="DN3226" i="3"/>
  <c r="DO3226" i="3" s="1"/>
  <c r="DL3226" i="3"/>
  <c r="DL3910" i="3"/>
  <c r="DN3910" i="3" s="1"/>
  <c r="DO3910" i="3" s="1"/>
  <c r="DL4043" i="3"/>
  <c r="DN4043" i="3" s="1"/>
  <c r="DO4043" i="3" s="1"/>
  <c r="DN3340" i="3"/>
  <c r="DO3340" i="3" s="1"/>
  <c r="DL3340" i="3"/>
  <c r="DN3644" i="3"/>
  <c r="DO3644" i="3" s="1"/>
  <c r="DL3644" i="3"/>
  <c r="DL1440" i="3"/>
  <c r="DN1440" i="3" s="1"/>
  <c r="DO1440" i="3" s="1"/>
  <c r="DL225" i="3"/>
  <c r="DN225" i="3" s="1"/>
  <c r="DO225" i="3" s="1"/>
  <c r="DN3188" i="3"/>
  <c r="DO3188" i="3" s="1"/>
  <c r="DL3188" i="3"/>
  <c r="DN509" i="3"/>
  <c r="DO509" i="3" s="1"/>
  <c r="DL509" i="3"/>
  <c r="DN2561" i="3"/>
  <c r="DO2561" i="3" s="1"/>
  <c r="DL2561" i="3"/>
  <c r="DN3758" i="3"/>
  <c r="DO3758" i="3" s="1"/>
  <c r="DL3758" i="3"/>
  <c r="DL357" i="3"/>
  <c r="DN357" i="3" s="1"/>
  <c r="DO357" i="3" s="1"/>
  <c r="DN1478" i="3"/>
  <c r="DO1478" i="3" s="1"/>
  <c r="DL1478" i="3"/>
  <c r="DL1421" i="3"/>
  <c r="DN1421" i="3" s="1"/>
  <c r="DO1421" i="3" s="1"/>
  <c r="DL3967" i="3"/>
  <c r="DN3967" i="3" s="1"/>
  <c r="DO3967" i="3" s="1"/>
  <c r="DL4271" i="3"/>
  <c r="DN4271" i="3" s="1"/>
  <c r="DO4271" i="3" s="1"/>
  <c r="DL1383" i="3"/>
  <c r="DN1383" i="3" s="1"/>
  <c r="DO1383" i="3" s="1"/>
  <c r="DN3360" i="3"/>
  <c r="DO3360" i="3" s="1"/>
  <c r="DL3360" i="3"/>
  <c r="DN794" i="3"/>
  <c r="DO794" i="3" s="1"/>
  <c r="DL794" i="3"/>
  <c r="DN2485" i="3"/>
  <c r="DO2485" i="3" s="1"/>
  <c r="DL2485" i="3"/>
  <c r="DL4062" i="3"/>
  <c r="DN4062" i="3" s="1"/>
  <c r="DO4062" i="3" s="1"/>
  <c r="DN3720" i="3"/>
  <c r="DO3720" i="3" s="1"/>
  <c r="DL3720" i="3"/>
  <c r="DL4290" i="3"/>
  <c r="DN4290" i="3" s="1"/>
  <c r="DO4290" i="3" s="1"/>
  <c r="DL3834" i="3"/>
  <c r="DN3834" i="3" s="1"/>
  <c r="DO3834" i="3" s="1"/>
  <c r="DL319" i="3"/>
  <c r="DN319" i="3" s="1"/>
  <c r="DO319" i="3" s="1"/>
  <c r="DN1459" i="3"/>
  <c r="DO1459" i="3" s="1"/>
  <c r="DL1459" i="3"/>
  <c r="DN3416" i="3"/>
  <c r="DO3416" i="3" s="1"/>
  <c r="DL3416" i="3"/>
  <c r="DL3816" i="3"/>
  <c r="DN3816" i="3" s="1"/>
  <c r="DO3816" i="3" s="1"/>
  <c r="DN776" i="3"/>
  <c r="DO776" i="3" s="1"/>
  <c r="DL776" i="3"/>
  <c r="DN3264" i="3"/>
  <c r="DO3264" i="3" s="1"/>
  <c r="DL3264" i="3"/>
  <c r="DN2504" i="3"/>
  <c r="DO2504" i="3" s="1"/>
  <c r="DL2504" i="3"/>
  <c r="DL3872" i="3"/>
  <c r="DN3872" i="3" s="1"/>
  <c r="DO3872" i="3" s="1"/>
  <c r="DL4024" i="3"/>
  <c r="DN4024" i="3" s="1"/>
  <c r="DO4024" i="3" s="1"/>
  <c r="DN3682" i="3"/>
  <c r="DO3682" i="3" s="1"/>
  <c r="DL3682" i="3"/>
  <c r="DL4120" i="3"/>
  <c r="DN4120" i="3" s="1"/>
  <c r="DO4120" i="3" s="1"/>
  <c r="DN3246" i="3"/>
  <c r="DO3246" i="3" s="1"/>
  <c r="DL3246" i="3"/>
  <c r="DL3854" i="3"/>
  <c r="DN3854" i="3" s="1"/>
  <c r="DO3854" i="3" s="1"/>
  <c r="DN2524" i="3"/>
  <c r="DO2524" i="3" s="1"/>
  <c r="DL2524" i="3"/>
  <c r="DN1535" i="3"/>
  <c r="DO1535" i="3" s="1"/>
  <c r="DL1535" i="3"/>
  <c r="DL4138" i="3"/>
  <c r="DN4138" i="3" s="1"/>
  <c r="DO4138" i="3" s="1"/>
  <c r="DN1497" i="3"/>
  <c r="DO1497" i="3" s="1"/>
  <c r="DL1497" i="3"/>
  <c r="DN528" i="3"/>
  <c r="DO528" i="3" s="1"/>
  <c r="DL528" i="3"/>
  <c r="DN604" i="3"/>
  <c r="DO604" i="3" s="1"/>
  <c r="DL604" i="3"/>
  <c r="DL4310" i="3"/>
  <c r="DN4310" i="3" s="1"/>
  <c r="DO4310" i="3" s="1"/>
  <c r="DN2391" i="3"/>
  <c r="DO2391" i="3" s="1"/>
  <c r="DL2391" i="3"/>
  <c r="DK3626" i="3"/>
  <c r="DL3626" i="3"/>
  <c r="DK3588" i="3"/>
  <c r="DL3588" i="3"/>
  <c r="W192" i="2"/>
  <c r="W190" i="2"/>
  <c r="DK15" i="3"/>
  <c r="DM15" i="3" s="1"/>
  <c r="V2" i="2"/>
  <c r="W104" i="2"/>
  <c r="W17" i="2"/>
  <c r="W61" i="2"/>
  <c r="W129" i="2"/>
  <c r="W194" i="2"/>
  <c r="W211" i="2"/>
  <c r="DK1954" i="3"/>
  <c r="DL1954" i="3"/>
  <c r="DK301" i="3"/>
  <c r="DM301" i="3" s="1"/>
  <c r="DL301" i="3"/>
  <c r="DN301" i="3" s="1"/>
  <c r="DO301" i="3" s="1"/>
  <c r="DK3417" i="3"/>
  <c r="DK3817" i="3"/>
  <c r="DM3817" i="3" s="1"/>
  <c r="DK1898" i="3"/>
  <c r="DL1898" i="3"/>
  <c r="DK757" i="3"/>
  <c r="DK1119" i="3"/>
  <c r="DM1119" i="3" s="1"/>
  <c r="DL1119" i="3"/>
  <c r="DN1119" i="3" s="1"/>
  <c r="DO1119" i="3" s="1"/>
  <c r="DK1821" i="3"/>
  <c r="DL1821" i="3"/>
  <c r="DK2677" i="3"/>
  <c r="DL2677" i="3"/>
  <c r="DK1328" i="3"/>
  <c r="DM1328" i="3" s="1"/>
  <c r="DL1328" i="3"/>
  <c r="DN1328" i="3" s="1"/>
  <c r="DO1328" i="3" s="1"/>
  <c r="DK2961" i="3"/>
  <c r="DL2961" i="3"/>
  <c r="DK3930" i="3"/>
  <c r="DM3930" i="3" s="1"/>
  <c r="DK3949" i="3"/>
  <c r="DM3949" i="3" s="1"/>
  <c r="DK396" i="3"/>
  <c r="DM396" i="3" s="1"/>
  <c r="DL396" i="3"/>
  <c r="DN396" i="3" s="1"/>
  <c r="DO396" i="3" s="1"/>
  <c r="DK3037" i="3"/>
  <c r="DL3037" i="3"/>
  <c r="DK1346" i="3"/>
  <c r="DM1346" i="3" s="1"/>
  <c r="DL1346" i="3"/>
  <c r="DN1346" i="3" s="1"/>
  <c r="DO1346" i="3" s="1"/>
  <c r="DK1403" i="3"/>
  <c r="DM1403" i="3" s="1"/>
  <c r="DK3075" i="3"/>
  <c r="DL3075" i="3"/>
  <c r="DK2144" i="3"/>
  <c r="DL2144" i="3"/>
  <c r="DK3209" i="3"/>
  <c r="DK1555" i="3"/>
  <c r="DK3323" i="3"/>
  <c r="DK3607" i="3"/>
  <c r="DL3607" i="3"/>
  <c r="DK3303" i="3"/>
  <c r="DK3797" i="3"/>
  <c r="DM3797" i="3" s="1"/>
  <c r="DK130" i="3"/>
  <c r="DM130" i="3" s="1"/>
  <c r="DK2372" i="3"/>
  <c r="DL2372" i="3"/>
  <c r="DK3094" i="3"/>
  <c r="DL3094" i="3"/>
  <c r="DK1023" i="3"/>
  <c r="DM1023" i="3" s="1"/>
  <c r="DL1023" i="3"/>
  <c r="DN1023" i="3" s="1"/>
  <c r="DO1023" i="3" s="1"/>
  <c r="DK244" i="3"/>
  <c r="DM244" i="3" s="1"/>
  <c r="DL244" i="3"/>
  <c r="DN244" i="3" s="1"/>
  <c r="DO244" i="3" s="1"/>
  <c r="DK111" i="3"/>
  <c r="DM111" i="3" s="1"/>
  <c r="DK814" i="3"/>
  <c r="DK2544" i="3"/>
  <c r="DK644" i="3"/>
  <c r="DK2905" i="3"/>
  <c r="DL2905" i="3"/>
  <c r="DK1879" i="3"/>
  <c r="DL1879" i="3"/>
  <c r="DK2829" i="3"/>
  <c r="DL2829" i="3"/>
  <c r="DK3189" i="3"/>
  <c r="DK3379" i="3"/>
  <c r="DK377" i="3"/>
  <c r="DM377" i="3" s="1"/>
  <c r="DL377" i="3"/>
  <c r="DN377" i="3" s="1"/>
  <c r="DO377" i="3" s="1"/>
  <c r="DK1707" i="3"/>
  <c r="DL1707" i="3"/>
  <c r="DK2030" i="3"/>
  <c r="DL2030" i="3"/>
  <c r="DK188" i="3"/>
  <c r="DM188" i="3" s="1"/>
  <c r="DK1745" i="3"/>
  <c r="DL1745" i="3"/>
  <c r="DK320" i="3"/>
  <c r="DM320" i="3" s="1"/>
  <c r="DK4121" i="3"/>
  <c r="DM4121" i="3" s="1"/>
  <c r="DK2809" i="3"/>
  <c r="DL2809" i="3"/>
  <c r="DK3019" i="3"/>
  <c r="DL3019" i="3"/>
  <c r="DK3569" i="3"/>
  <c r="DL3569" i="3"/>
  <c r="DK3341" i="3"/>
  <c r="DK3683" i="3"/>
  <c r="DK3778" i="3"/>
  <c r="DM3778" i="3" s="1"/>
  <c r="DK339" i="3"/>
  <c r="DM339" i="3" s="1"/>
  <c r="DK2202" i="3"/>
  <c r="DL2202" i="3"/>
  <c r="DK3855" i="3"/>
  <c r="DM3855" i="3" s="1"/>
  <c r="DK2525" i="3"/>
  <c r="DK1536" i="3"/>
  <c r="DK1631" i="3"/>
  <c r="DL1631" i="3"/>
  <c r="DK2943" i="3"/>
  <c r="DL2943" i="3"/>
  <c r="DK4139" i="3"/>
  <c r="DM4139" i="3" s="1"/>
  <c r="DK1498" i="3"/>
  <c r="DK719" i="3"/>
  <c r="DL719" i="3"/>
  <c r="DK2334" i="3"/>
  <c r="DL2334" i="3"/>
  <c r="DK2183" i="3"/>
  <c r="DL2183" i="3"/>
  <c r="DL871" i="3"/>
  <c r="DK871" i="3"/>
  <c r="DK529" i="3"/>
  <c r="DK605" i="3"/>
  <c r="DK4311" i="3"/>
  <c r="DM4311" i="3" s="1"/>
  <c r="DK473" i="3"/>
  <c r="DL473" i="3"/>
  <c r="DK416" i="3"/>
  <c r="DM416" i="3" s="1"/>
  <c r="DL416" i="3"/>
  <c r="DN416" i="3" s="1"/>
  <c r="DO416" i="3" s="1"/>
  <c r="DK1042" i="3"/>
  <c r="DM1042" i="3" s="1"/>
  <c r="DL1042" i="3"/>
  <c r="DN1042" i="3" s="1"/>
  <c r="DO1042" i="3" s="1"/>
  <c r="DK1669" i="3"/>
  <c r="DL1669" i="3"/>
  <c r="DK3171" i="3"/>
  <c r="DL3171" i="3"/>
  <c r="DK1859" i="3"/>
  <c r="DL1859" i="3"/>
  <c r="DK35" i="3"/>
  <c r="DM35" i="3" s="1"/>
  <c r="DL35" i="3"/>
  <c r="DN35" i="3" s="1"/>
  <c r="DO35" i="3" s="1"/>
  <c r="DK510" i="3"/>
  <c r="DL510" i="3"/>
  <c r="DK2581" i="3"/>
  <c r="DL2581" i="3"/>
  <c r="DK2847" i="3"/>
  <c r="DL2847" i="3"/>
  <c r="DK1270" i="3"/>
  <c r="DM1270" i="3" s="1"/>
  <c r="DL1270" i="3"/>
  <c r="DN1270" i="3" s="1"/>
  <c r="DO1270" i="3" s="1"/>
  <c r="DK2562" i="3"/>
  <c r="W16" i="2"/>
  <c r="DK3759" i="3"/>
  <c r="DK358" i="3"/>
  <c r="DM358" i="3" s="1"/>
  <c r="DK1479" i="3"/>
  <c r="DK434" i="3"/>
  <c r="DM434" i="3" s="1"/>
  <c r="DL434" i="3"/>
  <c r="DN434" i="3" s="1"/>
  <c r="DO434" i="3" s="1"/>
  <c r="DK1992" i="3"/>
  <c r="DL1992" i="3"/>
  <c r="DK1422" i="3"/>
  <c r="DM1422" i="3" s="1"/>
  <c r="DK3057" i="3"/>
  <c r="DL3057" i="3"/>
  <c r="DK2885" i="3"/>
  <c r="DL2885" i="3"/>
  <c r="DK1061" i="3"/>
  <c r="DM1061" i="3" s="1"/>
  <c r="DL1061" i="3"/>
  <c r="DN1061" i="3" s="1"/>
  <c r="DO1061" i="3" s="1"/>
  <c r="DK73" i="3"/>
  <c r="DM73" i="3" s="1"/>
  <c r="DL73" i="3"/>
  <c r="DN73" i="3" s="1"/>
  <c r="DO73" i="3" s="1"/>
  <c r="DK3968" i="3"/>
  <c r="DM3968" i="3" s="1"/>
  <c r="DK2316" i="3"/>
  <c r="DL2316" i="3"/>
  <c r="DK4272" i="3"/>
  <c r="DM4272" i="3" s="1"/>
  <c r="DL1308" i="3"/>
  <c r="DN1308" i="3" s="1"/>
  <c r="DO1308" i="3" s="1"/>
  <c r="DK1308" i="3"/>
  <c r="DM1308" i="3" s="1"/>
  <c r="DK624" i="3"/>
  <c r="DK2278" i="3"/>
  <c r="DL2278" i="3"/>
  <c r="DK2638" i="3"/>
  <c r="DL2638" i="3"/>
  <c r="DK1384" i="3"/>
  <c r="DM1384" i="3" s="1"/>
  <c r="DK3361" i="3"/>
  <c r="DK2468" i="3"/>
  <c r="DK3113" i="3"/>
  <c r="DL3113" i="3"/>
  <c r="DK4215" i="3"/>
  <c r="DM4215" i="3" s="1"/>
  <c r="DK3455" i="3"/>
  <c r="DK852" i="3"/>
  <c r="DL852" i="3"/>
  <c r="DK1841" i="3"/>
  <c r="DL1841" i="3"/>
  <c r="DK662" i="3"/>
  <c r="DL662" i="3"/>
  <c r="DK548" i="3"/>
  <c r="DK1613" i="3"/>
  <c r="DL1613" i="3"/>
  <c r="DK928" i="3"/>
  <c r="DL928" i="3"/>
  <c r="DK2867" i="3"/>
  <c r="DL2867" i="3"/>
  <c r="W181" i="2"/>
  <c r="W41" i="2"/>
  <c r="X60" i="2"/>
  <c r="W97" i="2"/>
  <c r="X71" i="2"/>
  <c r="W157" i="2"/>
  <c r="W208" i="2"/>
  <c r="W209" i="2"/>
  <c r="W22" i="2"/>
  <c r="W161" i="2"/>
  <c r="W72" i="2"/>
  <c r="W75" i="2"/>
  <c r="W163" i="2"/>
  <c r="W114" i="2"/>
  <c r="X170" i="2"/>
  <c r="W83" i="2"/>
  <c r="X176" i="2"/>
  <c r="W191" i="2"/>
  <c r="W175" i="2"/>
  <c r="W201" i="2"/>
  <c r="W8" i="2"/>
  <c r="W126" i="2"/>
  <c r="W164" i="2"/>
  <c r="W55" i="2"/>
  <c r="W14" i="2"/>
  <c r="W7" i="2"/>
  <c r="W44" i="2"/>
  <c r="X135" i="2"/>
  <c r="X35" i="2"/>
  <c r="X154" i="2"/>
  <c r="X100" i="2"/>
  <c r="X150" i="2"/>
  <c r="W169" i="2"/>
  <c r="W179" i="2"/>
  <c r="W21" i="2"/>
  <c r="W91" i="2"/>
  <c r="W108" i="2"/>
  <c r="X11" i="2"/>
  <c r="W93" i="2"/>
  <c r="W18" i="2"/>
  <c r="X218" i="2"/>
  <c r="W149" i="2"/>
  <c r="X160" i="2"/>
  <c r="W189" i="2"/>
  <c r="W177" i="2"/>
  <c r="W195" i="2"/>
  <c r="W200" i="2"/>
  <c r="W19" i="2"/>
  <c r="X117" i="2"/>
  <c r="X204" i="2"/>
  <c r="X134" i="2"/>
  <c r="W82" i="2"/>
  <c r="W87" i="2"/>
  <c r="X156" i="2"/>
  <c r="W219" i="2"/>
  <c r="W80" i="2"/>
  <c r="W39" i="2"/>
  <c r="W124" i="2"/>
  <c r="X116" i="2"/>
  <c r="W47" i="2"/>
  <c r="W29" i="2"/>
  <c r="W33" i="2"/>
  <c r="X228" i="2"/>
  <c r="X26" i="2"/>
  <c r="X23" i="2"/>
  <c r="W56" i="2"/>
  <c r="W89" i="2"/>
  <c r="X168" i="2"/>
  <c r="W99" i="2"/>
  <c r="W3" i="2"/>
  <c r="W28" i="2"/>
  <c r="W137" i="2"/>
  <c r="W151" i="2"/>
  <c r="W68" i="2"/>
  <c r="W136" i="2"/>
  <c r="DK282" i="3"/>
  <c r="DM282" i="3" s="1"/>
  <c r="DL282" i="3"/>
  <c r="DN282" i="3" s="1"/>
  <c r="DO282" i="3" s="1"/>
  <c r="W199" i="2"/>
  <c r="W20" i="2"/>
  <c r="W79" i="2"/>
  <c r="W24" i="2"/>
  <c r="W106" i="2"/>
  <c r="W76" i="2"/>
  <c r="X162" i="2"/>
  <c r="W153" i="2"/>
  <c r="W57" i="2"/>
  <c r="W5" i="2"/>
  <c r="W210" i="2"/>
  <c r="X123" i="2"/>
  <c r="W226" i="2"/>
  <c r="W70" i="2"/>
  <c r="W34" i="2"/>
  <c r="X121" i="2"/>
  <c r="W140" i="2"/>
  <c r="W74" i="2"/>
  <c r="X178" i="2"/>
  <c r="X131" i="2"/>
  <c r="W165" i="2"/>
  <c r="W223" i="2"/>
  <c r="W183" i="2"/>
  <c r="W46" i="2"/>
  <c r="X98" i="2"/>
  <c r="W36" i="2"/>
  <c r="W30" i="2"/>
  <c r="X86" i="2"/>
  <c r="W50" i="2"/>
  <c r="X152" i="2"/>
  <c r="X202" i="2"/>
  <c r="X101" i="2"/>
  <c r="X142" i="2"/>
  <c r="DK1137" i="3"/>
  <c r="DM1137" i="3" s="1"/>
  <c r="DL1137" i="3"/>
  <c r="DN1137" i="3" s="1"/>
  <c r="DO1137" i="3" s="1"/>
  <c r="DK2429" i="3"/>
  <c r="DK3664" i="3"/>
  <c r="DK3987" i="3"/>
  <c r="DM3987" i="3" s="1"/>
  <c r="DK2696" i="3"/>
  <c r="DL2696" i="3"/>
  <c r="DK2923" i="3"/>
  <c r="DL2923" i="3"/>
  <c r="DK947" i="3"/>
  <c r="DL947" i="3"/>
  <c r="DK985" i="3"/>
  <c r="DM985" i="3" s="1"/>
  <c r="DL985" i="3"/>
  <c r="DN985" i="3" s="1"/>
  <c r="DO985" i="3" s="1"/>
  <c r="DK2771" i="3"/>
  <c r="DL2771" i="3"/>
  <c r="DK777" i="3"/>
  <c r="DK2107" i="3"/>
  <c r="DL2107" i="3"/>
  <c r="DK3265" i="3"/>
  <c r="DK2505" i="3"/>
  <c r="DK1365" i="3"/>
  <c r="DM1365" i="3" s="1"/>
  <c r="DL1365" i="3"/>
  <c r="DN1365" i="3" s="1"/>
  <c r="DO1365" i="3" s="1"/>
  <c r="DK568" i="3"/>
  <c r="DK1252" i="3"/>
  <c r="DM1252" i="3" s="1"/>
  <c r="DL1252" i="3"/>
  <c r="DN1252" i="3" s="1"/>
  <c r="DO1252" i="3" s="1"/>
  <c r="DK3873" i="3"/>
  <c r="DM3873" i="3" s="1"/>
  <c r="DK4025" i="3"/>
  <c r="DM4025" i="3" s="1"/>
  <c r="DK263" i="3"/>
  <c r="DM263" i="3" s="1"/>
  <c r="DL263" i="3"/>
  <c r="DN263" i="3" s="1"/>
  <c r="DO263" i="3" s="1"/>
  <c r="DK2601" i="3"/>
  <c r="DL2601" i="3"/>
  <c r="DK1575" i="3"/>
  <c r="DL1575" i="3"/>
  <c r="DK3645" i="3"/>
  <c r="DK2220" i="3"/>
  <c r="DL2220" i="3"/>
  <c r="DK2620" i="3"/>
  <c r="DL2620" i="3"/>
  <c r="DK1727" i="3"/>
  <c r="DL1727" i="3"/>
  <c r="DK3151" i="3"/>
  <c r="DL3151" i="3"/>
  <c r="DK1099" i="3"/>
  <c r="DM1099" i="3" s="1"/>
  <c r="DL1099" i="3"/>
  <c r="DN1099" i="3" s="1"/>
  <c r="DO1099" i="3" s="1"/>
  <c r="DK2240" i="3"/>
  <c r="DL2240" i="3"/>
  <c r="DK1689" i="3"/>
  <c r="DL1689" i="3"/>
  <c r="DK1194" i="3"/>
  <c r="DM1194" i="3" s="1"/>
  <c r="DL1194" i="3"/>
  <c r="DN1194" i="3" s="1"/>
  <c r="DO1194" i="3" s="1"/>
  <c r="DK1917" i="3"/>
  <c r="DL1917" i="3"/>
  <c r="DK1441" i="3"/>
  <c r="DM1441" i="3" s="1"/>
  <c r="DK2753" i="3"/>
  <c r="DL2753" i="3"/>
  <c r="DK2068" i="3"/>
  <c r="DL2068" i="3"/>
  <c r="DK1290" i="3"/>
  <c r="DM1290" i="3" s="1"/>
  <c r="DL1290" i="3"/>
  <c r="DN1290" i="3" s="1"/>
  <c r="DO1290" i="3" s="1"/>
  <c r="DK3474" i="3"/>
  <c r="DK681" i="3"/>
  <c r="DL681" i="3"/>
  <c r="DK226" i="3"/>
  <c r="DM226" i="3" s="1"/>
  <c r="DL226" i="3"/>
  <c r="DN226" i="3" s="1"/>
  <c r="DO226" i="3" s="1"/>
  <c r="DK4044" i="3"/>
  <c r="DM4044" i="3" s="1"/>
  <c r="DK2790" i="3"/>
  <c r="DL2790" i="3"/>
  <c r="DK701" i="3"/>
  <c r="DL701" i="3"/>
  <c r="DK4159" i="3"/>
  <c r="DM4159" i="3" s="1"/>
  <c r="DK1213" i="3"/>
  <c r="DM1213" i="3" s="1"/>
  <c r="DL1213" i="3"/>
  <c r="DN1213" i="3" s="1"/>
  <c r="DO1213" i="3" s="1"/>
  <c r="DK2354" i="3"/>
  <c r="DL2354" i="3"/>
  <c r="DK2392" i="3"/>
  <c r="DK206" i="3"/>
  <c r="DM206" i="3" s="1"/>
  <c r="DL206" i="3"/>
  <c r="DN206" i="3" s="1"/>
  <c r="DO206" i="3" s="1"/>
  <c r="DK2050" i="3"/>
  <c r="DL2050" i="3"/>
  <c r="DK2734" i="3"/>
  <c r="DL2734" i="3"/>
  <c r="DK4236" i="3"/>
  <c r="DM4236" i="3" s="1"/>
  <c r="DK1460" i="3"/>
  <c r="DK966" i="3"/>
  <c r="DL966" i="3"/>
  <c r="DK3247" i="3"/>
  <c r="DK1232" i="3"/>
  <c r="DM1232" i="3" s="1"/>
  <c r="DL1232" i="3"/>
  <c r="DN1232" i="3" s="1"/>
  <c r="DO1232" i="3" s="1"/>
  <c r="DK2126" i="3"/>
  <c r="DL2126" i="3"/>
  <c r="DK587" i="3"/>
  <c r="DL587" i="3"/>
  <c r="DK3133" i="3"/>
  <c r="DL3133" i="3"/>
  <c r="DK4101" i="3"/>
  <c r="DM4101" i="3" s="1"/>
  <c r="DK2163" i="3"/>
  <c r="DL2163" i="3"/>
  <c r="DK92" i="3"/>
  <c r="DM92" i="3" s="1"/>
  <c r="DL92" i="3"/>
  <c r="DN92" i="3" s="1"/>
  <c r="DO92" i="3" s="1"/>
  <c r="DK1651" i="3"/>
  <c r="DL1651" i="3"/>
  <c r="DK1156" i="3"/>
  <c r="DM1156" i="3" s="1"/>
  <c r="DK2087" i="3"/>
  <c r="DL2087" i="3"/>
  <c r="DK3513" i="3"/>
  <c r="DK891" i="3"/>
  <c r="DL891" i="3"/>
  <c r="DK1175" i="3"/>
  <c r="DM1175" i="3" s="1"/>
  <c r="DK3703" i="3"/>
  <c r="DK2410" i="3"/>
  <c r="DK1080" i="3"/>
  <c r="DM1080" i="3" s="1"/>
  <c r="DL1080" i="3"/>
  <c r="DN1080" i="3" s="1"/>
  <c r="DO1080" i="3" s="1"/>
  <c r="DK4007" i="3"/>
  <c r="DM4007" i="3" s="1"/>
  <c r="DK4177" i="3"/>
  <c r="DM4177" i="3" s="1"/>
  <c r="DK54" i="3"/>
  <c r="DM54" i="3" s="1"/>
  <c r="DL54" i="3"/>
  <c r="DN54" i="3" s="1"/>
  <c r="DO54" i="3" s="1"/>
  <c r="DK3227" i="3"/>
  <c r="DK3911" i="3"/>
  <c r="DM3911" i="3" s="1"/>
  <c r="DK1765" i="3"/>
  <c r="DL1765" i="3"/>
  <c r="DK168" i="3"/>
  <c r="DM168" i="3" s="1"/>
  <c r="DK4198" i="3"/>
  <c r="DM4198" i="3" s="1"/>
  <c r="DK454" i="3"/>
  <c r="DM454" i="3" s="1"/>
  <c r="DL454" i="3"/>
  <c r="DN454" i="3" s="1"/>
  <c r="DO454" i="3" s="1"/>
  <c r="DK1004" i="3"/>
  <c r="DM1004" i="3" s="1"/>
  <c r="DL1004" i="3"/>
  <c r="DN1004" i="3" s="1"/>
  <c r="DO1004" i="3" s="1"/>
  <c r="DK2981" i="3"/>
  <c r="DL2981" i="3"/>
  <c r="DK491" i="3"/>
  <c r="DK2012" i="3"/>
  <c r="DL2012" i="3"/>
  <c r="DK3399" i="3"/>
  <c r="DK1936" i="3"/>
  <c r="DL1936" i="3"/>
  <c r="DK909" i="3"/>
  <c r="DL909" i="3"/>
  <c r="DK2715" i="3"/>
  <c r="DL2715" i="3"/>
  <c r="DK3740" i="3"/>
  <c r="DK2258" i="3"/>
  <c r="DL2258" i="3"/>
  <c r="DK2449" i="3"/>
  <c r="DK1803" i="3"/>
  <c r="DL1803" i="3"/>
  <c r="DK1517" i="3"/>
  <c r="DK149" i="3"/>
  <c r="DM149" i="3" s="1"/>
  <c r="DK3436" i="3"/>
  <c r="DK3493" i="3"/>
  <c r="DK2657" i="3"/>
  <c r="DL2657" i="3"/>
  <c r="DK3284" i="3"/>
  <c r="DK4082" i="3"/>
  <c r="DM4082" i="3" s="1"/>
  <c r="DK2296" i="3"/>
  <c r="DL2296" i="3"/>
  <c r="DK3892" i="3"/>
  <c r="DM3892" i="3" s="1"/>
  <c r="DK834" i="3"/>
  <c r="DK1783" i="3"/>
  <c r="DL1783" i="3"/>
  <c r="DK3531" i="3"/>
  <c r="DL3531" i="3"/>
  <c r="DK738" i="3"/>
  <c r="DL738" i="3"/>
  <c r="DK3551" i="3"/>
  <c r="DL3551" i="3"/>
  <c r="DK795" i="3"/>
  <c r="DK2486" i="3"/>
  <c r="DK4063" i="3"/>
  <c r="DM4063" i="3" s="1"/>
  <c r="DK3721" i="3"/>
  <c r="DK2999" i="3"/>
  <c r="DL2999" i="3"/>
  <c r="DK1593" i="3"/>
  <c r="DL1593" i="3"/>
  <c r="DK4291" i="3"/>
  <c r="DM4291" i="3" s="1"/>
  <c r="DK3835" i="3"/>
  <c r="DM3835" i="3" s="1"/>
  <c r="DK1973" i="3"/>
  <c r="DL1973" i="3"/>
  <c r="DK4254" i="3"/>
  <c r="DM4254" i="3" s="1"/>
  <c r="X143" i="2"/>
  <c r="W155" i="2"/>
  <c r="W51" i="2"/>
  <c r="W53" i="2"/>
  <c r="W147" i="2"/>
  <c r="X42" i="2"/>
  <c r="X112" i="2"/>
  <c r="W173" i="2"/>
  <c r="W133" i="2"/>
  <c r="W73" i="2"/>
  <c r="X31" i="2"/>
  <c r="X67" i="2"/>
  <c r="W205" i="2"/>
  <c r="W213" i="2"/>
  <c r="W15" i="2"/>
  <c r="X138" i="2"/>
  <c r="X84" i="2"/>
  <c r="W193" i="2"/>
  <c r="W118" i="2"/>
  <c r="X139" i="2"/>
  <c r="X92" i="2"/>
  <c r="W167" i="2"/>
  <c r="W59" i="2"/>
  <c r="X119" i="2"/>
  <c r="X90" i="2"/>
  <c r="W64" i="2"/>
  <c r="X102" i="2"/>
  <c r="W77" i="2"/>
  <c r="X146" i="2"/>
  <c r="W110" i="2"/>
  <c r="X69" i="2"/>
  <c r="W184" i="2"/>
  <c r="W37" i="2"/>
  <c r="X13" i="2"/>
  <c r="W214" i="2"/>
  <c r="W148" i="2"/>
  <c r="X38" i="2"/>
  <c r="X220" i="2"/>
  <c r="W65" i="2"/>
  <c r="X125" i="2"/>
  <c r="X127" i="2"/>
  <c r="W12" i="2"/>
  <c r="X109" i="2"/>
  <c r="X145" i="2"/>
  <c r="Y224" i="2"/>
  <c r="W78" i="2"/>
  <c r="W52" i="2"/>
  <c r="X172" i="2"/>
  <c r="W66" i="2"/>
  <c r="X113" i="2"/>
  <c r="X32" i="2"/>
  <c r="X166" i="2"/>
  <c r="W217" i="2"/>
  <c r="W115" i="2"/>
  <c r="W6" i="2"/>
  <c r="X88" i="2"/>
  <c r="W62" i="2"/>
  <c r="W111" i="2"/>
  <c r="X186" i="2"/>
  <c r="X48" i="2"/>
  <c r="W63" i="2"/>
  <c r="X196" i="2"/>
  <c r="W128" i="2"/>
  <c r="W58" i="2"/>
  <c r="X212" i="2"/>
  <c r="W221" i="2"/>
  <c r="W4" i="2"/>
  <c r="W171" i="2"/>
  <c r="W207" i="2"/>
  <c r="X94" i="2"/>
  <c r="W10" i="2"/>
  <c r="Y222" i="2"/>
  <c r="X25" i="2"/>
  <c r="W54" i="2"/>
  <c r="X158" i="2"/>
  <c r="W27" i="2"/>
  <c r="X107" i="2"/>
  <c r="X180" i="2"/>
  <c r="X103" i="2"/>
  <c r="W49" i="2"/>
  <c r="X144" i="2"/>
  <c r="W198" i="2"/>
  <c r="W120" i="2"/>
  <c r="X130" i="2"/>
  <c r="X96" i="2"/>
  <c r="W81" i="2"/>
  <c r="W9" i="2"/>
  <c r="W182" i="2"/>
  <c r="W185" i="2"/>
  <c r="W141" i="2"/>
  <c r="W174" i="2"/>
  <c r="W216" i="2"/>
  <c r="W122" i="2"/>
  <c r="W206" i="2"/>
  <c r="X45" i="2"/>
  <c r="W95" i="2"/>
  <c r="W187" i="2"/>
  <c r="W40" i="2"/>
  <c r="X188" i="2"/>
  <c r="W43" i="2"/>
  <c r="W132" i="2"/>
  <c r="W215" i="2"/>
  <c r="W197" i="2"/>
  <c r="W159" i="2"/>
  <c r="W85" i="2"/>
  <c r="W227" i="2"/>
  <c r="W203" i="2"/>
  <c r="W105" i="2"/>
  <c r="X225" i="2"/>
  <c r="DN14" i="3" l="1"/>
  <c r="DO14" i="3" s="1"/>
  <c r="DL15" i="3"/>
  <c r="DL4291" i="3"/>
  <c r="DN4291" i="3" s="1"/>
  <c r="DO4291" i="3" s="1"/>
  <c r="DL4063" i="3"/>
  <c r="DN4063" i="3" s="1"/>
  <c r="DO4063" i="3" s="1"/>
  <c r="DN795" i="3"/>
  <c r="DO795" i="3" s="1"/>
  <c r="DL795" i="3"/>
  <c r="DL3892" i="3"/>
  <c r="DN3892" i="3" s="1"/>
  <c r="DO3892" i="3" s="1"/>
  <c r="DL4082" i="3"/>
  <c r="DN4082" i="3" s="1"/>
  <c r="DO4082" i="3" s="1"/>
  <c r="DN3436" i="3"/>
  <c r="DO3436" i="3" s="1"/>
  <c r="DL3436" i="3"/>
  <c r="DN1517" i="3"/>
  <c r="DO1517" i="3" s="1"/>
  <c r="DL1517" i="3"/>
  <c r="DN2449" i="3"/>
  <c r="DO2449" i="3" s="1"/>
  <c r="DL2449" i="3"/>
  <c r="DN3740" i="3"/>
  <c r="DO3740" i="3" s="1"/>
  <c r="DL3740" i="3"/>
  <c r="DN3399" i="3"/>
  <c r="DO3399" i="3" s="1"/>
  <c r="DL3399" i="3"/>
  <c r="DN491" i="3"/>
  <c r="DO491" i="3" s="1"/>
  <c r="DL491" i="3"/>
  <c r="DL4198" i="3"/>
  <c r="DN4198" i="3" s="1"/>
  <c r="DO4198" i="3" s="1"/>
  <c r="DN3227" i="3"/>
  <c r="DO3227" i="3" s="1"/>
  <c r="DL3227" i="3"/>
  <c r="DL4177" i="3"/>
  <c r="DN4177" i="3" s="1"/>
  <c r="DO4177" i="3" s="1"/>
  <c r="DN3703" i="3"/>
  <c r="DO3703" i="3" s="1"/>
  <c r="DL3703" i="3"/>
  <c r="DN3247" i="3"/>
  <c r="DO3247" i="3" s="1"/>
  <c r="DL3247" i="3"/>
  <c r="DN1460" i="3"/>
  <c r="DO1460" i="3" s="1"/>
  <c r="DL1460" i="3"/>
  <c r="DL4159" i="3"/>
  <c r="DN4159" i="3" s="1"/>
  <c r="DO4159" i="3" s="1"/>
  <c r="DN3474" i="3"/>
  <c r="DO3474" i="3" s="1"/>
  <c r="DL3474" i="3"/>
  <c r="DL1441" i="3"/>
  <c r="DN1441" i="3" s="1"/>
  <c r="DO1441" i="3" s="1"/>
  <c r="DN3645" i="3"/>
  <c r="DO3645" i="3" s="1"/>
  <c r="DL3645" i="3"/>
  <c r="DL4025" i="3"/>
  <c r="DN4025" i="3" s="1"/>
  <c r="DO4025" i="3" s="1"/>
  <c r="DN3265" i="3"/>
  <c r="DO3265" i="3" s="1"/>
  <c r="DL3265" i="3"/>
  <c r="DL3987" i="3"/>
  <c r="DN3987" i="3" s="1"/>
  <c r="DO3987" i="3" s="1"/>
  <c r="DN2429" i="3"/>
  <c r="DO2429" i="3" s="1"/>
  <c r="DL2429" i="3"/>
  <c r="DN548" i="3"/>
  <c r="DO548" i="3" s="1"/>
  <c r="DL548" i="3"/>
  <c r="DN3455" i="3"/>
  <c r="DO3455" i="3" s="1"/>
  <c r="DL3455" i="3"/>
  <c r="DN3361" i="3"/>
  <c r="DO3361" i="3" s="1"/>
  <c r="DL3361" i="3"/>
  <c r="DL4272" i="3"/>
  <c r="DN4272" i="3" s="1"/>
  <c r="DO4272" i="3" s="1"/>
  <c r="DL3968" i="3"/>
  <c r="DN3968" i="3" s="1"/>
  <c r="DO3968" i="3" s="1"/>
  <c r="DN1479" i="3"/>
  <c r="DO1479" i="3" s="1"/>
  <c r="DL1479" i="3"/>
  <c r="DN3759" i="3"/>
  <c r="DO3759" i="3" s="1"/>
  <c r="DL3759" i="3"/>
  <c r="DN757" i="3"/>
  <c r="DO757" i="3" s="1"/>
  <c r="DL757" i="3"/>
  <c r="DN777" i="3"/>
  <c r="DO777" i="3" s="1"/>
  <c r="DL777" i="3"/>
  <c r="DN624" i="3"/>
  <c r="DO624" i="3" s="1"/>
  <c r="DL624" i="3"/>
  <c r="DN605" i="3"/>
  <c r="DO605" i="3" s="1"/>
  <c r="DL605" i="3"/>
  <c r="DN1498" i="3"/>
  <c r="DO1498" i="3" s="1"/>
  <c r="DL1498" i="3"/>
  <c r="DN1536" i="3"/>
  <c r="DO1536" i="3" s="1"/>
  <c r="DL1536" i="3"/>
  <c r="DL3855" i="3"/>
  <c r="DN3855" i="3" s="1"/>
  <c r="DO3855" i="3" s="1"/>
  <c r="DL339" i="3"/>
  <c r="DN339" i="3" s="1"/>
  <c r="DO339" i="3" s="1"/>
  <c r="DN3683" i="3"/>
  <c r="DO3683" i="3" s="1"/>
  <c r="DL3683" i="3"/>
  <c r="DL320" i="3"/>
  <c r="DN320" i="3" s="1"/>
  <c r="DO320" i="3" s="1"/>
  <c r="DL188" i="3"/>
  <c r="DN188" i="3" s="1"/>
  <c r="DO188" i="3" s="1"/>
  <c r="DN3379" i="3"/>
  <c r="DO3379" i="3" s="1"/>
  <c r="DL3379" i="3"/>
  <c r="DN2544" i="3"/>
  <c r="DO2544" i="3" s="1"/>
  <c r="DL2544" i="3"/>
  <c r="DL111" i="3"/>
  <c r="DN111" i="3" s="1"/>
  <c r="DO111" i="3" s="1"/>
  <c r="DL3797" i="3"/>
  <c r="DN3797" i="3" s="1"/>
  <c r="DO3797" i="3" s="1"/>
  <c r="DN1555" i="3"/>
  <c r="DO1555" i="3" s="1"/>
  <c r="DL1555" i="3"/>
  <c r="DL1403" i="3"/>
  <c r="DN1403" i="3" s="1"/>
  <c r="DO1403" i="3" s="1"/>
  <c r="DL3949" i="3"/>
  <c r="DN3949" i="3" s="1"/>
  <c r="DO3949" i="3" s="1"/>
  <c r="DN3417" i="3"/>
  <c r="DO3417" i="3" s="1"/>
  <c r="DL3417" i="3"/>
  <c r="DN2486" i="3"/>
  <c r="DO2486" i="3" s="1"/>
  <c r="DL2486" i="3"/>
  <c r="DN834" i="3"/>
  <c r="DO834" i="3" s="1"/>
  <c r="DL834" i="3"/>
  <c r="DL168" i="3"/>
  <c r="DN168" i="3" s="1"/>
  <c r="DO168" i="3" s="1"/>
  <c r="DL3911" i="3"/>
  <c r="DN3911" i="3" s="1"/>
  <c r="DO3911" i="3" s="1"/>
  <c r="DN2410" i="3"/>
  <c r="DO2410" i="3" s="1"/>
  <c r="DL2410" i="3"/>
  <c r="DL4101" i="3"/>
  <c r="DN4101" i="3" s="1"/>
  <c r="DO4101" i="3" s="1"/>
  <c r="DN2392" i="3"/>
  <c r="DO2392" i="3" s="1"/>
  <c r="DL2392" i="3"/>
  <c r="DL4044" i="3"/>
  <c r="DN4044" i="3" s="1"/>
  <c r="DO4044" i="3" s="1"/>
  <c r="DL3873" i="3"/>
  <c r="DN3873" i="3" s="1"/>
  <c r="DO3873" i="3" s="1"/>
  <c r="DN568" i="3"/>
  <c r="DO568" i="3" s="1"/>
  <c r="DL568" i="3"/>
  <c r="DN2505" i="3"/>
  <c r="DO2505" i="3" s="1"/>
  <c r="DL2505" i="3"/>
  <c r="DN3664" i="3"/>
  <c r="DO3664" i="3" s="1"/>
  <c r="DL3664" i="3"/>
  <c r="DL4215" i="3"/>
  <c r="DN4215" i="3" s="1"/>
  <c r="DO4215" i="3" s="1"/>
  <c r="DN2468" i="3"/>
  <c r="DO2468" i="3" s="1"/>
  <c r="DL2468" i="3"/>
  <c r="DL1384" i="3"/>
  <c r="DN1384" i="3" s="1"/>
  <c r="DO1384" i="3" s="1"/>
  <c r="DN1422" i="3"/>
  <c r="DO1422" i="3" s="1"/>
  <c r="DL1422" i="3"/>
  <c r="DL358" i="3"/>
  <c r="DN358" i="3" s="1"/>
  <c r="DO358" i="3" s="1"/>
  <c r="DL4254" i="3"/>
  <c r="DN4254" i="3" s="1"/>
  <c r="DO4254" i="3" s="1"/>
  <c r="DL3835" i="3"/>
  <c r="DN3835" i="3" s="1"/>
  <c r="DO3835" i="3" s="1"/>
  <c r="DN3721" i="3"/>
  <c r="DO3721" i="3" s="1"/>
  <c r="DL3721" i="3"/>
  <c r="DN3284" i="3"/>
  <c r="DO3284" i="3" s="1"/>
  <c r="DL3284" i="3"/>
  <c r="DN3493" i="3"/>
  <c r="DO3493" i="3" s="1"/>
  <c r="DL3493" i="3"/>
  <c r="DL149" i="3"/>
  <c r="DN149" i="3" s="1"/>
  <c r="DO149" i="3" s="1"/>
  <c r="DL4007" i="3"/>
  <c r="DN4007" i="3" s="1"/>
  <c r="DO4007" i="3" s="1"/>
  <c r="DL1175" i="3"/>
  <c r="DN1175" i="3" s="1"/>
  <c r="DO1175" i="3" s="1"/>
  <c r="DN3513" i="3"/>
  <c r="DO3513" i="3" s="1"/>
  <c r="DL3513" i="3"/>
  <c r="DL4236" i="3"/>
  <c r="DN4236" i="3" s="1"/>
  <c r="DO4236" i="3" s="1"/>
  <c r="DL1156" i="3"/>
  <c r="DN1156" i="3" s="1"/>
  <c r="DO1156" i="3" s="1"/>
  <c r="DN2562" i="3"/>
  <c r="DO2562" i="3" s="1"/>
  <c r="DL2562" i="3"/>
  <c r="DL4311" i="3"/>
  <c r="DN4311" i="3" s="1"/>
  <c r="DO4311" i="3" s="1"/>
  <c r="DN529" i="3"/>
  <c r="DO529" i="3" s="1"/>
  <c r="DL529" i="3"/>
  <c r="DL4139" i="3"/>
  <c r="DN4139" i="3" s="1"/>
  <c r="DO4139" i="3" s="1"/>
  <c r="DN2525" i="3"/>
  <c r="DO2525" i="3" s="1"/>
  <c r="DL2525" i="3"/>
  <c r="DL3778" i="3"/>
  <c r="DN3778" i="3" s="1"/>
  <c r="DO3778" i="3" s="1"/>
  <c r="DN3341" i="3"/>
  <c r="DO3341" i="3" s="1"/>
  <c r="DL3341" i="3"/>
  <c r="DL4121" i="3"/>
  <c r="DN4121" i="3" s="1"/>
  <c r="DO4121" i="3" s="1"/>
  <c r="DN3189" i="3"/>
  <c r="DO3189" i="3" s="1"/>
  <c r="DL3189" i="3"/>
  <c r="DN644" i="3"/>
  <c r="DO644" i="3" s="1"/>
  <c r="DL644" i="3"/>
  <c r="DN814" i="3"/>
  <c r="DO814" i="3" s="1"/>
  <c r="DL814" i="3"/>
  <c r="DL130" i="3"/>
  <c r="DN130" i="3" s="1"/>
  <c r="DO130" i="3" s="1"/>
  <c r="DN3303" i="3"/>
  <c r="DO3303" i="3" s="1"/>
  <c r="DL3303" i="3"/>
  <c r="DN3323" i="3"/>
  <c r="DO3323" i="3" s="1"/>
  <c r="DL3323" i="3"/>
  <c r="DN3209" i="3"/>
  <c r="DO3209" i="3" s="1"/>
  <c r="DL3209" i="3"/>
  <c r="DL3930" i="3"/>
  <c r="DN3930" i="3" s="1"/>
  <c r="DO3930" i="3" s="1"/>
  <c r="DL3817" i="3"/>
  <c r="DN3817" i="3" s="1"/>
  <c r="DO3817" i="3" s="1"/>
  <c r="DK16" i="3"/>
  <c r="DM16" i="3" s="1"/>
  <c r="DK3589" i="3"/>
  <c r="DL3589" i="3"/>
  <c r="W2" i="2"/>
  <c r="X190" i="2"/>
  <c r="DK3627" i="3"/>
  <c r="DL3627" i="3"/>
  <c r="X192" i="2"/>
  <c r="X203" i="2"/>
  <c r="X187" i="2"/>
  <c r="X185" i="2"/>
  <c r="Y144" i="2"/>
  <c r="Y158" i="2"/>
  <c r="Y212" i="2"/>
  <c r="X62" i="2"/>
  <c r="DK4219" i="3"/>
  <c r="DM4219" i="3" s="1"/>
  <c r="Y38" i="2"/>
  <c r="Y146" i="2"/>
  <c r="Y92" i="2"/>
  <c r="Y112" i="2"/>
  <c r="DK4255" i="3"/>
  <c r="DM4255" i="3" s="1"/>
  <c r="DK3836" i="3"/>
  <c r="DM3836" i="3" s="1"/>
  <c r="DK1594" i="3"/>
  <c r="DL1594" i="3"/>
  <c r="DK3722" i="3"/>
  <c r="DK2487" i="3"/>
  <c r="DK3552" i="3"/>
  <c r="DL3552" i="3"/>
  <c r="DK3532" i="3"/>
  <c r="DL3532" i="3"/>
  <c r="DK835" i="3"/>
  <c r="DK2297" i="3"/>
  <c r="DL2297" i="3"/>
  <c r="DK3285" i="3"/>
  <c r="DK3494" i="3"/>
  <c r="DK150" i="3"/>
  <c r="DM150" i="3" s="1"/>
  <c r="DL150" i="3"/>
  <c r="DN150" i="3" s="1"/>
  <c r="DO150" i="3" s="1"/>
  <c r="DK1804" i="3"/>
  <c r="DL1804" i="3"/>
  <c r="DK2259" i="3"/>
  <c r="DL2259" i="3"/>
  <c r="DK2716" i="3"/>
  <c r="DL2716" i="3"/>
  <c r="DK1937" i="3"/>
  <c r="DL1937" i="3"/>
  <c r="DK2013" i="3"/>
  <c r="DL2013" i="3"/>
  <c r="DK2982" i="3"/>
  <c r="DL2982" i="3"/>
  <c r="DK455" i="3"/>
  <c r="DM455" i="3" s="1"/>
  <c r="DL455" i="3"/>
  <c r="DN455" i="3" s="1"/>
  <c r="DO455" i="3" s="1"/>
  <c r="DK169" i="3"/>
  <c r="DM169" i="3" s="1"/>
  <c r="DK3912" i="3"/>
  <c r="DM3912" i="3" s="1"/>
  <c r="DK55" i="3"/>
  <c r="DM55" i="3" s="1"/>
  <c r="DL55" i="3"/>
  <c r="DN55" i="3" s="1"/>
  <c r="DO55" i="3" s="1"/>
  <c r="DK4008" i="3"/>
  <c r="DM4008" i="3" s="1"/>
  <c r="DK2411" i="3"/>
  <c r="DK1176" i="3"/>
  <c r="DM1176" i="3" s="1"/>
  <c r="DK3514" i="3"/>
  <c r="DK1157" i="3"/>
  <c r="DM1157" i="3" s="1"/>
  <c r="DK93" i="3"/>
  <c r="DM93" i="3" s="1"/>
  <c r="DL93" i="3"/>
  <c r="DN93" i="3" s="1"/>
  <c r="DO93" i="3" s="1"/>
  <c r="DK4102" i="3"/>
  <c r="DM4102" i="3" s="1"/>
  <c r="DK588" i="3"/>
  <c r="DK1233" i="3"/>
  <c r="DM1233" i="3" s="1"/>
  <c r="DL1233" i="3"/>
  <c r="DN1233" i="3" s="1"/>
  <c r="DO1233" i="3" s="1"/>
  <c r="DK967" i="3"/>
  <c r="DL967" i="3"/>
  <c r="DK4237" i="3"/>
  <c r="DM4237" i="3" s="1"/>
  <c r="DK2051" i="3"/>
  <c r="DL2051" i="3"/>
  <c r="DK2393" i="3"/>
  <c r="DK1214" i="3"/>
  <c r="DM1214" i="3" s="1"/>
  <c r="DL1214" i="3"/>
  <c r="DN1214" i="3" s="1"/>
  <c r="DO1214" i="3" s="1"/>
  <c r="DK702" i="3"/>
  <c r="DL702" i="3"/>
  <c r="DK4045" i="3"/>
  <c r="DM4045" i="3" s="1"/>
  <c r="DK682" i="3"/>
  <c r="DL682" i="3"/>
  <c r="DK1291" i="3"/>
  <c r="DM1291" i="3" s="1"/>
  <c r="DL1291" i="3"/>
  <c r="DN1291" i="3" s="1"/>
  <c r="DO1291" i="3" s="1"/>
  <c r="DK2754" i="3"/>
  <c r="DL2754" i="3"/>
  <c r="DK1918" i="3"/>
  <c r="DL1918" i="3"/>
  <c r="DK1690" i="3"/>
  <c r="DL1690" i="3"/>
  <c r="DK1100" i="3"/>
  <c r="DM1100" i="3" s="1"/>
  <c r="DL1100" i="3"/>
  <c r="DN1100" i="3" s="1"/>
  <c r="DO1100" i="3" s="1"/>
  <c r="DK1728" i="3"/>
  <c r="DL1728" i="3"/>
  <c r="DK2221" i="3"/>
  <c r="DL2221" i="3"/>
  <c r="DK1576" i="3"/>
  <c r="DL1576" i="3"/>
  <c r="DK264" i="3"/>
  <c r="DM264" i="3" s="1"/>
  <c r="DL264" i="3"/>
  <c r="DN264" i="3" s="1"/>
  <c r="DO264" i="3" s="1"/>
  <c r="DK3874" i="3"/>
  <c r="DM3874" i="3" s="1"/>
  <c r="DK569" i="3"/>
  <c r="DK2506" i="3"/>
  <c r="DK2108" i="3"/>
  <c r="DL2108" i="3"/>
  <c r="DK2772" i="3"/>
  <c r="DL2772" i="3"/>
  <c r="DK948" i="3"/>
  <c r="DL948" i="3"/>
  <c r="DK2697" i="3"/>
  <c r="DL2697" i="3"/>
  <c r="DK2678" i="3"/>
  <c r="DL2678" i="3"/>
  <c r="DK3818" i="3"/>
  <c r="DM3818" i="3" s="1"/>
  <c r="DK929" i="3"/>
  <c r="DL929" i="3"/>
  <c r="DK549" i="3"/>
  <c r="DK1842" i="3"/>
  <c r="DL1842" i="3"/>
  <c r="DK3456" i="3"/>
  <c r="DK3114" i="3"/>
  <c r="DL3114" i="3"/>
  <c r="DK1385" i="3"/>
  <c r="DM1385" i="3" s="1"/>
  <c r="DK2279" i="3"/>
  <c r="DL2279" i="3"/>
  <c r="DL1309" i="3"/>
  <c r="DN1309" i="3" s="1"/>
  <c r="DO1309" i="3" s="1"/>
  <c r="DK1309" i="3"/>
  <c r="DM1309" i="3" s="1"/>
  <c r="DK2317" i="3"/>
  <c r="DL2317" i="3"/>
  <c r="DK74" i="3"/>
  <c r="DM74" i="3" s="1"/>
  <c r="DL74" i="3"/>
  <c r="DN74" i="3" s="1"/>
  <c r="DO74" i="3" s="1"/>
  <c r="DK2886" i="3"/>
  <c r="DL2886" i="3"/>
  <c r="DK1423" i="3"/>
  <c r="DM1423" i="3" s="1"/>
  <c r="DK435" i="3"/>
  <c r="DM435" i="3" s="1"/>
  <c r="DL435" i="3"/>
  <c r="DN435" i="3" s="1"/>
  <c r="DO435" i="3" s="1"/>
  <c r="DK359" i="3"/>
  <c r="DM359" i="3" s="1"/>
  <c r="DK1271" i="3"/>
  <c r="DM1271" i="3" s="1"/>
  <c r="DL1271" i="3"/>
  <c r="DN1271" i="3" s="1"/>
  <c r="DO1271" i="3" s="1"/>
  <c r="DK2582" i="3"/>
  <c r="DL2582" i="3"/>
  <c r="DK36" i="3"/>
  <c r="DM36" i="3" s="1"/>
  <c r="DK3172" i="3"/>
  <c r="DL3172" i="3"/>
  <c r="DK1043" i="3"/>
  <c r="DM1043" i="3" s="1"/>
  <c r="DL1043" i="3"/>
  <c r="DN1043" i="3" s="1"/>
  <c r="DO1043" i="3" s="1"/>
  <c r="DK474" i="3"/>
  <c r="DL474" i="3"/>
  <c r="DK606" i="3"/>
  <c r="DL606" i="3"/>
  <c r="DK872" i="3"/>
  <c r="DL872" i="3"/>
  <c r="DK2335" i="3"/>
  <c r="DL2335" i="3"/>
  <c r="DK1499" i="3"/>
  <c r="DK2944" i="3"/>
  <c r="DL2944" i="3"/>
  <c r="DK1537" i="3"/>
  <c r="DK3856" i="3"/>
  <c r="DM3856" i="3" s="1"/>
  <c r="DK340" i="3"/>
  <c r="DM340" i="3" s="1"/>
  <c r="DK3684" i="3"/>
  <c r="DK3570" i="3"/>
  <c r="DL3570" i="3"/>
  <c r="DK2810" i="3"/>
  <c r="DL2810" i="3"/>
  <c r="DK321" i="3"/>
  <c r="DM321" i="3" s="1"/>
  <c r="DK189" i="3"/>
  <c r="DM189" i="3" s="1"/>
  <c r="DK1708" i="3"/>
  <c r="DL1708" i="3"/>
  <c r="DK3380" i="3"/>
  <c r="DK1880" i="3"/>
  <c r="DL1880" i="3"/>
  <c r="DK645" i="3"/>
  <c r="DK815" i="3"/>
  <c r="DK245" i="3"/>
  <c r="DM245" i="3" s="1"/>
  <c r="DL245" i="3"/>
  <c r="DN245" i="3" s="1"/>
  <c r="DO245" i="3" s="1"/>
  <c r="DK3095" i="3"/>
  <c r="DL3095" i="3"/>
  <c r="DK131" i="3"/>
  <c r="DM131" i="3" s="1"/>
  <c r="DK3304" i="3"/>
  <c r="DK3324" i="3"/>
  <c r="DK3210" i="3"/>
  <c r="DK3076" i="3"/>
  <c r="DL3076" i="3"/>
  <c r="DK1347" i="3"/>
  <c r="DM1347" i="3" s="1"/>
  <c r="DL1347" i="3"/>
  <c r="DN1347" i="3" s="1"/>
  <c r="DO1347" i="3" s="1"/>
  <c r="DK397" i="3"/>
  <c r="DM397" i="3" s="1"/>
  <c r="DL397" i="3"/>
  <c r="DN397" i="3" s="1"/>
  <c r="DO397" i="3" s="1"/>
  <c r="DK3931" i="3"/>
  <c r="DM3931" i="3" s="1"/>
  <c r="DK1329" i="3"/>
  <c r="DM1329" i="3" s="1"/>
  <c r="DL1329" i="3"/>
  <c r="DN1329" i="3" s="1"/>
  <c r="DO1329" i="3" s="1"/>
  <c r="DK1120" i="3"/>
  <c r="DM1120" i="3" s="1"/>
  <c r="DL1120" i="3"/>
  <c r="DN1120" i="3" s="1"/>
  <c r="DO1120" i="3" s="1"/>
  <c r="DK3988" i="3"/>
  <c r="DM3988" i="3" s="1"/>
  <c r="DK2430" i="3"/>
  <c r="DK302" i="3"/>
  <c r="DM302" i="3" s="1"/>
  <c r="DL302" i="3"/>
  <c r="DN302" i="3" s="1"/>
  <c r="DO302" i="3" s="1"/>
  <c r="X197" i="2"/>
  <c r="X122" i="2"/>
  <c r="X120" i="2"/>
  <c r="Y25" i="2"/>
  <c r="X128" i="2"/>
  <c r="X217" i="2"/>
  <c r="Y109" i="2"/>
  <c r="X214" i="2"/>
  <c r="Y102" i="2"/>
  <c r="Y84" i="2"/>
  <c r="Y31" i="2"/>
  <c r="X147" i="2"/>
  <c r="Y142" i="2"/>
  <c r="Y202" i="2"/>
  <c r="X50" i="2"/>
  <c r="X30" i="2"/>
  <c r="Y98" i="2"/>
  <c r="X183" i="2"/>
  <c r="X165" i="2"/>
  <c r="X74" i="2"/>
  <c r="Y121" i="2"/>
  <c r="X70" i="2"/>
  <c r="Y123" i="2"/>
  <c r="X5" i="2"/>
  <c r="X153" i="2"/>
  <c r="X76" i="2"/>
  <c r="X24" i="2"/>
  <c r="X20" i="2"/>
  <c r="X68" i="2"/>
  <c r="X137" i="2"/>
  <c r="X3" i="2"/>
  <c r="Y168" i="2"/>
  <c r="X56" i="2"/>
  <c r="Y26" i="2"/>
  <c r="X33" i="2"/>
  <c r="X47" i="2"/>
  <c r="X124" i="2"/>
  <c r="X80" i="2"/>
  <c r="Y156" i="2"/>
  <c r="X82" i="2"/>
  <c r="Y204" i="2"/>
  <c r="X19" i="2"/>
  <c r="X195" i="2"/>
  <c r="X189" i="2"/>
  <c r="X149" i="2"/>
  <c r="X18" i="2"/>
  <c r="Y11" i="2"/>
  <c r="X91" i="2"/>
  <c r="X179" i="2"/>
  <c r="Y100" i="2"/>
  <c r="Y35" i="2"/>
  <c r="X44" i="2"/>
  <c r="X14" i="2"/>
  <c r="X164" i="2"/>
  <c r="X8" i="2"/>
  <c r="X175" i="2"/>
  <c r="Y176" i="2"/>
  <c r="Y170" i="2"/>
  <c r="X163" i="2"/>
  <c r="X72" i="2"/>
  <c r="X22" i="2"/>
  <c r="X208" i="2"/>
  <c r="Y71" i="2"/>
  <c r="Y60" i="2"/>
  <c r="X211" i="2"/>
  <c r="X129" i="2"/>
  <c r="X17" i="2"/>
  <c r="Y225" i="2"/>
  <c r="X132" i="2"/>
  <c r="Y45" i="2"/>
  <c r="X9" i="2"/>
  <c r="Y107" i="2"/>
  <c r="X207" i="2"/>
  <c r="X63" i="2"/>
  <c r="X6" i="2"/>
  <c r="X52" i="2"/>
  <c r="X65" i="2"/>
  <c r="Y69" i="2"/>
  <c r="X59" i="2"/>
  <c r="X205" i="2"/>
  <c r="Y143" i="2"/>
  <c r="DK4292" i="3"/>
  <c r="DM4292" i="3" s="1"/>
  <c r="DK796" i="3"/>
  <c r="DK3893" i="3"/>
  <c r="DM3893" i="3" s="1"/>
  <c r="DK3437" i="3"/>
  <c r="DK2450" i="3"/>
  <c r="DK3400" i="3"/>
  <c r="DK4199" i="3"/>
  <c r="DM4199" i="3" s="1"/>
  <c r="DK3228" i="3"/>
  <c r="DK1081" i="3"/>
  <c r="DM1081" i="3" s="1"/>
  <c r="DL1081" i="3"/>
  <c r="DN1081" i="3" s="1"/>
  <c r="DO1081" i="3" s="1"/>
  <c r="DK3704" i="3"/>
  <c r="DK892" i="3"/>
  <c r="DL892" i="3"/>
  <c r="DK1652" i="3"/>
  <c r="DL1652" i="3"/>
  <c r="DK2164" i="3"/>
  <c r="DL2164" i="3"/>
  <c r="DK3134" i="3"/>
  <c r="DL3134" i="3"/>
  <c r="DK2127" i="3"/>
  <c r="DL2127" i="3"/>
  <c r="DK3248" i="3"/>
  <c r="DK1461" i="3"/>
  <c r="DK2735" i="3"/>
  <c r="DL2735" i="3"/>
  <c r="DK207" i="3"/>
  <c r="DM207" i="3" s="1"/>
  <c r="DK2355" i="3"/>
  <c r="DL2355" i="3"/>
  <c r="DK4160" i="3"/>
  <c r="DM4160" i="3" s="1"/>
  <c r="DK2791" i="3"/>
  <c r="DL2791" i="3"/>
  <c r="DK227" i="3"/>
  <c r="DM227" i="3" s="1"/>
  <c r="DL227" i="3"/>
  <c r="DN227" i="3" s="1"/>
  <c r="DO227" i="3" s="1"/>
  <c r="DK3475" i="3"/>
  <c r="DK2069" i="3"/>
  <c r="DL2069" i="3"/>
  <c r="DK1442" i="3"/>
  <c r="DM1442" i="3" s="1"/>
  <c r="DK1195" i="3"/>
  <c r="DM1195" i="3" s="1"/>
  <c r="DL1195" i="3"/>
  <c r="DN1195" i="3" s="1"/>
  <c r="DO1195" i="3" s="1"/>
  <c r="DK2241" i="3"/>
  <c r="DL2241" i="3"/>
  <c r="DK3152" i="3"/>
  <c r="DL3152" i="3"/>
  <c r="DK2621" i="3"/>
  <c r="DL2621" i="3"/>
  <c r="DK3646" i="3"/>
  <c r="DK2602" i="3"/>
  <c r="DL2602" i="3"/>
  <c r="DK4026" i="3"/>
  <c r="DM4026" i="3" s="1"/>
  <c r="DK1253" i="3"/>
  <c r="DM1253" i="3" s="1"/>
  <c r="DL1253" i="3"/>
  <c r="DN1253" i="3" s="1"/>
  <c r="DO1253" i="3" s="1"/>
  <c r="DK1366" i="3"/>
  <c r="DM1366" i="3" s="1"/>
  <c r="DL1366" i="3"/>
  <c r="DN1366" i="3" s="1"/>
  <c r="DO1366" i="3" s="1"/>
  <c r="DK3266" i="3"/>
  <c r="DK778" i="3"/>
  <c r="DK986" i="3"/>
  <c r="DM986" i="3" s="1"/>
  <c r="DL986" i="3"/>
  <c r="DN986" i="3" s="1"/>
  <c r="DO986" i="3" s="1"/>
  <c r="DK2924" i="3"/>
  <c r="DL2924" i="3"/>
  <c r="DK1899" i="3"/>
  <c r="DL1899" i="3"/>
  <c r="DK2868" i="3"/>
  <c r="DL2868" i="3"/>
  <c r="DK1614" i="3"/>
  <c r="DL1614" i="3"/>
  <c r="DK663" i="3"/>
  <c r="DL663" i="3"/>
  <c r="DK853" i="3"/>
  <c r="DL853" i="3"/>
  <c r="DK4216" i="3"/>
  <c r="DM4216" i="3" s="1"/>
  <c r="DK2469" i="3"/>
  <c r="DK3362" i="3"/>
  <c r="DK2639" i="3"/>
  <c r="DL2639" i="3"/>
  <c r="DK625" i="3"/>
  <c r="DK4273" i="3"/>
  <c r="DM4273" i="3" s="1"/>
  <c r="DK3969" i="3"/>
  <c r="DM3969" i="3" s="1"/>
  <c r="DK1062" i="3"/>
  <c r="DM1062" i="3" s="1"/>
  <c r="DL1062" i="3"/>
  <c r="DN1062" i="3" s="1"/>
  <c r="DO1062" i="3" s="1"/>
  <c r="DK3058" i="3"/>
  <c r="DL3058" i="3"/>
  <c r="DK1993" i="3"/>
  <c r="DL1993" i="3"/>
  <c r="DK1480" i="3"/>
  <c r="DK3760" i="3"/>
  <c r="DK2563" i="3"/>
  <c r="DK2848" i="3"/>
  <c r="DL2848" i="3"/>
  <c r="DK511" i="3"/>
  <c r="DK1860" i="3"/>
  <c r="DL1860" i="3"/>
  <c r="DK1670" i="3"/>
  <c r="DL1670" i="3"/>
  <c r="DK417" i="3"/>
  <c r="DM417" i="3" s="1"/>
  <c r="DL417" i="3"/>
  <c r="DN417" i="3" s="1"/>
  <c r="DO417" i="3" s="1"/>
  <c r="DK4312" i="3"/>
  <c r="DM4312" i="3" s="1"/>
  <c r="DK530" i="3"/>
  <c r="DL530" i="3"/>
  <c r="DK2184" i="3"/>
  <c r="DL2184" i="3"/>
  <c r="DK720" i="3"/>
  <c r="DL720" i="3"/>
  <c r="DK4140" i="3"/>
  <c r="DM4140" i="3" s="1"/>
  <c r="DK1632" i="3"/>
  <c r="DL1632" i="3"/>
  <c r="DK2526" i="3"/>
  <c r="DK2203" i="3"/>
  <c r="DL2203" i="3"/>
  <c r="DK3779" i="3"/>
  <c r="DM3779" i="3" s="1"/>
  <c r="DK3342" i="3"/>
  <c r="DK3020" i="3"/>
  <c r="DL3020" i="3"/>
  <c r="DK4122" i="3"/>
  <c r="DM4122" i="3" s="1"/>
  <c r="DK1746" i="3"/>
  <c r="DL1746" i="3"/>
  <c r="DK2031" i="3"/>
  <c r="DL2031" i="3"/>
  <c r="DK378" i="3"/>
  <c r="DM378" i="3" s="1"/>
  <c r="DL378" i="3"/>
  <c r="DN378" i="3" s="1"/>
  <c r="DO378" i="3" s="1"/>
  <c r="DK3190" i="3"/>
  <c r="DK2830" i="3"/>
  <c r="DL2830" i="3"/>
  <c r="DK2906" i="3"/>
  <c r="DL2906" i="3"/>
  <c r="DK2545" i="3"/>
  <c r="DK112" i="3"/>
  <c r="DM112" i="3" s="1"/>
  <c r="DL1024" i="3"/>
  <c r="DN1024" i="3" s="1"/>
  <c r="DO1024" i="3" s="1"/>
  <c r="DK1024" i="3"/>
  <c r="DM1024" i="3" s="1"/>
  <c r="DK2373" i="3"/>
  <c r="DL2373" i="3"/>
  <c r="DK3798" i="3"/>
  <c r="DM3798" i="3" s="1"/>
  <c r="DK3608" i="3"/>
  <c r="DL3608" i="3"/>
  <c r="DK1556" i="3"/>
  <c r="DK2145" i="3"/>
  <c r="DL2145" i="3"/>
  <c r="DK1404" i="3"/>
  <c r="DM1404" i="3" s="1"/>
  <c r="DK3038" i="3"/>
  <c r="DL3038" i="3"/>
  <c r="DK3950" i="3"/>
  <c r="DM3950" i="3" s="1"/>
  <c r="DK2962" i="3"/>
  <c r="DL2962" i="3"/>
  <c r="DK1822" i="3"/>
  <c r="DL1822" i="3"/>
  <c r="DK758" i="3"/>
  <c r="DK3418" i="3"/>
  <c r="DK283" i="3"/>
  <c r="DM283" i="3" s="1"/>
  <c r="DL283" i="3"/>
  <c r="DN283" i="3" s="1"/>
  <c r="DO283" i="3" s="1"/>
  <c r="DK3665" i="3"/>
  <c r="DK1138" i="3"/>
  <c r="DM1138" i="3" s="1"/>
  <c r="DL1138" i="3"/>
  <c r="DN1138" i="3" s="1"/>
  <c r="DO1138" i="3" s="1"/>
  <c r="DK1955" i="3"/>
  <c r="DL1955" i="3"/>
  <c r="X85" i="2"/>
  <c r="Y188" i="2"/>
  <c r="X174" i="2"/>
  <c r="Y96" i="2"/>
  <c r="Y103" i="2"/>
  <c r="X10" i="2"/>
  <c r="X4" i="2"/>
  <c r="Y186" i="2"/>
  <c r="Y32" i="2"/>
  <c r="X66" i="2"/>
  <c r="Y127" i="2"/>
  <c r="X37" i="2"/>
  <c r="Y90" i="2"/>
  <c r="X118" i="2"/>
  <c r="X15" i="2"/>
  <c r="X133" i="2"/>
  <c r="X51" i="2"/>
  <c r="DK1974" i="3"/>
  <c r="DL1974" i="3"/>
  <c r="DK3000" i="3"/>
  <c r="DL3000" i="3"/>
  <c r="DK4064" i="3"/>
  <c r="DM4064" i="3" s="1"/>
  <c r="DK739" i="3"/>
  <c r="DL739" i="3"/>
  <c r="DK1784" i="3"/>
  <c r="DL1784" i="3"/>
  <c r="DK4083" i="3"/>
  <c r="DM4083" i="3" s="1"/>
  <c r="DK2658" i="3"/>
  <c r="DL2658" i="3"/>
  <c r="DK1518" i="3"/>
  <c r="DK3741" i="3"/>
  <c r="DK910" i="3"/>
  <c r="DL910" i="3"/>
  <c r="DK492" i="3"/>
  <c r="DK1005" i="3"/>
  <c r="DM1005" i="3" s="1"/>
  <c r="DL1005" i="3"/>
  <c r="DN1005" i="3" s="1"/>
  <c r="DO1005" i="3" s="1"/>
  <c r="DK1766" i="3"/>
  <c r="DL1766" i="3"/>
  <c r="DK4178" i="3"/>
  <c r="DM4178" i="3" s="1"/>
  <c r="DK2088" i="3"/>
  <c r="DL2088" i="3"/>
  <c r="X105" i="2"/>
  <c r="X227" i="2"/>
  <c r="X159" i="2"/>
  <c r="X215" i="2"/>
  <c r="X43" i="2"/>
  <c r="X40" i="2"/>
  <c r="X95" i="2"/>
  <c r="X206" i="2"/>
  <c r="X216" i="2"/>
  <c r="X141" i="2"/>
  <c r="X182" i="2"/>
  <c r="X81" i="2"/>
  <c r="Y130" i="2"/>
  <c r="X198" i="2"/>
  <c r="X49" i="2"/>
  <c r="Y180" i="2"/>
  <c r="X27" i="2"/>
  <c r="X54" i="2"/>
  <c r="DK4181" i="3"/>
  <c r="DM4181" i="3" s="1"/>
  <c r="Y94" i="2"/>
  <c r="X171" i="2"/>
  <c r="X221" i="2"/>
  <c r="X58" i="2"/>
  <c r="Y196" i="2"/>
  <c r="Y48" i="2"/>
  <c r="X111" i="2"/>
  <c r="Y88" i="2"/>
  <c r="X115" i="2"/>
  <c r="Y166" i="2"/>
  <c r="Y113" i="2"/>
  <c r="Y172" i="2"/>
  <c r="X78" i="2"/>
  <c r="Y145" i="2"/>
  <c r="X12" i="2"/>
  <c r="Y125" i="2"/>
  <c r="Y220" i="2"/>
  <c r="X148" i="2"/>
  <c r="Y13" i="2"/>
  <c r="X184" i="2"/>
  <c r="X110" i="2"/>
  <c r="X77" i="2"/>
  <c r="X64" i="2"/>
  <c r="Y119" i="2"/>
  <c r="X167" i="2"/>
  <c r="Y139" i="2"/>
  <c r="X193" i="2"/>
  <c r="Y138" i="2"/>
  <c r="X213" i="2"/>
  <c r="Y67" i="2"/>
  <c r="X73" i="2"/>
  <c r="X173" i="2"/>
  <c r="Y42" i="2"/>
  <c r="X53" i="2"/>
  <c r="X155" i="2"/>
  <c r="Y101" i="2"/>
  <c r="Y152" i="2"/>
  <c r="Y86" i="2"/>
  <c r="X36" i="2"/>
  <c r="X46" i="2"/>
  <c r="X223" i="2"/>
  <c r="Y131" i="2"/>
  <c r="Y178" i="2"/>
  <c r="X140" i="2"/>
  <c r="X34" i="2"/>
  <c r="X226" i="2"/>
  <c r="X210" i="2"/>
  <c r="X57" i="2"/>
  <c r="Y162" i="2"/>
  <c r="X106" i="2"/>
  <c r="X79" i="2"/>
  <c r="X199" i="2"/>
  <c r="X136" i="2"/>
  <c r="X151" i="2"/>
  <c r="X28" i="2"/>
  <c r="X99" i="2"/>
  <c r="X89" i="2"/>
  <c r="Y23" i="2"/>
  <c r="Y228" i="2"/>
  <c r="X29" i="2"/>
  <c r="Y116" i="2"/>
  <c r="X39" i="2"/>
  <c r="X219" i="2"/>
  <c r="X87" i="2"/>
  <c r="Y134" i="2"/>
  <c r="Y117" i="2"/>
  <c r="X200" i="2"/>
  <c r="X177" i="2"/>
  <c r="Y160" i="2"/>
  <c r="Y218" i="2"/>
  <c r="X93" i="2"/>
  <c r="X108" i="2"/>
  <c r="X21" i="2"/>
  <c r="X169" i="2"/>
  <c r="Y150" i="2"/>
  <c r="Y154" i="2"/>
  <c r="Y135" i="2"/>
  <c r="X7" i="2"/>
  <c r="X55" i="2"/>
  <c r="X126" i="2"/>
  <c r="X201" i="2"/>
  <c r="X191" i="2"/>
  <c r="X83" i="2"/>
  <c r="X114" i="2"/>
  <c r="X75" i="2"/>
  <c r="X161" i="2"/>
  <c r="X209" i="2"/>
  <c r="X157" i="2"/>
  <c r="X97" i="2"/>
  <c r="X41" i="2"/>
  <c r="X181" i="2"/>
  <c r="X16" i="2"/>
  <c r="X194" i="2"/>
  <c r="X61" i="2"/>
  <c r="X104" i="2"/>
  <c r="DN15" i="3" l="1"/>
  <c r="DO15" i="3" s="1"/>
  <c r="DL16" i="3"/>
  <c r="DN492" i="3"/>
  <c r="DO492" i="3" s="1"/>
  <c r="DL492" i="3"/>
  <c r="DL4064" i="3"/>
  <c r="DN4064" i="3" s="1"/>
  <c r="DO4064" i="3" s="1"/>
  <c r="DN2430" i="3"/>
  <c r="DO2430" i="3" s="1"/>
  <c r="DL2430" i="3"/>
  <c r="DL3931" i="3"/>
  <c r="DN3931" i="3" s="1"/>
  <c r="DO3931" i="3" s="1"/>
  <c r="DN3210" i="3"/>
  <c r="DO3210" i="3" s="1"/>
  <c r="DL3210" i="3"/>
  <c r="DN3304" i="3"/>
  <c r="DO3304" i="3" s="1"/>
  <c r="DL3304" i="3"/>
  <c r="DN815" i="3"/>
  <c r="DO815" i="3" s="1"/>
  <c r="DL815" i="3"/>
  <c r="DL321" i="3"/>
  <c r="DN321" i="3" s="1"/>
  <c r="DO321" i="3" s="1"/>
  <c r="DL340" i="3"/>
  <c r="DN340" i="3" s="1"/>
  <c r="DO340" i="3" s="1"/>
  <c r="DN1537" i="3"/>
  <c r="DO1537" i="3" s="1"/>
  <c r="DL1537" i="3"/>
  <c r="DN1499" i="3"/>
  <c r="DO1499" i="3" s="1"/>
  <c r="DL1499" i="3"/>
  <c r="DL359" i="3"/>
  <c r="DN359" i="3" s="1"/>
  <c r="DO359" i="3" s="1"/>
  <c r="DL1423" i="3"/>
  <c r="DN1423" i="3" s="1"/>
  <c r="DO1423" i="3" s="1"/>
  <c r="DL1385" i="3"/>
  <c r="DN1385" i="3" s="1"/>
  <c r="DO1385" i="3" s="1"/>
  <c r="DN3456" i="3"/>
  <c r="DO3456" i="3" s="1"/>
  <c r="DL3456" i="3"/>
  <c r="DN549" i="3"/>
  <c r="DO549" i="3" s="1"/>
  <c r="DL549" i="3"/>
  <c r="DL3818" i="3"/>
  <c r="DN3818" i="3" s="1"/>
  <c r="DO3818" i="3" s="1"/>
  <c r="DN2506" i="3"/>
  <c r="DO2506" i="3" s="1"/>
  <c r="DL2506" i="3"/>
  <c r="DL3874" i="3"/>
  <c r="DN3874" i="3" s="1"/>
  <c r="DO3874" i="3" s="1"/>
  <c r="DN2393" i="3"/>
  <c r="DO2393" i="3" s="1"/>
  <c r="DL2393" i="3"/>
  <c r="DL4237" i="3"/>
  <c r="DN4237" i="3" s="1"/>
  <c r="DO4237" i="3" s="1"/>
  <c r="DL4102" i="3"/>
  <c r="DN4102" i="3" s="1"/>
  <c r="DO4102" i="3" s="1"/>
  <c r="DL4008" i="3"/>
  <c r="DN4008" i="3" s="1"/>
  <c r="DO4008" i="3" s="1"/>
  <c r="DL3912" i="3"/>
  <c r="DN3912" i="3" s="1"/>
  <c r="DO3912" i="3" s="1"/>
  <c r="DN3494" i="3"/>
  <c r="DO3494" i="3" s="1"/>
  <c r="DL3494" i="3"/>
  <c r="DN2487" i="3"/>
  <c r="DO2487" i="3" s="1"/>
  <c r="DL2487" i="3"/>
  <c r="DL4255" i="3"/>
  <c r="DN4255" i="3" s="1"/>
  <c r="DO4255" i="3" s="1"/>
  <c r="DN3741" i="3"/>
  <c r="DO3741" i="3" s="1"/>
  <c r="DL3741" i="3"/>
  <c r="DN758" i="3"/>
  <c r="DO758" i="3" s="1"/>
  <c r="DL758" i="3"/>
  <c r="DL112" i="3"/>
  <c r="DN112" i="3" s="1"/>
  <c r="DO112" i="3" s="1"/>
  <c r="DN3190" i="3"/>
  <c r="DO3190" i="3" s="1"/>
  <c r="DL3190" i="3"/>
  <c r="DL4122" i="3"/>
  <c r="DN4122" i="3" s="1"/>
  <c r="DO4122" i="3" s="1"/>
  <c r="DN3342" i="3"/>
  <c r="DO3342" i="3" s="1"/>
  <c r="DL3342" i="3"/>
  <c r="DN3760" i="3"/>
  <c r="DO3760" i="3" s="1"/>
  <c r="DL3760" i="3"/>
  <c r="DL4273" i="3"/>
  <c r="DN4273" i="3" s="1"/>
  <c r="DO4273" i="3" s="1"/>
  <c r="DN2469" i="3"/>
  <c r="DO2469" i="3" s="1"/>
  <c r="DL2469" i="3"/>
  <c r="DN3266" i="3"/>
  <c r="DO3266" i="3" s="1"/>
  <c r="DL3266" i="3"/>
  <c r="DL1442" i="3"/>
  <c r="DN1442" i="3" s="1"/>
  <c r="DO1442" i="3" s="1"/>
  <c r="DN3475" i="3"/>
  <c r="DO3475" i="3" s="1"/>
  <c r="DL3475" i="3"/>
  <c r="DN3248" i="3"/>
  <c r="DO3248" i="3" s="1"/>
  <c r="DL3248" i="3"/>
  <c r="DN3704" i="3"/>
  <c r="DO3704" i="3" s="1"/>
  <c r="DL3704" i="3"/>
  <c r="DN3228" i="3"/>
  <c r="DO3228" i="3" s="1"/>
  <c r="DL3228" i="3"/>
  <c r="DN3400" i="3"/>
  <c r="DO3400" i="3" s="1"/>
  <c r="DL3400" i="3"/>
  <c r="DN3437" i="3"/>
  <c r="DO3437" i="3" s="1"/>
  <c r="DL3437" i="3"/>
  <c r="DN796" i="3"/>
  <c r="DO796" i="3" s="1"/>
  <c r="DL796" i="3"/>
  <c r="DL1157" i="3"/>
  <c r="DN1157" i="3" s="1"/>
  <c r="DO1157" i="3" s="1"/>
  <c r="DL1176" i="3"/>
  <c r="DN1176" i="3" s="1"/>
  <c r="DO1176" i="3" s="1"/>
  <c r="DN1518" i="3"/>
  <c r="DO1518" i="3" s="1"/>
  <c r="DL1518" i="3"/>
  <c r="DL3988" i="3"/>
  <c r="DN3988" i="3" s="1"/>
  <c r="DO3988" i="3" s="1"/>
  <c r="DN3324" i="3"/>
  <c r="DO3324" i="3" s="1"/>
  <c r="DL3324" i="3"/>
  <c r="DL131" i="3"/>
  <c r="DN131" i="3" s="1"/>
  <c r="DO131" i="3" s="1"/>
  <c r="DN645" i="3"/>
  <c r="DO645" i="3" s="1"/>
  <c r="DL645" i="3"/>
  <c r="DN3380" i="3"/>
  <c r="DO3380" i="3" s="1"/>
  <c r="DL3380" i="3"/>
  <c r="DL189" i="3"/>
  <c r="DN189" i="3" s="1"/>
  <c r="DO189" i="3" s="1"/>
  <c r="DN3684" i="3"/>
  <c r="DO3684" i="3" s="1"/>
  <c r="DL3684" i="3"/>
  <c r="DL3856" i="3"/>
  <c r="DN3856" i="3" s="1"/>
  <c r="DO3856" i="3" s="1"/>
  <c r="DL36" i="3"/>
  <c r="DN36" i="3" s="1"/>
  <c r="DO36" i="3" s="1"/>
  <c r="DN569" i="3"/>
  <c r="DO569" i="3" s="1"/>
  <c r="DL569" i="3"/>
  <c r="DL4045" i="3"/>
  <c r="DN4045" i="3" s="1"/>
  <c r="DO4045" i="3" s="1"/>
  <c r="DN588" i="3"/>
  <c r="DO588" i="3" s="1"/>
  <c r="DL588" i="3"/>
  <c r="DN3514" i="3"/>
  <c r="DO3514" i="3" s="1"/>
  <c r="DL3514" i="3"/>
  <c r="DN2411" i="3"/>
  <c r="DO2411" i="3" s="1"/>
  <c r="DL2411" i="3"/>
  <c r="DL169" i="3"/>
  <c r="DN169" i="3" s="1"/>
  <c r="DO169" i="3" s="1"/>
  <c r="DN3285" i="3"/>
  <c r="DO3285" i="3" s="1"/>
  <c r="DL3285" i="3"/>
  <c r="DN835" i="3"/>
  <c r="DO835" i="3" s="1"/>
  <c r="DL835" i="3"/>
  <c r="DN3722" i="3"/>
  <c r="DO3722" i="3" s="1"/>
  <c r="DL3722" i="3"/>
  <c r="DL3836" i="3"/>
  <c r="DN3836" i="3" s="1"/>
  <c r="DO3836" i="3" s="1"/>
  <c r="DL4219" i="3"/>
  <c r="DN4219" i="3" s="1"/>
  <c r="DO4219" i="3" s="1"/>
  <c r="DL4181" i="3"/>
  <c r="DN4181" i="3" s="1"/>
  <c r="DO4181" i="3" s="1"/>
  <c r="DL4178" i="3"/>
  <c r="DN4178" i="3" s="1"/>
  <c r="DO4178" i="3" s="1"/>
  <c r="DL4083" i="3"/>
  <c r="DN4083" i="3" s="1"/>
  <c r="DO4083" i="3" s="1"/>
  <c r="DN3665" i="3"/>
  <c r="DO3665" i="3" s="1"/>
  <c r="DL3665" i="3"/>
  <c r="DN3418" i="3"/>
  <c r="DO3418" i="3" s="1"/>
  <c r="DL3418" i="3"/>
  <c r="DL3950" i="3"/>
  <c r="DN3950" i="3" s="1"/>
  <c r="DO3950" i="3" s="1"/>
  <c r="DL1404" i="3"/>
  <c r="DN1404" i="3" s="1"/>
  <c r="DO1404" i="3" s="1"/>
  <c r="DN1556" i="3"/>
  <c r="DO1556" i="3" s="1"/>
  <c r="DL1556" i="3"/>
  <c r="DL3798" i="3"/>
  <c r="DN3798" i="3" s="1"/>
  <c r="DO3798" i="3" s="1"/>
  <c r="DN2545" i="3"/>
  <c r="DO2545" i="3" s="1"/>
  <c r="DL2545" i="3"/>
  <c r="DL3779" i="3"/>
  <c r="DN3779" i="3" s="1"/>
  <c r="DO3779" i="3" s="1"/>
  <c r="DN2526" i="3"/>
  <c r="DO2526" i="3" s="1"/>
  <c r="DL2526" i="3"/>
  <c r="DL4140" i="3"/>
  <c r="DN4140" i="3" s="1"/>
  <c r="DO4140" i="3" s="1"/>
  <c r="DL4312" i="3"/>
  <c r="DN4312" i="3" s="1"/>
  <c r="DO4312" i="3" s="1"/>
  <c r="DN511" i="3"/>
  <c r="DO511" i="3" s="1"/>
  <c r="DL511" i="3"/>
  <c r="DN2563" i="3"/>
  <c r="DO2563" i="3" s="1"/>
  <c r="DL2563" i="3"/>
  <c r="DN1480" i="3"/>
  <c r="DO1480" i="3" s="1"/>
  <c r="DL1480" i="3"/>
  <c r="DL3969" i="3"/>
  <c r="DN3969" i="3" s="1"/>
  <c r="DO3969" i="3" s="1"/>
  <c r="DN625" i="3"/>
  <c r="DO625" i="3" s="1"/>
  <c r="DL625" i="3"/>
  <c r="DN3362" i="3"/>
  <c r="DO3362" i="3" s="1"/>
  <c r="DL3362" i="3"/>
  <c r="DL4216" i="3"/>
  <c r="DN4216" i="3" s="1"/>
  <c r="DO4216" i="3" s="1"/>
  <c r="DN778" i="3"/>
  <c r="DO778" i="3" s="1"/>
  <c r="DL778" i="3"/>
  <c r="DL4026" i="3"/>
  <c r="DN4026" i="3" s="1"/>
  <c r="DO4026" i="3" s="1"/>
  <c r="DN3646" i="3"/>
  <c r="DO3646" i="3" s="1"/>
  <c r="DL3646" i="3"/>
  <c r="DL4160" i="3"/>
  <c r="DN4160" i="3" s="1"/>
  <c r="DO4160" i="3" s="1"/>
  <c r="DL207" i="3"/>
  <c r="DN207" i="3" s="1"/>
  <c r="DO207" i="3" s="1"/>
  <c r="DN1461" i="3"/>
  <c r="DO1461" i="3" s="1"/>
  <c r="DL1461" i="3"/>
  <c r="DL4199" i="3"/>
  <c r="DN4199" i="3" s="1"/>
  <c r="DO4199" i="3" s="1"/>
  <c r="DN2450" i="3"/>
  <c r="DO2450" i="3" s="1"/>
  <c r="DL2450" i="3"/>
  <c r="DL3893" i="3"/>
  <c r="DN3893" i="3" s="1"/>
  <c r="DO3893" i="3" s="1"/>
  <c r="DL4292" i="3"/>
  <c r="DN4292" i="3" s="1"/>
  <c r="DO4292" i="3" s="1"/>
  <c r="DK3628" i="3"/>
  <c r="DL3628" i="3"/>
  <c r="DK3590" i="3"/>
  <c r="DL3590" i="3"/>
  <c r="Y192" i="2"/>
  <c r="Y190" i="2"/>
  <c r="DK17" i="3"/>
  <c r="DM17" i="3" s="1"/>
  <c r="X2" i="2"/>
  <c r="Y104" i="2"/>
  <c r="Y209" i="2"/>
  <c r="DK2813" i="3"/>
  <c r="DL2813" i="3"/>
  <c r="Y61" i="2"/>
  <c r="Y41" i="2"/>
  <c r="Y114" i="2"/>
  <c r="Y126" i="2"/>
  <c r="DK1956" i="3"/>
  <c r="DL1956" i="3"/>
  <c r="DK3666" i="3"/>
  <c r="DK3419" i="3"/>
  <c r="DK1823" i="3"/>
  <c r="DL1823" i="3"/>
  <c r="DK3951" i="3"/>
  <c r="DM3951" i="3" s="1"/>
  <c r="DK1405" i="3"/>
  <c r="DM1405" i="3" s="1"/>
  <c r="DK1557" i="3"/>
  <c r="DK3799" i="3"/>
  <c r="DM3799" i="3" s="1"/>
  <c r="DK1025" i="3"/>
  <c r="DM1025" i="3" s="1"/>
  <c r="DL1025" i="3"/>
  <c r="DN1025" i="3" s="1"/>
  <c r="DO1025" i="3" s="1"/>
  <c r="DK2546" i="3"/>
  <c r="DK2831" i="3"/>
  <c r="DL2831" i="3"/>
  <c r="DK379" i="3"/>
  <c r="DM379" i="3" s="1"/>
  <c r="DL379" i="3"/>
  <c r="DN379" i="3" s="1"/>
  <c r="DO379" i="3" s="1"/>
  <c r="DK1747" i="3"/>
  <c r="DL1747" i="3"/>
  <c r="DK3021" i="3"/>
  <c r="DL3021" i="3"/>
  <c r="DK3780" i="3"/>
  <c r="DM3780" i="3" s="1"/>
  <c r="DK2527" i="3"/>
  <c r="DK4141" i="3"/>
  <c r="DM4141" i="3" s="1"/>
  <c r="DK2185" i="3"/>
  <c r="DL2185" i="3"/>
  <c r="DK4313" i="3"/>
  <c r="DM4313" i="3" s="1"/>
  <c r="DK1671" i="3"/>
  <c r="DL1671" i="3"/>
  <c r="DK512" i="3"/>
  <c r="DK2564" i="3"/>
  <c r="DK1481" i="3"/>
  <c r="DK3059" i="3"/>
  <c r="DL3059" i="3"/>
  <c r="DK3970" i="3"/>
  <c r="DM3970" i="3" s="1"/>
  <c r="DK626" i="3"/>
  <c r="DL626" i="3"/>
  <c r="DK3363" i="3"/>
  <c r="DK4217" i="3"/>
  <c r="DM4217" i="3" s="1"/>
  <c r="DK664" i="3"/>
  <c r="DL664" i="3"/>
  <c r="DK2869" i="3"/>
  <c r="DL2869" i="3"/>
  <c r="DK2925" i="3"/>
  <c r="DL2925" i="3"/>
  <c r="DK779" i="3"/>
  <c r="DK1367" i="3"/>
  <c r="DM1367" i="3" s="1"/>
  <c r="DL1367" i="3"/>
  <c r="DN1367" i="3" s="1"/>
  <c r="DO1367" i="3" s="1"/>
  <c r="DK4027" i="3"/>
  <c r="DM4027" i="3" s="1"/>
  <c r="DK3647" i="3"/>
  <c r="DK3153" i="3"/>
  <c r="DL3153" i="3"/>
  <c r="DL1196" i="3"/>
  <c r="DN1196" i="3" s="1"/>
  <c r="DO1196" i="3" s="1"/>
  <c r="DK1196" i="3"/>
  <c r="DM1196" i="3" s="1"/>
  <c r="DK2070" i="3"/>
  <c r="DL2070" i="3"/>
  <c r="DK228" i="3"/>
  <c r="DM228" i="3" s="1"/>
  <c r="DK4161" i="3"/>
  <c r="DM4161" i="3" s="1"/>
  <c r="DK208" i="3"/>
  <c r="DM208" i="3" s="1"/>
  <c r="DK1462" i="3"/>
  <c r="DK2110" i="3"/>
  <c r="DL2110" i="3"/>
  <c r="DK2165" i="3"/>
  <c r="DL2165" i="3"/>
  <c r="DK2089" i="3"/>
  <c r="DL2089" i="3"/>
  <c r="DK3705" i="3"/>
  <c r="DK4179" i="3"/>
  <c r="DM4179" i="3" s="1"/>
  <c r="DK1767" i="3"/>
  <c r="DL1767" i="3"/>
  <c r="DK1006" i="3"/>
  <c r="DM1006" i="3" s="1"/>
  <c r="DL1006" i="3"/>
  <c r="DN1006" i="3" s="1"/>
  <c r="DO1006" i="3" s="1"/>
  <c r="DK3401" i="3"/>
  <c r="DK3742" i="3"/>
  <c r="DK1519" i="3"/>
  <c r="DK2659" i="3"/>
  <c r="DL2659" i="3"/>
  <c r="DK3894" i="3"/>
  <c r="DM3894" i="3" s="1"/>
  <c r="DL740" i="3"/>
  <c r="DK740" i="3"/>
  <c r="DK4065" i="3"/>
  <c r="DM4065" i="3" s="1"/>
  <c r="DK4293" i="3"/>
  <c r="DM4293" i="3" s="1"/>
  <c r="DK2507" i="3"/>
  <c r="DK2222" i="3"/>
  <c r="DL2222" i="3"/>
  <c r="DK683" i="3"/>
  <c r="DL683" i="3"/>
  <c r="DK1234" i="3"/>
  <c r="DM1234" i="3" s="1"/>
  <c r="DL1234" i="3"/>
  <c r="DN1234" i="3" s="1"/>
  <c r="DO1234" i="3" s="1"/>
  <c r="DK3515" i="3"/>
  <c r="DK170" i="3"/>
  <c r="DM170" i="3" s="1"/>
  <c r="DL170" i="3"/>
  <c r="DN170" i="3" s="1"/>
  <c r="DO170" i="3" s="1"/>
  <c r="DK1805" i="3"/>
  <c r="DL1805" i="3"/>
  <c r="DK3553" i="3"/>
  <c r="DL3553" i="3"/>
  <c r="DK3875" i="3"/>
  <c r="DM3875" i="3" s="1"/>
  <c r="DL1292" i="3"/>
  <c r="DN1292" i="3" s="1"/>
  <c r="DO1292" i="3" s="1"/>
  <c r="DK1292" i="3"/>
  <c r="DM1292" i="3" s="1"/>
  <c r="DK968" i="3"/>
  <c r="DL968" i="3"/>
  <c r="DK1177" i="3"/>
  <c r="DM1177" i="3" s="1"/>
  <c r="DK2014" i="3"/>
  <c r="DL2014" i="3"/>
  <c r="DK836" i="3"/>
  <c r="DK4256" i="3"/>
  <c r="DM4256" i="3" s="1"/>
  <c r="DK2431" i="3"/>
  <c r="DK1330" i="3"/>
  <c r="DM1330" i="3" s="1"/>
  <c r="DL1330" i="3"/>
  <c r="DN1330" i="3" s="1"/>
  <c r="DO1330" i="3" s="1"/>
  <c r="DK398" i="3"/>
  <c r="DM398" i="3" s="1"/>
  <c r="DL398" i="3"/>
  <c r="DN398" i="3" s="1"/>
  <c r="DO398" i="3" s="1"/>
  <c r="DK3077" i="3"/>
  <c r="DL3077" i="3"/>
  <c r="DK3325" i="3"/>
  <c r="DK132" i="3"/>
  <c r="DM132" i="3" s="1"/>
  <c r="DK246" i="3"/>
  <c r="DM246" i="3" s="1"/>
  <c r="DL246" i="3"/>
  <c r="DN246" i="3" s="1"/>
  <c r="DO246" i="3" s="1"/>
  <c r="DK646" i="3"/>
  <c r="DL646" i="3"/>
  <c r="DK1709" i="3"/>
  <c r="DL1709" i="3"/>
  <c r="DK322" i="3"/>
  <c r="DM322" i="3" s="1"/>
  <c r="DK3571" i="3"/>
  <c r="DL3571" i="3"/>
  <c r="DK341" i="3"/>
  <c r="DM341" i="3" s="1"/>
  <c r="DK1538" i="3"/>
  <c r="DK1500" i="3"/>
  <c r="DK873" i="3"/>
  <c r="DL873" i="3"/>
  <c r="DK475" i="3"/>
  <c r="DL475" i="3"/>
  <c r="DK3173" i="3"/>
  <c r="DL3173" i="3"/>
  <c r="DK2583" i="3"/>
  <c r="DL2583" i="3"/>
  <c r="Y20" i="2"/>
  <c r="DK1424" i="3"/>
  <c r="DM1424" i="3" s="1"/>
  <c r="DK75" i="3"/>
  <c r="DM75" i="3" s="1"/>
  <c r="DL75" i="3"/>
  <c r="DN75" i="3" s="1"/>
  <c r="DO75" i="3" s="1"/>
  <c r="DK1310" i="3"/>
  <c r="DM1310" i="3" s="1"/>
  <c r="DL1310" i="3"/>
  <c r="DN1310" i="3" s="1"/>
  <c r="DO1310" i="3" s="1"/>
  <c r="DK1386" i="3"/>
  <c r="DM1386" i="3" s="1"/>
  <c r="DK3115" i="3"/>
  <c r="DL3115" i="3"/>
  <c r="DK1843" i="3"/>
  <c r="DL1843" i="3"/>
  <c r="DK930" i="3"/>
  <c r="DL930" i="3"/>
  <c r="DK2679" i="3"/>
  <c r="DL2679" i="3"/>
  <c r="DK570" i="3"/>
  <c r="DL570" i="3"/>
  <c r="DK1919" i="3"/>
  <c r="DL1919" i="3"/>
  <c r="DK2034" i="3"/>
  <c r="DL2034" i="3"/>
  <c r="DK2412" i="3"/>
  <c r="DK2260" i="3"/>
  <c r="DL2260" i="3"/>
  <c r="DK3723" i="3"/>
  <c r="DK2109" i="3"/>
  <c r="DL2109" i="3"/>
  <c r="DK2755" i="3"/>
  <c r="DL2755" i="3"/>
  <c r="DK4009" i="3"/>
  <c r="DM4009" i="3" s="1"/>
  <c r="DK2717" i="3"/>
  <c r="DL2717" i="3"/>
  <c r="DK3533" i="3"/>
  <c r="DL3533" i="3"/>
  <c r="Y97" i="2"/>
  <c r="Y55" i="2"/>
  <c r="DK3003" i="3"/>
  <c r="DL3003" i="3"/>
  <c r="Y200" i="2"/>
  <c r="Y219" i="2"/>
  <c r="DK4295" i="3"/>
  <c r="DM4295" i="3" s="1"/>
  <c r="Y136" i="2"/>
  <c r="Y79" i="2"/>
  <c r="Y210" i="2"/>
  <c r="Y34" i="2"/>
  <c r="Y223" i="2"/>
  <c r="Y36" i="2"/>
  <c r="DK2851" i="3"/>
  <c r="DL2851" i="3"/>
  <c r="DK761" i="3"/>
  <c r="Y73" i="2"/>
  <c r="Y213" i="2"/>
  <c r="Y193" i="2"/>
  <c r="Y167" i="2"/>
  <c r="Y64" i="2"/>
  <c r="Y110" i="2"/>
  <c r="DK210" i="3"/>
  <c r="DM210" i="3" s="1"/>
  <c r="DL210" i="3"/>
  <c r="DN210" i="3" s="1"/>
  <c r="DO210" i="3" s="1"/>
  <c r="DK4143" i="3"/>
  <c r="DM4143" i="3" s="1"/>
  <c r="Y12" i="2"/>
  <c r="Y78" i="2"/>
  <c r="DK2128" i="3"/>
  <c r="DL2128" i="3"/>
  <c r="Y115" i="2"/>
  <c r="Y111" i="2"/>
  <c r="DK3687" i="3"/>
  <c r="Y221" i="2"/>
  <c r="DK1749" i="3"/>
  <c r="DL1749" i="3"/>
  <c r="Y54" i="2"/>
  <c r="DK3383" i="3"/>
  <c r="Y198" i="2"/>
  <c r="Y81" i="2"/>
  <c r="Y141" i="2"/>
  <c r="Y206" i="2"/>
  <c r="Y40" i="2"/>
  <c r="Y215" i="2"/>
  <c r="Y227" i="2"/>
  <c r="Y133" i="2"/>
  <c r="Y118" i="2"/>
  <c r="Y37" i="2"/>
  <c r="Y66" i="2"/>
  <c r="DK3497" i="3"/>
  <c r="Y10" i="2"/>
  <c r="DK1787" i="3"/>
  <c r="DL1787" i="3"/>
  <c r="DK3535" i="3"/>
  <c r="DL3535" i="3"/>
  <c r="Y205" i="2"/>
  <c r="DK1274" i="3"/>
  <c r="DM1274" i="3" s="1"/>
  <c r="DL1274" i="3"/>
  <c r="DN1274" i="3" s="1"/>
  <c r="DO1274" i="3" s="1"/>
  <c r="Y52" i="2"/>
  <c r="Y63" i="2"/>
  <c r="DK1996" i="3"/>
  <c r="DL1996" i="3"/>
  <c r="DK818" i="3"/>
  <c r="DK4238" i="3"/>
  <c r="DM4238" i="3" s="1"/>
  <c r="Y129" i="2"/>
  <c r="DK1312" i="3"/>
  <c r="DM1312" i="3" s="1"/>
  <c r="DL1312" i="3"/>
  <c r="DN1312" i="3" s="1"/>
  <c r="DO1312" i="3" s="1"/>
  <c r="Y22" i="2"/>
  <c r="Y163" i="2"/>
  <c r="DK3307" i="3"/>
  <c r="Y8" i="2"/>
  <c r="Y14" i="2"/>
  <c r="DK628" i="3"/>
  <c r="Y91" i="2"/>
  <c r="Y18" i="2"/>
  <c r="Y189" i="2"/>
  <c r="Y19" i="2"/>
  <c r="Y82" i="2"/>
  <c r="Y80" i="2"/>
  <c r="Y47" i="2"/>
  <c r="DK457" i="3"/>
  <c r="DL457" i="3"/>
  <c r="DK3155" i="3"/>
  <c r="DL3155" i="3"/>
  <c r="Y137" i="2"/>
  <c r="DK360" i="3"/>
  <c r="DM360" i="3" s="1"/>
  <c r="Y76" i="2"/>
  <c r="Y5" i="2"/>
  <c r="Y70" i="2"/>
  <c r="Y74" i="2"/>
  <c r="Y165" i="2"/>
  <c r="DK1825" i="3"/>
  <c r="DL1825" i="3"/>
  <c r="Y50" i="2"/>
  <c r="DK2661" i="3"/>
  <c r="DL2661" i="3"/>
  <c r="DK552" i="3"/>
  <c r="DK1901" i="3"/>
  <c r="DL1901" i="3"/>
  <c r="DK2052" i="3"/>
  <c r="DL2052" i="3"/>
  <c r="Y128" i="2"/>
  <c r="Y120" i="2"/>
  <c r="Y197" i="2"/>
  <c r="DK2091" i="3"/>
  <c r="DL2091" i="3"/>
  <c r="DK2737" i="3"/>
  <c r="DL2737" i="3"/>
  <c r="DK3991" i="3"/>
  <c r="DM3991" i="3" s="1"/>
  <c r="DK2699" i="3"/>
  <c r="DL2699" i="3"/>
  <c r="Y187" i="2"/>
  <c r="Y181" i="2"/>
  <c r="Y83" i="2"/>
  <c r="DK2528" i="3"/>
  <c r="Y93" i="2"/>
  <c r="DK2509" i="3"/>
  <c r="DK2167" i="3"/>
  <c r="DL2167" i="3"/>
  <c r="Y89" i="2"/>
  <c r="Y28" i="2"/>
  <c r="DK3041" i="3"/>
  <c r="DL3041" i="3"/>
  <c r="DK3345" i="3"/>
  <c r="Y155" i="2"/>
  <c r="DK1139" i="3"/>
  <c r="DM1139" i="3" s="1"/>
  <c r="DL1139" i="3"/>
  <c r="DN1139" i="3" s="1"/>
  <c r="DO1139" i="3" s="1"/>
  <c r="DK284" i="3"/>
  <c r="DM284" i="3" s="1"/>
  <c r="DL284" i="3"/>
  <c r="DN284" i="3" s="1"/>
  <c r="DO284" i="3" s="1"/>
  <c r="DK759" i="3"/>
  <c r="DK2963" i="3"/>
  <c r="DL2963" i="3"/>
  <c r="DK3039" i="3"/>
  <c r="DL3039" i="3"/>
  <c r="DK2146" i="3"/>
  <c r="DL2146" i="3"/>
  <c r="DK3609" i="3"/>
  <c r="DL3609" i="3"/>
  <c r="DK2374" i="3"/>
  <c r="DL2374" i="3"/>
  <c r="DK113" i="3"/>
  <c r="DM113" i="3" s="1"/>
  <c r="DK2907" i="3"/>
  <c r="DL2907" i="3"/>
  <c r="DK3191" i="3"/>
  <c r="DK2032" i="3"/>
  <c r="DL2032" i="3"/>
  <c r="DK4123" i="3"/>
  <c r="DM4123" i="3" s="1"/>
  <c r="DK3343" i="3"/>
  <c r="DK2204" i="3"/>
  <c r="DL2204" i="3"/>
  <c r="DK1633" i="3"/>
  <c r="DL1633" i="3"/>
  <c r="DK721" i="3"/>
  <c r="DL721" i="3"/>
  <c r="DK531" i="3"/>
  <c r="DL531" i="3"/>
  <c r="DK418" i="3"/>
  <c r="DM418" i="3" s="1"/>
  <c r="DL418" i="3"/>
  <c r="DN418" i="3" s="1"/>
  <c r="DO418" i="3" s="1"/>
  <c r="DK1861" i="3"/>
  <c r="DL1861" i="3"/>
  <c r="DK2849" i="3"/>
  <c r="DL2849" i="3"/>
  <c r="DK3761" i="3"/>
  <c r="DK1994" i="3"/>
  <c r="DL1994" i="3"/>
  <c r="DK1063" i="3"/>
  <c r="DM1063" i="3" s="1"/>
  <c r="DL1063" i="3"/>
  <c r="DN1063" i="3" s="1"/>
  <c r="DO1063" i="3" s="1"/>
  <c r="DK4274" i="3"/>
  <c r="DM4274" i="3" s="1"/>
  <c r="DK2640" i="3"/>
  <c r="DL2640" i="3"/>
  <c r="DK2470" i="3"/>
  <c r="DK854" i="3"/>
  <c r="DL854" i="3"/>
  <c r="DK1615" i="3"/>
  <c r="DL1615" i="3"/>
  <c r="DK1900" i="3"/>
  <c r="DL1900" i="3"/>
  <c r="DK987" i="3"/>
  <c r="DM987" i="3" s="1"/>
  <c r="DL987" i="3"/>
  <c r="DN987" i="3" s="1"/>
  <c r="DO987" i="3" s="1"/>
  <c r="DK3267" i="3"/>
  <c r="DK1254" i="3"/>
  <c r="DM1254" i="3" s="1"/>
  <c r="DL1254" i="3"/>
  <c r="DN1254" i="3" s="1"/>
  <c r="DO1254" i="3" s="1"/>
  <c r="DK2603" i="3"/>
  <c r="DL2603" i="3"/>
  <c r="DK2622" i="3"/>
  <c r="DL2622" i="3"/>
  <c r="DK2242" i="3"/>
  <c r="DL2242" i="3"/>
  <c r="DK1443" i="3"/>
  <c r="DM1443" i="3" s="1"/>
  <c r="DK3476" i="3"/>
  <c r="DK2792" i="3"/>
  <c r="DL2792" i="3"/>
  <c r="DK2356" i="3"/>
  <c r="DL2356" i="3"/>
  <c r="DK2736" i="3"/>
  <c r="DL2736" i="3"/>
  <c r="DK3249" i="3"/>
  <c r="DK3135" i="3"/>
  <c r="DL3135" i="3"/>
  <c r="DK1653" i="3"/>
  <c r="DL1653" i="3"/>
  <c r="DK893" i="3"/>
  <c r="DL893" i="3"/>
  <c r="DK1082" i="3"/>
  <c r="DM1082" i="3" s="1"/>
  <c r="DL1082" i="3"/>
  <c r="DN1082" i="3" s="1"/>
  <c r="DO1082" i="3" s="1"/>
  <c r="DK3229" i="3"/>
  <c r="DK493" i="3"/>
  <c r="DK911" i="3"/>
  <c r="DL911" i="3"/>
  <c r="DK2451" i="3"/>
  <c r="DK3438" i="3"/>
  <c r="DK4084" i="3"/>
  <c r="DM4084" i="3" s="1"/>
  <c r="DK1785" i="3"/>
  <c r="DL1785" i="3"/>
  <c r="DK797" i="3"/>
  <c r="DK3001" i="3"/>
  <c r="DL3001" i="3"/>
  <c r="DK1975" i="3"/>
  <c r="DL1975" i="3"/>
  <c r="DK949" i="3"/>
  <c r="DL949" i="3"/>
  <c r="DK265" i="3"/>
  <c r="DM265" i="3" s="1"/>
  <c r="DL265" i="3"/>
  <c r="DN265" i="3" s="1"/>
  <c r="DO265" i="3" s="1"/>
  <c r="DK1691" i="3"/>
  <c r="DL1691" i="3"/>
  <c r="DK2394" i="3"/>
  <c r="DK589" i="3"/>
  <c r="DK56" i="3"/>
  <c r="DM56" i="3" s="1"/>
  <c r="DK1938" i="3"/>
  <c r="DL1938" i="3"/>
  <c r="DK3286" i="3"/>
  <c r="DK1595" i="3"/>
  <c r="DL1595" i="3"/>
  <c r="DK2698" i="3"/>
  <c r="DL2698" i="3"/>
  <c r="DK1101" i="3"/>
  <c r="DM1101" i="3" s="1"/>
  <c r="DL1101" i="3"/>
  <c r="DN1101" i="3" s="1"/>
  <c r="DO1101" i="3" s="1"/>
  <c r="DK1215" i="3"/>
  <c r="DM1215" i="3" s="1"/>
  <c r="DL1215" i="3"/>
  <c r="DN1215" i="3" s="1"/>
  <c r="DO1215" i="3" s="1"/>
  <c r="DK94" i="3"/>
  <c r="DM94" i="3" s="1"/>
  <c r="DL94" i="3"/>
  <c r="DN94" i="3" s="1"/>
  <c r="DO94" i="3" s="1"/>
  <c r="DK3913" i="3"/>
  <c r="DM3913" i="3" s="1"/>
  <c r="DK151" i="3"/>
  <c r="DM151" i="3" s="1"/>
  <c r="DK2488" i="3"/>
  <c r="DK303" i="3"/>
  <c r="DM303" i="3" s="1"/>
  <c r="DL303" i="3"/>
  <c r="DN303" i="3" s="1"/>
  <c r="DO303" i="3" s="1"/>
  <c r="DK3989" i="3"/>
  <c r="DM3989" i="3" s="1"/>
  <c r="DK1121" i="3"/>
  <c r="DM1121" i="3" s="1"/>
  <c r="DL1121" i="3"/>
  <c r="DN1121" i="3" s="1"/>
  <c r="DO1121" i="3" s="1"/>
  <c r="DK3932" i="3"/>
  <c r="DM3932" i="3" s="1"/>
  <c r="DK1348" i="3"/>
  <c r="DM1348" i="3" s="1"/>
  <c r="DL1348" i="3"/>
  <c r="DN1348" i="3" s="1"/>
  <c r="DO1348" i="3" s="1"/>
  <c r="DK3211" i="3"/>
  <c r="DK3305" i="3"/>
  <c r="DK3096" i="3"/>
  <c r="DL3096" i="3"/>
  <c r="DK816" i="3"/>
  <c r="DK1881" i="3"/>
  <c r="DL1881" i="3"/>
  <c r="DK3381" i="3"/>
  <c r="DK190" i="3"/>
  <c r="DM190" i="3" s="1"/>
  <c r="DL190" i="3"/>
  <c r="DN190" i="3" s="1"/>
  <c r="DO190" i="3" s="1"/>
  <c r="DK2811" i="3"/>
  <c r="DL2811" i="3"/>
  <c r="DK3685" i="3"/>
  <c r="DK3857" i="3"/>
  <c r="DM3857" i="3" s="1"/>
  <c r="DK2945" i="3"/>
  <c r="DL2945" i="3"/>
  <c r="DK2336" i="3"/>
  <c r="DL2336" i="3"/>
  <c r="DK607" i="3"/>
  <c r="DL607" i="3"/>
  <c r="DL1044" i="3"/>
  <c r="DN1044" i="3" s="1"/>
  <c r="DO1044" i="3" s="1"/>
  <c r="DK1044" i="3"/>
  <c r="DM1044" i="3" s="1"/>
  <c r="DK37" i="3"/>
  <c r="DM37" i="3" s="1"/>
  <c r="DK1272" i="3"/>
  <c r="DM1272" i="3" s="1"/>
  <c r="DL1272" i="3"/>
  <c r="DN1272" i="3" s="1"/>
  <c r="DO1272" i="3" s="1"/>
  <c r="DK436" i="3"/>
  <c r="DM436" i="3" s="1"/>
  <c r="DL436" i="3"/>
  <c r="DN436" i="3" s="1"/>
  <c r="DO436" i="3" s="1"/>
  <c r="DK2887" i="3"/>
  <c r="DL2887" i="3"/>
  <c r="DK2318" i="3"/>
  <c r="DL2318" i="3"/>
  <c r="DK2280" i="3"/>
  <c r="DL2280" i="3"/>
  <c r="DK3457" i="3"/>
  <c r="DK550" i="3"/>
  <c r="DL550" i="3"/>
  <c r="DK3819" i="3"/>
  <c r="DM3819" i="3" s="1"/>
  <c r="DK2773" i="3"/>
  <c r="DL2773" i="3"/>
  <c r="DK1577" i="3"/>
  <c r="DL1577" i="3"/>
  <c r="DK4046" i="3"/>
  <c r="DM4046" i="3" s="1"/>
  <c r="DK4103" i="3"/>
  <c r="DM4103" i="3" s="1"/>
  <c r="DK456" i="3"/>
  <c r="DM456" i="3" s="1"/>
  <c r="DL456" i="3"/>
  <c r="DN456" i="3" s="1"/>
  <c r="DO456" i="3" s="1"/>
  <c r="DK2298" i="3"/>
  <c r="DL2298" i="3"/>
  <c r="DK1729" i="3"/>
  <c r="DL1729" i="3"/>
  <c r="DK703" i="3"/>
  <c r="DL703" i="3"/>
  <c r="DK1158" i="3"/>
  <c r="DM1158" i="3" s="1"/>
  <c r="DK2983" i="3"/>
  <c r="DL2983" i="3"/>
  <c r="DK3495" i="3"/>
  <c r="DK3837" i="3"/>
  <c r="DM3837" i="3" s="1"/>
  <c r="Y194" i="2"/>
  <c r="Y75" i="2"/>
  <c r="Y201" i="2"/>
  <c r="Y21" i="2"/>
  <c r="Y16" i="2"/>
  <c r="Y157" i="2"/>
  <c r="Y161" i="2"/>
  <c r="Y191" i="2"/>
  <c r="Y7" i="2"/>
  <c r="DK2889" i="3"/>
  <c r="DL2889" i="3"/>
  <c r="Y169" i="2"/>
  <c r="Y108" i="2"/>
  <c r="DK4105" i="3"/>
  <c r="DM4105" i="3" s="1"/>
  <c r="Y177" i="2"/>
  <c r="DK2186" i="3"/>
  <c r="DL2186" i="3"/>
  <c r="Y87" i="2"/>
  <c r="Y39" i="2"/>
  <c r="Y29" i="2"/>
  <c r="DK400" i="3"/>
  <c r="DM400" i="3" s="1"/>
  <c r="DL400" i="3"/>
  <c r="DN400" i="3" s="1"/>
  <c r="DO400" i="3" s="1"/>
  <c r="Y99" i="2"/>
  <c r="Y151" i="2"/>
  <c r="Y199" i="2"/>
  <c r="Y106" i="2"/>
  <c r="Y57" i="2"/>
  <c r="Y226" i="2"/>
  <c r="Y140" i="2"/>
  <c r="DK2452" i="3"/>
  <c r="Y46" i="2"/>
  <c r="DK1597" i="3"/>
  <c r="DL1597" i="3"/>
  <c r="DK1882" i="3"/>
  <c r="DL1882" i="3"/>
  <c r="Y53" i="2"/>
  <c r="Y173" i="2"/>
  <c r="DK1236" i="3"/>
  <c r="DM1236" i="3" s="1"/>
  <c r="DL1236" i="3"/>
  <c r="DN1236" i="3" s="1"/>
  <c r="DO1236" i="3" s="1"/>
  <c r="DK2585" i="3"/>
  <c r="DL2585" i="3"/>
  <c r="DK2604" i="3"/>
  <c r="DL2604" i="3"/>
  <c r="DK2224" i="3"/>
  <c r="DL2224" i="3"/>
  <c r="Y77" i="2"/>
  <c r="Y184" i="2"/>
  <c r="Y148" i="2"/>
  <c r="DK2338" i="3"/>
  <c r="DL2338" i="3"/>
  <c r="DK2718" i="3"/>
  <c r="DL2718" i="3"/>
  <c r="DK3231" i="3"/>
  <c r="DK3117" i="3"/>
  <c r="DL3117" i="3"/>
  <c r="DK1635" i="3"/>
  <c r="DL1635" i="3"/>
  <c r="DK875" i="3"/>
  <c r="DL875" i="3"/>
  <c r="Y58" i="2"/>
  <c r="Y171" i="2"/>
  <c r="Y27" i="2"/>
  <c r="Y49" i="2"/>
  <c r="DK2433" i="3"/>
  <c r="Y182" i="2"/>
  <c r="Y216" i="2"/>
  <c r="Y95" i="2"/>
  <c r="Y43" i="2"/>
  <c r="Y159" i="2"/>
  <c r="Y105" i="2"/>
  <c r="Y51" i="2"/>
  <c r="Y15" i="2"/>
  <c r="DK1673" i="3"/>
  <c r="DL1673" i="3"/>
  <c r="DK2376" i="3"/>
  <c r="DK571" i="3"/>
  <c r="DL571" i="3"/>
  <c r="Y4" i="2"/>
  <c r="DK1920" i="3"/>
  <c r="DL1920" i="3"/>
  <c r="Y174" i="2"/>
  <c r="Y85" i="2"/>
  <c r="DK2680" i="3"/>
  <c r="DL2680" i="3"/>
  <c r="Y59" i="2"/>
  <c r="Y65" i="2"/>
  <c r="Y6" i="2"/>
  <c r="Y207" i="2"/>
  <c r="Y9" i="2"/>
  <c r="Y132" i="2"/>
  <c r="Y17" i="2"/>
  <c r="Y211" i="2"/>
  <c r="DK1103" i="3"/>
  <c r="DM1103" i="3" s="1"/>
  <c r="DL1103" i="3"/>
  <c r="DN1103" i="3" s="1"/>
  <c r="DO1103" i="3" s="1"/>
  <c r="Y208" i="2"/>
  <c r="Y72" i="2"/>
  <c r="DK3193" i="3"/>
  <c r="Y175" i="2"/>
  <c r="Y164" i="2"/>
  <c r="Y44" i="2"/>
  <c r="DK1863" i="3"/>
  <c r="DL1863" i="3"/>
  <c r="Y179" i="2"/>
  <c r="DK172" i="3"/>
  <c r="DM172" i="3" s="1"/>
  <c r="Y149" i="2"/>
  <c r="Y195" i="2"/>
  <c r="DK3839" i="3"/>
  <c r="DM3839" i="3" s="1"/>
  <c r="DK2927" i="3"/>
  <c r="DL2927" i="3"/>
  <c r="Y124" i="2"/>
  <c r="Y33" i="2"/>
  <c r="Y56" i="2"/>
  <c r="Y3" i="2"/>
  <c r="Y68" i="2"/>
  <c r="Y24" i="2"/>
  <c r="Y153" i="2"/>
  <c r="DK2300" i="3"/>
  <c r="DL2300" i="3"/>
  <c r="DK2262" i="3"/>
  <c r="DL2262" i="3"/>
  <c r="Y183" i="2"/>
  <c r="Y30" i="2"/>
  <c r="DK3801" i="3"/>
  <c r="DM3801" i="3" s="1"/>
  <c r="Y147" i="2"/>
  <c r="DK1559" i="3"/>
  <c r="DL1559" i="3"/>
  <c r="Y214" i="2"/>
  <c r="Y217" i="2"/>
  <c r="DK438" i="3"/>
  <c r="DM438" i="3" s="1"/>
  <c r="DL438" i="3"/>
  <c r="DN438" i="3" s="1"/>
  <c r="DO438" i="3" s="1"/>
  <c r="Y122" i="2"/>
  <c r="DK1711" i="3"/>
  <c r="DL1711" i="3"/>
  <c r="DK685" i="3"/>
  <c r="DL685" i="3"/>
  <c r="Y62" i="2"/>
  <c r="DK2965" i="3"/>
  <c r="DL2965" i="3"/>
  <c r="Y185" i="2"/>
  <c r="Y203" i="2"/>
  <c r="DN16" i="3" l="1"/>
  <c r="DO16" i="3" s="1"/>
  <c r="DL17" i="3"/>
  <c r="DL1158" i="3"/>
  <c r="DN1158" i="3" s="1"/>
  <c r="DO1158" i="3" s="1"/>
  <c r="DL3857" i="3"/>
  <c r="DN3857" i="3" s="1"/>
  <c r="DO3857" i="3" s="1"/>
  <c r="DN3381" i="3"/>
  <c r="DO3381" i="3" s="1"/>
  <c r="DL3381" i="3"/>
  <c r="DL151" i="3"/>
  <c r="DN151" i="3" s="1"/>
  <c r="DO151" i="3" s="1"/>
  <c r="DN589" i="3"/>
  <c r="DO589" i="3" s="1"/>
  <c r="DL589" i="3"/>
  <c r="DN3438" i="3"/>
  <c r="DO3438" i="3" s="1"/>
  <c r="DL3438" i="3"/>
  <c r="DN3229" i="3"/>
  <c r="DO3229" i="3" s="1"/>
  <c r="DL3229" i="3"/>
  <c r="DL1443" i="3"/>
  <c r="DN1443" i="3" s="1"/>
  <c r="DO1443" i="3" s="1"/>
  <c r="DN2470" i="3"/>
  <c r="DO2470" i="3" s="1"/>
  <c r="DL2470" i="3"/>
  <c r="DL4274" i="3"/>
  <c r="DN4274" i="3" s="1"/>
  <c r="DO4274" i="3" s="1"/>
  <c r="DL4123" i="3"/>
  <c r="DN4123" i="3" s="1"/>
  <c r="DO4123" i="3" s="1"/>
  <c r="DN3191" i="3"/>
  <c r="DO3191" i="3" s="1"/>
  <c r="DL3191" i="3"/>
  <c r="DL113" i="3"/>
  <c r="DN113" i="3" s="1"/>
  <c r="DO113" i="3" s="1"/>
  <c r="DN759" i="3"/>
  <c r="DO759" i="3" s="1"/>
  <c r="DL759" i="3"/>
  <c r="DN628" i="3"/>
  <c r="DO628" i="3" s="1"/>
  <c r="DL628" i="3"/>
  <c r="DN3307" i="3"/>
  <c r="DO3307" i="3" s="1"/>
  <c r="DL3307" i="3"/>
  <c r="DN3383" i="3"/>
  <c r="DO3383" i="3" s="1"/>
  <c r="DL3383" i="3"/>
  <c r="DN761" i="3"/>
  <c r="DO761" i="3" s="1"/>
  <c r="DL761" i="3"/>
  <c r="DN3723" i="3"/>
  <c r="DO3723" i="3" s="1"/>
  <c r="DL3723" i="3"/>
  <c r="DN2412" i="3"/>
  <c r="DO2412" i="3" s="1"/>
  <c r="DL2412" i="3"/>
  <c r="DL1386" i="3"/>
  <c r="DN1386" i="3" s="1"/>
  <c r="DO1386" i="3" s="1"/>
  <c r="DN3495" i="3"/>
  <c r="DO3495" i="3" s="1"/>
  <c r="DL3495" i="3"/>
  <c r="DL4046" i="3"/>
  <c r="DN4046" i="3" s="1"/>
  <c r="DO4046" i="3" s="1"/>
  <c r="DN816" i="3"/>
  <c r="DO816" i="3" s="1"/>
  <c r="DL816" i="3"/>
  <c r="DN3305" i="3"/>
  <c r="DO3305" i="3" s="1"/>
  <c r="DL3305" i="3"/>
  <c r="DL3991" i="3"/>
  <c r="DN3991" i="3" s="1"/>
  <c r="DO3991" i="3" s="1"/>
  <c r="DN818" i="3"/>
  <c r="DO818" i="3" s="1"/>
  <c r="DL818" i="3"/>
  <c r="DN1500" i="3"/>
  <c r="DO1500" i="3" s="1"/>
  <c r="DL1500" i="3"/>
  <c r="DL341" i="3"/>
  <c r="DN341" i="3" s="1"/>
  <c r="DO341" i="3" s="1"/>
  <c r="DL322" i="3"/>
  <c r="DN322" i="3" s="1"/>
  <c r="DO322" i="3" s="1"/>
  <c r="DL132" i="3"/>
  <c r="DN132" i="3" s="1"/>
  <c r="DO132" i="3" s="1"/>
  <c r="DL4256" i="3"/>
  <c r="DN4256" i="3" s="1"/>
  <c r="DO4256" i="3" s="1"/>
  <c r="DL3875" i="3"/>
  <c r="DN3875" i="3" s="1"/>
  <c r="DO3875" i="3" s="1"/>
  <c r="DN3515" i="3"/>
  <c r="DO3515" i="3" s="1"/>
  <c r="DL3515" i="3"/>
  <c r="DN2507" i="3"/>
  <c r="DO2507" i="3" s="1"/>
  <c r="DL2507" i="3"/>
  <c r="DL4065" i="3"/>
  <c r="DN4065" i="3" s="1"/>
  <c r="DO4065" i="3" s="1"/>
  <c r="DL3894" i="3"/>
  <c r="DN3894" i="3" s="1"/>
  <c r="DO3894" i="3" s="1"/>
  <c r="DN1519" i="3"/>
  <c r="DO1519" i="3" s="1"/>
  <c r="DL1519" i="3"/>
  <c r="DN3401" i="3"/>
  <c r="DO3401" i="3" s="1"/>
  <c r="DL3401" i="3"/>
  <c r="DN3705" i="3"/>
  <c r="DO3705" i="3" s="1"/>
  <c r="DL3705" i="3"/>
  <c r="DN1462" i="3"/>
  <c r="DO1462" i="3" s="1"/>
  <c r="DL1462" i="3"/>
  <c r="DL4161" i="3"/>
  <c r="DN4161" i="3" s="1"/>
  <c r="DO4161" i="3" s="1"/>
  <c r="DL4027" i="3"/>
  <c r="DN4027" i="3" s="1"/>
  <c r="DO4027" i="3" s="1"/>
  <c r="DN779" i="3"/>
  <c r="DO779" i="3" s="1"/>
  <c r="DL779" i="3"/>
  <c r="DL4217" i="3"/>
  <c r="DN4217" i="3" s="1"/>
  <c r="DO4217" i="3" s="1"/>
  <c r="DN2564" i="3"/>
  <c r="DO2564" i="3" s="1"/>
  <c r="DL2564" i="3"/>
  <c r="DN2527" i="3"/>
  <c r="DO2527" i="3" s="1"/>
  <c r="DL2527" i="3"/>
  <c r="DN2546" i="3"/>
  <c r="DO2546" i="3" s="1"/>
  <c r="DL2546" i="3"/>
  <c r="DL3799" i="3"/>
  <c r="DN3799" i="3" s="1"/>
  <c r="DO3799" i="3" s="1"/>
  <c r="DL1405" i="3"/>
  <c r="DN1405" i="3" s="1"/>
  <c r="DO1405" i="3" s="1"/>
  <c r="DN3666" i="3"/>
  <c r="DO3666" i="3" s="1"/>
  <c r="DL3666" i="3"/>
  <c r="DN2376" i="3"/>
  <c r="DO2376" i="3" s="1"/>
  <c r="DL2376" i="3"/>
  <c r="DN2433" i="3"/>
  <c r="DO2433" i="3" s="1"/>
  <c r="DL2433" i="3"/>
  <c r="DN3231" i="3"/>
  <c r="DO3231" i="3" s="1"/>
  <c r="DL3231" i="3"/>
  <c r="DN2452" i="3"/>
  <c r="DO2452" i="3" s="1"/>
  <c r="DL2452" i="3"/>
  <c r="DL3837" i="3"/>
  <c r="DN3837" i="3" s="1"/>
  <c r="DO3837" i="3" s="1"/>
  <c r="DL4103" i="3"/>
  <c r="DN4103" i="3" s="1"/>
  <c r="DO4103" i="3" s="1"/>
  <c r="DL3819" i="3"/>
  <c r="DN3819" i="3" s="1"/>
  <c r="DO3819" i="3" s="1"/>
  <c r="DN3457" i="3"/>
  <c r="DO3457" i="3" s="1"/>
  <c r="DL3457" i="3"/>
  <c r="DL37" i="3"/>
  <c r="DN37" i="3" s="1"/>
  <c r="DO37" i="3" s="1"/>
  <c r="DN3685" i="3"/>
  <c r="DO3685" i="3" s="1"/>
  <c r="DL3685" i="3"/>
  <c r="DN3211" i="3"/>
  <c r="DO3211" i="3" s="1"/>
  <c r="DL3211" i="3"/>
  <c r="DL3932" i="3"/>
  <c r="DN3932" i="3" s="1"/>
  <c r="DO3932" i="3" s="1"/>
  <c r="DL3989" i="3"/>
  <c r="DN3989" i="3" s="1"/>
  <c r="DO3989" i="3" s="1"/>
  <c r="DN2488" i="3"/>
  <c r="DO2488" i="3" s="1"/>
  <c r="DL2488" i="3"/>
  <c r="DL3913" i="3"/>
  <c r="DN3913" i="3" s="1"/>
  <c r="DO3913" i="3" s="1"/>
  <c r="DN3286" i="3"/>
  <c r="DO3286" i="3" s="1"/>
  <c r="DL3286" i="3"/>
  <c r="DL56" i="3"/>
  <c r="DN56" i="3" s="1"/>
  <c r="DO56" i="3" s="1"/>
  <c r="DN2394" i="3"/>
  <c r="DO2394" i="3" s="1"/>
  <c r="DL2394" i="3"/>
  <c r="DL4084" i="3"/>
  <c r="DN4084" i="3" s="1"/>
  <c r="DO4084" i="3" s="1"/>
  <c r="DN2451" i="3"/>
  <c r="DO2451" i="3" s="1"/>
  <c r="DL2451" i="3"/>
  <c r="DN493" i="3"/>
  <c r="DO493" i="3" s="1"/>
  <c r="DL493" i="3"/>
  <c r="DN3249" i="3"/>
  <c r="DO3249" i="3" s="1"/>
  <c r="DL3249" i="3"/>
  <c r="DN3476" i="3"/>
  <c r="DO3476" i="3" s="1"/>
  <c r="DL3476" i="3"/>
  <c r="DN3267" i="3"/>
  <c r="DO3267" i="3" s="1"/>
  <c r="DL3267" i="3"/>
  <c r="DN3761" i="3"/>
  <c r="DO3761" i="3" s="1"/>
  <c r="DL3761" i="3"/>
  <c r="DN3343" i="3"/>
  <c r="DO3343" i="3" s="1"/>
  <c r="DL3343" i="3"/>
  <c r="DN2528" i="3"/>
  <c r="DO2528" i="3" s="1"/>
  <c r="DL2528" i="3"/>
  <c r="DN552" i="3"/>
  <c r="DO552" i="3" s="1"/>
  <c r="DL552" i="3"/>
  <c r="DL360" i="3"/>
  <c r="DN360" i="3" s="1"/>
  <c r="DO360" i="3" s="1"/>
  <c r="DN3687" i="3"/>
  <c r="DO3687" i="3" s="1"/>
  <c r="DL3687" i="3"/>
  <c r="DL4143" i="3"/>
  <c r="DN4143" i="3" s="1"/>
  <c r="DO4143" i="3" s="1"/>
  <c r="DL4295" i="3"/>
  <c r="DN4295" i="3" s="1"/>
  <c r="DO4295" i="3" s="1"/>
  <c r="DL4009" i="3"/>
  <c r="DN4009" i="3" s="1"/>
  <c r="DO4009" i="3" s="1"/>
  <c r="DL1424" i="3"/>
  <c r="DN1424" i="3" s="1"/>
  <c r="DO1424" i="3" s="1"/>
  <c r="DL3801" i="3"/>
  <c r="DN3801" i="3" s="1"/>
  <c r="DO3801" i="3" s="1"/>
  <c r="DL3839" i="3"/>
  <c r="DN3839" i="3" s="1"/>
  <c r="DO3839" i="3" s="1"/>
  <c r="DL172" i="3"/>
  <c r="DN172" i="3" s="1"/>
  <c r="DO172" i="3" s="1"/>
  <c r="DN3193" i="3"/>
  <c r="DO3193" i="3" s="1"/>
  <c r="DL3193" i="3"/>
  <c r="DL4105" i="3"/>
  <c r="DN4105" i="3" s="1"/>
  <c r="DO4105" i="3" s="1"/>
  <c r="DN797" i="3"/>
  <c r="DO797" i="3" s="1"/>
  <c r="DL797" i="3"/>
  <c r="DN3345" i="3"/>
  <c r="DO3345" i="3" s="1"/>
  <c r="DL3345" i="3"/>
  <c r="DN2509" i="3"/>
  <c r="DO2509" i="3" s="1"/>
  <c r="DL2509" i="3"/>
  <c r="DL4238" i="3"/>
  <c r="DN4238" i="3" s="1"/>
  <c r="DO4238" i="3" s="1"/>
  <c r="DN3497" i="3"/>
  <c r="DO3497" i="3" s="1"/>
  <c r="DL3497" i="3"/>
  <c r="DN1538" i="3"/>
  <c r="DO1538" i="3" s="1"/>
  <c r="DL1538" i="3"/>
  <c r="DN3325" i="3"/>
  <c r="DO3325" i="3" s="1"/>
  <c r="DL3325" i="3"/>
  <c r="DN2431" i="3"/>
  <c r="DO2431" i="3" s="1"/>
  <c r="DL2431" i="3"/>
  <c r="DN836" i="3"/>
  <c r="DO836" i="3" s="1"/>
  <c r="DL836" i="3"/>
  <c r="DL1177" i="3"/>
  <c r="DN1177" i="3" s="1"/>
  <c r="DO1177" i="3" s="1"/>
  <c r="DL4293" i="3"/>
  <c r="DN4293" i="3" s="1"/>
  <c r="DO4293" i="3" s="1"/>
  <c r="DN3742" i="3"/>
  <c r="DO3742" i="3" s="1"/>
  <c r="DL3742" i="3"/>
  <c r="DL4179" i="3"/>
  <c r="DN4179" i="3" s="1"/>
  <c r="DO4179" i="3" s="1"/>
  <c r="DL208" i="3"/>
  <c r="DN208" i="3" s="1"/>
  <c r="DO208" i="3" s="1"/>
  <c r="DL228" i="3"/>
  <c r="DN228" i="3" s="1"/>
  <c r="DO228" i="3" s="1"/>
  <c r="DN3647" i="3"/>
  <c r="DO3647" i="3" s="1"/>
  <c r="DL3647" i="3"/>
  <c r="DN3363" i="3"/>
  <c r="DO3363" i="3" s="1"/>
  <c r="DL3363" i="3"/>
  <c r="DL3970" i="3"/>
  <c r="DN3970" i="3" s="1"/>
  <c r="DO3970" i="3" s="1"/>
  <c r="DN1481" i="3"/>
  <c r="DO1481" i="3" s="1"/>
  <c r="DL1481" i="3"/>
  <c r="DN512" i="3"/>
  <c r="DO512" i="3" s="1"/>
  <c r="DL512" i="3"/>
  <c r="DL4313" i="3"/>
  <c r="DN4313" i="3" s="1"/>
  <c r="DO4313" i="3" s="1"/>
  <c r="DL4141" i="3"/>
  <c r="DN4141" i="3" s="1"/>
  <c r="DO4141" i="3" s="1"/>
  <c r="DL3780" i="3"/>
  <c r="DN3780" i="3" s="1"/>
  <c r="DO3780" i="3" s="1"/>
  <c r="DN1557" i="3"/>
  <c r="DO1557" i="3" s="1"/>
  <c r="DL1557" i="3"/>
  <c r="DL3951" i="3"/>
  <c r="DN3951" i="3" s="1"/>
  <c r="DO3951" i="3" s="1"/>
  <c r="DN3419" i="3"/>
  <c r="DO3419" i="3" s="1"/>
  <c r="DL3419" i="3"/>
  <c r="DK18" i="3"/>
  <c r="DM18" i="3" s="1"/>
  <c r="DK3591" i="3"/>
  <c r="DL3591" i="3"/>
  <c r="Y2" i="2"/>
  <c r="DK3573" i="3"/>
  <c r="DL3573" i="3"/>
  <c r="DK3629" i="3"/>
  <c r="DL3629" i="3"/>
  <c r="DK3611" i="3"/>
  <c r="DL3611" i="3"/>
  <c r="DK3478" i="3"/>
  <c r="DK4029" i="3"/>
  <c r="DM4029" i="3" s="1"/>
  <c r="DK533" i="3"/>
  <c r="DK3838" i="3"/>
  <c r="DM3838" i="3" s="1"/>
  <c r="DK2299" i="3"/>
  <c r="DL2299" i="3"/>
  <c r="DK4104" i="3"/>
  <c r="DM4104" i="3" s="1"/>
  <c r="DK4086" i="3"/>
  <c r="DM4086" i="3" s="1"/>
  <c r="DK20" i="3"/>
  <c r="DM20" i="3" s="1"/>
  <c r="DK3668" i="3"/>
  <c r="DK3915" i="3"/>
  <c r="DM3915" i="3" s="1"/>
  <c r="DK3496" i="3"/>
  <c r="DK1159" i="3"/>
  <c r="DM1159" i="3" s="1"/>
  <c r="DK4047" i="3"/>
  <c r="DM4047" i="3" s="1"/>
  <c r="DK2774" i="3"/>
  <c r="DL2774" i="3"/>
  <c r="DK551" i="3"/>
  <c r="DL551" i="3"/>
  <c r="DK2888" i="3"/>
  <c r="DL2888" i="3"/>
  <c r="DK1273" i="3"/>
  <c r="DM1273" i="3" s="1"/>
  <c r="DL1273" i="3"/>
  <c r="DN1273" i="3" s="1"/>
  <c r="DO1273" i="3" s="1"/>
  <c r="DK1045" i="3"/>
  <c r="DM1045" i="3" s="1"/>
  <c r="DL1045" i="3"/>
  <c r="DN1045" i="3" s="1"/>
  <c r="DO1045" i="3" s="1"/>
  <c r="DK2337" i="3"/>
  <c r="DL2337" i="3"/>
  <c r="DK2812" i="3"/>
  <c r="DL2812" i="3"/>
  <c r="DK3382" i="3"/>
  <c r="DK817" i="3"/>
  <c r="DK3306" i="3"/>
  <c r="DK1349" i="3"/>
  <c r="DM1349" i="3" s="1"/>
  <c r="DL1349" i="3"/>
  <c r="DN1349" i="3" s="1"/>
  <c r="DO1349" i="3" s="1"/>
  <c r="DK304" i="3"/>
  <c r="DM304" i="3" s="1"/>
  <c r="DL304" i="3"/>
  <c r="DN304" i="3" s="1"/>
  <c r="DO304" i="3" s="1"/>
  <c r="DK152" i="3"/>
  <c r="DM152" i="3" s="1"/>
  <c r="DK95" i="3"/>
  <c r="DM95" i="3" s="1"/>
  <c r="DL95" i="3"/>
  <c r="DN95" i="3" s="1"/>
  <c r="DO95" i="3" s="1"/>
  <c r="DK1102" i="3"/>
  <c r="DM1102" i="3" s="1"/>
  <c r="DL1102" i="3"/>
  <c r="DN1102" i="3" s="1"/>
  <c r="DO1102" i="3" s="1"/>
  <c r="DK1596" i="3"/>
  <c r="DL1596" i="3"/>
  <c r="DK950" i="3"/>
  <c r="DL950" i="3"/>
  <c r="DK3002" i="3"/>
  <c r="DL3002" i="3"/>
  <c r="DK1786" i="3"/>
  <c r="DL1786" i="3"/>
  <c r="DK3439" i="3"/>
  <c r="DK912" i="3"/>
  <c r="DL912" i="3"/>
  <c r="DK3230" i="3"/>
  <c r="DK2793" i="3"/>
  <c r="DL2793" i="3"/>
  <c r="DK1444" i="3"/>
  <c r="DM1444" i="3" s="1"/>
  <c r="DK988" i="3"/>
  <c r="DM988" i="3" s="1"/>
  <c r="DL988" i="3"/>
  <c r="DN988" i="3" s="1"/>
  <c r="DO988" i="3" s="1"/>
  <c r="DK4275" i="3"/>
  <c r="DM4275" i="3" s="1"/>
  <c r="DK1977" i="3"/>
  <c r="DL1977" i="3"/>
  <c r="DK2850" i="3"/>
  <c r="DL2850" i="3"/>
  <c r="DK722" i="3"/>
  <c r="DL722" i="3"/>
  <c r="DK3192" i="3"/>
  <c r="DK114" i="3"/>
  <c r="DM114" i="3" s="1"/>
  <c r="DK3040" i="3"/>
  <c r="DL3040" i="3"/>
  <c r="DK285" i="3"/>
  <c r="DM285" i="3" s="1"/>
  <c r="DL285" i="3"/>
  <c r="DN285" i="3" s="1"/>
  <c r="DO285" i="3" s="1"/>
  <c r="DK3800" i="3"/>
  <c r="DM3800" i="3" s="1"/>
  <c r="DK3667" i="3"/>
  <c r="DK513" i="3"/>
  <c r="DK1748" i="3"/>
  <c r="DL1748" i="3"/>
  <c r="DK1558" i="3"/>
  <c r="DK3534" i="3"/>
  <c r="DL3534" i="3"/>
  <c r="DK2261" i="3"/>
  <c r="DL2261" i="3"/>
  <c r="DK931" i="3"/>
  <c r="DL931" i="3"/>
  <c r="DK3116" i="3"/>
  <c r="DL3116" i="3"/>
  <c r="DK1311" i="3"/>
  <c r="DM1311" i="3" s="1"/>
  <c r="DL1311" i="3"/>
  <c r="DN1311" i="3" s="1"/>
  <c r="DO1311" i="3" s="1"/>
  <c r="DK1425" i="3"/>
  <c r="DM1425" i="3" s="1"/>
  <c r="DK2584" i="3"/>
  <c r="DL2584" i="3"/>
  <c r="DK1501" i="3"/>
  <c r="DK342" i="3"/>
  <c r="DM342" i="3" s="1"/>
  <c r="DK323" i="3"/>
  <c r="DM323" i="3" s="1"/>
  <c r="DK133" i="3"/>
  <c r="DM133" i="3" s="1"/>
  <c r="DK3078" i="3"/>
  <c r="DL3078" i="3"/>
  <c r="DK969" i="3"/>
  <c r="DL969" i="3"/>
  <c r="DK3876" i="3"/>
  <c r="DM3876" i="3" s="1"/>
  <c r="DK684" i="3"/>
  <c r="DL684" i="3"/>
  <c r="DK2508" i="3"/>
  <c r="DK4066" i="3"/>
  <c r="DM4066" i="3" s="1"/>
  <c r="DK3895" i="3"/>
  <c r="DM3895" i="3" s="1"/>
  <c r="DK1520" i="3"/>
  <c r="DK2148" i="3"/>
  <c r="DL2148" i="3"/>
  <c r="DK1463" i="3"/>
  <c r="DK2071" i="3"/>
  <c r="DL2071" i="3"/>
  <c r="DK3154" i="3"/>
  <c r="DL3154" i="3"/>
  <c r="DK4028" i="3"/>
  <c r="DM4028" i="3" s="1"/>
  <c r="DK665" i="3"/>
  <c r="DL665" i="3"/>
  <c r="DK627" i="3"/>
  <c r="DL627" i="3"/>
  <c r="DK1482" i="3"/>
  <c r="DK3781" i="3"/>
  <c r="DM3781" i="3" s="1"/>
  <c r="DK1026" i="3"/>
  <c r="DM1026" i="3" s="1"/>
  <c r="DL1026" i="3"/>
  <c r="DN1026" i="3" s="1"/>
  <c r="DO1026" i="3" s="1"/>
  <c r="DK2147" i="3"/>
  <c r="DL2147" i="3"/>
  <c r="DK1140" i="3"/>
  <c r="DM1140" i="3" s="1"/>
  <c r="DL1140" i="3"/>
  <c r="DN1140" i="3" s="1"/>
  <c r="DO1140" i="3" s="1"/>
  <c r="DK3952" i="3"/>
  <c r="DM3952" i="3" s="1"/>
  <c r="DK1141" i="3"/>
  <c r="DM1141" i="3" s="1"/>
  <c r="DK2756" i="3"/>
  <c r="DL2756" i="3"/>
  <c r="DK2870" i="3"/>
  <c r="DL2870" i="3"/>
  <c r="DK1255" i="3"/>
  <c r="DM1255" i="3" s="1"/>
  <c r="DL1255" i="3"/>
  <c r="DN1255" i="3" s="1"/>
  <c r="DO1255" i="3" s="1"/>
  <c r="DK1027" i="3"/>
  <c r="DM1027" i="3" s="1"/>
  <c r="DL1027" i="3"/>
  <c r="DN1027" i="3" s="1"/>
  <c r="DO1027" i="3" s="1"/>
  <c r="DK2319" i="3"/>
  <c r="DL2319" i="3"/>
  <c r="DK2794" i="3"/>
  <c r="DL2794" i="3"/>
  <c r="DK3364" i="3"/>
  <c r="DK799" i="3"/>
  <c r="DK3288" i="3"/>
  <c r="DK1331" i="3"/>
  <c r="DM1331" i="3" s="1"/>
  <c r="DL1331" i="3"/>
  <c r="DN1331" i="3" s="1"/>
  <c r="DO1331" i="3" s="1"/>
  <c r="DK286" i="3"/>
  <c r="DM286" i="3" s="1"/>
  <c r="DL286" i="3"/>
  <c r="DN286" i="3" s="1"/>
  <c r="DO286" i="3" s="1"/>
  <c r="DK134" i="3"/>
  <c r="DM134" i="3" s="1"/>
  <c r="DL134" i="3"/>
  <c r="DN134" i="3" s="1"/>
  <c r="DO134" i="3" s="1"/>
  <c r="DK77" i="3"/>
  <c r="DM77" i="3" s="1"/>
  <c r="DL77" i="3"/>
  <c r="DN77" i="3" s="1"/>
  <c r="DO77" i="3" s="1"/>
  <c r="DK1084" i="3"/>
  <c r="DM1084" i="3" s="1"/>
  <c r="DL1084" i="3"/>
  <c r="DN1084" i="3" s="1"/>
  <c r="DO1084" i="3" s="1"/>
  <c r="DK1578" i="3"/>
  <c r="DL1578" i="3"/>
  <c r="DK932" i="3"/>
  <c r="DL932" i="3"/>
  <c r="DK2984" i="3"/>
  <c r="DL2984" i="3"/>
  <c r="DK1768" i="3"/>
  <c r="DL1768" i="3"/>
  <c r="DK3421" i="3"/>
  <c r="DK894" i="3"/>
  <c r="DL894" i="3"/>
  <c r="DK3212" i="3"/>
  <c r="DK2775" i="3"/>
  <c r="DL2775" i="3"/>
  <c r="DK1426" i="3"/>
  <c r="DM1426" i="3" s="1"/>
  <c r="DL970" i="3"/>
  <c r="DN970" i="3" s="1"/>
  <c r="DO970" i="3" s="1"/>
  <c r="DK970" i="3"/>
  <c r="DM970" i="3" s="1"/>
  <c r="DK4257" i="3"/>
  <c r="DM4257" i="3" s="1"/>
  <c r="DK1995" i="3"/>
  <c r="DL1995" i="3"/>
  <c r="DK2832" i="3"/>
  <c r="DL2832" i="3"/>
  <c r="DK704" i="3"/>
  <c r="DL704" i="3"/>
  <c r="DK3174" i="3"/>
  <c r="DK96" i="3"/>
  <c r="DM96" i="3" s="1"/>
  <c r="DK3022" i="3"/>
  <c r="DL3022" i="3"/>
  <c r="DK267" i="3"/>
  <c r="DM267" i="3" s="1"/>
  <c r="DL267" i="3"/>
  <c r="DN267" i="3" s="1"/>
  <c r="DO267" i="3" s="1"/>
  <c r="DK3782" i="3"/>
  <c r="DM3782" i="3" s="1"/>
  <c r="DK3649" i="3"/>
  <c r="DK495" i="3"/>
  <c r="DL495" i="3"/>
  <c r="DK1730" i="3"/>
  <c r="DL1730" i="3"/>
  <c r="DK1540" i="3"/>
  <c r="DK3516" i="3"/>
  <c r="DL3516" i="3"/>
  <c r="DK2243" i="3"/>
  <c r="DL2243" i="3"/>
  <c r="DK913" i="3"/>
  <c r="DL913" i="3"/>
  <c r="DK3098" i="3"/>
  <c r="DL3098" i="3"/>
  <c r="DK1293" i="3"/>
  <c r="DM1293" i="3" s="1"/>
  <c r="DL1293" i="3"/>
  <c r="DN1293" i="3" s="1"/>
  <c r="DO1293" i="3" s="1"/>
  <c r="DK1407" i="3"/>
  <c r="DM1407" i="3" s="1"/>
  <c r="DK2566" i="3"/>
  <c r="DL2566" i="3"/>
  <c r="DK1483" i="3"/>
  <c r="DK324" i="3"/>
  <c r="DM324" i="3" s="1"/>
  <c r="DK305" i="3"/>
  <c r="DM305" i="3" s="1"/>
  <c r="DK115" i="3"/>
  <c r="DM115" i="3" s="1"/>
  <c r="DK3060" i="3"/>
  <c r="DL3060" i="3"/>
  <c r="DK951" i="3"/>
  <c r="DL951" i="3"/>
  <c r="DK3858" i="3"/>
  <c r="DM3858" i="3" s="1"/>
  <c r="DK666" i="3"/>
  <c r="DL666" i="3"/>
  <c r="DK2490" i="3"/>
  <c r="DK4048" i="3"/>
  <c r="DM4048" i="3" s="1"/>
  <c r="DK3877" i="3"/>
  <c r="DM3877" i="3" s="1"/>
  <c r="DK1502" i="3"/>
  <c r="DK2166" i="3"/>
  <c r="DL2166" i="3"/>
  <c r="DK1445" i="3"/>
  <c r="DK2053" i="3"/>
  <c r="DL2053" i="3"/>
  <c r="DK3136" i="3"/>
  <c r="DL3136" i="3"/>
  <c r="DK4010" i="3"/>
  <c r="DM4010" i="3" s="1"/>
  <c r="DK647" i="3"/>
  <c r="DL647" i="3"/>
  <c r="DK609" i="3"/>
  <c r="DK1464" i="3"/>
  <c r="DK3763" i="3"/>
  <c r="DM3763" i="3" s="1"/>
  <c r="DK1008" i="3"/>
  <c r="DM1008" i="3" s="1"/>
  <c r="DL1008" i="3"/>
  <c r="DN1008" i="3" s="1"/>
  <c r="DO1008" i="3" s="1"/>
  <c r="DK2129" i="3"/>
  <c r="DL2129" i="3"/>
  <c r="DK1122" i="3"/>
  <c r="DM1122" i="3" s="1"/>
  <c r="DL1122" i="3"/>
  <c r="DN1122" i="3" s="1"/>
  <c r="DO1122" i="3" s="1"/>
  <c r="DK3934" i="3"/>
  <c r="DM3934" i="3" s="1"/>
  <c r="DK3458" i="3"/>
  <c r="DK437" i="3"/>
  <c r="DM437" i="3" s="1"/>
  <c r="DL437" i="3"/>
  <c r="DN437" i="3" s="1"/>
  <c r="DO437" i="3" s="1"/>
  <c r="DK38" i="3"/>
  <c r="DM38" i="3" s="1"/>
  <c r="DL38" i="3"/>
  <c r="DN38" i="3" s="1"/>
  <c r="DO38" i="3" s="1"/>
  <c r="DK608" i="3"/>
  <c r="DK3686" i="3"/>
  <c r="DK3097" i="3"/>
  <c r="DL3097" i="3"/>
  <c r="DK3933" i="3"/>
  <c r="DM3933" i="3" s="1"/>
  <c r="DK3990" i="3"/>
  <c r="DM3990" i="3" s="1"/>
  <c r="DK2489" i="3"/>
  <c r="DK3914" i="3"/>
  <c r="DM3914" i="3" s="1"/>
  <c r="DK1216" i="3"/>
  <c r="DM1216" i="3" s="1"/>
  <c r="DL1216" i="3"/>
  <c r="DN1216" i="3" s="1"/>
  <c r="DO1216" i="3" s="1"/>
  <c r="DK3287" i="3"/>
  <c r="DK57" i="3"/>
  <c r="DM57" i="3" s="1"/>
  <c r="DK266" i="3"/>
  <c r="DM266" i="3" s="1"/>
  <c r="DL266" i="3"/>
  <c r="DN266" i="3" s="1"/>
  <c r="DO266" i="3" s="1"/>
  <c r="DK1976" i="3"/>
  <c r="DL1976" i="3"/>
  <c r="DK798" i="3"/>
  <c r="DK4085" i="3"/>
  <c r="DM4085" i="3" s="1"/>
  <c r="DK494" i="3"/>
  <c r="DL494" i="3"/>
  <c r="DK1083" i="3"/>
  <c r="DM1083" i="3" s="1"/>
  <c r="DL1083" i="3"/>
  <c r="DN1083" i="3" s="1"/>
  <c r="DO1083" i="3" s="1"/>
  <c r="DK3477" i="3"/>
  <c r="DK3268" i="3"/>
  <c r="DL855" i="3"/>
  <c r="DK855" i="3"/>
  <c r="DK2641" i="3"/>
  <c r="DL2641" i="3"/>
  <c r="DK1064" i="3"/>
  <c r="DM1064" i="3" s="1"/>
  <c r="DL1064" i="3"/>
  <c r="DN1064" i="3" s="1"/>
  <c r="DO1064" i="3" s="1"/>
  <c r="DK3762" i="3"/>
  <c r="DK1862" i="3"/>
  <c r="DL1862" i="3"/>
  <c r="DK532" i="3"/>
  <c r="DK1634" i="3"/>
  <c r="DL1634" i="3"/>
  <c r="DK3344" i="3"/>
  <c r="DK2033" i="3"/>
  <c r="DL2033" i="3"/>
  <c r="DK3610" i="3"/>
  <c r="DL3610" i="3"/>
  <c r="DK2964" i="3"/>
  <c r="DL2964" i="3"/>
  <c r="DK380" i="3"/>
  <c r="DM380" i="3" s="1"/>
  <c r="DL380" i="3"/>
  <c r="DN380" i="3" s="1"/>
  <c r="DO380" i="3" s="1"/>
  <c r="DK1406" i="3"/>
  <c r="DM1406" i="3" s="1"/>
  <c r="DK2926" i="3"/>
  <c r="DL2926" i="3"/>
  <c r="DK1672" i="3"/>
  <c r="DL1672" i="3"/>
  <c r="DK3420" i="3"/>
  <c r="DK3724" i="3"/>
  <c r="DK2413" i="3"/>
  <c r="DK1387" i="3"/>
  <c r="DM1387" i="3" s="1"/>
  <c r="DK76" i="3"/>
  <c r="DM76" i="3" s="1"/>
  <c r="DL76" i="3"/>
  <c r="DN76" i="3" s="1"/>
  <c r="DO76" i="3" s="1"/>
  <c r="DK874" i="3"/>
  <c r="DL874" i="3"/>
  <c r="DK1539" i="3"/>
  <c r="DK3572" i="3"/>
  <c r="DL3572" i="3"/>
  <c r="DK1710" i="3"/>
  <c r="DL1710" i="3"/>
  <c r="DK247" i="3"/>
  <c r="DM247" i="3" s="1"/>
  <c r="DL247" i="3"/>
  <c r="DN247" i="3" s="1"/>
  <c r="DO247" i="3" s="1"/>
  <c r="DK399" i="3"/>
  <c r="DM399" i="3" s="1"/>
  <c r="DL399" i="3"/>
  <c r="DN399" i="3" s="1"/>
  <c r="DO399" i="3" s="1"/>
  <c r="DK2432" i="3"/>
  <c r="DK1178" i="3"/>
  <c r="DM1178" i="3" s="1"/>
  <c r="DK171" i="3"/>
  <c r="DM171" i="3" s="1"/>
  <c r="DK1235" i="3"/>
  <c r="DM1235" i="3" s="1"/>
  <c r="DL1235" i="3"/>
  <c r="DN1235" i="3" s="1"/>
  <c r="DO1235" i="3" s="1"/>
  <c r="DK2223" i="3"/>
  <c r="DL2223" i="3"/>
  <c r="DK4294" i="3"/>
  <c r="DM4294" i="3" s="1"/>
  <c r="DK741" i="3"/>
  <c r="DL741" i="3"/>
  <c r="DK2660" i="3"/>
  <c r="DL2660" i="3"/>
  <c r="DK3743" i="3"/>
  <c r="DK1007" i="3"/>
  <c r="DM1007" i="3" s="1"/>
  <c r="DL1007" i="3"/>
  <c r="DN1007" i="3" s="1"/>
  <c r="DO1007" i="3" s="1"/>
  <c r="DK4180" i="3"/>
  <c r="DM4180" i="3" s="1"/>
  <c r="DK2072" i="3"/>
  <c r="DL2072" i="3"/>
  <c r="DK209" i="3"/>
  <c r="DM209" i="3" s="1"/>
  <c r="DK1197" i="3"/>
  <c r="DM1197" i="3" s="1"/>
  <c r="DL1197" i="3"/>
  <c r="DN1197" i="3" s="1"/>
  <c r="DO1197" i="3" s="1"/>
  <c r="DK3648" i="3"/>
  <c r="DK1368" i="3"/>
  <c r="DM1368" i="3" s="1"/>
  <c r="DL1368" i="3"/>
  <c r="DN1368" i="3" s="1"/>
  <c r="DO1368" i="3" s="1"/>
  <c r="DK4218" i="3"/>
  <c r="DM4218" i="3" s="1"/>
  <c r="DK3971" i="3"/>
  <c r="DM3971" i="3" s="1"/>
  <c r="DK2565" i="3"/>
  <c r="DK4142" i="3"/>
  <c r="DM4142" i="3" s="1"/>
  <c r="DK1824" i="3"/>
  <c r="DL1824" i="3"/>
  <c r="DK361" i="3"/>
  <c r="DM361" i="3" s="1"/>
  <c r="DK2375" i="3"/>
  <c r="DL2375" i="3"/>
  <c r="DK760" i="3"/>
  <c r="DK1957" i="3"/>
  <c r="DL1957" i="3"/>
  <c r="DK3820" i="3"/>
  <c r="DM3820" i="3" s="1"/>
  <c r="DK2281" i="3"/>
  <c r="DL2281" i="3"/>
  <c r="DK3440" i="3"/>
  <c r="DK419" i="3"/>
  <c r="DM419" i="3" s="1"/>
  <c r="DL419" i="3"/>
  <c r="DN419" i="3" s="1"/>
  <c r="DO419" i="3" s="1"/>
  <c r="DK590" i="3"/>
  <c r="DK3079" i="3"/>
  <c r="DL3079" i="3"/>
  <c r="DK3972" i="3"/>
  <c r="DM3972" i="3" s="1"/>
  <c r="DK2471" i="3"/>
  <c r="DK3896" i="3"/>
  <c r="DM3896" i="3" s="1"/>
  <c r="DK1198" i="3"/>
  <c r="DM1198" i="3" s="1"/>
  <c r="DL1198" i="3"/>
  <c r="DN1198" i="3" s="1"/>
  <c r="DO1198" i="3" s="1"/>
  <c r="DK3269" i="3"/>
  <c r="DK39" i="3"/>
  <c r="DM39" i="3" s="1"/>
  <c r="DK248" i="3"/>
  <c r="DM248" i="3" s="1"/>
  <c r="DL248" i="3"/>
  <c r="DN248" i="3" s="1"/>
  <c r="DO248" i="3" s="1"/>
  <c r="DK1958" i="3"/>
  <c r="DL1958" i="3"/>
  <c r="DK780" i="3"/>
  <c r="DK4067" i="3"/>
  <c r="DM4067" i="3" s="1"/>
  <c r="DK476" i="3"/>
  <c r="DK1065" i="3"/>
  <c r="DM1065" i="3" s="1"/>
  <c r="DL1065" i="3"/>
  <c r="DN1065" i="3" s="1"/>
  <c r="DO1065" i="3" s="1"/>
  <c r="DK3459" i="3"/>
  <c r="DK3250" i="3"/>
  <c r="DK837" i="3"/>
  <c r="DL837" i="3"/>
  <c r="DK2623" i="3"/>
  <c r="DL2623" i="3"/>
  <c r="DK1046" i="3"/>
  <c r="DM1046" i="3" s="1"/>
  <c r="DL1046" i="3"/>
  <c r="DN1046" i="3" s="1"/>
  <c r="DO1046" i="3" s="1"/>
  <c r="DK3744" i="3"/>
  <c r="DK1844" i="3"/>
  <c r="DL1844" i="3"/>
  <c r="DK514" i="3"/>
  <c r="DL514" i="3"/>
  <c r="DK1616" i="3"/>
  <c r="DL1616" i="3"/>
  <c r="DK3326" i="3"/>
  <c r="DK2015" i="3"/>
  <c r="DL2015" i="3"/>
  <c r="DK3592" i="3"/>
  <c r="DL3592" i="3"/>
  <c r="DK2946" i="3"/>
  <c r="DL2946" i="3"/>
  <c r="DK362" i="3"/>
  <c r="DM362" i="3" s="1"/>
  <c r="DL362" i="3"/>
  <c r="DN362" i="3" s="1"/>
  <c r="DO362" i="3" s="1"/>
  <c r="DK1388" i="3"/>
  <c r="DM1388" i="3" s="1"/>
  <c r="DK2908" i="3"/>
  <c r="DL2908" i="3"/>
  <c r="DK1654" i="3"/>
  <c r="DL1654" i="3"/>
  <c r="DK3402" i="3"/>
  <c r="DK3706" i="3"/>
  <c r="DK2395" i="3"/>
  <c r="DK1369" i="3"/>
  <c r="DM1369" i="3" s="1"/>
  <c r="DK58" i="3"/>
  <c r="DM58" i="3" s="1"/>
  <c r="DL58" i="3"/>
  <c r="DN58" i="3" s="1"/>
  <c r="DO58" i="3" s="1"/>
  <c r="DK856" i="3"/>
  <c r="DL856" i="3"/>
  <c r="DK1521" i="3"/>
  <c r="DK3554" i="3"/>
  <c r="DL3554" i="3"/>
  <c r="DK1692" i="3"/>
  <c r="DL1692" i="3"/>
  <c r="DK229" i="3"/>
  <c r="DM229" i="3" s="1"/>
  <c r="DL229" i="3"/>
  <c r="DN229" i="3" s="1"/>
  <c r="DO229" i="3" s="1"/>
  <c r="DK381" i="3"/>
  <c r="DM381" i="3" s="1"/>
  <c r="DL381" i="3"/>
  <c r="DN381" i="3" s="1"/>
  <c r="DO381" i="3" s="1"/>
  <c r="DK2414" i="3"/>
  <c r="DK1160" i="3"/>
  <c r="DM1160" i="3" s="1"/>
  <c r="DK153" i="3"/>
  <c r="DM153" i="3" s="1"/>
  <c r="DK1217" i="3"/>
  <c r="DM1217" i="3" s="1"/>
  <c r="DL1217" i="3"/>
  <c r="DN1217" i="3" s="1"/>
  <c r="DO1217" i="3" s="1"/>
  <c r="DK2205" i="3"/>
  <c r="DL2205" i="3"/>
  <c r="DK4276" i="3"/>
  <c r="DM4276" i="3" s="1"/>
  <c r="DK723" i="3"/>
  <c r="DL723" i="3"/>
  <c r="DK2642" i="3"/>
  <c r="DL2642" i="3"/>
  <c r="DK3725" i="3"/>
  <c r="DK989" i="3"/>
  <c r="DM989" i="3" s="1"/>
  <c r="DL989" i="3"/>
  <c r="DN989" i="3" s="1"/>
  <c r="DO989" i="3" s="1"/>
  <c r="DK4162" i="3"/>
  <c r="DM4162" i="3" s="1"/>
  <c r="DK2090" i="3"/>
  <c r="DL2090" i="3"/>
  <c r="DK191" i="3"/>
  <c r="DM191" i="3" s="1"/>
  <c r="DL191" i="3"/>
  <c r="DN191" i="3" s="1"/>
  <c r="DO191" i="3" s="1"/>
  <c r="DK1179" i="3"/>
  <c r="DM1179" i="3" s="1"/>
  <c r="DL1179" i="3"/>
  <c r="DN1179" i="3" s="1"/>
  <c r="DO1179" i="3" s="1"/>
  <c r="DK3630" i="3"/>
  <c r="DK1350" i="3"/>
  <c r="DM1350" i="3" s="1"/>
  <c r="DL1350" i="3"/>
  <c r="DN1350" i="3" s="1"/>
  <c r="DO1350" i="3" s="1"/>
  <c r="DK4200" i="3"/>
  <c r="DM4200" i="3" s="1"/>
  <c r="DK3953" i="3"/>
  <c r="DM3953" i="3" s="1"/>
  <c r="DK2547" i="3"/>
  <c r="DK4124" i="3"/>
  <c r="DM4124" i="3" s="1"/>
  <c r="DK1806" i="3"/>
  <c r="DL1806" i="3"/>
  <c r="DK343" i="3"/>
  <c r="DM343" i="3" s="1"/>
  <c r="DK2357" i="3"/>
  <c r="DL2357" i="3"/>
  <c r="DK742" i="3"/>
  <c r="DK1939" i="3"/>
  <c r="DL1939" i="3"/>
  <c r="DN17" i="3" l="1"/>
  <c r="DO17" i="3" s="1"/>
  <c r="DL18" i="3"/>
  <c r="DN608" i="3"/>
  <c r="DO608" i="3" s="1"/>
  <c r="DL608" i="3"/>
  <c r="DN2547" i="3"/>
  <c r="DO2547" i="3" s="1"/>
  <c r="DL2547" i="3"/>
  <c r="DL4200" i="3"/>
  <c r="DN4200" i="3" s="1"/>
  <c r="DO4200" i="3" s="1"/>
  <c r="DN3630" i="3"/>
  <c r="DO3630" i="3" s="1"/>
  <c r="DL3630" i="3"/>
  <c r="DL4162" i="3"/>
  <c r="DN4162" i="3" s="1"/>
  <c r="DO4162" i="3" s="1"/>
  <c r="DN3725" i="3"/>
  <c r="DO3725" i="3" s="1"/>
  <c r="DL3725" i="3"/>
  <c r="DL153" i="3"/>
  <c r="DN153" i="3" s="1"/>
  <c r="DO153" i="3" s="1"/>
  <c r="DN2414" i="3"/>
  <c r="DO2414" i="3" s="1"/>
  <c r="DL2414" i="3"/>
  <c r="DL1369" i="3"/>
  <c r="DN1369" i="3" s="1"/>
  <c r="DO1369" i="3" s="1"/>
  <c r="DN3706" i="3"/>
  <c r="DO3706" i="3" s="1"/>
  <c r="DL3706" i="3"/>
  <c r="DL1388" i="3"/>
  <c r="DN1388" i="3" s="1"/>
  <c r="DO1388" i="3" s="1"/>
  <c r="DN3459" i="3"/>
  <c r="DO3459" i="3" s="1"/>
  <c r="DL3459" i="3"/>
  <c r="DN476" i="3"/>
  <c r="DO476" i="3" s="1"/>
  <c r="DL476" i="3"/>
  <c r="DN780" i="3"/>
  <c r="DO780" i="3" s="1"/>
  <c r="DL780" i="3"/>
  <c r="DN3269" i="3"/>
  <c r="DO3269" i="3" s="1"/>
  <c r="DL3269" i="3"/>
  <c r="DL3896" i="3"/>
  <c r="DN3896" i="3" s="1"/>
  <c r="DO3896" i="3" s="1"/>
  <c r="DL3972" i="3"/>
  <c r="DN3972" i="3" s="1"/>
  <c r="DO3972" i="3" s="1"/>
  <c r="DN590" i="3"/>
  <c r="DO590" i="3" s="1"/>
  <c r="DL590" i="3"/>
  <c r="DN3440" i="3"/>
  <c r="DO3440" i="3" s="1"/>
  <c r="DL3440" i="3"/>
  <c r="DL3820" i="3"/>
  <c r="DN3820" i="3" s="1"/>
  <c r="DO3820" i="3" s="1"/>
  <c r="DN760" i="3"/>
  <c r="DO760" i="3" s="1"/>
  <c r="DL760" i="3"/>
  <c r="DL361" i="3"/>
  <c r="DN361" i="3" s="1"/>
  <c r="DO361" i="3" s="1"/>
  <c r="DL4142" i="3"/>
  <c r="DN4142" i="3" s="1"/>
  <c r="DO4142" i="3" s="1"/>
  <c r="DL3971" i="3"/>
  <c r="DN3971" i="3" s="1"/>
  <c r="DO3971" i="3" s="1"/>
  <c r="DL4294" i="3"/>
  <c r="DN4294" i="3" s="1"/>
  <c r="DO4294" i="3" s="1"/>
  <c r="DL1178" i="3"/>
  <c r="DN1178" i="3" s="1"/>
  <c r="DO1178" i="3" s="1"/>
  <c r="DN1539" i="3"/>
  <c r="DO1539" i="3" s="1"/>
  <c r="DL1539" i="3"/>
  <c r="DN2413" i="3"/>
  <c r="DO2413" i="3" s="1"/>
  <c r="DL2413" i="3"/>
  <c r="DN3420" i="3"/>
  <c r="DO3420" i="3" s="1"/>
  <c r="DL3420" i="3"/>
  <c r="DN3344" i="3"/>
  <c r="DO3344" i="3" s="1"/>
  <c r="DL3344" i="3"/>
  <c r="DN532" i="3"/>
  <c r="DO532" i="3" s="1"/>
  <c r="DL532" i="3"/>
  <c r="DN3762" i="3"/>
  <c r="DO3762" i="3" s="1"/>
  <c r="DL3762" i="3"/>
  <c r="DN3268" i="3"/>
  <c r="DO3268" i="3" s="1"/>
  <c r="DL3268" i="3"/>
  <c r="DL4085" i="3"/>
  <c r="DN4085" i="3" s="1"/>
  <c r="DO4085" i="3" s="1"/>
  <c r="DL57" i="3"/>
  <c r="DN57" i="3" s="1"/>
  <c r="DO57" i="3" s="1"/>
  <c r="DN2489" i="3"/>
  <c r="DO2489" i="3" s="1"/>
  <c r="DL2489" i="3"/>
  <c r="DL3933" i="3"/>
  <c r="DN3933" i="3" s="1"/>
  <c r="DO3933" i="3" s="1"/>
  <c r="DN3686" i="3"/>
  <c r="DO3686" i="3" s="1"/>
  <c r="DL3686" i="3"/>
  <c r="DN3458" i="3"/>
  <c r="DO3458" i="3" s="1"/>
  <c r="DL3458" i="3"/>
  <c r="DN1464" i="3"/>
  <c r="DO1464" i="3" s="1"/>
  <c r="DL1464" i="3"/>
  <c r="DN1445" i="3"/>
  <c r="DO1445" i="3" s="1"/>
  <c r="DL1445" i="3"/>
  <c r="DN1502" i="3"/>
  <c r="DO1502" i="3" s="1"/>
  <c r="DL1502" i="3"/>
  <c r="DL4048" i="3"/>
  <c r="DN4048" i="3" s="1"/>
  <c r="DO4048" i="3" s="1"/>
  <c r="DL115" i="3"/>
  <c r="DN115" i="3" s="1"/>
  <c r="DO115" i="3" s="1"/>
  <c r="DL324" i="3"/>
  <c r="DN324" i="3" s="1"/>
  <c r="DO324" i="3" s="1"/>
  <c r="DN3649" i="3"/>
  <c r="DO3649" i="3" s="1"/>
  <c r="DL3649" i="3"/>
  <c r="DL96" i="3"/>
  <c r="DN96" i="3" s="1"/>
  <c r="DO96" i="3" s="1"/>
  <c r="DN799" i="3"/>
  <c r="DO799" i="3" s="1"/>
  <c r="DL799" i="3"/>
  <c r="DL1141" i="3"/>
  <c r="DN1141" i="3" s="1"/>
  <c r="DO1141" i="3" s="1"/>
  <c r="DN1482" i="3"/>
  <c r="DO1482" i="3" s="1"/>
  <c r="DL1482" i="3"/>
  <c r="DN1463" i="3"/>
  <c r="DO1463" i="3" s="1"/>
  <c r="DL1463" i="3"/>
  <c r="DN1520" i="3"/>
  <c r="DO1520" i="3" s="1"/>
  <c r="DL1520" i="3"/>
  <c r="DL4066" i="3"/>
  <c r="DN4066" i="3" s="1"/>
  <c r="DO4066" i="3" s="1"/>
  <c r="DL133" i="3"/>
  <c r="DN133" i="3" s="1"/>
  <c r="DO133" i="3" s="1"/>
  <c r="DL342" i="3"/>
  <c r="DN342" i="3" s="1"/>
  <c r="DO342" i="3" s="1"/>
  <c r="DN3667" i="3"/>
  <c r="DO3667" i="3" s="1"/>
  <c r="DL3667" i="3"/>
  <c r="DL114" i="3"/>
  <c r="DN114" i="3" s="1"/>
  <c r="DO114" i="3" s="1"/>
  <c r="DL152" i="3"/>
  <c r="DN152" i="3" s="1"/>
  <c r="DO152" i="3" s="1"/>
  <c r="DN817" i="3"/>
  <c r="DO817" i="3" s="1"/>
  <c r="DL817" i="3"/>
  <c r="DL1159" i="3"/>
  <c r="DN1159" i="3" s="1"/>
  <c r="DO1159" i="3" s="1"/>
  <c r="DL3915" i="3"/>
  <c r="DN3915" i="3" s="1"/>
  <c r="DO3915" i="3" s="1"/>
  <c r="DL20" i="3"/>
  <c r="DN20" i="3" s="1"/>
  <c r="DO20" i="3" s="1"/>
  <c r="DL4104" i="3"/>
  <c r="DN4104" i="3" s="1"/>
  <c r="DO4104" i="3" s="1"/>
  <c r="DL3838" i="3"/>
  <c r="DN3838" i="3" s="1"/>
  <c r="DO3838" i="3" s="1"/>
  <c r="DL4029" i="3"/>
  <c r="DN4029" i="3" s="1"/>
  <c r="DO4029" i="3" s="1"/>
  <c r="DN742" i="3"/>
  <c r="DO742" i="3" s="1"/>
  <c r="DL742" i="3"/>
  <c r="DL343" i="3"/>
  <c r="DN343" i="3" s="1"/>
  <c r="DO343" i="3" s="1"/>
  <c r="DL4124" i="3"/>
  <c r="DN4124" i="3" s="1"/>
  <c r="DO4124" i="3" s="1"/>
  <c r="DL3953" i="3"/>
  <c r="DN3953" i="3" s="1"/>
  <c r="DO3953" i="3" s="1"/>
  <c r="DL4276" i="3"/>
  <c r="DN4276" i="3" s="1"/>
  <c r="DO4276" i="3" s="1"/>
  <c r="DL1160" i="3"/>
  <c r="DN1160" i="3" s="1"/>
  <c r="DO1160" i="3" s="1"/>
  <c r="DN1521" i="3"/>
  <c r="DO1521" i="3" s="1"/>
  <c r="DL1521" i="3"/>
  <c r="DN2395" i="3"/>
  <c r="DO2395" i="3" s="1"/>
  <c r="DL2395" i="3"/>
  <c r="DN3402" i="3"/>
  <c r="DO3402" i="3" s="1"/>
  <c r="DL3402" i="3"/>
  <c r="DN3326" i="3"/>
  <c r="DO3326" i="3" s="1"/>
  <c r="DL3326" i="3"/>
  <c r="DN3744" i="3"/>
  <c r="DO3744" i="3" s="1"/>
  <c r="DL3744" i="3"/>
  <c r="DN3250" i="3"/>
  <c r="DO3250" i="3" s="1"/>
  <c r="DL3250" i="3"/>
  <c r="DL4067" i="3"/>
  <c r="DN4067" i="3" s="1"/>
  <c r="DO4067" i="3" s="1"/>
  <c r="DL39" i="3"/>
  <c r="DN39" i="3" s="1"/>
  <c r="DO39" i="3" s="1"/>
  <c r="DN2471" i="3"/>
  <c r="DO2471" i="3" s="1"/>
  <c r="DL2471" i="3"/>
  <c r="DN2565" i="3"/>
  <c r="DO2565" i="3" s="1"/>
  <c r="DL2565" i="3"/>
  <c r="DL4218" i="3"/>
  <c r="DN4218" i="3" s="1"/>
  <c r="DO4218" i="3" s="1"/>
  <c r="DN3648" i="3"/>
  <c r="DO3648" i="3" s="1"/>
  <c r="DL3648" i="3"/>
  <c r="DL209" i="3"/>
  <c r="DN209" i="3" s="1"/>
  <c r="DO209" i="3" s="1"/>
  <c r="DL4180" i="3"/>
  <c r="DN4180" i="3" s="1"/>
  <c r="DO4180" i="3" s="1"/>
  <c r="DN3743" i="3"/>
  <c r="DO3743" i="3" s="1"/>
  <c r="DL3743" i="3"/>
  <c r="DL171" i="3"/>
  <c r="DN171" i="3" s="1"/>
  <c r="DO171" i="3" s="1"/>
  <c r="DN2432" i="3"/>
  <c r="DO2432" i="3" s="1"/>
  <c r="DL2432" i="3"/>
  <c r="DL1387" i="3"/>
  <c r="DN1387" i="3" s="1"/>
  <c r="DO1387" i="3" s="1"/>
  <c r="DN3724" i="3"/>
  <c r="DO3724" i="3" s="1"/>
  <c r="DL3724" i="3"/>
  <c r="DL1406" i="3"/>
  <c r="DN1406" i="3" s="1"/>
  <c r="DO1406" i="3" s="1"/>
  <c r="DN3477" i="3"/>
  <c r="DO3477" i="3" s="1"/>
  <c r="DL3477" i="3"/>
  <c r="DN798" i="3"/>
  <c r="DO798" i="3" s="1"/>
  <c r="DL798" i="3"/>
  <c r="DN3287" i="3"/>
  <c r="DO3287" i="3" s="1"/>
  <c r="DL3287" i="3"/>
  <c r="DL3914" i="3"/>
  <c r="DN3914" i="3" s="1"/>
  <c r="DO3914" i="3" s="1"/>
  <c r="DL3990" i="3"/>
  <c r="DN3990" i="3" s="1"/>
  <c r="DO3990" i="3" s="1"/>
  <c r="DL3934" i="3"/>
  <c r="DN3934" i="3" s="1"/>
  <c r="DO3934" i="3" s="1"/>
  <c r="DL3763" i="3"/>
  <c r="DN3763" i="3" s="1"/>
  <c r="DO3763" i="3" s="1"/>
  <c r="DN609" i="3"/>
  <c r="DO609" i="3" s="1"/>
  <c r="DL609" i="3"/>
  <c r="DL4010" i="3"/>
  <c r="DN4010" i="3" s="1"/>
  <c r="DO4010" i="3" s="1"/>
  <c r="DL3877" i="3"/>
  <c r="DN3877" i="3" s="1"/>
  <c r="DO3877" i="3" s="1"/>
  <c r="DN2490" i="3"/>
  <c r="DO2490" i="3" s="1"/>
  <c r="DL2490" i="3"/>
  <c r="DL3858" i="3"/>
  <c r="DN3858" i="3" s="1"/>
  <c r="DO3858" i="3" s="1"/>
  <c r="DL305" i="3"/>
  <c r="DN305" i="3" s="1"/>
  <c r="DO305" i="3" s="1"/>
  <c r="DN1483" i="3"/>
  <c r="DO1483" i="3" s="1"/>
  <c r="DL1483" i="3"/>
  <c r="DL1407" i="3"/>
  <c r="DN1407" i="3" s="1"/>
  <c r="DO1407" i="3" s="1"/>
  <c r="DN1540" i="3"/>
  <c r="DO1540" i="3" s="1"/>
  <c r="DL1540" i="3"/>
  <c r="DL3782" i="3"/>
  <c r="DN3782" i="3" s="1"/>
  <c r="DO3782" i="3" s="1"/>
  <c r="DN3174" i="3"/>
  <c r="DO3174" i="3" s="1"/>
  <c r="DL3174" i="3"/>
  <c r="DL4257" i="3"/>
  <c r="DN4257" i="3" s="1"/>
  <c r="DO4257" i="3" s="1"/>
  <c r="DL1426" i="3"/>
  <c r="DN1426" i="3" s="1"/>
  <c r="DO1426" i="3" s="1"/>
  <c r="DN3212" i="3"/>
  <c r="DO3212" i="3" s="1"/>
  <c r="DL3212" i="3"/>
  <c r="DN3421" i="3"/>
  <c r="DO3421" i="3" s="1"/>
  <c r="DL3421" i="3"/>
  <c r="DN3288" i="3"/>
  <c r="DO3288" i="3" s="1"/>
  <c r="DL3288" i="3"/>
  <c r="DN3364" i="3"/>
  <c r="DO3364" i="3" s="1"/>
  <c r="DL3364" i="3"/>
  <c r="DL3952" i="3"/>
  <c r="DN3952" i="3" s="1"/>
  <c r="DO3952" i="3" s="1"/>
  <c r="DL3781" i="3"/>
  <c r="DN3781" i="3" s="1"/>
  <c r="DO3781" i="3" s="1"/>
  <c r="DL4028" i="3"/>
  <c r="DN4028" i="3" s="1"/>
  <c r="DO4028" i="3" s="1"/>
  <c r="DL3895" i="3"/>
  <c r="DN3895" i="3" s="1"/>
  <c r="DO3895" i="3" s="1"/>
  <c r="DN2508" i="3"/>
  <c r="DO2508" i="3" s="1"/>
  <c r="DL2508" i="3"/>
  <c r="DL3876" i="3"/>
  <c r="DN3876" i="3" s="1"/>
  <c r="DO3876" i="3" s="1"/>
  <c r="DL323" i="3"/>
  <c r="DN323" i="3" s="1"/>
  <c r="DO323" i="3" s="1"/>
  <c r="DN1501" i="3"/>
  <c r="DO1501" i="3" s="1"/>
  <c r="DL1501" i="3"/>
  <c r="DL1425" i="3"/>
  <c r="DN1425" i="3" s="1"/>
  <c r="DO1425" i="3" s="1"/>
  <c r="DN1558" i="3"/>
  <c r="DO1558" i="3" s="1"/>
  <c r="DL1558" i="3"/>
  <c r="DN513" i="3"/>
  <c r="DO513" i="3" s="1"/>
  <c r="DL513" i="3"/>
  <c r="DL3800" i="3"/>
  <c r="DN3800" i="3" s="1"/>
  <c r="DO3800" i="3" s="1"/>
  <c r="DN3192" i="3"/>
  <c r="DO3192" i="3" s="1"/>
  <c r="DL3192" i="3"/>
  <c r="DL4275" i="3"/>
  <c r="DN4275" i="3" s="1"/>
  <c r="DO4275" i="3" s="1"/>
  <c r="DL1444" i="3"/>
  <c r="DN1444" i="3" s="1"/>
  <c r="DO1444" i="3" s="1"/>
  <c r="DN3230" i="3"/>
  <c r="DO3230" i="3" s="1"/>
  <c r="DL3230" i="3"/>
  <c r="DN3439" i="3"/>
  <c r="DO3439" i="3" s="1"/>
  <c r="DL3439" i="3"/>
  <c r="DN3306" i="3"/>
  <c r="DO3306" i="3" s="1"/>
  <c r="DL3306" i="3"/>
  <c r="DN3382" i="3"/>
  <c r="DO3382" i="3" s="1"/>
  <c r="DL3382" i="3"/>
  <c r="DL4047" i="3"/>
  <c r="DN4047" i="3" s="1"/>
  <c r="DO4047" i="3" s="1"/>
  <c r="DN3496" i="3"/>
  <c r="DO3496" i="3" s="1"/>
  <c r="DL3496" i="3"/>
  <c r="DN3668" i="3"/>
  <c r="DO3668" i="3" s="1"/>
  <c r="DL3668" i="3"/>
  <c r="DL4086" i="3"/>
  <c r="DN4086" i="3" s="1"/>
  <c r="DO4086" i="3" s="1"/>
  <c r="DN533" i="3"/>
  <c r="DO533" i="3" s="1"/>
  <c r="DL533" i="3"/>
  <c r="DN3478" i="3"/>
  <c r="DO3478" i="3" s="1"/>
  <c r="DL3478" i="3"/>
  <c r="DK19" i="3"/>
  <c r="DM19" i="3" s="1"/>
  <c r="DT15" i="3" l="1" a="1"/>
  <c r="DT15" i="3" s="1"/>
  <c r="DN18" i="3"/>
  <c r="DO18" i="3" s="1"/>
  <c r="DL19" i="3"/>
  <c r="DT29" i="3" l="1"/>
  <c r="DR50" i="3"/>
  <c r="DU16" i="3" a="1"/>
  <c r="DU16" i="3" s="1"/>
  <c r="DT18" i="3" a="1"/>
  <c r="DT18" i="3" s="1"/>
  <c r="DU18" i="3" a="1"/>
  <c r="DU18" i="3" s="1"/>
  <c r="DT16" i="3" a="1"/>
  <c r="DT16" i="3" s="1"/>
  <c r="DT17" i="3" a="1"/>
  <c r="DT17" i="3" s="1"/>
  <c r="DU15" i="3" a="1"/>
  <c r="DU15" i="3" s="1"/>
  <c r="DU17" i="3" a="1"/>
  <c r="DU17" i="3" s="1"/>
  <c r="DN19" i="3"/>
  <c r="DO19" i="3" s="1"/>
  <c r="DS52" i="3" l="1"/>
  <c r="EL61" i="3" s="1"/>
  <c r="DU31" i="3"/>
  <c r="DS51" i="3"/>
  <c r="EH61" i="3" s="1"/>
  <c r="DU30" i="3"/>
  <c r="DS50" i="3"/>
  <c r="ED61" i="3" s="1"/>
  <c r="DU29" i="3"/>
  <c r="DT31" i="3"/>
  <c r="DR52" i="3"/>
  <c r="DT35" i="3"/>
  <c r="DT36" i="3" s="1"/>
  <c r="DR53" i="3"/>
  <c r="DT30" i="3"/>
  <c r="DR51" i="3"/>
  <c r="EC61" i="3"/>
  <c r="EF61" i="3"/>
  <c r="DU35" i="3"/>
  <c r="DU36" i="3" s="1"/>
  <c r="DS53" i="3"/>
  <c r="EP61" i="3" s="1"/>
  <c r="DW29" i="3"/>
  <c r="DM1" i="3"/>
  <c r="ER61" i="3" l="1"/>
  <c r="EO61" i="3"/>
  <c r="EJ61" i="3"/>
  <c r="EG61" i="3"/>
  <c r="EN61" i="3"/>
  <c r="EK61" i="3"/>
  <c r="DW30" i="3"/>
  <c r="DY1" i="3" l="1"/>
  <c r="DY2" i="3" s="1"/>
  <c r="DW9" i="3"/>
  <c r="DW7" i="3"/>
  <c r="DW6" i="3"/>
  <c r="DW31" i="3"/>
  <c r="DW8" i="3"/>
</calcChain>
</file>

<file path=xl/sharedStrings.xml><?xml version="1.0" encoding="utf-8"?>
<sst xmlns="http://schemas.openxmlformats.org/spreadsheetml/2006/main" count="55" uniqueCount="52">
  <si>
    <t>Longer Run</t>
  </si>
  <si>
    <t>X</t>
  </si>
  <si>
    <t>Y</t>
  </si>
  <si>
    <t>Published</t>
  </si>
  <si>
    <t>edm2</t>
  </si>
  <si>
    <t>edu2</t>
  </si>
  <si>
    <t>edz2</t>
  </si>
  <si>
    <t>edh3</t>
  </si>
  <si>
    <t>edm3</t>
  </si>
  <si>
    <t>edu3</t>
  </si>
  <si>
    <t>edz3</t>
  </si>
  <si>
    <t>edh4</t>
  </si>
  <si>
    <t>edm4</t>
  </si>
  <si>
    <t>edu4</t>
  </si>
  <si>
    <t>edz4</t>
  </si>
  <si>
    <t>edh5</t>
  </si>
  <si>
    <t>edm5</t>
  </si>
  <si>
    <t>edu5</t>
  </si>
  <si>
    <t>edz5</t>
  </si>
  <si>
    <t>edh6</t>
  </si>
  <si>
    <t>edm6</t>
  </si>
  <si>
    <t>edu6</t>
  </si>
  <si>
    <t>edz6</t>
  </si>
  <si>
    <t>Fed Minutes:</t>
  </si>
  <si>
    <t>Fed Minutes Dates</t>
  </si>
  <si>
    <t>Central Measure:</t>
  </si>
  <si>
    <t>ffm2</t>
  </si>
  <si>
    <t>ffu2</t>
  </si>
  <si>
    <t>ffz2</t>
  </si>
  <si>
    <t>ffh3</t>
  </si>
  <si>
    <t>ffm3</t>
  </si>
  <si>
    <t>ffu3</t>
  </si>
  <si>
    <t>ffz3</t>
  </si>
  <si>
    <t>ffh4</t>
  </si>
  <si>
    <t>ffm4</t>
  </si>
  <si>
    <t>ffu4</t>
  </si>
  <si>
    <t>ffz4</t>
  </si>
  <si>
    <t>ffh5</t>
  </si>
  <si>
    <t>ffm5</t>
  </si>
  <si>
    <t>ffu5</t>
  </si>
  <si>
    <t>ffz5</t>
  </si>
  <si>
    <t>ffh6</t>
  </si>
  <si>
    <t>ffm6</t>
  </si>
  <si>
    <t>ffu6</t>
  </si>
  <si>
    <t>ffz6</t>
  </si>
  <si>
    <t>Historical Comp:</t>
  </si>
  <si>
    <t>Mean</t>
  </si>
  <si>
    <t>Median</t>
  </si>
  <si>
    <t>Fed Funds Futures</t>
  </si>
  <si>
    <t>Eurodollar Futures</t>
  </si>
  <si>
    <t>This file was created to help users analyze the FOMC rate projections and compare them with market expecations. The "dots" data is not currently available on the Bloomberg terminal.  This file will be updated as quickly as possible following the release of new FOMC minutes. Users will need to download a new version of the file from XLTP XDOTS&lt;GO&gt;.</t>
  </si>
  <si>
    <t>Futures Data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</si>
</sst>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5" x14ac:knownFonts="1">
    <font>
      <sz val="11"/>
      <color theme="1"/>
      <name val="Calibri"/>
      <family val="2"/>
      <scheme val="minor"/>
    </font>
    <font>
      <b/>
      <sz val="12"/>
      <color theme="0"/>
      <name val="Arial"/>
      <family val="2"/>
    </font>
    <font>
      <b/>
      <sz val="12"/>
      <color theme="1"/>
      <name val="Calibri"/>
      <family val="2"/>
      <scheme val="minor"/>
    </font>
    <font>
      <b/>
      <sz val="16"/>
      <color theme="1"/>
      <name val="Calibri"/>
      <family val="2"/>
      <scheme val="minor"/>
    </font>
    <font>
      <sz val="12"/>
      <color theme="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rgb="FFFFFF00"/>
        <bgColor indexed="64"/>
      </patternFill>
    </fill>
  </fills>
  <borders count="15">
    <border>
      <left/>
      <right/>
      <top/>
      <bottom/>
      <diagonal/>
    </border>
    <border>
      <left/>
      <right style="medium">
        <color indexed="64"/>
      </right>
      <top style="medium">
        <color indexed="64"/>
      </top>
      <bottom style="medium">
        <color theme="0"/>
      </bottom>
      <diagonal/>
    </border>
    <border>
      <left style="medium">
        <color indexed="64"/>
      </left>
      <right/>
      <top style="medium">
        <color indexed="64"/>
      </top>
      <bottom style="medium">
        <color theme="0"/>
      </bottom>
      <diagonal/>
    </border>
    <border>
      <left style="medium">
        <color indexed="64"/>
      </left>
      <right/>
      <top style="medium">
        <color theme="0"/>
      </top>
      <bottom style="medium">
        <color theme="0"/>
      </bottom>
      <diagonal/>
    </border>
    <border>
      <left/>
      <right style="medium">
        <color indexed="64"/>
      </right>
      <top style="medium">
        <color theme="0"/>
      </top>
      <bottom style="medium">
        <color theme="0"/>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theme="0"/>
      </top>
      <bottom style="medium">
        <color indexed="64"/>
      </bottom>
      <diagonal/>
    </border>
    <border>
      <left/>
      <right style="medium">
        <color indexed="64"/>
      </right>
      <top style="medium">
        <color theme="0"/>
      </top>
      <bottom style="medium">
        <color indexed="64"/>
      </bottom>
      <diagonal/>
    </border>
  </borders>
  <cellStyleXfs count="1">
    <xf numFmtId="0" fontId="0" fillId="0" borderId="0"/>
  </cellStyleXfs>
  <cellXfs count="31">
    <xf numFmtId="0" fontId="0" fillId="0" borderId="0" xfId="0"/>
    <xf numFmtId="17" fontId="0" fillId="0" borderId="0" xfId="0" applyNumberFormat="1"/>
    <xf numFmtId="2" fontId="0" fillId="0" borderId="0" xfId="0" applyNumberFormat="1"/>
    <xf numFmtId="0" fontId="0" fillId="0" borderId="0" xfId="0" applyNumberFormat="1"/>
    <xf numFmtId="14" fontId="0" fillId="0" borderId="0" xfId="0" applyNumberFormat="1"/>
    <xf numFmtId="0" fontId="1" fillId="3" borderId="2" xfId="0" applyFont="1" applyFill="1" applyBorder="1"/>
    <xf numFmtId="17" fontId="2" fillId="2" borderId="1" xfId="0" applyNumberFormat="1" applyFont="1" applyFill="1" applyBorder="1"/>
    <xf numFmtId="0" fontId="0" fillId="4" borderId="0" xfId="0" applyFill="1"/>
    <xf numFmtId="14" fontId="0" fillId="4" borderId="0" xfId="0" applyNumberFormat="1" applyFill="1"/>
    <xf numFmtId="164" fontId="0" fillId="0" borderId="0" xfId="0" applyNumberFormat="1"/>
    <xf numFmtId="0" fontId="1" fillId="3" borderId="3" xfId="0" applyFont="1" applyFill="1" applyBorder="1"/>
    <xf numFmtId="17" fontId="2" fillId="2" borderId="4" xfId="0" applyNumberFormat="1" applyFont="1" applyFill="1" applyBorder="1" applyAlignment="1">
      <alignment horizontal="right"/>
    </xf>
    <xf numFmtId="0" fontId="1" fillId="3" borderId="13" xfId="0" applyFont="1" applyFill="1" applyBorder="1"/>
    <xf numFmtId="14" fontId="2" fillId="2" borderId="14" xfId="0" applyNumberFormat="1" applyFont="1" applyFill="1" applyBorder="1"/>
    <xf numFmtId="17" fontId="2" fillId="2" borderId="4" xfId="0" applyNumberFormat="1" applyFont="1" applyFill="1" applyBorder="1"/>
    <xf numFmtId="0" fontId="0" fillId="0" borderId="0" xfId="0" applyAlignment="1">
      <alignment horizontal="right"/>
    </xf>
    <xf numFmtId="164" fontId="0" fillId="5" borderId="0" xfId="0" applyNumberFormat="1" applyFill="1"/>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0" xfId="0" applyFont="1" applyBorder="1" applyAlignment="1">
      <alignment horizontal="center"/>
    </xf>
    <xf numFmtId="0" fontId="3" fillId="0" borderId="9" xfId="0" applyFont="1" applyBorder="1" applyAlignment="1">
      <alignment horizontal="center"/>
    </xf>
    <xf numFmtId="0" fontId="3" fillId="0" borderId="8" xfId="0" applyFont="1" applyBorder="1" applyAlignment="1">
      <alignment horizontal="center" vertical="top"/>
    </xf>
    <xf numFmtId="0" fontId="3" fillId="0" borderId="0" xfId="0" applyFont="1" applyBorder="1" applyAlignment="1">
      <alignment horizontal="center" vertical="top"/>
    </xf>
    <xf numFmtId="0" fontId="3" fillId="0" borderId="9" xfId="0" applyFont="1" applyBorder="1" applyAlignment="1">
      <alignment horizontal="center" vertical="top"/>
    </xf>
    <xf numFmtId="0" fontId="3" fillId="0" borderId="10" xfId="0" applyFont="1" applyBorder="1" applyAlignment="1">
      <alignment horizontal="center" vertical="top"/>
    </xf>
    <xf numFmtId="0" fontId="3" fillId="0" borderId="11" xfId="0" applyFont="1" applyBorder="1" applyAlignment="1">
      <alignment horizontal="center" vertical="top"/>
    </xf>
    <xf numFmtId="0" fontId="3" fillId="0" borderId="12" xfId="0" applyFont="1" applyBorder="1" applyAlignment="1">
      <alignment horizontal="center" vertical="top"/>
    </xf>
    <xf numFmtId="0" fontId="0" fillId="0" borderId="0" xfId="0" applyAlignment="1">
      <alignment horizontal="center"/>
    </xf>
    <xf numFmtId="0" fontId="4" fillId="0" borderId="0" xfId="0" applyFont="1" applyAlignment="1">
      <alignment horizontal="left" vertical="center" wrapText="1"/>
    </xf>
  </cellXfs>
  <cellStyles count="1">
    <cellStyle name="Normal" xfId="0" builtinId="0"/>
  </cellStyles>
  <dxfs count="0"/>
  <tableStyles count="0" defaultTableStyle="TableStyleMedium2" defaultPivotStyle="PivotStyleLight16"/>
  <colors>
    <mruColors>
      <color rgb="FFFF7171"/>
      <color rgb="FFF57B17"/>
      <color rgb="FF1D00CA"/>
      <color rgb="FF0028F2"/>
      <color rgb="FF0066FF"/>
      <color rgb="FF02F80E"/>
      <color rgb="FFEEEE00"/>
      <color rgb="FF0000FF"/>
      <color rgb="FF363BF8"/>
      <color rgb="FF21FF6B"/>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bloomberg.rtd">
      <tp t="s">
        <v>#N/A N/A</v>
        <stp/>
        <stp>##V3_BDHV12</stp>
        <stp>ffm12 Comdty</stp>
        <stp>PX Last</stp>
        <stp>9/15/2014</stp>
        <stp>9/15/2014</stp>
        <stp>[FED XDOTS.xlsm]Chart!R11C145</stp>
        <stp>days=a</stp>
        <tr r="EO11" s="3"/>
      </tp>
      <tp t="s">
        <v>#N/A N/A</v>
        <stp/>
        <stp>##V3_BDHV12</stp>
        <stp>ffm13 Comdty</stp>
        <stp>PX Last</stp>
        <stp>9/15/2014</stp>
        <stp>9/15/2014</stp>
        <stp>[FED XDOTS.xlsm]Chart!R15C145</stp>
        <stp>days=a</stp>
        <tr r="EO15" s="3"/>
      </tp>
      <tp t="s">
        <v>#N/A N/A</v>
        <stp/>
        <stp>##V3_BDHV12</stp>
        <stp>edm14 Comdty</stp>
        <stp>PX Last</stp>
        <stp>9/15/2014</stp>
        <stp>9/15/2014</stp>
        <stp>[FED XDOTS.xlsm]Chart!R19C136</stp>
        <stp>days=a</stp>
        <tr r="EF19" s="3"/>
      </tp>
      <tp t="s">
        <v>#N/A N/A</v>
        <stp/>
        <stp>##V3_BDHV12</stp>
        <stp>edm12 Comdty</stp>
        <stp>PX Last</stp>
        <stp>9/15/2014</stp>
        <stp>9/15/2014</stp>
        <stp>[FED XDOTS.xlsm]Chart!R11C136</stp>
        <stp>days=a</stp>
        <tr r="EF11" s="3"/>
      </tp>
      <tp t="s">
        <v>#N/A N/A</v>
        <stp/>
        <stp>##V3_BDHV12</stp>
        <stp>edm13 Comdty</stp>
        <stp>PX Last</stp>
        <stp>9/15/2014</stp>
        <stp>9/15/2014</stp>
        <stp>[FED XDOTS.xlsm]Chart!R15C136</stp>
        <stp>days=a</stp>
        <tr r="EF15" s="3"/>
      </tp>
      <tp t="s">
        <v>12/14/2015</v>
        <stp/>
        <stp>##V3_BDPV12</stp>
        <stp>edz5 Comdty</stp>
        <stp>FUT_DLV_DT_LAST</stp>
        <stp>[FED XDOTS.xlsm]Chart!R25C133</stp>
        <tr r="EC25" s="3"/>
      </tp>
      <tp t="s">
        <v>12/14/2015</v>
        <stp/>
        <stp>##V3_BDPV12</stp>
        <stp>edz5 Comdty</stp>
        <stp>FUT_DLV_DT_LAST</stp>
        <stp>[FED XDOTS.xlsm]Chart!R25C135</stp>
        <tr r="EE25" s="3"/>
      </tp>
      <tp t="s">
        <v>12/15/2014</v>
        <stp/>
        <stp>##V3_BDPV12</stp>
        <stp>edz4 Comdty</stp>
        <stp>FUT_DLV_DT_LAST</stp>
        <stp>[FED XDOTS.xlsm]Chart!R21C135</stp>
        <tr r="EE21" s="3"/>
      </tp>
      <tp t="s">
        <v>12/15/2014</v>
        <stp/>
        <stp>##V3_BDPV12</stp>
        <stp>edz4 Comdty</stp>
        <stp>FUT_DLV_DT_LAST</stp>
        <stp>[FED XDOTS.xlsm]Chart!R21C133</stp>
        <tr r="EC21" s="3"/>
      </tp>
      <tp t="s">
        <v>12/31/2013</v>
        <stp/>
        <stp>##V3_BDPV12</stp>
        <stp>ffz3 Comdty</stp>
        <stp>FUT_DLV_DT_LAST</stp>
        <stp>[FED XDOTS.xlsm]Chart!R17C142</stp>
        <tr r="EL17" s="3"/>
      </tp>
      <tp t="s">
        <v>12/31/2013</v>
        <stp/>
        <stp>##V3_BDPV12</stp>
        <stp>ffz3 Comdty</stp>
        <stp>FUT_DLV_DT_LAST</stp>
        <stp>[FED XDOTS.xlsm]Chart!R17C144</stp>
        <tr r="EN17" s="3"/>
      </tp>
      <tp t="s">
        <v>12/19/2016</v>
        <stp/>
        <stp>##V3_BDPV12</stp>
        <stp>edz6 Comdty</stp>
        <stp>FUT_DLV_DT_LAST</stp>
        <stp>[FED XDOTS.xlsm]Chart!R29C135</stp>
        <tr r="EE29" s="3"/>
      </tp>
      <tp t="s">
        <v>12/19/2016</v>
        <stp/>
        <stp>##V3_BDPV12</stp>
        <stp>edz6 Comdty</stp>
        <stp>FUT_DLV_DT_LAST</stp>
        <stp>[FED XDOTS.xlsm]Chart!R29C133</stp>
        <tr r="EC29" s="3"/>
      </tp>
      <tp t="s">
        <v>#N/A Invalid Security</v>
        <stp/>
        <stp>##V3_BDPV12</stp>
        <stp>ffz2 Comdty</stp>
        <stp>FUT_DLV_DT_LAST</stp>
        <stp>[FED XDOTS.xlsm]Chart!R13C142</stp>
        <tr r="EL13" s="3"/>
      </tp>
      <tp t="s">
        <v>12/30/2016</v>
        <stp/>
        <stp>##V3_BDPV12</stp>
        <stp>ffz6 Comdty</stp>
        <stp>FUT_DLV_DT_LAST</stp>
        <stp>[FED XDOTS.xlsm]Chart!R29C144</stp>
        <tr r="EN29" s="3"/>
      </tp>
      <tp t="s">
        <v>12/30/2016</v>
        <stp/>
        <stp>##V3_BDPV12</stp>
        <stp>ffz6 Comdty</stp>
        <stp>FUT_DLV_DT_LAST</stp>
        <stp>[FED XDOTS.xlsm]Chart!R29C142</stp>
        <tr r="EL29" s="3"/>
      </tp>
      <tp t="s">
        <v>12/19/2022</v>
        <stp/>
        <stp>##V3_BDPV12</stp>
        <stp>edz2 Comdty</stp>
        <stp>FUT_DLV_DT_LAST</stp>
        <stp>[FED XDOTS.xlsm]Chart!R13C133</stp>
        <tr r="EC13" s="3"/>
      </tp>
      <tp t="s">
        <v>12/18/2023</v>
        <stp/>
        <stp>##V3_BDPV12</stp>
        <stp>edz3 Comdty</stp>
        <stp>FUT_DLV_DT_LAST</stp>
        <stp>[FED XDOTS.xlsm]Chart!R17C133</stp>
        <tr r="EC17" s="3"/>
      </tp>
      <tp t="s">
        <v>12/31/2014</v>
        <stp/>
        <stp>##V3_BDPV12</stp>
        <stp>ffz4 Comdty</stp>
        <stp>FUT_DLV_DT_LAST</stp>
        <stp>[FED XDOTS.xlsm]Chart!R21C144</stp>
        <tr r="EN21" s="3"/>
      </tp>
      <tp t="s">
        <v>12/31/2014</v>
        <stp/>
        <stp>##V3_BDPV12</stp>
        <stp>ffz4 Comdty</stp>
        <stp>FUT_DLV_DT_LAST</stp>
        <stp>[FED XDOTS.xlsm]Chart!R21C142</stp>
        <tr r="EL21" s="3"/>
      </tp>
      <tp t="s">
        <v>12/31/2015</v>
        <stp/>
        <stp>##V3_BDPV12</stp>
        <stp>ffz5 Comdty</stp>
        <stp>FUT_DLV_DT_LAST</stp>
        <stp>[FED XDOTS.xlsm]Chart!R25C142</stp>
        <tr r="EL25" s="3"/>
      </tp>
      <tp t="s">
        <v>12/31/2015</v>
        <stp/>
        <stp>##V3_BDPV12</stp>
        <stp>ffz5 Comdty</stp>
        <stp>FUT_DLV_DT_LAST</stp>
        <stp>[FED XDOTS.xlsm]Chart!R25C144</stp>
        <tr r="EN25" s="3"/>
      </tp>
      <tp t="s">
        <v>#N/A N/A</v>
        <stp/>
        <stp>##V3_BDHV12</stp>
        <stp>ffh13 Comdty</stp>
        <stp>PX Last</stp>
        <stp>9/15/2014</stp>
        <stp>9/15/2014</stp>
        <stp>[FED XDOTS.xlsm]Chart!R14C145</stp>
        <stp>days=a</stp>
        <tr r="EO14" s="3"/>
      </tp>
      <tp t="s">
        <v>#N/A N/A</v>
        <stp/>
        <stp>##V3_BDHV12</stp>
        <stp>edh14 Comdty</stp>
        <stp>PX Last</stp>
        <stp>9/15/2014</stp>
        <stp>9/15/2014</stp>
        <stp>[FED XDOTS.xlsm]Chart!R18C136</stp>
        <stp>days=a</stp>
        <tr r="EF18" s="3"/>
      </tp>
      <tp t="s">
        <v>#N/A N/A</v>
        <stp/>
        <stp>##V3_BDHV12</stp>
        <stp>edh13 Comdty</stp>
        <stp>PX Last</stp>
        <stp>9/15/2014</stp>
        <stp>9/15/2014</stp>
        <stp>[FED XDOTS.xlsm]Chart!R14C136</stp>
        <stp>days=a</stp>
        <tr r="EF14" s="3"/>
      </tp>
      <tp t="s">
        <v>9/14/2015</v>
        <stp/>
        <stp>##V3_BDPV12</stp>
        <stp>edu5 Comdty</stp>
        <stp>FUT_DLV_DT_LAST</stp>
        <stp>[FED XDOTS.xlsm]Chart!R24C133</stp>
        <tr r="EC24" s="3"/>
      </tp>
      <tp t="s">
        <v>9/14/2015</v>
        <stp/>
        <stp>##V3_BDPV12</stp>
        <stp>edu5 Comdty</stp>
        <stp>FUT_DLV_DT_LAST</stp>
        <stp>[FED XDOTS.xlsm]Chart!R24C135</stp>
        <tr r="EE24" s="3"/>
      </tp>
      <tp t="s">
        <v>9/15/2014</v>
        <stp/>
        <stp>##V3_BDPV12</stp>
        <stp>edu4 Comdty</stp>
        <stp>FUT_DLV_DT_LAST</stp>
        <stp>[FED XDOTS.xlsm]Chart!R20C135</stp>
        <tr r="EE20" s="3"/>
      </tp>
      <tp t="s">
        <v>9/15/2014</v>
        <stp/>
        <stp>##V3_BDPV12</stp>
        <stp>edu4 Comdty</stp>
        <stp>FUT_DLV_DT_LAST</stp>
        <stp>[FED XDOTS.xlsm]Chart!R20C133</stp>
        <tr r="EC20" s="3"/>
      </tp>
      <tp t="s">
        <v>#N/A Invalid Security</v>
        <stp/>
        <stp>##V3_BDPV12</stp>
        <stp>ffu3 Comdty</stp>
        <stp>FUT_DLV_DT_LAST</stp>
        <stp>[FED XDOTS.xlsm]Chart!R16C142</stp>
        <tr r="EL16" s="3"/>
      </tp>
      <tp t="s">
        <v>9/19/2016</v>
        <stp/>
        <stp>##V3_BDPV12</stp>
        <stp>edu6 Comdty</stp>
        <stp>FUT_DLV_DT_LAST</stp>
        <stp>[FED XDOTS.xlsm]Chart!R28C135</stp>
        <tr r="EE28" s="3"/>
      </tp>
      <tp t="s">
        <v>9/19/2016</v>
        <stp/>
        <stp>##V3_BDPV12</stp>
        <stp>edu6 Comdty</stp>
        <stp>FUT_DLV_DT_LAST</stp>
        <stp>[FED XDOTS.xlsm]Chart!R28C133</stp>
        <tr r="EC28" s="3"/>
      </tp>
      <tp t="s">
        <v>#N/A Invalid Security</v>
        <stp/>
        <stp>##V3_BDPV12</stp>
        <stp>ffu2 Comdty</stp>
        <stp>FUT_DLV_DT_LAST</stp>
        <stp>[FED XDOTS.xlsm]Chart!R12C142</stp>
        <tr r="EL12" s="3"/>
      </tp>
      <tp t="s">
        <v>9/30/2016</v>
        <stp/>
        <stp>##V3_BDPV12</stp>
        <stp>ffu6 Comdty</stp>
        <stp>FUT_DLV_DT_LAST</stp>
        <stp>[FED XDOTS.xlsm]Chart!R28C144</stp>
        <tr r="EN28" s="3"/>
      </tp>
      <tp t="s">
        <v>9/30/2016</v>
        <stp/>
        <stp>##V3_BDPV12</stp>
        <stp>ffu6 Comdty</stp>
        <stp>FUT_DLV_DT_LAST</stp>
        <stp>[FED XDOTS.xlsm]Chart!R28C142</stp>
        <tr r="EL28" s="3"/>
      </tp>
      <tp t="s">
        <v>9/19/2022</v>
        <stp/>
        <stp>##V3_BDPV12</stp>
        <stp>edu2 Comdty</stp>
        <stp>FUT_DLV_DT_LAST</stp>
        <stp>[FED XDOTS.xlsm]Chart!R12C133</stp>
        <tr r="EC12" s="3"/>
      </tp>
      <tp t="s">
        <v>9/18/2023</v>
        <stp/>
        <stp>##V3_BDPV12</stp>
        <stp>edu3 Comdty</stp>
        <stp>FUT_DLV_DT_LAST</stp>
        <stp>[FED XDOTS.xlsm]Chart!R16C133</stp>
        <tr r="EC16" s="3"/>
      </tp>
      <tp t="s">
        <v>9/30/2014</v>
        <stp/>
        <stp>##V3_BDPV12</stp>
        <stp>ffu4 Comdty</stp>
        <stp>FUT_DLV_DT_LAST</stp>
        <stp>[FED XDOTS.xlsm]Chart!R20C144</stp>
        <tr r="EN20" s="3"/>
      </tp>
      <tp t="s">
        <v>9/30/2014</v>
        <stp/>
        <stp>##V3_BDPV12</stp>
        <stp>ffu4 Comdty</stp>
        <stp>FUT_DLV_DT_LAST</stp>
        <stp>[FED XDOTS.xlsm]Chart!R20C142</stp>
        <tr r="EL20" s="3"/>
      </tp>
      <tp t="s">
        <v>9/30/2015</v>
        <stp/>
        <stp>##V3_BDPV12</stp>
        <stp>ffu5 Comdty</stp>
        <stp>FUT_DLV_DT_LAST</stp>
        <stp>[FED XDOTS.xlsm]Chart!R24C142</stp>
        <tr r="EL24" s="3"/>
      </tp>
      <tp t="s">
        <v>9/30/2015</v>
        <stp/>
        <stp>##V3_BDPV12</stp>
        <stp>ffu5 Comdty</stp>
        <stp>FUT_DLV_DT_LAST</stp>
        <stp>[FED XDOTS.xlsm]Chart!R24C144</stp>
        <tr r="EN24" s="3"/>
      </tp>
      <tp t="s">
        <v>6/15/2015</v>
        <stp/>
        <stp>##V3_BDPV12</stp>
        <stp>edm5 Comdty</stp>
        <stp>FUT_DLV_DT_LAST</stp>
        <stp>[FED XDOTS.xlsm]Chart!R23C135</stp>
        <tr r="EE23" s="3"/>
      </tp>
      <tp t="s">
        <v>6/15/2015</v>
        <stp/>
        <stp>##V3_BDPV12</stp>
        <stp>edm5 Comdty</stp>
        <stp>FUT_DLV_DT_LAST</stp>
        <stp>[FED XDOTS.xlsm]Chart!R23C133</stp>
        <tr r="EC23" s="3"/>
      </tp>
      <tp t="s">
        <v>6/17/2024</v>
        <stp/>
        <stp>##V3_BDPV12</stp>
        <stp>edm4 Comdty</stp>
        <stp>FUT_DLV_DT_LAST</stp>
        <stp>[FED XDOTS.xlsm]Chart!R19C133</stp>
        <tr r="EC19" s="3"/>
      </tp>
      <tp t="s">
        <v>#N/A Invalid Security</v>
        <stp/>
        <stp>##V3_BDPV12</stp>
        <stp>ffm3 Comdty</stp>
        <stp>FUT_DLV_DT_LAST</stp>
        <stp>[FED XDOTS.xlsm]Chart!R15C142</stp>
        <tr r="EL15" s="3"/>
      </tp>
      <tp t="s">
        <v>6/13/2016</v>
        <stp/>
        <stp>##V3_BDPV12</stp>
        <stp>edm6 Comdty</stp>
        <stp>FUT_DLV_DT_LAST</stp>
        <stp>[FED XDOTS.xlsm]Chart!R27C133</stp>
        <tr r="EC27" s="3"/>
      </tp>
      <tp t="s">
        <v>#N/A Invalid Security</v>
        <stp/>
        <stp>##V3_BDPV12</stp>
        <stp>ffm2 Comdty</stp>
        <stp>FUT_DLV_DT_LAST</stp>
        <stp>[FED XDOTS.xlsm]Chart!R11C142</stp>
        <tr r="EL11" s="3"/>
      </tp>
      <tp t="s">
        <v>6/13/2016</v>
        <stp/>
        <stp>##V3_BDPV12</stp>
        <stp>edm6 Comdty</stp>
        <stp>FUT_DLV_DT_LAST</stp>
        <stp>[FED XDOTS.xlsm]Chart!R27C135</stp>
        <tr r="EE27" s="3"/>
      </tp>
      <tp t="s">
        <v>6/30/2016</v>
        <stp/>
        <stp>##V3_BDPV12</stp>
        <stp>ffm6 Comdty</stp>
        <stp>FUT_DLV_DT_LAST</stp>
        <stp>[FED XDOTS.xlsm]Chart!R27C142</stp>
        <tr r="EL27" s="3"/>
      </tp>
      <tp t="s">
        <v>6/30/2016</v>
        <stp/>
        <stp>##V3_BDPV12</stp>
        <stp>ffm6 Comdty</stp>
        <stp>FUT_DLV_DT_LAST</stp>
        <stp>[FED XDOTS.xlsm]Chart!R27C144</stp>
        <tr r="EN27" s="3"/>
      </tp>
      <tp t="s">
        <v>6/13/2022</v>
        <stp/>
        <stp>##V3_BDPV12</stp>
        <stp>edm2 Comdty</stp>
        <stp>FUT_DLV_DT_LAST</stp>
        <stp>[FED XDOTS.xlsm]Chart!R11C133</stp>
        <tr r="EC11" s="3"/>
      </tp>
      <tp t="s">
        <v>6/30/2014</v>
        <stp/>
        <stp>##V3_BDPV12</stp>
        <stp>ffm4 Comdty</stp>
        <stp>FUT_DLV_DT_LAST</stp>
        <stp>[FED XDOTS.xlsm]Chart!R19C144</stp>
        <tr r="EN19" s="3"/>
      </tp>
      <tp t="s">
        <v>6/30/2014</v>
        <stp/>
        <stp>##V3_BDPV12</stp>
        <stp>ffm4 Comdty</stp>
        <stp>FUT_DLV_DT_LAST</stp>
        <stp>[FED XDOTS.xlsm]Chart!R19C142</stp>
        <tr r="EL19" s="3"/>
      </tp>
      <tp t="s">
        <v>6/19/2023</v>
        <stp/>
        <stp>##V3_BDPV12</stp>
        <stp>edm3 Comdty</stp>
        <stp>FUT_DLV_DT_LAST</stp>
        <stp>[FED XDOTS.xlsm]Chart!R15C133</stp>
        <tr r="EC15" s="3"/>
      </tp>
      <tp t="s">
        <v>6/30/2015</v>
        <stp/>
        <stp>##V3_BDPV12</stp>
        <stp>ffm5 Comdty</stp>
        <stp>FUT_DLV_DT_LAST</stp>
        <stp>[FED XDOTS.xlsm]Chart!R23C144</stp>
        <tr r="EN23" s="3"/>
      </tp>
      <tp t="s">
        <v>6/30/2015</v>
        <stp/>
        <stp>##V3_BDPV12</stp>
        <stp>ffm5 Comdty</stp>
        <stp>FUT_DLV_DT_LAST</stp>
        <stp>[FED XDOTS.xlsm]Chart!R23C142</stp>
        <tr r="EL23" s="3"/>
      </tp>
      <tp t="s">
        <v>3/16/2015</v>
        <stp/>
        <stp>##V3_BDPV12</stp>
        <stp>edh5 Comdty</stp>
        <stp>FUT_DLV_DT_LAST</stp>
        <stp>[FED XDOTS.xlsm]Chart!R22C135</stp>
        <tr r="EE22" s="3"/>
      </tp>
      <tp t="s">
        <v>3/16/2015</v>
        <stp/>
        <stp>##V3_BDPV12</stp>
        <stp>edh5 Comdty</stp>
        <stp>FUT_DLV_DT_LAST</stp>
        <stp>[FED XDOTS.xlsm]Chart!R22C133</stp>
        <tr r="EC22" s="3"/>
      </tp>
      <tp t="s">
        <v>3/18/2024</v>
        <stp/>
        <stp>##V3_BDPV12</stp>
        <stp>edh4 Comdty</stp>
        <stp>FUT_DLV_DT_LAST</stp>
        <stp>[FED XDOTS.xlsm]Chart!R18C133</stp>
        <tr r="EC18" s="3"/>
      </tp>
      <tp t="s">
        <v>#N/A Invalid Security</v>
        <stp/>
        <stp>##V3_BDPV12</stp>
        <stp>ffh3 Comdty</stp>
        <stp>FUT_DLV_DT_LAST</stp>
        <stp>[FED XDOTS.xlsm]Chart!R14C142</stp>
        <tr r="EL14" s="3"/>
      </tp>
      <tp t="s">
        <v>3/14/2016</v>
        <stp/>
        <stp>##V3_BDPV12</stp>
        <stp>edh6 Comdty</stp>
        <stp>FUT_DLV_DT_LAST</stp>
        <stp>[FED XDOTS.xlsm]Chart!R26C133</stp>
        <tr r="EC26" s="3"/>
      </tp>
      <tp t="s">
        <v>3/14/2016</v>
        <stp/>
        <stp>##V3_BDPV12</stp>
        <stp>edh6 Comdty</stp>
        <stp>FUT_DLV_DT_LAST</stp>
        <stp>[FED XDOTS.xlsm]Chart!R26C135</stp>
        <tr r="EE26" s="3"/>
      </tp>
      <tp t="s">
        <v>3/31/2016</v>
        <stp/>
        <stp>##V3_BDPV12</stp>
        <stp>ffh6 Comdty</stp>
        <stp>FUT_DLV_DT_LAST</stp>
        <stp>[FED XDOTS.xlsm]Chart!R26C142</stp>
        <tr r="EL26" s="3"/>
      </tp>
      <tp t="s">
        <v>3/31/2016</v>
        <stp/>
        <stp>##V3_BDPV12</stp>
        <stp>ffh6 Comdty</stp>
        <stp>FUT_DLV_DT_LAST</stp>
        <stp>[FED XDOTS.xlsm]Chart!R26C144</stp>
        <tr r="EN26" s="3"/>
      </tp>
      <tp t="s">
        <v>3/31/2014</v>
        <stp/>
        <stp>##V3_BDPV12</stp>
        <stp>ffh4 Comdty</stp>
        <stp>FUT_DLV_DT_LAST</stp>
        <stp>[FED XDOTS.xlsm]Chart!R18C144</stp>
        <tr r="EN18" s="3"/>
      </tp>
      <tp t="s">
        <v>3/31/2014</v>
        <stp/>
        <stp>##V3_BDPV12</stp>
        <stp>ffh4 Comdty</stp>
        <stp>FUT_DLV_DT_LAST</stp>
        <stp>[FED XDOTS.xlsm]Chart!R18C142</stp>
        <tr r="EL18" s="3"/>
      </tp>
      <tp t="s">
        <v>3/13/2023</v>
        <stp/>
        <stp>##V3_BDPV12</stp>
        <stp>edh3 Comdty</stp>
        <stp>FUT_DLV_DT_LAST</stp>
        <stp>[FED XDOTS.xlsm]Chart!R14C133</stp>
        <tr r="EC14" s="3"/>
      </tp>
      <tp t="s">
        <v>3/31/2015</v>
        <stp/>
        <stp>##V3_BDPV12</stp>
        <stp>ffh5 Comdty</stp>
        <stp>FUT_DLV_DT_LAST</stp>
        <stp>[FED XDOTS.xlsm]Chart!R22C144</stp>
        <tr r="EN22" s="3"/>
      </tp>
      <tp t="s">
        <v>3/31/2015</v>
        <stp/>
        <stp>##V3_BDPV12</stp>
        <stp>ffh5 Comdty</stp>
        <stp>FUT_DLV_DT_LAST</stp>
        <stp>[FED XDOTS.xlsm]Chart!R22C142</stp>
        <tr r="EL22" s="3"/>
      </tp>
      <tp t="s">
        <v>#N/A N/A</v>
        <stp/>
        <stp>##V3_BDHV12</stp>
        <stp>ffz12 Comdty</stp>
        <stp>PX Last</stp>
        <stp>9/15/2014</stp>
        <stp>9/15/2014</stp>
        <stp>[FED XDOTS.xlsm]Chart!R13C145</stp>
        <stp>days=a</stp>
        <tr r="EO13" s="3"/>
      </tp>
      <tp t="s">
        <v>#N/A N/A</v>
        <stp/>
        <stp>##V3_BDHV12</stp>
        <stp>edz12 Comdty</stp>
        <stp>PX Last</stp>
        <stp>9/15/2014</stp>
        <stp>9/15/2014</stp>
        <stp>[FED XDOTS.xlsm]Chart!R13C136</stp>
        <stp>days=a</stp>
        <tr r="EF13" s="3"/>
      </tp>
      <tp t="s">
        <v>#N/A N/A</v>
        <stp/>
        <stp>##V3_BDHV12</stp>
        <stp>edz13 Comdty</stp>
        <stp>PX Last</stp>
        <stp>9/15/2014</stp>
        <stp>9/15/2014</stp>
        <stp>[FED XDOTS.xlsm]Chart!R17C136</stp>
        <stp>days=a</stp>
        <tr r="EF17" s="3"/>
      </tp>
      <tp t="s">
        <v>#N/A N/A</v>
        <stp/>
        <stp>##V3_BDHV12</stp>
        <stp>ffu12 Comdty</stp>
        <stp>PX Last</stp>
        <stp>9/15/2014</stp>
        <stp>9/15/2014</stp>
        <stp>[FED XDOTS.xlsm]Chart!R12C145</stp>
        <stp>days=a</stp>
        <tr r="EO12" s="3"/>
      </tp>
      <tp t="s">
        <v>#N/A N/A</v>
        <stp/>
        <stp>##V3_BDHV12</stp>
        <stp>ffu13 Comdty</stp>
        <stp>PX Last</stp>
        <stp>9/15/2014</stp>
        <stp>9/15/2014</stp>
        <stp>[FED XDOTS.xlsm]Chart!R16C145</stp>
        <stp>days=a</stp>
        <tr r="EO16" s="3"/>
      </tp>
      <tp t="s">
        <v>#N/A N/A</v>
        <stp/>
        <stp>##V3_BDHV12</stp>
        <stp>edu12 Comdty</stp>
        <stp>PX Last</stp>
        <stp>9/15/2014</stp>
        <stp>9/15/2014</stp>
        <stp>[FED XDOTS.xlsm]Chart!R12C136</stp>
        <stp>days=a</stp>
        <tr r="EF12" s="3"/>
      </tp>
      <tp t="s">
        <v>#N/A N/A</v>
        <stp/>
        <stp>##V3_BDHV12</stp>
        <stp>edu13 Comdty</stp>
        <stp>PX Last</stp>
        <stp>9/15/2014</stp>
        <stp>9/15/2014</stp>
        <stp>[FED XDOTS.xlsm]Chart!R16C136</stp>
        <stp>days=a</stp>
        <tr r="EF16" s="3"/>
      </tp>
    </main>
    <main first="bloomberg.rtd">
      <tp t="s">
        <v>6/29/2012</v>
        <stp/>
        <stp>##V3_BDPV12</stp>
        <stp>ffm12 Comdty</stp>
        <stp>FUT_DLV_DT_LAST</stp>
        <stp>[FED XDOTS.xlsm]Chart!R11C144</stp>
        <tr r="EN11" s="3"/>
      </tp>
      <tp t="s">
        <v>12/31/2012</v>
        <stp/>
        <stp>##V3_BDPV12</stp>
        <stp>ffz12 Comdty</stp>
        <stp>FUT_DLV_DT_LAST</stp>
        <stp>[FED XDOTS.xlsm]Chart!R13C144</stp>
        <tr r="EN13" s="3"/>
      </tp>
      <tp t="s">
        <v>9/28/2012</v>
        <stp/>
        <stp>##V3_BDPV12</stp>
        <stp>ffu12 Comdty</stp>
        <stp>FUT_DLV_DT_LAST</stp>
        <stp>[FED XDOTS.xlsm]Chart!R12C144</stp>
        <tr r="EN12" s="3"/>
      </tp>
      <tp t="s">
        <v>6/28/2013</v>
        <stp/>
        <stp>##V3_BDPV12</stp>
        <stp>ffm13 Comdty</stp>
        <stp>FUT_DLV_DT_LAST</stp>
        <stp>[FED XDOTS.xlsm]Chart!R15C144</stp>
        <tr r="EN15" s="3"/>
      </tp>
      <tp t="s">
        <v>3/28/2013</v>
        <stp/>
        <stp>##V3_BDPV12</stp>
        <stp>ffh13 Comdty</stp>
        <stp>FUT_DLV_DT_LAST</stp>
        <stp>[FED XDOTS.xlsm]Chart!R14C144</stp>
        <tr r="EN14" s="3"/>
      </tp>
      <tp t="s">
        <v>10/1/2013</v>
        <stp/>
        <stp>##V3_BDPV12</stp>
        <stp>ffu13 Comdty</stp>
        <stp>FUT_DLV_DT_LAST</stp>
        <stp>[FED XDOTS.xlsm]Chart!R16C144</stp>
        <tr r="EN16" s="3"/>
      </tp>
      <tp t="s">
        <v>3/17/2014</v>
        <stp/>
        <stp>##V3_BDPV12</stp>
        <stp>edh14 Comdty</stp>
        <stp>FUT_DLV_DT_LAST</stp>
        <stp>[FED XDOTS.xlsm]Chart!R18C135</stp>
        <tr r="EE18" s="3"/>
      </tp>
      <tp t="s">
        <v>6/16/2014</v>
        <stp/>
        <stp>##V3_BDPV12</stp>
        <stp>edm14 Comdty</stp>
        <stp>FUT_DLV_DT_LAST</stp>
        <stp>[FED XDOTS.xlsm]Chart!R19C135</stp>
        <tr r="EE19" s="3"/>
      </tp>
      <tp t="s">
        <v>9/17/2012</v>
        <stp/>
        <stp>##V3_BDPV12</stp>
        <stp>edu12 Comdty</stp>
        <stp>FUT_DLV_DT_LAST</stp>
        <stp>[FED XDOTS.xlsm]Chart!R12C135</stp>
        <tr r="EE12" s="3"/>
      </tp>
      <tp t="s">
        <v>12/17/2012</v>
        <stp/>
        <stp>##V3_BDPV12</stp>
        <stp>edz12 Comdty</stp>
        <stp>FUT_DLV_DT_LAST</stp>
        <stp>[FED XDOTS.xlsm]Chart!R13C135</stp>
        <tr r="EE13" s="3"/>
      </tp>
      <tp t="s">
        <v>6/18/2012</v>
        <stp/>
        <stp>##V3_BDPV12</stp>
        <stp>edm12 Comdty</stp>
        <stp>FUT_DLV_DT_LAST</stp>
        <stp>[FED XDOTS.xlsm]Chart!R11C135</stp>
        <tr r="EE11" s="3"/>
      </tp>
      <tp t="s">
        <v>9/16/2013</v>
        <stp/>
        <stp>##V3_BDPV12</stp>
        <stp>edu13 Comdty</stp>
        <stp>FUT_DLV_DT_LAST</stp>
        <stp>[FED XDOTS.xlsm]Chart!R16C135</stp>
        <tr r="EE16" s="3"/>
      </tp>
      <tp t="s">
        <v>12/16/2013</v>
        <stp/>
        <stp>##V3_BDPV12</stp>
        <stp>edz13 Comdty</stp>
        <stp>FUT_DLV_DT_LAST</stp>
        <stp>[FED XDOTS.xlsm]Chart!R17C135</stp>
        <tr r="EE17" s="3"/>
      </tp>
      <tp t="s">
        <v>3/18/2013</v>
        <stp/>
        <stp>##V3_BDPV12</stp>
        <stp>edh13 Comdty</stp>
        <stp>FUT_DLV_DT_LAST</stp>
        <stp>[FED XDOTS.xlsm]Chart!R14C135</stp>
        <tr r="EE14" s="3"/>
      </tp>
      <tp t="s">
        <v>6/17/2013</v>
        <stp/>
        <stp>##V3_BDPV12</stp>
        <stp>edm13 Comdty</stp>
        <stp>FUT_DLV_DT_LAST</stp>
        <stp>[FED XDOTS.xlsm]Chart!R15C135</stp>
        <tr r="EE15" s="3"/>
      </tp>
      <tp>
        <v>98.935000000000002</v>
        <stp/>
        <stp>##V3_BDHV12</stp>
        <stp>edz5 Comdty</stp>
        <stp>PX Last</stp>
        <stp>9/15/2014</stp>
        <stp>9/15/2014</stp>
        <stp>[FED XDOTS.xlsm]Chart!R25C136</stp>
        <stp>days=a</stp>
        <tr r="EF25" s="3"/>
      </tp>
      <tp>
        <v>99.745000000000005</v>
        <stp/>
        <stp>##V3_BDHV12</stp>
        <stp>edz4 Comdty</stp>
        <stp>PX Last</stp>
        <stp>9/15/2014</stp>
        <stp>9/15/2014</stp>
        <stp>[FED XDOTS.xlsm]Chart!R21C136</stp>
        <stp>days=a</stp>
        <tr r="EF21" s="3"/>
      </tp>
      <tp>
        <v>97.85</v>
        <stp/>
        <stp>##V3_BDHV12</stp>
        <stp>edz6 Comdty</stp>
        <stp>PX Last</stp>
        <stp>9/15/2014</stp>
        <stp>9/15/2014</stp>
        <stp>[FED XDOTS.xlsm]Chart!R29C136</stp>
        <stp>days=a</stp>
        <tr r="EF29" s="3"/>
      </tp>
      <tp>
        <v>99.19</v>
        <stp/>
        <stp>##V3_BDHV12</stp>
        <stp>edu5 Comdty</stp>
        <stp>PX Last</stp>
        <stp>9/15/2014</stp>
        <stp>9/15/2014</stp>
        <stp>[FED XDOTS.xlsm]Chart!R24C136</stp>
        <stp>days=a</stp>
        <tr r="EF24" s="3"/>
      </tp>
      <tp>
        <v>99.7654</v>
        <stp/>
        <stp>##V3_BDHV12</stp>
        <stp>edu4 Comdty</stp>
        <stp>PX Last</stp>
        <stp>9/15/2014</stp>
        <stp>9/15/2014</stp>
        <stp>[FED XDOTS.xlsm]Chart!R20C136</stp>
        <stp>days=a</stp>
        <tr r="EF20" s="3"/>
      </tp>
      <tp>
        <v>98.12</v>
        <stp/>
        <stp>##V3_BDHV12</stp>
        <stp>edu6 Comdty</stp>
        <stp>PX Last</stp>
        <stp>9/15/2014</stp>
        <stp>9/15/2014</stp>
        <stp>[FED XDOTS.xlsm]Chart!R28C136</stp>
        <stp>days=a</stp>
        <tr r="EF28" s="3"/>
      </tp>
      <tp>
        <v>99.635000000000005</v>
        <stp/>
        <stp>##V3_BDHV12</stp>
        <stp>edh5 Comdty</stp>
        <stp>PX Last</stp>
        <stp>9/15/2014</stp>
        <stp>9/15/2014</stp>
        <stp>[FED XDOTS.xlsm]Chart!R22C136</stp>
        <stp>days=a</stp>
        <tr r="EF22" s="3"/>
      </tp>
      <tp>
        <v>98.674999999999997</v>
        <stp/>
        <stp>##V3_BDHV12</stp>
        <stp>edh6 Comdty</stp>
        <stp>PX Last</stp>
        <stp>9/15/2014</stp>
        <stp>9/15/2014</stp>
        <stp>[FED XDOTS.xlsm]Chart!R26C136</stp>
        <stp>days=a</stp>
        <tr r="EF26" s="3"/>
      </tp>
      <tp>
        <v>99.43</v>
        <stp/>
        <stp>##V3_BDHV12</stp>
        <stp>edm5 Comdty</stp>
        <stp>PX Last</stp>
        <stp>9/15/2014</stp>
        <stp>9/15/2014</stp>
        <stp>[FED XDOTS.xlsm]Chart!R23C136</stp>
        <stp>days=a</stp>
        <tr r="EF23" s="3"/>
      </tp>
      <tp>
        <v>98.4</v>
        <stp/>
        <stp>##V3_BDHV12</stp>
        <stp>edm6 Comdty</stp>
        <stp>PX Last</stp>
        <stp>9/15/2014</stp>
        <stp>9/15/2014</stp>
        <stp>[FED XDOTS.xlsm]Chart!R27C136</stp>
        <stp>days=a</stp>
        <tr r="EF27" s="3"/>
      </tp>
      <tp t="s">
        <v>#N/A N/A</v>
        <stp/>
        <stp>##V3_BDHV12</stp>
        <stp>ffz3 Comdty</stp>
        <stp>PX Last</stp>
        <stp>9/15/2014</stp>
        <stp>9/15/2014</stp>
        <stp>[FED XDOTS.xlsm]Chart!R17C145</stp>
        <stp>days=a</stp>
        <tr r="EO17" s="3"/>
      </tp>
      <tp>
        <v>98.194999999999993</v>
        <stp/>
        <stp>##V3_BDHV12</stp>
        <stp>ffz6 Comdty</stp>
        <stp>PX Last</stp>
        <stp>9/15/2014</stp>
        <stp>9/15/2014</stp>
        <stp>[FED XDOTS.xlsm]Chart!R29C145</stp>
        <stp>days=a</stp>
        <tr r="EO29" s="3"/>
      </tp>
      <tp>
        <v>99.9</v>
        <stp/>
        <stp>##V3_BDHV12</stp>
        <stp>ffz4 Comdty</stp>
        <stp>PX Last</stp>
        <stp>9/15/2014</stp>
        <stp>9/15/2014</stp>
        <stp>[FED XDOTS.xlsm]Chart!R21C145</stp>
        <stp>days=a</stp>
        <tr r="EO21" s="3"/>
      </tp>
      <tp>
        <v>99.245000000000005</v>
        <stp/>
        <stp>##V3_BDHV12</stp>
        <stp>ffz5 Comdty</stp>
        <stp>PX Last</stp>
        <stp>9/15/2014</stp>
        <stp>9/15/2014</stp>
        <stp>[FED XDOTS.xlsm]Chart!R25C145</stp>
        <stp>days=a</stp>
        <tr r="EO25" s="3"/>
      </tp>
      <tp>
        <v>98.454999999999998</v>
        <stp/>
        <stp>##V3_BDHV12</stp>
        <stp>ffu6 Comdty</stp>
        <stp>PX Last</stp>
        <stp>9/15/2014</stp>
        <stp>9/15/2014</stp>
        <stp>[FED XDOTS.xlsm]Chart!R28C145</stp>
        <stp>days=a</stp>
        <tr r="EO28" s="3"/>
      </tp>
      <tp>
        <v>99.91</v>
        <stp/>
        <stp>##V3_BDHV12</stp>
        <stp>ffu4 Comdty</stp>
        <stp>PX Last</stp>
        <stp>9/15/2014</stp>
        <stp>9/15/2014</stp>
        <stp>[FED XDOTS.xlsm]Chart!R20C145</stp>
        <stp>days=a</stp>
        <tr r="EO20" s="3"/>
      </tp>
      <tp>
        <v>99.49</v>
        <stp/>
        <stp>##V3_BDHV12</stp>
        <stp>ffu5 Comdty</stp>
        <stp>PX Last</stp>
        <stp>9/15/2014</stp>
        <stp>9/15/2014</stp>
        <stp>[FED XDOTS.xlsm]Chart!R24C145</stp>
        <stp>days=a</stp>
        <tr r="EO24" s="3"/>
      </tp>
      <tp>
        <v>98.995000000000005</v>
        <stp/>
        <stp>##V3_BDHV12</stp>
        <stp>ffh6 Comdty</stp>
        <stp>PX Last</stp>
        <stp>9/15/2014</stp>
        <stp>9/15/2014</stp>
        <stp>[FED XDOTS.xlsm]Chart!R26C145</stp>
        <stp>days=a</stp>
        <tr r="EO26" s="3"/>
      </tp>
      <tp t="s">
        <v>#N/A N/A</v>
        <stp/>
        <stp>##V3_BDHV12</stp>
        <stp>ffh4 Comdty</stp>
        <stp>PX Last</stp>
        <stp>9/15/2014</stp>
        <stp>9/15/2014</stp>
        <stp>[FED XDOTS.xlsm]Chart!R18C145</stp>
        <stp>days=a</stp>
        <tr r="EO18" s="3"/>
      </tp>
      <tp>
        <v>99.85</v>
        <stp/>
        <stp>##V3_BDHV12</stp>
        <stp>ffh5 Comdty</stp>
        <stp>PX Last</stp>
        <stp>9/15/2014</stp>
        <stp>9/15/2014</stp>
        <stp>[FED XDOTS.xlsm]Chart!R22C145</stp>
        <stp>days=a</stp>
        <tr r="EO22" s="3"/>
      </tp>
      <tp>
        <v>98.73</v>
        <stp/>
        <stp>##V3_BDHV12</stp>
        <stp>ffm6 Comdty</stp>
        <stp>PX Last</stp>
        <stp>9/15/2014</stp>
        <stp>9/15/2014</stp>
        <stp>[FED XDOTS.xlsm]Chart!R27C145</stp>
        <stp>days=a</stp>
        <tr r="EO27" s="3"/>
      </tp>
      <tp t="s">
        <v>#N/A N/A</v>
        <stp/>
        <stp>##V3_BDHV12</stp>
        <stp>ffm4 Comdty</stp>
        <stp>PX Last</stp>
        <stp>9/15/2014</stp>
        <stp>9/15/2014</stp>
        <stp>[FED XDOTS.xlsm]Chart!R19C145</stp>
        <stp>days=a</stp>
        <tr r="EO19" s="3"/>
      </tp>
      <tp>
        <v>99.71</v>
        <stp/>
        <stp>##V3_BDHV12</stp>
        <stp>ffm5 Comdty</stp>
        <stp>PX Last</stp>
        <stp>9/15/2014</stp>
        <stp>9/15/2014</stp>
        <stp>[FED XDOTS.xlsm]Chart!R23C145</stp>
        <stp>days=a</stp>
        <tr r="EO23" s="3"/>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257300732145324E-2"/>
          <c:y val="2.4580192316143137E-2"/>
          <c:w val="0.94674683857587294"/>
          <c:h val="0.88767125819423653"/>
        </c:manualLayout>
      </c:layout>
      <c:scatterChart>
        <c:scatterStyle val="lineMarker"/>
        <c:varyColors val="0"/>
        <c:ser>
          <c:idx val="0"/>
          <c:order val="0"/>
          <c:tx>
            <c:strRef>
              <c:f>Chart!$EA$4</c:f>
              <c:strCache>
                <c:ptCount val="1"/>
                <c:pt idx="0">
                  <c:v>Minutes Jun-14</c:v>
                </c:pt>
              </c:strCache>
            </c:strRef>
          </c:tx>
          <c:spPr>
            <a:ln>
              <a:noFill/>
            </a:ln>
          </c:spPr>
          <c:marker>
            <c:symbol val="circle"/>
            <c:size val="5"/>
            <c:spPr>
              <a:solidFill>
                <a:schemeClr val="tx2"/>
              </a:solidFill>
              <a:ln>
                <a:solidFill>
                  <a:schemeClr val="tx1"/>
                </a:solidFill>
              </a:ln>
            </c:spPr>
          </c:marker>
          <c:xVal>
            <c:numRef>
              <c:f>Chart!$DM$2:$DM$10000</c:f>
              <c:numCache>
                <c:formatCode>m/d/yyyy</c:formatCode>
                <c:ptCount val="99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41863.474999999999</c:v>
                </c:pt>
                <c:pt idx="3763">
                  <c:v>41883.550000000003</c:v>
                </c:pt>
                <c:pt idx="3764">
                  <c:v>41903.625</c:v>
                </c:pt>
                <c:pt idx="3765">
                  <c:v>41923.700000000004</c:v>
                </c:pt>
                <c:pt idx="3766">
                  <c:v>41943.775000000001</c:v>
                </c:pt>
                <c:pt idx="3767">
                  <c:v>41963.85</c:v>
                </c:pt>
                <c:pt idx="3768">
                  <c:v>41983.925000000003</c:v>
                </c:pt>
                <c:pt idx="3769">
                  <c:v>42004</c:v>
                </c:pt>
                <c:pt idx="3770">
                  <c:v>42024.075000000004</c:v>
                </c:pt>
                <c:pt idx="3771">
                  <c:v>42044.15</c:v>
                </c:pt>
                <c:pt idx="3772">
                  <c:v>42064.224999999999</c:v>
                </c:pt>
                <c:pt idx="3773">
                  <c:v>42084.3</c:v>
                </c:pt>
                <c:pt idx="3774">
                  <c:v>42104.375</c:v>
                </c:pt>
                <c:pt idx="3775">
                  <c:v>42124.450000000004</c:v>
                </c:pt>
                <c:pt idx="3776">
                  <c:v>42144.525000000001</c:v>
                </c:pt>
                <c:pt idx="3777">
                  <c:v>#N/A</c:v>
                </c:pt>
                <c:pt idx="3778">
                  <c:v>#N/A</c:v>
                </c:pt>
                <c:pt idx="3779">
                  <c:v>#N/A</c:v>
                </c:pt>
                <c:pt idx="3780">
                  <c:v>#N/A</c:v>
                </c:pt>
                <c:pt idx="3781">
                  <c:v>42004</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42348.924999999996</c:v>
                </c:pt>
                <c:pt idx="3801">
                  <c:v>42369</c:v>
                </c:pt>
                <c:pt idx="3802">
                  <c:v>42389.074999999997</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42369</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42369</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42348.924999999996</c:v>
                </c:pt>
                <c:pt idx="3858">
                  <c:v>42369</c:v>
                </c:pt>
                <c:pt idx="3859">
                  <c:v>42389.074999999997</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42348.924999999996</c:v>
                </c:pt>
                <c:pt idx="3877">
                  <c:v>42369</c:v>
                </c:pt>
                <c:pt idx="3878">
                  <c:v>42389.074999999997</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42369</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42369</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42369</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42369</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42369</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42735</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42735</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42735</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42724.962500000001</c:v>
                </c:pt>
                <c:pt idx="4048">
                  <c:v>42745.037500000006</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42724.962500000001</c:v>
                </c:pt>
                <c:pt idx="4067">
                  <c:v>42745.037500000006</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42724.962500000001</c:v>
                </c:pt>
                <c:pt idx="4086">
                  <c:v>42745.037500000006</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42735</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42724.962500000001</c:v>
                </c:pt>
                <c:pt idx="4124">
                  <c:v>42745.037500000006</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42735</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42735</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42735</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42735</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43100</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43079.924999999996</c:v>
                </c:pt>
                <c:pt idx="4238">
                  <c:v>43100</c:v>
                </c:pt>
                <c:pt idx="4239">
                  <c:v>43120.074999999997</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43039.775000000001</c:v>
                </c:pt>
                <c:pt idx="4257">
                  <c:v>43059.850000000006</c:v>
                </c:pt>
                <c:pt idx="4258">
                  <c:v>43079.925000000003</c:v>
                </c:pt>
                <c:pt idx="4259">
                  <c:v>43100.000000000007</c:v>
                </c:pt>
                <c:pt idx="4260">
                  <c:v>43120.075000000004</c:v>
                </c:pt>
                <c:pt idx="4261">
                  <c:v>43140.15</c:v>
                </c:pt>
                <c:pt idx="4262">
                  <c:v>43160.225000000006</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43079.924999999996</c:v>
                </c:pt>
                <c:pt idx="4276">
                  <c:v>43100</c:v>
                </c:pt>
                <c:pt idx="4277">
                  <c:v>43120.074999999997</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43089.962500000001</c:v>
                </c:pt>
                <c:pt idx="4295">
                  <c:v>43110.037500000006</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numCache>
            </c:numRef>
          </c:xVal>
          <c:yVal>
            <c:numRef>
              <c:f>Chart!$DN$2:$DN$10000</c:f>
              <c:numCache>
                <c:formatCode>General</c:formatCode>
                <c:ptCount val="99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0</c:v>
                </c:pt>
                <c:pt idx="3762">
                  <c:v>0.25</c:v>
                </c:pt>
                <c:pt idx="3763">
                  <c:v>0.25</c:v>
                </c:pt>
                <c:pt idx="3764">
                  <c:v>0.25</c:v>
                </c:pt>
                <c:pt idx="3765">
                  <c:v>0.25</c:v>
                </c:pt>
                <c:pt idx="3766">
                  <c:v>0.25</c:v>
                </c:pt>
                <c:pt idx="3767">
                  <c:v>0.25</c:v>
                </c:pt>
                <c:pt idx="3768">
                  <c:v>0.25</c:v>
                </c:pt>
                <c:pt idx="3769">
                  <c:v>0.25</c:v>
                </c:pt>
                <c:pt idx="3770">
                  <c:v>0.25</c:v>
                </c:pt>
                <c:pt idx="3771">
                  <c:v>0.25</c:v>
                </c:pt>
                <c:pt idx="3772">
                  <c:v>0.25</c:v>
                </c:pt>
                <c:pt idx="3773">
                  <c:v>0.25</c:v>
                </c:pt>
                <c:pt idx="3774">
                  <c:v>0.25</c:v>
                </c:pt>
                <c:pt idx="3775">
                  <c:v>0.25</c:v>
                </c:pt>
                <c:pt idx="3776">
                  <c:v>0.25</c:v>
                </c:pt>
                <c:pt idx="3777">
                  <c:v>0</c:v>
                </c:pt>
                <c:pt idx="3778">
                  <c:v>0</c:v>
                </c:pt>
                <c:pt idx="3779">
                  <c:v>0</c:v>
                </c:pt>
                <c:pt idx="3780">
                  <c:v>0</c:v>
                </c:pt>
                <c:pt idx="3781">
                  <c:v>0.5</c:v>
                </c:pt>
                <c:pt idx="3782">
                  <c:v>0</c:v>
                </c:pt>
                <c:pt idx="3783">
                  <c:v>0</c:v>
                </c:pt>
                <c:pt idx="3784">
                  <c:v>0</c:v>
                </c:pt>
                <c:pt idx="3785">
                  <c:v>0</c:v>
                </c:pt>
                <c:pt idx="3786">
                  <c:v>0</c:v>
                </c:pt>
                <c:pt idx="3787">
                  <c:v>0</c:v>
                </c:pt>
                <c:pt idx="3788">
                  <c:v>0</c:v>
                </c:pt>
                <c:pt idx="3789">
                  <c:v>0</c:v>
                </c:pt>
                <c:pt idx="3790">
                  <c:v>0</c:v>
                </c:pt>
                <c:pt idx="3791">
                  <c:v>0</c:v>
                </c:pt>
                <c:pt idx="3792">
                  <c:v>0</c:v>
                </c:pt>
                <c:pt idx="3793">
                  <c:v>0</c:v>
                </c:pt>
                <c:pt idx="3794">
                  <c:v>0</c:v>
                </c:pt>
                <c:pt idx="3795">
                  <c:v>0</c:v>
                </c:pt>
                <c:pt idx="3796">
                  <c:v>0</c:v>
                </c:pt>
                <c:pt idx="3797">
                  <c:v>0</c:v>
                </c:pt>
                <c:pt idx="3798">
                  <c:v>0</c:v>
                </c:pt>
                <c:pt idx="3799">
                  <c:v>0</c:v>
                </c:pt>
                <c:pt idx="3800">
                  <c:v>0.25</c:v>
                </c:pt>
                <c:pt idx="3801">
                  <c:v>0.25</c:v>
                </c:pt>
                <c:pt idx="3802">
                  <c:v>0.25</c:v>
                </c:pt>
                <c:pt idx="3803">
                  <c:v>0</c:v>
                </c:pt>
                <c:pt idx="3804">
                  <c:v>0</c:v>
                </c:pt>
                <c:pt idx="3805">
                  <c:v>0</c:v>
                </c:pt>
                <c:pt idx="3806">
                  <c:v>0</c:v>
                </c:pt>
                <c:pt idx="3807">
                  <c:v>0</c:v>
                </c:pt>
                <c:pt idx="3808">
                  <c:v>0</c:v>
                </c:pt>
                <c:pt idx="3809">
                  <c:v>0</c:v>
                </c:pt>
                <c:pt idx="3810">
                  <c:v>0</c:v>
                </c:pt>
                <c:pt idx="3811">
                  <c:v>0</c:v>
                </c:pt>
                <c:pt idx="3812">
                  <c:v>0</c:v>
                </c:pt>
                <c:pt idx="3813">
                  <c:v>0</c:v>
                </c:pt>
                <c:pt idx="3814">
                  <c:v>0</c:v>
                </c:pt>
                <c:pt idx="3815">
                  <c:v>0</c:v>
                </c:pt>
                <c:pt idx="3816">
                  <c:v>0</c:v>
                </c:pt>
                <c:pt idx="3817">
                  <c:v>0</c:v>
                </c:pt>
                <c:pt idx="3818">
                  <c:v>0</c:v>
                </c:pt>
                <c:pt idx="3819">
                  <c:v>0.5</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0.75</c:v>
                </c:pt>
                <c:pt idx="3839">
                  <c:v>0</c:v>
                </c:pt>
                <c:pt idx="3840">
                  <c:v>0</c:v>
                </c:pt>
                <c:pt idx="3841">
                  <c:v>0</c:v>
                </c:pt>
                <c:pt idx="3842">
                  <c:v>0</c:v>
                </c:pt>
                <c:pt idx="3843">
                  <c:v>0</c:v>
                </c:pt>
                <c:pt idx="3844">
                  <c:v>0</c:v>
                </c:pt>
                <c:pt idx="3845">
                  <c:v>0</c:v>
                </c:pt>
                <c:pt idx="3846">
                  <c:v>0</c:v>
                </c:pt>
                <c:pt idx="3847">
                  <c:v>0</c:v>
                </c:pt>
                <c:pt idx="3848">
                  <c:v>0</c:v>
                </c:pt>
                <c:pt idx="3849">
                  <c:v>0</c:v>
                </c:pt>
                <c:pt idx="3850">
                  <c:v>0</c:v>
                </c:pt>
                <c:pt idx="3851">
                  <c:v>0</c:v>
                </c:pt>
                <c:pt idx="3852">
                  <c:v>0</c:v>
                </c:pt>
                <c:pt idx="3853">
                  <c:v>0</c:v>
                </c:pt>
                <c:pt idx="3854">
                  <c:v>0</c:v>
                </c:pt>
                <c:pt idx="3855">
                  <c:v>0</c:v>
                </c:pt>
                <c:pt idx="3856">
                  <c:v>0</c:v>
                </c:pt>
                <c:pt idx="3857">
                  <c:v>1</c:v>
                </c:pt>
                <c:pt idx="3858">
                  <c:v>1</c:v>
                </c:pt>
                <c:pt idx="3859">
                  <c:v>1</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1.25</c:v>
                </c:pt>
                <c:pt idx="3877">
                  <c:v>1.25</c:v>
                </c:pt>
                <c:pt idx="3878">
                  <c:v>1.25</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0</c:v>
                </c:pt>
                <c:pt idx="3893">
                  <c:v>0</c:v>
                </c:pt>
                <c:pt idx="3894">
                  <c:v>0</c:v>
                </c:pt>
                <c:pt idx="3895">
                  <c:v>1.5</c:v>
                </c:pt>
                <c:pt idx="3896">
                  <c:v>0</c:v>
                </c:pt>
                <c:pt idx="3897">
                  <c:v>0</c:v>
                </c:pt>
                <c:pt idx="3898">
                  <c:v>0</c:v>
                </c:pt>
                <c:pt idx="3899">
                  <c:v>0</c:v>
                </c:pt>
                <c:pt idx="3900">
                  <c:v>0</c:v>
                </c:pt>
                <c:pt idx="3901">
                  <c:v>0</c:v>
                </c:pt>
                <c:pt idx="3902">
                  <c:v>0</c:v>
                </c:pt>
                <c:pt idx="3903">
                  <c:v>0</c:v>
                </c:pt>
                <c:pt idx="3904">
                  <c:v>0</c:v>
                </c:pt>
                <c:pt idx="3905">
                  <c:v>0</c:v>
                </c:pt>
                <c:pt idx="3906">
                  <c:v>0</c:v>
                </c:pt>
                <c:pt idx="3907">
                  <c:v>0</c:v>
                </c:pt>
                <c:pt idx="3908">
                  <c:v>0</c:v>
                </c:pt>
                <c:pt idx="3909">
                  <c:v>0</c:v>
                </c:pt>
                <c:pt idx="3910">
                  <c:v>0</c:v>
                </c:pt>
                <c:pt idx="3911">
                  <c:v>0</c:v>
                </c:pt>
                <c:pt idx="3912">
                  <c:v>0</c:v>
                </c:pt>
                <c:pt idx="3913">
                  <c:v>0</c:v>
                </c:pt>
                <c:pt idx="3914">
                  <c:v>1.75</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2</c:v>
                </c:pt>
                <c:pt idx="3934">
                  <c:v>0</c:v>
                </c:pt>
                <c:pt idx="3935">
                  <c:v>0</c:v>
                </c:pt>
                <c:pt idx="3936">
                  <c:v>0</c:v>
                </c:pt>
                <c:pt idx="3937">
                  <c:v>0</c:v>
                </c:pt>
                <c:pt idx="3938">
                  <c:v>0</c:v>
                </c:pt>
                <c:pt idx="3939">
                  <c:v>0</c:v>
                </c:pt>
                <c:pt idx="3940">
                  <c:v>0</c:v>
                </c:pt>
                <c:pt idx="3941">
                  <c:v>0</c:v>
                </c:pt>
                <c:pt idx="3942">
                  <c:v>0</c:v>
                </c:pt>
                <c:pt idx="3943">
                  <c:v>0</c:v>
                </c:pt>
                <c:pt idx="3944">
                  <c:v>0</c:v>
                </c:pt>
                <c:pt idx="3945">
                  <c:v>0</c:v>
                </c:pt>
                <c:pt idx="3946">
                  <c:v>0</c:v>
                </c:pt>
                <c:pt idx="3947">
                  <c:v>0</c:v>
                </c:pt>
                <c:pt idx="3948">
                  <c:v>0</c:v>
                </c:pt>
                <c:pt idx="3949">
                  <c:v>0</c:v>
                </c:pt>
                <c:pt idx="3950">
                  <c:v>0</c:v>
                </c:pt>
                <c:pt idx="3951">
                  <c:v>0</c:v>
                </c:pt>
                <c:pt idx="3952">
                  <c:v>2.25</c:v>
                </c:pt>
                <c:pt idx="3953">
                  <c:v>0</c:v>
                </c:pt>
                <c:pt idx="3954">
                  <c:v>0</c:v>
                </c:pt>
                <c:pt idx="3955">
                  <c:v>0</c:v>
                </c:pt>
                <c:pt idx="3956">
                  <c:v>0</c:v>
                </c:pt>
                <c:pt idx="3957">
                  <c:v>0</c:v>
                </c:pt>
                <c:pt idx="3958">
                  <c:v>0</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3</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0.5</c:v>
                </c:pt>
                <c:pt idx="3991">
                  <c:v>0</c:v>
                </c:pt>
                <c:pt idx="3992">
                  <c:v>0</c:v>
                </c:pt>
                <c:pt idx="3993">
                  <c:v>0</c:v>
                </c:pt>
                <c:pt idx="3994">
                  <c:v>0</c:v>
                </c:pt>
                <c:pt idx="3995">
                  <c:v>0</c:v>
                </c:pt>
                <c:pt idx="3996">
                  <c:v>0</c:v>
                </c:pt>
                <c:pt idx="3997">
                  <c:v>0</c:v>
                </c:pt>
                <c:pt idx="3998">
                  <c:v>0</c:v>
                </c:pt>
                <c:pt idx="3999">
                  <c:v>0</c:v>
                </c:pt>
                <c:pt idx="4000">
                  <c:v>0</c:v>
                </c:pt>
                <c:pt idx="4001">
                  <c:v>0</c:v>
                </c:pt>
                <c:pt idx="4002">
                  <c:v>0</c:v>
                </c:pt>
                <c:pt idx="4003">
                  <c:v>0</c:v>
                </c:pt>
                <c:pt idx="4004">
                  <c:v>0</c:v>
                </c:pt>
                <c:pt idx="4005">
                  <c:v>0</c:v>
                </c:pt>
                <c:pt idx="4006">
                  <c:v>0</c:v>
                </c:pt>
                <c:pt idx="4007">
                  <c:v>0</c:v>
                </c:pt>
                <c:pt idx="4008">
                  <c:v>0</c:v>
                </c:pt>
                <c:pt idx="4009">
                  <c:v>1</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1.25</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0</c:v>
                </c:pt>
                <c:pt idx="4042">
                  <c:v>0</c:v>
                </c:pt>
                <c:pt idx="4043">
                  <c:v>0</c:v>
                </c:pt>
                <c:pt idx="4044">
                  <c:v>0</c:v>
                </c:pt>
                <c:pt idx="4045">
                  <c:v>0</c:v>
                </c:pt>
                <c:pt idx="4046">
                  <c:v>0</c:v>
                </c:pt>
                <c:pt idx="4047">
                  <c:v>2</c:v>
                </c:pt>
                <c:pt idx="4048">
                  <c:v>2</c:v>
                </c:pt>
                <c:pt idx="4049">
                  <c:v>0</c:v>
                </c:pt>
                <c:pt idx="4050">
                  <c:v>0</c:v>
                </c:pt>
                <c:pt idx="4051">
                  <c:v>0</c:v>
                </c:pt>
                <c:pt idx="4052">
                  <c:v>0</c:v>
                </c:pt>
                <c:pt idx="4053">
                  <c:v>0</c:v>
                </c:pt>
                <c:pt idx="4054">
                  <c:v>0</c:v>
                </c:pt>
                <c:pt idx="4055">
                  <c:v>0</c:v>
                </c:pt>
                <c:pt idx="4056">
                  <c:v>0</c:v>
                </c:pt>
                <c:pt idx="4057">
                  <c:v>0</c:v>
                </c:pt>
                <c:pt idx="4058">
                  <c:v>0</c:v>
                </c:pt>
                <c:pt idx="4059">
                  <c:v>0</c:v>
                </c:pt>
                <c:pt idx="4060">
                  <c:v>0</c:v>
                </c:pt>
                <c:pt idx="4061">
                  <c:v>0</c:v>
                </c:pt>
                <c:pt idx="4062">
                  <c:v>0</c:v>
                </c:pt>
                <c:pt idx="4063">
                  <c:v>0</c:v>
                </c:pt>
                <c:pt idx="4064">
                  <c:v>0</c:v>
                </c:pt>
                <c:pt idx="4065">
                  <c:v>0</c:v>
                </c:pt>
                <c:pt idx="4066">
                  <c:v>2.25</c:v>
                </c:pt>
                <c:pt idx="4067">
                  <c:v>2.25</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2.5</c:v>
                </c:pt>
                <c:pt idx="4086">
                  <c:v>2.5</c:v>
                </c:pt>
                <c:pt idx="4087">
                  <c:v>0</c:v>
                </c:pt>
                <c:pt idx="4088">
                  <c:v>0</c:v>
                </c:pt>
                <c:pt idx="4089">
                  <c:v>0</c:v>
                </c:pt>
                <c:pt idx="4090">
                  <c:v>0</c:v>
                </c:pt>
                <c:pt idx="4091">
                  <c:v>0</c:v>
                </c:pt>
                <c:pt idx="4092">
                  <c:v>0</c:v>
                </c:pt>
                <c:pt idx="4093">
                  <c:v>0</c:v>
                </c:pt>
                <c:pt idx="4094">
                  <c:v>0</c:v>
                </c:pt>
                <c:pt idx="4095">
                  <c:v>0</c:v>
                </c:pt>
                <c:pt idx="4096">
                  <c:v>0</c:v>
                </c:pt>
                <c:pt idx="4097">
                  <c:v>0</c:v>
                </c:pt>
                <c:pt idx="4098">
                  <c:v>0</c:v>
                </c:pt>
                <c:pt idx="4099">
                  <c:v>0</c:v>
                </c:pt>
                <c:pt idx="4100">
                  <c:v>0</c:v>
                </c:pt>
                <c:pt idx="4101">
                  <c:v>0</c:v>
                </c:pt>
                <c:pt idx="4102">
                  <c:v>0</c:v>
                </c:pt>
                <c:pt idx="4103">
                  <c:v>0</c:v>
                </c:pt>
                <c:pt idx="4104">
                  <c:v>2.75</c:v>
                </c:pt>
                <c:pt idx="4105">
                  <c:v>0</c:v>
                </c:pt>
                <c:pt idx="4106">
                  <c:v>0</c:v>
                </c:pt>
                <c:pt idx="4107">
                  <c:v>0</c:v>
                </c:pt>
                <c:pt idx="4108">
                  <c:v>0</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3</c:v>
                </c:pt>
                <c:pt idx="4124">
                  <c:v>3</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0</c:v>
                </c:pt>
                <c:pt idx="4142">
                  <c:v>3.5</c:v>
                </c:pt>
                <c:pt idx="4143">
                  <c:v>0</c:v>
                </c:pt>
                <c:pt idx="4144">
                  <c:v>0</c:v>
                </c:pt>
                <c:pt idx="4145">
                  <c:v>0</c:v>
                </c:pt>
                <c:pt idx="4146">
                  <c:v>0</c:v>
                </c:pt>
                <c:pt idx="4147">
                  <c:v>0</c:v>
                </c:pt>
                <c:pt idx="4148">
                  <c:v>0</c:v>
                </c:pt>
                <c:pt idx="4149">
                  <c:v>0</c:v>
                </c:pt>
                <c:pt idx="4150">
                  <c:v>0</c:v>
                </c:pt>
                <c:pt idx="4151">
                  <c:v>0</c:v>
                </c:pt>
                <c:pt idx="4152">
                  <c:v>0</c:v>
                </c:pt>
                <c:pt idx="4153">
                  <c:v>0</c:v>
                </c:pt>
                <c:pt idx="4154">
                  <c:v>0</c:v>
                </c:pt>
                <c:pt idx="4155">
                  <c:v>0</c:v>
                </c:pt>
                <c:pt idx="4156">
                  <c:v>0</c:v>
                </c:pt>
                <c:pt idx="4157">
                  <c:v>0</c:v>
                </c:pt>
                <c:pt idx="4158">
                  <c:v>0</c:v>
                </c:pt>
                <c:pt idx="4159">
                  <c:v>0</c:v>
                </c:pt>
                <c:pt idx="4160">
                  <c:v>0</c:v>
                </c:pt>
                <c:pt idx="4161">
                  <c:v>3.75</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4</c:v>
                </c:pt>
                <c:pt idx="4181">
                  <c:v>0</c:v>
                </c:pt>
                <c:pt idx="4182">
                  <c:v>0</c:v>
                </c:pt>
                <c:pt idx="4183">
                  <c:v>0</c:v>
                </c:pt>
                <c:pt idx="4184">
                  <c:v>0</c:v>
                </c:pt>
                <c:pt idx="4185">
                  <c:v>0</c:v>
                </c:pt>
                <c:pt idx="4186">
                  <c:v>0</c:v>
                </c:pt>
                <c:pt idx="4187">
                  <c:v>0</c:v>
                </c:pt>
                <c:pt idx="4188">
                  <c:v>0</c:v>
                </c:pt>
                <c:pt idx="4189">
                  <c:v>0</c:v>
                </c:pt>
                <c:pt idx="4190">
                  <c:v>0</c:v>
                </c:pt>
                <c:pt idx="4191">
                  <c:v>0</c:v>
                </c:pt>
                <c:pt idx="4192">
                  <c:v>0</c:v>
                </c:pt>
                <c:pt idx="4193">
                  <c:v>0</c:v>
                </c:pt>
                <c:pt idx="4194">
                  <c:v>0</c:v>
                </c:pt>
                <c:pt idx="4195">
                  <c:v>0</c:v>
                </c:pt>
                <c:pt idx="4196">
                  <c:v>0</c:v>
                </c:pt>
                <c:pt idx="4197">
                  <c:v>0</c:v>
                </c:pt>
                <c:pt idx="4198">
                  <c:v>0</c:v>
                </c:pt>
                <c:pt idx="4199">
                  <c:v>4.25</c:v>
                </c:pt>
                <c:pt idx="4200">
                  <c:v>0</c:v>
                </c:pt>
                <c:pt idx="4201">
                  <c:v>0</c:v>
                </c:pt>
                <c:pt idx="4202">
                  <c:v>0</c:v>
                </c:pt>
                <c:pt idx="4203">
                  <c:v>0</c:v>
                </c:pt>
                <c:pt idx="4204">
                  <c:v>0</c:v>
                </c:pt>
                <c:pt idx="4205">
                  <c:v>0</c:v>
                </c:pt>
                <c:pt idx="4206">
                  <c:v>0</c:v>
                </c:pt>
                <c:pt idx="4207">
                  <c:v>0</c:v>
                </c:pt>
                <c:pt idx="4208">
                  <c:v>0</c:v>
                </c:pt>
                <c:pt idx="4209">
                  <c:v>0</c:v>
                </c:pt>
                <c:pt idx="4210">
                  <c:v>0</c:v>
                </c:pt>
                <c:pt idx="4211">
                  <c:v>0</c:v>
                </c:pt>
                <c:pt idx="4212">
                  <c:v>0</c:v>
                </c:pt>
                <c:pt idx="4213">
                  <c:v>0</c:v>
                </c:pt>
                <c:pt idx="4214">
                  <c:v>0</c:v>
                </c:pt>
                <c:pt idx="4215">
                  <c:v>0</c:v>
                </c:pt>
                <c:pt idx="4216">
                  <c:v>0</c:v>
                </c:pt>
                <c:pt idx="4217">
                  <c:v>0</c:v>
                </c:pt>
                <c:pt idx="4218">
                  <c:v>3.25</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3.5</c:v>
                </c:pt>
                <c:pt idx="4238">
                  <c:v>3.5</c:v>
                </c:pt>
                <c:pt idx="4239">
                  <c:v>3.5</c:v>
                </c:pt>
                <c:pt idx="4240">
                  <c:v>0</c:v>
                </c:pt>
                <c:pt idx="4241">
                  <c:v>0</c:v>
                </c:pt>
                <c:pt idx="4242">
                  <c:v>0</c:v>
                </c:pt>
                <c:pt idx="4243">
                  <c:v>0</c:v>
                </c:pt>
                <c:pt idx="4244">
                  <c:v>0</c:v>
                </c:pt>
                <c:pt idx="4245">
                  <c:v>0</c:v>
                </c:pt>
                <c:pt idx="4246">
                  <c:v>0</c:v>
                </c:pt>
                <c:pt idx="4247">
                  <c:v>0</c:v>
                </c:pt>
                <c:pt idx="4248">
                  <c:v>0</c:v>
                </c:pt>
                <c:pt idx="4249">
                  <c:v>0</c:v>
                </c:pt>
                <c:pt idx="4250">
                  <c:v>0</c:v>
                </c:pt>
                <c:pt idx="4251">
                  <c:v>0</c:v>
                </c:pt>
                <c:pt idx="4252">
                  <c:v>0</c:v>
                </c:pt>
                <c:pt idx="4253">
                  <c:v>0</c:v>
                </c:pt>
                <c:pt idx="4254">
                  <c:v>0</c:v>
                </c:pt>
                <c:pt idx="4255">
                  <c:v>0</c:v>
                </c:pt>
                <c:pt idx="4256">
                  <c:v>3.75</c:v>
                </c:pt>
                <c:pt idx="4257">
                  <c:v>3.75</c:v>
                </c:pt>
                <c:pt idx="4258">
                  <c:v>3.75</c:v>
                </c:pt>
                <c:pt idx="4259">
                  <c:v>3.75</c:v>
                </c:pt>
                <c:pt idx="4260">
                  <c:v>3.75</c:v>
                </c:pt>
                <c:pt idx="4261">
                  <c:v>3.75</c:v>
                </c:pt>
                <c:pt idx="4262">
                  <c:v>3.75</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4</c:v>
                </c:pt>
                <c:pt idx="4276">
                  <c:v>4</c:v>
                </c:pt>
                <c:pt idx="4277">
                  <c:v>4</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0</c:v>
                </c:pt>
                <c:pt idx="4291">
                  <c:v>0</c:v>
                </c:pt>
                <c:pt idx="4292">
                  <c:v>0</c:v>
                </c:pt>
                <c:pt idx="4293">
                  <c:v>0</c:v>
                </c:pt>
                <c:pt idx="4294">
                  <c:v>4.25</c:v>
                </c:pt>
                <c:pt idx="4295">
                  <c:v>4.25</c:v>
                </c:pt>
                <c:pt idx="4296">
                  <c:v>0</c:v>
                </c:pt>
                <c:pt idx="4297">
                  <c:v>0</c:v>
                </c:pt>
                <c:pt idx="4298">
                  <c:v>0</c:v>
                </c:pt>
                <c:pt idx="4299">
                  <c:v>0</c:v>
                </c:pt>
                <c:pt idx="4300">
                  <c:v>0</c:v>
                </c:pt>
                <c:pt idx="4301">
                  <c:v>0</c:v>
                </c:pt>
                <c:pt idx="4302">
                  <c:v>0</c:v>
                </c:pt>
                <c:pt idx="4303">
                  <c:v>0</c:v>
                </c:pt>
                <c:pt idx="4304">
                  <c:v>0</c:v>
                </c:pt>
                <c:pt idx="4305">
                  <c:v>0</c:v>
                </c:pt>
                <c:pt idx="4306">
                  <c:v>0</c:v>
                </c:pt>
                <c:pt idx="4307">
                  <c:v>0</c:v>
                </c:pt>
                <c:pt idx="4308">
                  <c:v>0</c:v>
                </c:pt>
                <c:pt idx="4309">
                  <c:v>0</c:v>
                </c:pt>
                <c:pt idx="4310">
                  <c:v>0</c:v>
                </c:pt>
                <c:pt idx="4311">
                  <c:v>0</c:v>
                </c:pt>
              </c:numCache>
            </c:numRef>
          </c:yVal>
          <c:smooth val="0"/>
        </c:ser>
        <c:ser>
          <c:idx val="2"/>
          <c:order val="1"/>
          <c:tx>
            <c:strRef>
              <c:f>Chart!$DW$27</c:f>
              <c:strCache>
                <c:ptCount val="1"/>
              </c:strCache>
            </c:strRef>
          </c:tx>
          <c:marker>
            <c:symbol val="none"/>
          </c:marker>
          <c:dLbls>
            <c:dLblPos val="b"/>
            <c:showLegendKey val="0"/>
            <c:showVal val="0"/>
            <c:showCatName val="0"/>
            <c:showSerName val="1"/>
            <c:showPercent val="0"/>
            <c:showBubbleSize val="0"/>
            <c:showLeaderLines val="0"/>
          </c:dLbls>
          <c:xVal>
            <c:numRef>
              <c:f>Chart!$DS$27</c:f>
              <c:numCache>
                <c:formatCode>m/d/yyyy</c:formatCode>
                <c:ptCount val="1"/>
                <c:pt idx="0">
                  <c:v>#N/A</c:v>
                </c:pt>
              </c:numCache>
            </c:numRef>
          </c:xVal>
          <c:yVal>
            <c:numLit>
              <c:formatCode>General</c:formatCode>
              <c:ptCount val="1"/>
              <c:pt idx="0">
                <c:v>0</c:v>
              </c:pt>
            </c:numLit>
          </c:yVal>
          <c:smooth val="0"/>
        </c:ser>
        <c:ser>
          <c:idx val="3"/>
          <c:order val="2"/>
          <c:tx>
            <c:strRef>
              <c:f>Chart!$DW$28</c:f>
              <c:strCache>
                <c:ptCount val="1"/>
                <c:pt idx="0">
                  <c:v>2013</c:v>
                </c:pt>
              </c:strCache>
            </c:strRef>
          </c:tx>
          <c:marker>
            <c:symbol val="none"/>
          </c:marker>
          <c:dLbls>
            <c:dLblPos val="b"/>
            <c:showLegendKey val="0"/>
            <c:showVal val="0"/>
            <c:showCatName val="0"/>
            <c:showSerName val="1"/>
            <c:showPercent val="0"/>
            <c:showBubbleSize val="0"/>
            <c:showLeaderLines val="0"/>
          </c:dLbls>
          <c:xVal>
            <c:numRef>
              <c:f>Chart!$DS$28</c:f>
              <c:numCache>
                <c:formatCode>m/d/yyyy</c:formatCode>
                <c:ptCount val="1"/>
                <c:pt idx="0">
                  <c:v>41639</c:v>
                </c:pt>
              </c:numCache>
            </c:numRef>
          </c:xVal>
          <c:yVal>
            <c:numLit>
              <c:formatCode>General</c:formatCode>
              <c:ptCount val="1"/>
              <c:pt idx="0">
                <c:v>0</c:v>
              </c:pt>
            </c:numLit>
          </c:yVal>
          <c:smooth val="0"/>
        </c:ser>
        <c:ser>
          <c:idx val="4"/>
          <c:order val="3"/>
          <c:tx>
            <c:strRef>
              <c:f>Chart!$DW$29</c:f>
              <c:strCache>
                <c:ptCount val="1"/>
                <c:pt idx="0">
                  <c:v>2014</c:v>
                </c:pt>
              </c:strCache>
            </c:strRef>
          </c:tx>
          <c:marker>
            <c:symbol val="none"/>
          </c:marker>
          <c:dLbls>
            <c:txPr>
              <a:bodyPr/>
              <a:lstStyle/>
              <a:p>
                <a:pPr>
                  <a:defRPr>
                    <a:latin typeface="+mn-lt"/>
                  </a:defRPr>
                </a:pPr>
                <a:endParaRPr lang="es-CO"/>
              </a:p>
            </c:txPr>
            <c:dLblPos val="b"/>
            <c:showLegendKey val="0"/>
            <c:showVal val="0"/>
            <c:showCatName val="0"/>
            <c:showSerName val="1"/>
            <c:showPercent val="0"/>
            <c:showBubbleSize val="0"/>
            <c:showLeaderLines val="0"/>
          </c:dLbls>
          <c:xVal>
            <c:numRef>
              <c:f>Chart!$DS$29</c:f>
              <c:numCache>
                <c:formatCode>m/d/yyyy</c:formatCode>
                <c:ptCount val="1"/>
                <c:pt idx="0">
                  <c:v>42004</c:v>
                </c:pt>
              </c:numCache>
            </c:numRef>
          </c:xVal>
          <c:yVal>
            <c:numLit>
              <c:formatCode>General</c:formatCode>
              <c:ptCount val="1"/>
              <c:pt idx="0">
                <c:v>0</c:v>
              </c:pt>
            </c:numLit>
          </c:yVal>
          <c:smooth val="0"/>
        </c:ser>
        <c:ser>
          <c:idx val="5"/>
          <c:order val="4"/>
          <c:tx>
            <c:strRef>
              <c:f>Chart!$DW$30</c:f>
              <c:strCache>
                <c:ptCount val="1"/>
                <c:pt idx="0">
                  <c:v>2015</c:v>
                </c:pt>
              </c:strCache>
            </c:strRef>
          </c:tx>
          <c:marker>
            <c:symbol val="none"/>
          </c:marker>
          <c:dLbls>
            <c:txPr>
              <a:bodyPr/>
              <a:lstStyle/>
              <a:p>
                <a:pPr>
                  <a:defRPr>
                    <a:latin typeface="+mj-lt"/>
                  </a:defRPr>
                </a:pPr>
                <a:endParaRPr lang="es-CO"/>
              </a:p>
            </c:txPr>
            <c:dLblPos val="b"/>
            <c:showLegendKey val="0"/>
            <c:showVal val="0"/>
            <c:showCatName val="0"/>
            <c:showSerName val="1"/>
            <c:showPercent val="0"/>
            <c:showBubbleSize val="0"/>
            <c:showLeaderLines val="0"/>
          </c:dLbls>
          <c:xVal>
            <c:numRef>
              <c:f>Chart!$DS$30</c:f>
              <c:numCache>
                <c:formatCode>m/d/yyyy</c:formatCode>
                <c:ptCount val="1"/>
                <c:pt idx="0">
                  <c:v>42369</c:v>
                </c:pt>
              </c:numCache>
            </c:numRef>
          </c:xVal>
          <c:yVal>
            <c:numLit>
              <c:formatCode>General</c:formatCode>
              <c:ptCount val="1"/>
              <c:pt idx="0">
                <c:v>0</c:v>
              </c:pt>
            </c:numLit>
          </c:yVal>
          <c:smooth val="0"/>
        </c:ser>
        <c:ser>
          <c:idx val="6"/>
          <c:order val="5"/>
          <c:tx>
            <c:strRef>
              <c:f>Chart!$DW$31</c:f>
              <c:strCache>
                <c:ptCount val="1"/>
                <c:pt idx="0">
                  <c:v>2016</c:v>
                </c:pt>
              </c:strCache>
            </c:strRef>
          </c:tx>
          <c:marker>
            <c:symbol val="none"/>
          </c:marker>
          <c:dLbls>
            <c:dLblPos val="b"/>
            <c:showLegendKey val="0"/>
            <c:showVal val="0"/>
            <c:showCatName val="0"/>
            <c:showSerName val="1"/>
            <c:showPercent val="0"/>
            <c:showBubbleSize val="0"/>
            <c:showLeaderLines val="0"/>
          </c:dLbls>
          <c:xVal>
            <c:numRef>
              <c:f>Chart!$DS$31</c:f>
              <c:numCache>
                <c:formatCode>m/d/yyyy</c:formatCode>
                <c:ptCount val="1"/>
                <c:pt idx="0">
                  <c:v>42735</c:v>
                </c:pt>
              </c:numCache>
            </c:numRef>
          </c:xVal>
          <c:yVal>
            <c:numLit>
              <c:formatCode>General</c:formatCode>
              <c:ptCount val="1"/>
              <c:pt idx="0">
                <c:v>0</c:v>
              </c:pt>
            </c:numLit>
          </c:yVal>
          <c:smooth val="0"/>
        </c:ser>
        <c:ser>
          <c:idx val="7"/>
          <c:order val="6"/>
          <c:tx>
            <c:strRef>
              <c:f>Chart!$DW$32</c:f>
              <c:strCache>
                <c:ptCount val="1"/>
                <c:pt idx="0">
                  <c:v>Longer Term</c:v>
                </c:pt>
              </c:strCache>
            </c:strRef>
          </c:tx>
          <c:marker>
            <c:symbol val="none"/>
          </c:marker>
          <c:dLbls>
            <c:dLblPos val="b"/>
            <c:showLegendKey val="0"/>
            <c:showVal val="0"/>
            <c:showCatName val="0"/>
            <c:showSerName val="1"/>
            <c:showPercent val="0"/>
            <c:showBubbleSize val="0"/>
            <c:showLeaderLines val="0"/>
          </c:dLbls>
          <c:xVal>
            <c:numRef>
              <c:f>Chart!$DS$32</c:f>
              <c:numCache>
                <c:formatCode>m/d/yyyy</c:formatCode>
                <c:ptCount val="1"/>
                <c:pt idx="0">
                  <c:v>43100</c:v>
                </c:pt>
              </c:numCache>
            </c:numRef>
          </c:xVal>
          <c:yVal>
            <c:numLit>
              <c:formatCode>General</c:formatCode>
              <c:ptCount val="1"/>
              <c:pt idx="0">
                <c:v>0</c:v>
              </c:pt>
            </c:numLit>
          </c:yVal>
          <c:smooth val="0"/>
        </c:ser>
        <c:ser>
          <c:idx val="9"/>
          <c:order val="7"/>
          <c:spPr>
            <a:ln>
              <a:solidFill>
                <a:schemeClr val="tx1">
                  <a:lumMod val="50000"/>
                  <a:lumOff val="50000"/>
                </a:schemeClr>
              </a:solidFill>
              <a:prstDash val="dash"/>
            </a:ln>
          </c:spPr>
          <c:marker>
            <c:symbol val="none"/>
          </c:marker>
          <c:xVal>
            <c:numRef>
              <c:f>Chart!$DY$1:$DY$2</c:f>
              <c:numCache>
                <c:formatCode>m/d/yyyy</c:formatCode>
                <c:ptCount val="2"/>
                <c:pt idx="0">
                  <c:v>42917.5</c:v>
                </c:pt>
                <c:pt idx="1">
                  <c:v>42917.5</c:v>
                </c:pt>
              </c:numCache>
            </c:numRef>
          </c:xVal>
          <c:yVal>
            <c:numRef>
              <c:f>Chart!$DZ$1:$DZ$2</c:f>
              <c:numCache>
                <c:formatCode>General</c:formatCode>
                <c:ptCount val="2"/>
                <c:pt idx="0">
                  <c:v>0</c:v>
                </c:pt>
                <c:pt idx="1">
                  <c:v>6</c:v>
                </c:pt>
              </c:numCache>
            </c:numRef>
          </c:yVal>
          <c:smooth val="0"/>
        </c:ser>
        <c:ser>
          <c:idx val="1"/>
          <c:order val="8"/>
          <c:tx>
            <c:strRef>
              <c:f>Chart!$DT$26</c:f>
              <c:strCache>
                <c:ptCount val="1"/>
                <c:pt idx="0">
                  <c:v>Jun-14 Median</c:v>
                </c:pt>
              </c:strCache>
            </c:strRef>
          </c:tx>
          <c:spPr>
            <a:ln>
              <a:solidFill>
                <a:schemeClr val="tx2">
                  <a:lumMod val="75000"/>
                </a:schemeClr>
              </a:solidFill>
            </a:ln>
          </c:spPr>
          <c:marker>
            <c:symbol val="none"/>
          </c:marker>
          <c:xVal>
            <c:numRef>
              <c:f>Chart!$DS$27:$DS$36</c:f>
              <c:numCache>
                <c:formatCode>m/d/yyyy</c:formatCode>
                <c:ptCount val="10"/>
                <c:pt idx="0">
                  <c:v>#N/A</c:v>
                </c:pt>
                <c:pt idx="1">
                  <c:v>41639</c:v>
                </c:pt>
                <c:pt idx="2">
                  <c:v>42004</c:v>
                </c:pt>
                <c:pt idx="3">
                  <c:v>42369</c:v>
                </c:pt>
                <c:pt idx="4">
                  <c:v>42735</c:v>
                </c:pt>
                <c:pt idx="5">
                  <c:v>43100</c:v>
                </c:pt>
                <c:pt idx="8">
                  <c:v>42950</c:v>
                </c:pt>
                <c:pt idx="9">
                  <c:v>43250</c:v>
                </c:pt>
              </c:numCache>
            </c:numRef>
          </c:xVal>
          <c:yVal>
            <c:numRef>
              <c:f>Chart!$DT$27:$DT$36</c:f>
              <c:numCache>
                <c:formatCode>General</c:formatCode>
                <c:ptCount val="10"/>
                <c:pt idx="0">
                  <c:v>#N/A</c:v>
                </c:pt>
                <c:pt idx="1">
                  <c:v>#N/A</c:v>
                </c:pt>
                <c:pt idx="2">
                  <c:v>0.25</c:v>
                </c:pt>
                <c:pt idx="3">
                  <c:v>1.125</c:v>
                </c:pt>
                <c:pt idx="4">
                  <c:v>2.5</c:v>
                </c:pt>
                <c:pt idx="5">
                  <c:v>#N/A</c:v>
                </c:pt>
                <c:pt idx="8">
                  <c:v>3.75</c:v>
                </c:pt>
                <c:pt idx="9">
                  <c:v>3.75</c:v>
                </c:pt>
              </c:numCache>
            </c:numRef>
          </c:yVal>
          <c:smooth val="0"/>
        </c:ser>
        <c:ser>
          <c:idx val="8"/>
          <c:order val="9"/>
          <c:tx>
            <c:strRef>
              <c:f>Chart!$DU$26</c:f>
              <c:strCache>
                <c:ptCount val="1"/>
                <c:pt idx="0">
                  <c:v>Dec-13 Median</c:v>
                </c:pt>
              </c:strCache>
            </c:strRef>
          </c:tx>
          <c:spPr>
            <a:ln>
              <a:solidFill>
                <a:schemeClr val="accent1"/>
              </a:solidFill>
            </a:ln>
          </c:spPr>
          <c:marker>
            <c:symbol val="none"/>
          </c:marker>
          <c:dPt>
            <c:idx val="9"/>
            <c:marker/>
            <c:bubble3D val="0"/>
          </c:dPt>
          <c:xVal>
            <c:numRef>
              <c:f>Chart!$DS$27:$DS$36</c:f>
              <c:numCache>
                <c:formatCode>m/d/yyyy</c:formatCode>
                <c:ptCount val="10"/>
                <c:pt idx="0">
                  <c:v>#N/A</c:v>
                </c:pt>
                <c:pt idx="1">
                  <c:v>41639</c:v>
                </c:pt>
                <c:pt idx="2">
                  <c:v>42004</c:v>
                </c:pt>
                <c:pt idx="3">
                  <c:v>42369</c:v>
                </c:pt>
                <c:pt idx="4">
                  <c:v>42735</c:v>
                </c:pt>
                <c:pt idx="5">
                  <c:v>43100</c:v>
                </c:pt>
                <c:pt idx="8">
                  <c:v>42950</c:v>
                </c:pt>
                <c:pt idx="9">
                  <c:v>43250</c:v>
                </c:pt>
              </c:numCache>
            </c:numRef>
          </c:xVal>
          <c:yVal>
            <c:numRef>
              <c:f>Chart!$DU$27:$DU$36</c:f>
              <c:numCache>
                <c:formatCode>General</c:formatCode>
                <c:ptCount val="10"/>
                <c:pt idx="0">
                  <c:v>#N/A</c:v>
                </c:pt>
                <c:pt idx="1">
                  <c:v>0.25</c:v>
                </c:pt>
                <c:pt idx="2">
                  <c:v>0.25</c:v>
                </c:pt>
                <c:pt idx="3">
                  <c:v>0.75</c:v>
                </c:pt>
                <c:pt idx="4">
                  <c:v>1.75</c:v>
                </c:pt>
                <c:pt idx="5">
                  <c:v>#N/A</c:v>
                </c:pt>
                <c:pt idx="8">
                  <c:v>4</c:v>
                </c:pt>
                <c:pt idx="9">
                  <c:v>4</c:v>
                </c:pt>
              </c:numCache>
            </c:numRef>
          </c:yVal>
          <c:smooth val="0"/>
        </c:ser>
        <c:ser>
          <c:idx val="10"/>
          <c:order val="10"/>
          <c:tx>
            <c:v>Eurodollar Futures</c:v>
          </c:tx>
          <c:spPr>
            <a:ln>
              <a:solidFill>
                <a:srgbClr val="FF7171"/>
              </a:solidFill>
              <a:prstDash val="sysDot"/>
            </a:ln>
          </c:spPr>
          <c:marker>
            <c:symbol val="none"/>
          </c:marker>
          <c:xVal>
            <c:numRef>
              <c:f>Chart!$EG$11:$EG$50</c:f>
              <c:numCache>
                <c:formatCode>m/d/yyyy</c:formatCode>
                <c:ptCount val="40"/>
                <c:pt idx="0">
                  <c:v>#N/A</c:v>
                </c:pt>
                <c:pt idx="1">
                  <c:v>#N/A</c:v>
                </c:pt>
                <c:pt idx="2">
                  <c:v>#N/A</c:v>
                </c:pt>
                <c:pt idx="3">
                  <c:v>#N/A</c:v>
                </c:pt>
                <c:pt idx="4">
                  <c:v>#N/A</c:v>
                </c:pt>
                <c:pt idx="5">
                  <c:v>#N/A</c:v>
                </c:pt>
                <c:pt idx="6">
                  <c:v>#N/A</c:v>
                </c:pt>
                <c:pt idx="7">
                  <c:v>#N/A</c:v>
                </c:pt>
                <c:pt idx="8">
                  <c:v>#N/A</c:v>
                </c:pt>
                <c:pt idx="9">
                  <c:v>41897</c:v>
                </c:pt>
                <c:pt idx="10">
                  <c:v>41988</c:v>
                </c:pt>
                <c:pt idx="11">
                  <c:v>42079</c:v>
                </c:pt>
                <c:pt idx="12">
                  <c:v>42170</c:v>
                </c:pt>
                <c:pt idx="13">
                  <c:v>42261</c:v>
                </c:pt>
                <c:pt idx="14">
                  <c:v>42352</c:v>
                </c:pt>
                <c:pt idx="15">
                  <c:v>42443</c:v>
                </c:pt>
                <c:pt idx="16">
                  <c:v>42534</c:v>
                </c:pt>
                <c:pt idx="17">
                  <c:v>42632</c:v>
                </c:pt>
                <c:pt idx="18">
                  <c:v>42723</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numCache>
            </c:numRef>
          </c:xVal>
          <c:yVal>
            <c:numRef>
              <c:f>Chart!$EH$11:$EH$50</c:f>
              <c:numCache>
                <c:formatCode>General</c:formatCode>
                <c:ptCount val="40"/>
                <c:pt idx="0">
                  <c:v>#N/A</c:v>
                </c:pt>
                <c:pt idx="1">
                  <c:v>#N/A</c:v>
                </c:pt>
                <c:pt idx="2">
                  <c:v>#N/A</c:v>
                </c:pt>
                <c:pt idx="3">
                  <c:v>#N/A</c:v>
                </c:pt>
                <c:pt idx="4">
                  <c:v>#N/A</c:v>
                </c:pt>
                <c:pt idx="5">
                  <c:v>#N/A</c:v>
                </c:pt>
                <c:pt idx="6">
                  <c:v>#N/A</c:v>
                </c:pt>
                <c:pt idx="7">
                  <c:v>#N/A</c:v>
                </c:pt>
                <c:pt idx="8">
                  <c:v>#N/A</c:v>
                </c:pt>
                <c:pt idx="9">
                  <c:v>0.23460000000000036</c:v>
                </c:pt>
                <c:pt idx="10">
                  <c:v>0.25499999999999545</c:v>
                </c:pt>
                <c:pt idx="11">
                  <c:v>0.36499999999999488</c:v>
                </c:pt>
                <c:pt idx="12">
                  <c:v>0.56999999999999318</c:v>
                </c:pt>
                <c:pt idx="13">
                  <c:v>0.81000000000000227</c:v>
                </c:pt>
                <c:pt idx="14">
                  <c:v>1.0649999999999977</c:v>
                </c:pt>
                <c:pt idx="15">
                  <c:v>1.3250000000000028</c:v>
                </c:pt>
                <c:pt idx="16">
                  <c:v>1.5999999999999943</c:v>
                </c:pt>
                <c:pt idx="17">
                  <c:v>1.8799999999999955</c:v>
                </c:pt>
                <c:pt idx="18">
                  <c:v>2.1500000000000057</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numCache>
            </c:numRef>
          </c:yVal>
          <c:smooth val="0"/>
        </c:ser>
        <c:ser>
          <c:idx val="13"/>
          <c:order val="11"/>
          <c:tx>
            <c:v>Fed Funds Futures</c:v>
          </c:tx>
          <c:spPr>
            <a:ln w="28575">
              <a:solidFill>
                <a:srgbClr val="00B050"/>
              </a:solidFill>
              <a:prstDash val="sysDot"/>
            </a:ln>
          </c:spPr>
          <c:marker>
            <c:symbol val="none"/>
          </c:marker>
          <c:xVal>
            <c:numRef>
              <c:f>Chart!$EP$11:$EP$50</c:f>
              <c:numCache>
                <c:formatCode>m/d/yyyy</c:formatCode>
                <c:ptCount val="40"/>
                <c:pt idx="0">
                  <c:v>#N/A</c:v>
                </c:pt>
                <c:pt idx="1">
                  <c:v>#N/A</c:v>
                </c:pt>
                <c:pt idx="2">
                  <c:v>#N/A</c:v>
                </c:pt>
                <c:pt idx="3">
                  <c:v>#N/A</c:v>
                </c:pt>
                <c:pt idx="4">
                  <c:v>#N/A</c:v>
                </c:pt>
                <c:pt idx="5">
                  <c:v>#N/A</c:v>
                </c:pt>
                <c:pt idx="6">
                  <c:v>#N/A</c:v>
                </c:pt>
                <c:pt idx="7">
                  <c:v>#N/A</c:v>
                </c:pt>
                <c:pt idx="8">
                  <c:v>#N/A</c:v>
                </c:pt>
                <c:pt idx="9">
                  <c:v>41912</c:v>
                </c:pt>
                <c:pt idx="10">
                  <c:v>42004</c:v>
                </c:pt>
                <c:pt idx="11">
                  <c:v>42094</c:v>
                </c:pt>
                <c:pt idx="12">
                  <c:v>42185</c:v>
                </c:pt>
                <c:pt idx="13">
                  <c:v>42277</c:v>
                </c:pt>
                <c:pt idx="14">
                  <c:v>42369</c:v>
                </c:pt>
                <c:pt idx="15">
                  <c:v>42460</c:v>
                </c:pt>
                <c:pt idx="16">
                  <c:v>42551</c:v>
                </c:pt>
                <c:pt idx="17">
                  <c:v>42643</c:v>
                </c:pt>
                <c:pt idx="18">
                  <c:v>42734</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numCache>
            </c:numRef>
          </c:xVal>
          <c:yVal>
            <c:numRef>
              <c:f>Chart!$EQ$11:$EQ$50</c:f>
              <c:numCache>
                <c:formatCode>General</c:formatCode>
                <c:ptCount val="40"/>
                <c:pt idx="0">
                  <c:v>#N/A</c:v>
                </c:pt>
                <c:pt idx="1">
                  <c:v>#N/A</c:v>
                </c:pt>
                <c:pt idx="2">
                  <c:v>#N/A</c:v>
                </c:pt>
                <c:pt idx="3">
                  <c:v>#N/A</c:v>
                </c:pt>
                <c:pt idx="4">
                  <c:v>#N/A</c:v>
                </c:pt>
                <c:pt idx="5">
                  <c:v>#N/A</c:v>
                </c:pt>
                <c:pt idx="6">
                  <c:v>#N/A</c:v>
                </c:pt>
                <c:pt idx="7">
                  <c:v>#N/A</c:v>
                </c:pt>
                <c:pt idx="8">
                  <c:v>#N/A</c:v>
                </c:pt>
                <c:pt idx="9">
                  <c:v>9.0000000000003411E-2</c:v>
                </c:pt>
                <c:pt idx="10">
                  <c:v>9.9999999999994316E-2</c:v>
                </c:pt>
                <c:pt idx="11">
                  <c:v>0.15000000000000568</c:v>
                </c:pt>
                <c:pt idx="12">
                  <c:v>0.29000000000000625</c:v>
                </c:pt>
                <c:pt idx="13">
                  <c:v>0.51000000000000512</c:v>
                </c:pt>
                <c:pt idx="14">
                  <c:v>0.75499999999999545</c:v>
                </c:pt>
                <c:pt idx="15">
                  <c:v>1.0049999999999955</c:v>
                </c:pt>
                <c:pt idx="16">
                  <c:v>1.269999999999996</c:v>
                </c:pt>
                <c:pt idx="17">
                  <c:v>1.5450000000000017</c:v>
                </c:pt>
                <c:pt idx="18">
                  <c:v>1.8050000000000068</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numCache>
            </c:numRef>
          </c:yVal>
          <c:smooth val="0"/>
        </c:ser>
        <c:dLbls>
          <c:showLegendKey val="0"/>
          <c:showVal val="0"/>
          <c:showCatName val="0"/>
          <c:showSerName val="0"/>
          <c:showPercent val="0"/>
          <c:showBubbleSize val="0"/>
        </c:dLbls>
        <c:axId val="83056896"/>
        <c:axId val="83066880"/>
      </c:scatterChart>
      <c:valAx>
        <c:axId val="83056896"/>
        <c:scaling>
          <c:orientation val="minMax"/>
          <c:max val="43335"/>
          <c:min val="41273"/>
        </c:scaling>
        <c:delete val="1"/>
        <c:axPos val="b"/>
        <c:numFmt formatCode="m/d/yyyy" sourceLinked="1"/>
        <c:majorTickMark val="out"/>
        <c:minorTickMark val="none"/>
        <c:tickLblPos val="nextTo"/>
        <c:crossAx val="83066880"/>
        <c:crosses val="autoZero"/>
        <c:crossBetween val="midCat"/>
      </c:valAx>
      <c:valAx>
        <c:axId val="83066880"/>
        <c:scaling>
          <c:orientation val="minMax"/>
          <c:max val="5"/>
          <c:min val="0"/>
        </c:scaling>
        <c:delete val="0"/>
        <c:axPos val="l"/>
        <c:majorGridlines/>
        <c:minorGridlines>
          <c:spPr>
            <a:ln>
              <a:solidFill>
                <a:schemeClr val="bg1">
                  <a:lumMod val="85000"/>
                </a:schemeClr>
              </a:solidFill>
              <a:prstDash val="dash"/>
            </a:ln>
          </c:spPr>
        </c:minorGridlines>
        <c:numFmt formatCode="General" sourceLinked="1"/>
        <c:majorTickMark val="out"/>
        <c:minorTickMark val="out"/>
        <c:tickLblPos val="nextTo"/>
        <c:crossAx val="83056896"/>
        <c:crosses val="autoZero"/>
        <c:crossBetween val="midCat"/>
        <c:majorUnit val="1"/>
        <c:minorUnit val="0.25"/>
      </c:valAx>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ayout>
        <c:manualLayout>
          <c:xMode val="edge"/>
          <c:yMode val="edge"/>
          <c:x val="4.4562137107466544E-2"/>
          <c:y val="4.1407224181373867E-2"/>
          <c:w val="0.16418640962203065"/>
          <c:h val="0.23137984279447543"/>
        </c:manualLayout>
      </c:layout>
      <c:overlay val="0"/>
      <c:spPr>
        <a:solidFill>
          <a:schemeClr val="bg1"/>
        </a:solidFill>
        <a:ln>
          <a:solidFill>
            <a:schemeClr val="tx1">
              <a:lumMod val="50000"/>
              <a:lumOff val="50000"/>
            </a:schemeClr>
          </a:solidFill>
        </a:ln>
      </c:spPr>
      <c:txPr>
        <a:bodyPr/>
        <a:lstStyle/>
        <a:p>
          <a:pPr>
            <a:defRPr sz="1100">
              <a:latin typeface="Cambria "/>
              <a:cs typeface="Times New Roman" pitchFamily="18" charset="0"/>
            </a:defRPr>
          </a:pPr>
          <a:endParaRPr lang="es-CO"/>
        </a:p>
      </c:txPr>
    </c:legend>
    <c:plotVisOnly val="1"/>
    <c:dispBlanksAs val="gap"/>
    <c:showDLblsOverMax val="0"/>
  </c:chart>
  <c:spPr>
    <a:noFill/>
    <a:ln>
      <a:noFill/>
    </a:ln>
  </c:spPr>
  <c:txPr>
    <a:bodyPr/>
    <a:lstStyle/>
    <a:p>
      <a:pPr>
        <a:defRPr sz="1400">
          <a:latin typeface="Arial" panose="020B0604020202020204" pitchFamily="34" charset="0"/>
          <a:cs typeface="Arial" panose="020B060402020202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887772675360963E-2"/>
          <c:y val="8.1936685288640593E-2"/>
          <c:w val="0.94362831020995719"/>
          <c:h val="0.83612662942271876"/>
        </c:manualLayout>
      </c:layout>
      <c:scatterChart>
        <c:scatterStyle val="lineMarker"/>
        <c:varyColors val="0"/>
        <c:ser>
          <c:idx val="0"/>
          <c:order val="0"/>
          <c:tx>
            <c:strRef>
              <c:f>Chart!$DQ$61</c:f>
              <c:strCache>
                <c:ptCount val="1"/>
                <c:pt idx="0">
                  <c:v>Jun-14 Median</c:v>
                </c:pt>
              </c:strCache>
            </c:strRef>
          </c:tx>
          <c:spPr>
            <a:ln w="28575">
              <a:noFill/>
            </a:ln>
          </c:spPr>
          <c:marker>
            <c:symbol val="none"/>
          </c:marker>
          <c:dLbls>
            <c:spPr>
              <a:ln w="15875">
                <a:solidFill>
                  <a:schemeClr val="tx2"/>
                </a:solidFill>
              </a:ln>
            </c:spPr>
            <c:dLblPos val="l"/>
            <c:showLegendKey val="0"/>
            <c:showVal val="0"/>
            <c:showCatName val="0"/>
            <c:showSerName val="1"/>
            <c:showPercent val="0"/>
            <c:showBubbleSize val="0"/>
            <c:showLeaderLines val="0"/>
          </c:dLbls>
          <c:xVal>
            <c:numRef>
              <c:f>Chart!$DQ$62</c:f>
              <c:numCache>
                <c:formatCode>m/d/yyyy</c:formatCode>
                <c:ptCount val="1"/>
                <c:pt idx="0">
                  <c:v>41274</c:v>
                </c:pt>
              </c:numCache>
            </c:numRef>
          </c:xVal>
          <c:yVal>
            <c:numRef>
              <c:f>Chart!$DQ$63</c:f>
              <c:numCache>
                <c:formatCode>General</c:formatCode>
                <c:ptCount val="1"/>
                <c:pt idx="0">
                  <c:v>-1</c:v>
                </c:pt>
              </c:numCache>
            </c:numRef>
          </c:yVal>
          <c:smooth val="0"/>
        </c:ser>
        <c:ser>
          <c:idx val="1"/>
          <c:order val="1"/>
          <c:tx>
            <c:strRef>
              <c:f>Chart!$DR$61</c:f>
              <c:strCache>
                <c:ptCount val="1"/>
                <c:pt idx="0">
                  <c:v>Dec-13 Median</c:v>
                </c:pt>
              </c:strCache>
            </c:strRef>
          </c:tx>
          <c:spPr>
            <a:ln w="28575">
              <a:noFill/>
            </a:ln>
          </c:spPr>
          <c:marker>
            <c:symbol val="none"/>
          </c:marker>
          <c:dLbls>
            <c:spPr>
              <a:ln w="19050">
                <a:solidFill>
                  <a:schemeClr val="tx2">
                    <a:lumMod val="40000"/>
                    <a:lumOff val="60000"/>
                  </a:schemeClr>
                </a:solidFill>
              </a:ln>
            </c:spPr>
            <c:dLblPos val="l"/>
            <c:showLegendKey val="0"/>
            <c:showVal val="0"/>
            <c:showCatName val="0"/>
            <c:showSerName val="1"/>
            <c:showPercent val="0"/>
            <c:showBubbleSize val="0"/>
            <c:showLeaderLines val="0"/>
          </c:dLbls>
          <c:xVal>
            <c:numRef>
              <c:f>Chart!$DR$62</c:f>
              <c:numCache>
                <c:formatCode>m/d/yyyy</c:formatCode>
                <c:ptCount val="1"/>
                <c:pt idx="0">
                  <c:v>41274</c:v>
                </c:pt>
              </c:numCache>
            </c:numRef>
          </c:xVal>
          <c:yVal>
            <c:numRef>
              <c:f>Chart!$DR$63</c:f>
              <c:numCache>
                <c:formatCode>General</c:formatCode>
                <c:ptCount val="1"/>
                <c:pt idx="0">
                  <c:v>-2</c:v>
                </c:pt>
              </c:numCache>
            </c:numRef>
          </c:yVal>
          <c:smooth val="0"/>
        </c:ser>
        <c:ser>
          <c:idx val="2"/>
          <c:order val="2"/>
          <c:tx>
            <c:strRef>
              <c:f>Chart!$DS$61</c:f>
              <c:strCache>
                <c:ptCount val="1"/>
                <c:pt idx="0">
                  <c:v>Eurodollar Futures</c:v>
                </c:pt>
              </c:strCache>
            </c:strRef>
          </c:tx>
          <c:spPr>
            <a:ln w="28575">
              <a:noFill/>
            </a:ln>
          </c:spPr>
          <c:marker>
            <c:symbol val="none"/>
          </c:marker>
          <c:dLbls>
            <c:spPr>
              <a:ln w="19050">
                <a:solidFill>
                  <a:srgbClr val="FF7171"/>
                </a:solidFill>
              </a:ln>
            </c:spPr>
            <c:dLblPos val="l"/>
            <c:showLegendKey val="0"/>
            <c:showVal val="0"/>
            <c:showCatName val="0"/>
            <c:showSerName val="1"/>
            <c:showPercent val="0"/>
            <c:showBubbleSize val="0"/>
            <c:showLeaderLines val="0"/>
          </c:dLbls>
          <c:xVal>
            <c:numRef>
              <c:f>Chart!$DS$62</c:f>
              <c:numCache>
                <c:formatCode>m/d/yyyy</c:formatCode>
                <c:ptCount val="1"/>
                <c:pt idx="0">
                  <c:v>41274</c:v>
                </c:pt>
              </c:numCache>
            </c:numRef>
          </c:xVal>
          <c:yVal>
            <c:numRef>
              <c:f>Chart!$DS$63</c:f>
              <c:numCache>
                <c:formatCode>General</c:formatCode>
                <c:ptCount val="1"/>
                <c:pt idx="0">
                  <c:v>-3.5</c:v>
                </c:pt>
              </c:numCache>
            </c:numRef>
          </c:yVal>
          <c:smooth val="0"/>
        </c:ser>
        <c:ser>
          <c:idx val="3"/>
          <c:order val="3"/>
          <c:tx>
            <c:strRef>
              <c:f>Chart!$DT$61</c:f>
              <c:strCache>
                <c:ptCount val="1"/>
                <c:pt idx="0">
                  <c:v>Fed Funds Futures</c:v>
                </c:pt>
              </c:strCache>
            </c:strRef>
          </c:tx>
          <c:spPr>
            <a:ln w="28575">
              <a:noFill/>
            </a:ln>
          </c:spPr>
          <c:marker>
            <c:symbol val="none"/>
          </c:marker>
          <c:dLbls>
            <c:spPr>
              <a:ln w="19050">
                <a:solidFill>
                  <a:srgbClr val="00B050"/>
                </a:solidFill>
              </a:ln>
            </c:spPr>
            <c:dLblPos val="l"/>
            <c:showLegendKey val="0"/>
            <c:showVal val="0"/>
            <c:showCatName val="0"/>
            <c:showSerName val="1"/>
            <c:showPercent val="0"/>
            <c:showBubbleSize val="0"/>
            <c:showLeaderLines val="0"/>
          </c:dLbls>
          <c:xVal>
            <c:numRef>
              <c:f>Chart!$DT$62</c:f>
              <c:numCache>
                <c:formatCode>m/d/yyyy</c:formatCode>
                <c:ptCount val="1"/>
                <c:pt idx="0">
                  <c:v>41274</c:v>
                </c:pt>
              </c:numCache>
            </c:numRef>
          </c:xVal>
          <c:yVal>
            <c:numRef>
              <c:f>Chart!$DT$63</c:f>
              <c:numCache>
                <c:formatCode>General</c:formatCode>
                <c:ptCount val="1"/>
                <c:pt idx="0">
                  <c:v>-4.5</c:v>
                </c:pt>
              </c:numCache>
            </c:numRef>
          </c:yVal>
          <c:smooth val="0"/>
        </c:ser>
        <c:ser>
          <c:idx val="4"/>
          <c:order val="4"/>
          <c:tx>
            <c:strRef>
              <c:f>Chart!$DU$61</c:f>
              <c:strCache>
                <c:ptCount val="1"/>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dLbls>
          <c:xVal>
            <c:numRef>
              <c:f>Chart!$DU$62</c:f>
              <c:numCache>
                <c:formatCode>m/d/yyyy</c:formatCode>
                <c:ptCount val="1"/>
                <c:pt idx="0">
                  <c:v>#N/A</c:v>
                </c:pt>
              </c:numCache>
            </c:numRef>
          </c:xVal>
          <c:yVal>
            <c:numRef>
              <c:f>Chart!$DU$63</c:f>
              <c:numCache>
                <c:formatCode>General</c:formatCode>
                <c:ptCount val="1"/>
                <c:pt idx="0">
                  <c:v>-1</c:v>
                </c:pt>
              </c:numCache>
            </c:numRef>
          </c:yVal>
          <c:smooth val="0"/>
        </c:ser>
        <c:ser>
          <c:idx val="5"/>
          <c:order val="5"/>
          <c:tx>
            <c:strRef>
              <c:f>Chart!$DV$61</c:f>
              <c:strCache>
                <c:ptCount val="1"/>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dLbls>
          <c:xVal>
            <c:numRef>
              <c:f>Chart!$DV$62</c:f>
              <c:numCache>
                <c:formatCode>m/d/yyyy</c:formatCode>
                <c:ptCount val="1"/>
                <c:pt idx="0">
                  <c:v>#N/A</c:v>
                </c:pt>
              </c:numCache>
            </c:numRef>
          </c:xVal>
          <c:yVal>
            <c:numRef>
              <c:f>Chart!$DV$63</c:f>
              <c:numCache>
                <c:formatCode>General</c:formatCode>
                <c:ptCount val="1"/>
                <c:pt idx="0">
                  <c:v>-2</c:v>
                </c:pt>
              </c:numCache>
            </c:numRef>
          </c:yVal>
          <c:smooth val="0"/>
        </c:ser>
        <c:ser>
          <c:idx val="6"/>
          <c:order val="6"/>
          <c:tx>
            <c:strRef>
              <c:f>Chart!$DW$61</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dLbls>
          <c:xVal>
            <c:numRef>
              <c:f>Chart!$DW$62</c:f>
              <c:numCache>
                <c:formatCode>m/d/yyyy</c:formatCode>
                <c:ptCount val="1"/>
                <c:pt idx="0">
                  <c:v>#N/A</c:v>
                </c:pt>
              </c:numCache>
            </c:numRef>
          </c:xVal>
          <c:yVal>
            <c:numRef>
              <c:f>Chart!$DW$63</c:f>
              <c:numCache>
                <c:formatCode>General</c:formatCode>
                <c:ptCount val="1"/>
                <c:pt idx="0">
                  <c:v>-3.5</c:v>
                </c:pt>
              </c:numCache>
            </c:numRef>
          </c:yVal>
          <c:smooth val="0"/>
        </c:ser>
        <c:ser>
          <c:idx val="7"/>
          <c:order val="7"/>
          <c:tx>
            <c:strRef>
              <c:f>Chart!$DX$61</c:f>
              <c:strCache>
                <c:ptCount val="1"/>
              </c:strCache>
            </c:strRef>
          </c:tx>
          <c:spPr>
            <a:ln w="28575">
              <a:noFill/>
            </a:ln>
          </c:spPr>
          <c:marker>
            <c:symbol val="none"/>
          </c:marker>
          <c:dLbls>
            <c:spPr>
              <a:ln w="19050">
                <a:solidFill>
                  <a:srgbClr val="92D050"/>
                </a:solidFill>
              </a:ln>
            </c:spPr>
            <c:dLblPos val="ctr"/>
            <c:showLegendKey val="0"/>
            <c:showVal val="0"/>
            <c:showCatName val="0"/>
            <c:showSerName val="1"/>
            <c:showPercent val="0"/>
            <c:showBubbleSize val="0"/>
            <c:showLeaderLines val="0"/>
          </c:dLbls>
          <c:xVal>
            <c:numRef>
              <c:f>Chart!$DX$62</c:f>
              <c:numCache>
                <c:formatCode>m/d/yyyy</c:formatCode>
                <c:ptCount val="1"/>
                <c:pt idx="0">
                  <c:v>#N/A</c:v>
                </c:pt>
              </c:numCache>
            </c:numRef>
          </c:xVal>
          <c:yVal>
            <c:numRef>
              <c:f>Chart!$DX$63</c:f>
              <c:numCache>
                <c:formatCode>General</c:formatCode>
                <c:ptCount val="1"/>
                <c:pt idx="0">
                  <c:v>-4.5</c:v>
                </c:pt>
              </c:numCache>
            </c:numRef>
          </c:yVal>
          <c:smooth val="0"/>
        </c:ser>
        <c:ser>
          <c:idx val="8"/>
          <c:order val="8"/>
          <c:tx>
            <c:strRef>
              <c:f>Chart!$DY$61</c:f>
              <c:strCache>
                <c:ptCount val="1"/>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dLbls>
          <c:xVal>
            <c:numRef>
              <c:f>Chart!$DY$62</c:f>
              <c:numCache>
                <c:formatCode>m/d/yyyy</c:formatCode>
                <c:ptCount val="1"/>
                <c:pt idx="0">
                  <c:v>41639</c:v>
                </c:pt>
              </c:numCache>
            </c:numRef>
          </c:xVal>
          <c:yVal>
            <c:numRef>
              <c:f>Chart!$DY$63</c:f>
              <c:numCache>
                <c:formatCode>General</c:formatCode>
                <c:ptCount val="1"/>
                <c:pt idx="0">
                  <c:v>-1</c:v>
                </c:pt>
              </c:numCache>
            </c:numRef>
          </c:yVal>
          <c:smooth val="0"/>
        </c:ser>
        <c:ser>
          <c:idx val="9"/>
          <c:order val="9"/>
          <c:tx>
            <c:strRef>
              <c:f>Chart!$DZ$61</c:f>
              <c:strCache>
                <c:ptCount val="1"/>
                <c:pt idx="0">
                  <c:v>0.25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dLbls>
          <c:xVal>
            <c:numRef>
              <c:f>Chart!$DZ$62</c:f>
              <c:numCache>
                <c:formatCode>m/d/yyyy</c:formatCode>
                <c:ptCount val="1"/>
                <c:pt idx="0">
                  <c:v>41639</c:v>
                </c:pt>
              </c:numCache>
            </c:numRef>
          </c:xVal>
          <c:yVal>
            <c:numRef>
              <c:f>Chart!$DZ$63</c:f>
              <c:numCache>
                <c:formatCode>General</c:formatCode>
                <c:ptCount val="1"/>
                <c:pt idx="0">
                  <c:v>-2</c:v>
                </c:pt>
              </c:numCache>
            </c:numRef>
          </c:yVal>
          <c:smooth val="0"/>
        </c:ser>
        <c:ser>
          <c:idx val="10"/>
          <c:order val="10"/>
          <c:tx>
            <c:strRef>
              <c:f>Chart!$EA$61</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dLbls>
          <c:xVal>
            <c:numRef>
              <c:f>Chart!$EA$62</c:f>
              <c:numCache>
                <c:formatCode>m/d/yyyy</c:formatCode>
                <c:ptCount val="1"/>
                <c:pt idx="0">
                  <c:v>41639</c:v>
                </c:pt>
              </c:numCache>
            </c:numRef>
          </c:xVal>
          <c:yVal>
            <c:numRef>
              <c:f>Chart!$EA$63</c:f>
              <c:numCache>
                <c:formatCode>General</c:formatCode>
                <c:ptCount val="1"/>
                <c:pt idx="0">
                  <c:v>-3.5</c:v>
                </c:pt>
              </c:numCache>
            </c:numRef>
          </c:yVal>
          <c:smooth val="0"/>
        </c:ser>
        <c:ser>
          <c:idx val="11"/>
          <c:order val="11"/>
          <c:tx>
            <c:strRef>
              <c:f>Chart!$EB$61</c:f>
              <c:strCache>
                <c:ptCount val="1"/>
              </c:strCache>
            </c:strRef>
          </c:tx>
          <c:spPr>
            <a:ln w="28575">
              <a:noFill/>
            </a:ln>
          </c:spPr>
          <c:marker>
            <c:symbol val="none"/>
          </c:marker>
          <c:dLbls>
            <c:spPr>
              <a:ln w="19050">
                <a:solidFill>
                  <a:srgbClr val="92D050"/>
                </a:solidFill>
              </a:ln>
            </c:spPr>
            <c:dLblPos val="ctr"/>
            <c:showLegendKey val="0"/>
            <c:showVal val="0"/>
            <c:showCatName val="0"/>
            <c:showSerName val="1"/>
            <c:showPercent val="0"/>
            <c:showBubbleSize val="0"/>
            <c:showLeaderLines val="0"/>
          </c:dLbls>
          <c:xVal>
            <c:numRef>
              <c:f>Chart!$EB$62</c:f>
              <c:numCache>
                <c:formatCode>m/d/yyyy</c:formatCode>
                <c:ptCount val="1"/>
                <c:pt idx="0">
                  <c:v>41639</c:v>
                </c:pt>
              </c:numCache>
            </c:numRef>
          </c:xVal>
          <c:yVal>
            <c:numRef>
              <c:f>Chart!$EB$63</c:f>
              <c:numCache>
                <c:formatCode>General</c:formatCode>
                <c:ptCount val="1"/>
                <c:pt idx="0">
                  <c:v>-4.5</c:v>
                </c:pt>
              </c:numCache>
            </c:numRef>
          </c:yVal>
          <c:smooth val="0"/>
        </c:ser>
        <c:ser>
          <c:idx val="12"/>
          <c:order val="12"/>
          <c:tx>
            <c:strRef>
              <c:f>Chart!$EC$61</c:f>
              <c:strCache>
                <c:ptCount val="1"/>
                <c:pt idx="0">
                  <c:v>0.25</c:v>
                </c:pt>
              </c:strCache>
            </c:strRef>
          </c:tx>
          <c:spPr>
            <a:ln w="28575">
              <a:noFill/>
            </a:ln>
          </c:spPr>
          <c:marker>
            <c:symbol val="none"/>
          </c:marker>
          <c:dLbls>
            <c:spPr>
              <a:ln w="19050">
                <a:solidFill>
                  <a:schemeClr val="tx2"/>
                </a:solidFill>
              </a:ln>
            </c:spPr>
            <c:dLblPos val="ctr"/>
            <c:showLegendKey val="0"/>
            <c:showVal val="0"/>
            <c:showCatName val="0"/>
            <c:showSerName val="1"/>
            <c:showPercent val="0"/>
            <c:showBubbleSize val="0"/>
            <c:showLeaderLines val="0"/>
          </c:dLbls>
          <c:xVal>
            <c:numRef>
              <c:f>Chart!$EC$62</c:f>
              <c:numCache>
                <c:formatCode>m/d/yyyy</c:formatCode>
                <c:ptCount val="1"/>
                <c:pt idx="0">
                  <c:v>42004</c:v>
                </c:pt>
              </c:numCache>
            </c:numRef>
          </c:xVal>
          <c:yVal>
            <c:numRef>
              <c:f>Chart!$EC$63</c:f>
              <c:numCache>
                <c:formatCode>General</c:formatCode>
                <c:ptCount val="1"/>
                <c:pt idx="0">
                  <c:v>-1</c:v>
                </c:pt>
              </c:numCache>
            </c:numRef>
          </c:yVal>
          <c:smooth val="0"/>
        </c:ser>
        <c:ser>
          <c:idx val="13"/>
          <c:order val="13"/>
          <c:tx>
            <c:strRef>
              <c:f>Chart!$ED$61</c:f>
              <c:strCache>
                <c:ptCount val="1"/>
                <c:pt idx="0">
                  <c:v>0.25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dLbls>
          <c:xVal>
            <c:numRef>
              <c:f>Chart!$ED$62</c:f>
              <c:numCache>
                <c:formatCode>m/d/yyyy</c:formatCode>
                <c:ptCount val="1"/>
                <c:pt idx="0">
                  <c:v>42004</c:v>
                </c:pt>
              </c:numCache>
            </c:numRef>
          </c:xVal>
          <c:yVal>
            <c:numRef>
              <c:f>Chart!$ED$63</c:f>
              <c:numCache>
                <c:formatCode>General</c:formatCode>
                <c:ptCount val="1"/>
                <c:pt idx="0">
                  <c:v>-2</c:v>
                </c:pt>
              </c:numCache>
            </c:numRef>
          </c:yVal>
          <c:smooth val="0"/>
        </c:ser>
        <c:ser>
          <c:idx val="14"/>
          <c:order val="14"/>
          <c:tx>
            <c:strRef>
              <c:f>Chart!$EE$61</c:f>
              <c:strCache>
                <c:ptCount val="1"/>
                <c:pt idx="0">
                  <c:v>0.255</c:v>
                </c:pt>
              </c:strCache>
            </c:strRef>
          </c:tx>
          <c:spPr>
            <a:ln w="28575">
              <a:noFill/>
            </a:ln>
          </c:spPr>
          <c:marker>
            <c:symbol val="none"/>
          </c:marker>
          <c:dLbls>
            <c:dLblPos val="ctr"/>
            <c:showLegendKey val="0"/>
            <c:showVal val="0"/>
            <c:showCatName val="0"/>
            <c:showSerName val="1"/>
            <c:showPercent val="0"/>
            <c:showBubbleSize val="0"/>
            <c:showLeaderLines val="0"/>
          </c:dLbls>
          <c:xVal>
            <c:numRef>
              <c:f>Chart!$EE$62</c:f>
              <c:numCache>
                <c:formatCode>m/d/yyyy</c:formatCode>
                <c:ptCount val="1"/>
                <c:pt idx="0">
                  <c:v>42004</c:v>
                </c:pt>
              </c:numCache>
            </c:numRef>
          </c:xVal>
          <c:yVal>
            <c:numRef>
              <c:f>Chart!$EE$63</c:f>
              <c:numCache>
                <c:formatCode>General</c:formatCode>
                <c:ptCount val="1"/>
                <c:pt idx="0">
                  <c:v>-3.5</c:v>
                </c:pt>
              </c:numCache>
            </c:numRef>
          </c:yVal>
          <c:smooth val="0"/>
        </c:ser>
        <c:ser>
          <c:idx val="15"/>
          <c:order val="15"/>
          <c:tx>
            <c:strRef>
              <c:f>Chart!$EE$61</c:f>
              <c:strCache>
                <c:ptCount val="1"/>
                <c:pt idx="0">
                  <c:v>0.255</c:v>
                </c:pt>
              </c:strCache>
            </c:strRef>
          </c:tx>
          <c:spPr>
            <a:ln w="28575">
              <a:noFill/>
            </a:ln>
          </c:spPr>
          <c:marker>
            <c:symbol val="none"/>
          </c:marker>
          <c:dLbls>
            <c:spPr>
              <a:ln w="19050">
                <a:solidFill>
                  <a:srgbClr val="FF7171"/>
                </a:solidFill>
              </a:ln>
            </c:spPr>
            <c:dLblPos val="ctr"/>
            <c:showLegendKey val="0"/>
            <c:showVal val="0"/>
            <c:showCatName val="0"/>
            <c:showSerName val="1"/>
            <c:showPercent val="0"/>
            <c:showBubbleSize val="0"/>
            <c:showLeaderLines val="0"/>
          </c:dLbls>
          <c:xVal>
            <c:numRef>
              <c:f>Chart!$EE$62</c:f>
              <c:numCache>
                <c:formatCode>m/d/yyyy</c:formatCode>
                <c:ptCount val="1"/>
                <c:pt idx="0">
                  <c:v>42004</c:v>
                </c:pt>
              </c:numCache>
            </c:numRef>
          </c:xVal>
          <c:yVal>
            <c:numRef>
              <c:f>Chart!$EE$63</c:f>
              <c:numCache>
                <c:formatCode>General</c:formatCode>
                <c:ptCount val="1"/>
                <c:pt idx="0">
                  <c:v>-3.5</c:v>
                </c:pt>
              </c:numCache>
            </c:numRef>
          </c:yVal>
          <c:smooth val="0"/>
        </c:ser>
        <c:ser>
          <c:idx val="16"/>
          <c:order val="16"/>
          <c:tx>
            <c:strRef>
              <c:f>Chart!$EF$61</c:f>
              <c:strCache>
                <c:ptCount val="1"/>
                <c:pt idx="0">
                  <c:v>0.1</c:v>
                </c:pt>
              </c:strCache>
            </c:strRef>
          </c:tx>
          <c:spPr>
            <a:ln w="28575">
              <a:noFill/>
            </a:ln>
          </c:spPr>
          <c:marker>
            <c:symbol val="none"/>
          </c:marker>
          <c:dLbls>
            <c:spPr>
              <a:ln w="19050">
                <a:solidFill>
                  <a:srgbClr val="00B050"/>
                </a:solidFill>
              </a:ln>
            </c:spPr>
            <c:dLblPos val="ctr"/>
            <c:showLegendKey val="0"/>
            <c:showVal val="0"/>
            <c:showCatName val="0"/>
            <c:showSerName val="1"/>
            <c:showPercent val="0"/>
            <c:showBubbleSize val="0"/>
            <c:showLeaderLines val="0"/>
          </c:dLbls>
          <c:xVal>
            <c:numRef>
              <c:f>Chart!$EF$62</c:f>
              <c:numCache>
                <c:formatCode>m/d/yyyy</c:formatCode>
                <c:ptCount val="1"/>
                <c:pt idx="0">
                  <c:v>42004</c:v>
                </c:pt>
              </c:numCache>
            </c:numRef>
          </c:xVal>
          <c:yVal>
            <c:numRef>
              <c:f>Chart!$EF$63</c:f>
              <c:numCache>
                <c:formatCode>General</c:formatCode>
                <c:ptCount val="1"/>
                <c:pt idx="0">
                  <c:v>-4.5</c:v>
                </c:pt>
              </c:numCache>
            </c:numRef>
          </c:yVal>
          <c:smooth val="0"/>
        </c:ser>
        <c:ser>
          <c:idx val="17"/>
          <c:order val="17"/>
          <c:tx>
            <c:strRef>
              <c:f>Chart!$EG$61</c:f>
              <c:strCache>
                <c:ptCount val="1"/>
                <c:pt idx="0">
                  <c:v>1.125</c:v>
                </c:pt>
              </c:strCache>
            </c:strRef>
          </c:tx>
          <c:spPr>
            <a:ln w="28575">
              <a:noFill/>
            </a:ln>
          </c:spPr>
          <c:marker>
            <c:symbol val="none"/>
          </c:marker>
          <c:dLbls>
            <c:spPr>
              <a:ln w="19050">
                <a:solidFill>
                  <a:schemeClr val="tx2"/>
                </a:solidFill>
              </a:ln>
            </c:spPr>
            <c:dLblPos val="ctr"/>
            <c:showLegendKey val="0"/>
            <c:showVal val="0"/>
            <c:showCatName val="0"/>
            <c:showSerName val="1"/>
            <c:showPercent val="0"/>
            <c:showBubbleSize val="0"/>
            <c:showLeaderLines val="0"/>
          </c:dLbls>
          <c:xVal>
            <c:numRef>
              <c:f>Chart!$EG$62</c:f>
              <c:numCache>
                <c:formatCode>m/d/yyyy</c:formatCode>
                <c:ptCount val="1"/>
                <c:pt idx="0">
                  <c:v>42369</c:v>
                </c:pt>
              </c:numCache>
            </c:numRef>
          </c:xVal>
          <c:yVal>
            <c:numRef>
              <c:f>Chart!$EG$63</c:f>
              <c:numCache>
                <c:formatCode>General</c:formatCode>
                <c:ptCount val="1"/>
                <c:pt idx="0">
                  <c:v>-1</c:v>
                </c:pt>
              </c:numCache>
            </c:numRef>
          </c:yVal>
          <c:smooth val="0"/>
        </c:ser>
        <c:ser>
          <c:idx val="18"/>
          <c:order val="18"/>
          <c:tx>
            <c:strRef>
              <c:f>Chart!$EH$61</c:f>
              <c:strCache>
                <c:ptCount val="1"/>
                <c:pt idx="0">
                  <c:v>0.75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dLbls>
          <c:xVal>
            <c:numRef>
              <c:f>Chart!$EH$62</c:f>
              <c:numCache>
                <c:formatCode>m/d/yyyy</c:formatCode>
                <c:ptCount val="1"/>
                <c:pt idx="0">
                  <c:v>42369</c:v>
                </c:pt>
              </c:numCache>
            </c:numRef>
          </c:xVal>
          <c:yVal>
            <c:numRef>
              <c:f>Chart!$EH$63</c:f>
              <c:numCache>
                <c:formatCode>General</c:formatCode>
                <c:ptCount val="1"/>
                <c:pt idx="0">
                  <c:v>-2</c:v>
                </c:pt>
              </c:numCache>
            </c:numRef>
          </c:yVal>
          <c:smooth val="0"/>
        </c:ser>
        <c:ser>
          <c:idx val="19"/>
          <c:order val="19"/>
          <c:tx>
            <c:strRef>
              <c:f>Chart!$EI$61</c:f>
              <c:strCache>
                <c:ptCount val="1"/>
                <c:pt idx="0">
                  <c:v>1.065</c:v>
                </c:pt>
              </c:strCache>
            </c:strRef>
          </c:tx>
          <c:spPr>
            <a:ln w="28575">
              <a:noFill/>
            </a:ln>
          </c:spPr>
          <c:marker>
            <c:symbol val="none"/>
          </c:marker>
          <c:dLbls>
            <c:spPr>
              <a:ln w="19050">
                <a:solidFill>
                  <a:srgbClr val="FF7171"/>
                </a:solidFill>
              </a:ln>
            </c:spPr>
            <c:dLblPos val="ctr"/>
            <c:showLegendKey val="0"/>
            <c:showVal val="0"/>
            <c:showCatName val="0"/>
            <c:showSerName val="1"/>
            <c:showPercent val="0"/>
            <c:showBubbleSize val="0"/>
            <c:showLeaderLines val="0"/>
          </c:dLbls>
          <c:xVal>
            <c:numRef>
              <c:f>Chart!$EI$62</c:f>
              <c:numCache>
                <c:formatCode>m/d/yyyy</c:formatCode>
                <c:ptCount val="1"/>
                <c:pt idx="0">
                  <c:v>42369</c:v>
                </c:pt>
              </c:numCache>
            </c:numRef>
          </c:xVal>
          <c:yVal>
            <c:numRef>
              <c:f>Chart!$EI$63</c:f>
              <c:numCache>
                <c:formatCode>General</c:formatCode>
                <c:ptCount val="1"/>
                <c:pt idx="0">
                  <c:v>-3.5</c:v>
                </c:pt>
              </c:numCache>
            </c:numRef>
          </c:yVal>
          <c:smooth val="0"/>
        </c:ser>
        <c:ser>
          <c:idx val="20"/>
          <c:order val="20"/>
          <c:tx>
            <c:strRef>
              <c:f>Chart!$EJ$61</c:f>
              <c:strCache>
                <c:ptCount val="1"/>
                <c:pt idx="0">
                  <c:v>0.755</c:v>
                </c:pt>
              </c:strCache>
            </c:strRef>
          </c:tx>
          <c:spPr>
            <a:ln w="28575">
              <a:noFill/>
            </a:ln>
          </c:spPr>
          <c:marker>
            <c:symbol val="none"/>
          </c:marker>
          <c:dLbls>
            <c:spPr>
              <a:ln w="19050">
                <a:solidFill>
                  <a:srgbClr val="00B050"/>
                </a:solidFill>
              </a:ln>
            </c:spPr>
            <c:dLblPos val="ctr"/>
            <c:showLegendKey val="0"/>
            <c:showVal val="0"/>
            <c:showCatName val="0"/>
            <c:showSerName val="1"/>
            <c:showPercent val="0"/>
            <c:showBubbleSize val="0"/>
            <c:showLeaderLines val="0"/>
          </c:dLbls>
          <c:xVal>
            <c:numRef>
              <c:f>Chart!$EJ$62</c:f>
              <c:numCache>
                <c:formatCode>m/d/yyyy</c:formatCode>
                <c:ptCount val="1"/>
                <c:pt idx="0">
                  <c:v>42369</c:v>
                </c:pt>
              </c:numCache>
            </c:numRef>
          </c:xVal>
          <c:yVal>
            <c:numRef>
              <c:f>Chart!$EJ$63</c:f>
              <c:numCache>
                <c:formatCode>General</c:formatCode>
                <c:ptCount val="1"/>
                <c:pt idx="0">
                  <c:v>-4.5</c:v>
                </c:pt>
              </c:numCache>
            </c:numRef>
          </c:yVal>
          <c:smooth val="0"/>
        </c:ser>
        <c:ser>
          <c:idx val="21"/>
          <c:order val="21"/>
          <c:tx>
            <c:strRef>
              <c:f>Chart!$EK$61</c:f>
              <c:strCache>
                <c:ptCount val="1"/>
                <c:pt idx="0">
                  <c:v>2.5</c:v>
                </c:pt>
              </c:strCache>
            </c:strRef>
          </c:tx>
          <c:spPr>
            <a:ln w="28575">
              <a:noFill/>
            </a:ln>
          </c:spPr>
          <c:marker>
            <c:symbol val="none"/>
          </c:marker>
          <c:dLbls>
            <c:spPr>
              <a:ln w="19050">
                <a:solidFill>
                  <a:schemeClr val="tx2"/>
                </a:solidFill>
              </a:ln>
            </c:spPr>
            <c:dLblPos val="ctr"/>
            <c:showLegendKey val="0"/>
            <c:showVal val="0"/>
            <c:showCatName val="0"/>
            <c:showSerName val="1"/>
            <c:showPercent val="0"/>
            <c:showBubbleSize val="0"/>
            <c:showLeaderLines val="0"/>
          </c:dLbls>
          <c:xVal>
            <c:numRef>
              <c:f>Chart!$EK$62</c:f>
              <c:numCache>
                <c:formatCode>m/d/yyyy</c:formatCode>
                <c:ptCount val="1"/>
                <c:pt idx="0">
                  <c:v>42735</c:v>
                </c:pt>
              </c:numCache>
            </c:numRef>
          </c:xVal>
          <c:yVal>
            <c:numRef>
              <c:f>Chart!$EK$63</c:f>
              <c:numCache>
                <c:formatCode>General</c:formatCode>
                <c:ptCount val="1"/>
                <c:pt idx="0">
                  <c:v>-1</c:v>
                </c:pt>
              </c:numCache>
            </c:numRef>
          </c:yVal>
          <c:smooth val="0"/>
        </c:ser>
        <c:ser>
          <c:idx val="22"/>
          <c:order val="22"/>
          <c:tx>
            <c:strRef>
              <c:f>Chart!$EL$61</c:f>
              <c:strCache>
                <c:ptCount val="1"/>
                <c:pt idx="0">
                  <c:v>1.75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dLbls>
          <c:xVal>
            <c:numRef>
              <c:f>Chart!$EL$62</c:f>
              <c:numCache>
                <c:formatCode>m/d/yyyy</c:formatCode>
                <c:ptCount val="1"/>
                <c:pt idx="0">
                  <c:v>42735</c:v>
                </c:pt>
              </c:numCache>
            </c:numRef>
          </c:xVal>
          <c:yVal>
            <c:numRef>
              <c:f>Chart!$EL$63</c:f>
              <c:numCache>
                <c:formatCode>General</c:formatCode>
                <c:ptCount val="1"/>
                <c:pt idx="0">
                  <c:v>-2</c:v>
                </c:pt>
              </c:numCache>
            </c:numRef>
          </c:yVal>
          <c:smooth val="0"/>
        </c:ser>
        <c:ser>
          <c:idx val="23"/>
          <c:order val="23"/>
          <c:tx>
            <c:strRef>
              <c:f>Chart!$EM$61</c:f>
              <c:strCache>
                <c:ptCount val="1"/>
                <c:pt idx="0">
                  <c:v>2.15</c:v>
                </c:pt>
              </c:strCache>
            </c:strRef>
          </c:tx>
          <c:spPr>
            <a:ln w="28575">
              <a:noFill/>
            </a:ln>
          </c:spPr>
          <c:marker>
            <c:symbol val="none"/>
          </c:marker>
          <c:dLbls>
            <c:spPr>
              <a:ln w="19050">
                <a:solidFill>
                  <a:srgbClr val="FF7171"/>
                </a:solidFill>
              </a:ln>
            </c:spPr>
            <c:dLblPos val="ctr"/>
            <c:showLegendKey val="0"/>
            <c:showVal val="0"/>
            <c:showCatName val="0"/>
            <c:showSerName val="1"/>
            <c:showPercent val="0"/>
            <c:showBubbleSize val="0"/>
            <c:showLeaderLines val="0"/>
          </c:dLbls>
          <c:xVal>
            <c:numRef>
              <c:f>Chart!$EM$62</c:f>
              <c:numCache>
                <c:formatCode>m/d/yyyy</c:formatCode>
                <c:ptCount val="1"/>
                <c:pt idx="0">
                  <c:v>42735</c:v>
                </c:pt>
              </c:numCache>
            </c:numRef>
          </c:xVal>
          <c:yVal>
            <c:numRef>
              <c:f>Chart!$EM$63</c:f>
              <c:numCache>
                <c:formatCode>General</c:formatCode>
                <c:ptCount val="1"/>
                <c:pt idx="0">
                  <c:v>-3.5</c:v>
                </c:pt>
              </c:numCache>
            </c:numRef>
          </c:yVal>
          <c:smooth val="0"/>
        </c:ser>
        <c:ser>
          <c:idx val="24"/>
          <c:order val="24"/>
          <c:tx>
            <c:strRef>
              <c:f>Chart!$EN$61</c:f>
              <c:strCache>
                <c:ptCount val="1"/>
                <c:pt idx="0">
                  <c:v>1.805</c:v>
                </c:pt>
              </c:strCache>
            </c:strRef>
          </c:tx>
          <c:spPr>
            <a:ln w="28575">
              <a:noFill/>
            </a:ln>
          </c:spPr>
          <c:marker>
            <c:symbol val="none"/>
          </c:marker>
          <c:dLbls>
            <c:spPr>
              <a:ln w="19050">
                <a:solidFill>
                  <a:srgbClr val="00B050"/>
                </a:solidFill>
              </a:ln>
            </c:spPr>
            <c:dLblPos val="ctr"/>
            <c:showLegendKey val="0"/>
            <c:showVal val="0"/>
            <c:showCatName val="0"/>
            <c:showSerName val="1"/>
            <c:showPercent val="0"/>
            <c:showBubbleSize val="0"/>
            <c:showLeaderLines val="0"/>
          </c:dLbls>
          <c:xVal>
            <c:numRef>
              <c:f>Chart!$EN$62</c:f>
              <c:numCache>
                <c:formatCode>m/d/yyyy</c:formatCode>
                <c:ptCount val="1"/>
                <c:pt idx="0">
                  <c:v>42735</c:v>
                </c:pt>
              </c:numCache>
            </c:numRef>
          </c:xVal>
          <c:yVal>
            <c:numRef>
              <c:f>Chart!$EN$63</c:f>
              <c:numCache>
                <c:formatCode>General</c:formatCode>
                <c:ptCount val="1"/>
                <c:pt idx="0">
                  <c:v>-4.5</c:v>
                </c:pt>
              </c:numCache>
            </c:numRef>
          </c:yVal>
          <c:smooth val="0"/>
        </c:ser>
        <c:ser>
          <c:idx val="25"/>
          <c:order val="25"/>
          <c:tx>
            <c:strRef>
              <c:f>Chart!$EO$61</c:f>
              <c:strCache>
                <c:ptCount val="1"/>
                <c:pt idx="0">
                  <c:v>3.75</c:v>
                </c:pt>
              </c:strCache>
            </c:strRef>
          </c:tx>
          <c:spPr>
            <a:ln w="28575">
              <a:noFill/>
            </a:ln>
          </c:spPr>
          <c:marker>
            <c:symbol val="none"/>
          </c:marker>
          <c:dLbls>
            <c:spPr>
              <a:ln w="19050">
                <a:solidFill>
                  <a:schemeClr val="tx2"/>
                </a:solidFill>
              </a:ln>
            </c:spPr>
            <c:dLblPos val="ctr"/>
            <c:showLegendKey val="0"/>
            <c:showVal val="0"/>
            <c:showCatName val="0"/>
            <c:showSerName val="1"/>
            <c:showPercent val="0"/>
            <c:showBubbleSize val="0"/>
            <c:showLeaderLines val="0"/>
          </c:dLbls>
          <c:xVal>
            <c:numRef>
              <c:f>Chart!$EO$62</c:f>
              <c:numCache>
                <c:formatCode>m/d/yyyy</c:formatCode>
                <c:ptCount val="1"/>
                <c:pt idx="0">
                  <c:v>43100</c:v>
                </c:pt>
              </c:numCache>
            </c:numRef>
          </c:xVal>
          <c:yVal>
            <c:numRef>
              <c:f>Chart!$EO$63</c:f>
              <c:numCache>
                <c:formatCode>General</c:formatCode>
                <c:ptCount val="1"/>
                <c:pt idx="0">
                  <c:v>-1</c:v>
                </c:pt>
              </c:numCache>
            </c:numRef>
          </c:yVal>
          <c:smooth val="0"/>
        </c:ser>
        <c:ser>
          <c:idx val="26"/>
          <c:order val="26"/>
          <c:tx>
            <c:strRef>
              <c:f>Chart!$EP$61</c:f>
              <c:strCache>
                <c:ptCount val="1"/>
                <c:pt idx="0">
                  <c:v>4</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dLbls>
          <c:xVal>
            <c:numRef>
              <c:f>Chart!$EP$62</c:f>
              <c:numCache>
                <c:formatCode>m/d/yyyy</c:formatCode>
                <c:ptCount val="1"/>
                <c:pt idx="0">
                  <c:v>43100</c:v>
                </c:pt>
              </c:numCache>
            </c:numRef>
          </c:xVal>
          <c:yVal>
            <c:numRef>
              <c:f>Chart!$EP$63</c:f>
              <c:numCache>
                <c:formatCode>General</c:formatCode>
                <c:ptCount val="1"/>
                <c:pt idx="0">
                  <c:v>-2</c:v>
                </c:pt>
              </c:numCache>
            </c:numRef>
          </c:yVal>
          <c:smooth val="0"/>
        </c:ser>
        <c:ser>
          <c:idx val="27"/>
          <c:order val="27"/>
          <c:tx>
            <c:strRef>
              <c:f>Chart!$EQ$61</c:f>
              <c:strCache>
                <c:ptCount val="1"/>
              </c:strCache>
            </c:strRef>
          </c:tx>
          <c:spPr>
            <a:ln w="28575">
              <a:noFill/>
            </a:ln>
          </c:spPr>
          <c:marker>
            <c:symbol val="none"/>
          </c:marker>
          <c:dLbls>
            <c:dLblPos val="ctr"/>
            <c:showLegendKey val="0"/>
            <c:showVal val="0"/>
            <c:showCatName val="0"/>
            <c:showSerName val="1"/>
            <c:showPercent val="0"/>
            <c:showBubbleSize val="0"/>
            <c:showLeaderLines val="0"/>
          </c:dLbls>
          <c:xVal>
            <c:numRef>
              <c:f>Chart!$EQ$62</c:f>
              <c:numCache>
                <c:formatCode>m/d/yyyy</c:formatCode>
                <c:ptCount val="1"/>
                <c:pt idx="0">
                  <c:v>43100</c:v>
                </c:pt>
              </c:numCache>
            </c:numRef>
          </c:xVal>
          <c:yVal>
            <c:numRef>
              <c:f>Chart!$EQ$63</c:f>
              <c:numCache>
                <c:formatCode>General</c:formatCode>
                <c:ptCount val="1"/>
                <c:pt idx="0">
                  <c:v>-3.5</c:v>
                </c:pt>
              </c:numCache>
            </c:numRef>
          </c:yVal>
          <c:smooth val="0"/>
        </c:ser>
        <c:ser>
          <c:idx val="28"/>
          <c:order val="28"/>
          <c:tx>
            <c:strRef>
              <c:f>Chart!$ER$61</c:f>
              <c:strCache>
                <c:ptCount val="1"/>
              </c:strCache>
            </c:strRef>
          </c:tx>
          <c:spPr>
            <a:ln w="28575">
              <a:noFill/>
            </a:ln>
          </c:spPr>
          <c:marker>
            <c:symbol val="none"/>
          </c:marker>
          <c:dLbls>
            <c:dLblPos val="ctr"/>
            <c:showLegendKey val="0"/>
            <c:showVal val="0"/>
            <c:showCatName val="0"/>
            <c:showSerName val="1"/>
            <c:showPercent val="0"/>
            <c:showBubbleSize val="0"/>
            <c:showLeaderLines val="0"/>
          </c:dLbls>
          <c:xVal>
            <c:numRef>
              <c:f>Chart!$ER$62</c:f>
              <c:numCache>
                <c:formatCode>m/d/yyyy</c:formatCode>
                <c:ptCount val="1"/>
                <c:pt idx="0">
                  <c:v>43100</c:v>
                </c:pt>
              </c:numCache>
            </c:numRef>
          </c:xVal>
          <c:yVal>
            <c:numRef>
              <c:f>Chart!$ER$63</c:f>
              <c:numCache>
                <c:formatCode>General</c:formatCode>
                <c:ptCount val="1"/>
                <c:pt idx="0">
                  <c:v>-4.5</c:v>
                </c:pt>
              </c:numCache>
            </c:numRef>
          </c:yVal>
          <c:smooth val="0"/>
        </c:ser>
        <c:dLbls>
          <c:showLegendKey val="0"/>
          <c:showVal val="0"/>
          <c:showCatName val="0"/>
          <c:showSerName val="0"/>
          <c:showPercent val="0"/>
          <c:showBubbleSize val="0"/>
        </c:dLbls>
        <c:axId val="229737984"/>
        <c:axId val="229739520"/>
      </c:scatterChart>
      <c:valAx>
        <c:axId val="229737984"/>
        <c:scaling>
          <c:orientation val="minMax"/>
          <c:max val="43335"/>
          <c:min val="41273"/>
        </c:scaling>
        <c:delete val="1"/>
        <c:axPos val="b"/>
        <c:numFmt formatCode="m/d/yyyy" sourceLinked="1"/>
        <c:majorTickMark val="out"/>
        <c:minorTickMark val="none"/>
        <c:tickLblPos val="nextTo"/>
        <c:crossAx val="229739520"/>
        <c:crosses val="autoZero"/>
        <c:crossBetween val="midCat"/>
      </c:valAx>
      <c:valAx>
        <c:axId val="229739520"/>
        <c:scaling>
          <c:orientation val="minMax"/>
          <c:max val="0"/>
          <c:min val="-5"/>
        </c:scaling>
        <c:delete val="1"/>
        <c:axPos val="l"/>
        <c:numFmt formatCode="General" sourceLinked="1"/>
        <c:majorTickMark val="out"/>
        <c:minorTickMark val="none"/>
        <c:tickLblPos val="nextTo"/>
        <c:crossAx val="229737984"/>
        <c:crosses val="autoZero"/>
        <c:crossBetween val="midCat"/>
      </c:valAx>
      <c:spPr>
        <a:noFill/>
      </c:spPr>
    </c:plotArea>
    <c:plotVisOnly val="1"/>
    <c:dispBlanksAs val="gap"/>
    <c:showDLblsOverMax val="0"/>
  </c:chart>
  <c:spPr>
    <a:noFill/>
    <a:ln>
      <a:noFill/>
    </a:ln>
  </c:spPr>
  <c:txPr>
    <a:bodyPr/>
    <a:lstStyle/>
    <a:p>
      <a:pPr>
        <a:defRPr sz="1400" b="0">
          <a:latin typeface="Arial" panose="020B0604020202020204" pitchFamily="34" charset="0"/>
          <a:cs typeface="Arial" panose="020B0604020202020204" pitchFamily="34" charset="0"/>
        </a:defRPr>
      </a:pPr>
      <a:endParaRPr lang="es-CO"/>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Help!A4"/><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hyperlink" Target="#Chart!A2"/><Relationship Id="rId2" Type="http://schemas.openxmlformats.org/officeDocument/2006/relationships/image" Target="../media/image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9526</xdr:colOff>
      <xdr:row>5</xdr:row>
      <xdr:rowOff>142874</xdr:rowOff>
    </xdr:from>
    <xdr:to>
      <xdr:col>17</xdr:col>
      <xdr:colOff>19050</xdr:colOff>
      <xdr:row>29</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514350</xdr:colOff>
      <xdr:row>0</xdr:row>
      <xdr:rowOff>47625</xdr:rowOff>
    </xdr:from>
    <xdr:to>
      <xdr:col>16</xdr:col>
      <xdr:colOff>285750</xdr:colOff>
      <xdr:row>0</xdr:row>
      <xdr:rowOff>409576</xdr:rowOff>
    </xdr:to>
    <xdr:sp macro="" textlink="">
      <xdr:nvSpPr>
        <xdr:cNvPr id="3" name="com_bar"/>
        <xdr:cNvSpPr>
          <a:spLocks noChangeArrowheads="1"/>
        </xdr:cNvSpPr>
      </xdr:nvSpPr>
      <xdr:spPr bwMode="auto">
        <a:xfrm>
          <a:off x="2076450" y="47625"/>
          <a:ext cx="9201150" cy="361951"/>
        </a:xfrm>
        <a:prstGeom prst="rect">
          <a:avLst/>
        </a:prstGeom>
        <a:gradFill rotWithShape="1">
          <a:gsLst>
            <a:gs pos="0">
              <a:srgbClr val="477AB7"/>
            </a:gs>
            <a:gs pos="100000">
              <a:srgbClr val="B8CCE4">
                <a:alpha val="74001"/>
              </a:srgbClr>
            </a:gs>
          </a:gsLst>
          <a:lin ang="0" scaled="1"/>
        </a:gradFill>
        <a:ln w="9525">
          <a:solidFill>
            <a:srgbClr val="99CCFF"/>
          </a:solidFill>
          <a:miter lim="800000"/>
          <a:headEnd/>
          <a:tailEnd/>
        </a:ln>
      </xdr:spPr>
      <xdr:txBody>
        <a:bodyPr vertOverflow="clip" wrap="square" lIns="91440" tIns="45720" rIns="91440" bIns="45720" anchor="ctr" upright="1"/>
        <a:lstStyle/>
        <a:p>
          <a:pPr algn="ctr" rtl="0">
            <a:defRPr sz="1000"/>
          </a:pPr>
          <a:r>
            <a:rPr lang="en-US" sz="1800" b="1" i="0" strike="noStrike">
              <a:solidFill>
                <a:srgbClr val="000000"/>
              </a:solidFill>
              <a:latin typeface="+mn-lt"/>
            </a:rPr>
            <a:t>FOMC Dot Plot</a:t>
          </a:r>
        </a:p>
      </xdr:txBody>
    </xdr:sp>
    <xdr:clientData/>
  </xdr:twoCellAnchor>
  <xdr:twoCellAnchor editAs="oneCell">
    <xdr:from>
      <xdr:col>0</xdr:col>
      <xdr:colOff>104775</xdr:colOff>
      <xdr:row>0</xdr:row>
      <xdr:rowOff>104775</xdr:rowOff>
    </xdr:from>
    <xdr:to>
      <xdr:col>1</xdr:col>
      <xdr:colOff>1131094</xdr:colOff>
      <xdr:row>0</xdr:row>
      <xdr:rowOff>342900</xdr:rowOff>
    </xdr:to>
    <xdr:pic>
      <xdr:nvPicPr>
        <xdr:cNvPr id="4" name="Picture 27" descr="bloomberg logo blk converted"/>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04775"/>
          <a:ext cx="1150144"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447675</xdr:colOff>
      <xdr:row>0</xdr:row>
      <xdr:rowOff>476250</xdr:rowOff>
    </xdr:from>
    <xdr:to>
      <xdr:col>16</xdr:col>
      <xdr:colOff>581025</xdr:colOff>
      <xdr:row>2</xdr:row>
      <xdr:rowOff>0</xdr:rowOff>
    </xdr:to>
    <xdr:sp macro="[0]!Module1.FED_Terminal" textlink="">
      <xdr:nvSpPr>
        <xdr:cNvPr id="5" name="Rounded Rectangle 4"/>
        <xdr:cNvSpPr/>
      </xdr:nvSpPr>
      <xdr:spPr>
        <a:xfrm>
          <a:off x="9639300" y="476250"/>
          <a:ext cx="1628775"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rgbClr val="0070C0"/>
              </a:solidFill>
              <a:latin typeface="Arial" panose="020B0604020202020204" pitchFamily="34" charset="0"/>
              <a:cs typeface="Arial" panose="020B0604020202020204" pitchFamily="34" charset="0"/>
            </a:rPr>
            <a:t>FED&lt;Go&gt;</a:t>
          </a:r>
        </a:p>
      </xdr:txBody>
    </xdr:sp>
    <xdr:clientData/>
  </xdr:twoCellAnchor>
  <xdr:twoCellAnchor>
    <xdr:from>
      <xdr:col>14</xdr:col>
      <xdr:colOff>447675</xdr:colOff>
      <xdr:row>2</xdr:row>
      <xdr:rowOff>19050</xdr:rowOff>
    </xdr:from>
    <xdr:to>
      <xdr:col>16</xdr:col>
      <xdr:colOff>581025</xdr:colOff>
      <xdr:row>3</xdr:row>
      <xdr:rowOff>76200</xdr:rowOff>
    </xdr:to>
    <xdr:sp macro="[0]!FOMC_Minutes_Terminal" textlink="">
      <xdr:nvSpPr>
        <xdr:cNvPr id="6" name="Rounded Rectangle 5"/>
        <xdr:cNvSpPr/>
      </xdr:nvSpPr>
      <xdr:spPr>
        <a:xfrm>
          <a:off x="9639300" y="762000"/>
          <a:ext cx="1628775"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rgbClr val="0070C0"/>
              </a:solidFill>
              <a:latin typeface="Arial" panose="020B0604020202020204" pitchFamily="34" charset="0"/>
              <a:cs typeface="Arial" panose="020B0604020202020204" pitchFamily="34" charset="0"/>
            </a:rPr>
            <a:t>FOMC Minutes</a:t>
          </a:r>
        </a:p>
      </xdr:txBody>
    </xdr:sp>
    <xdr:clientData/>
  </xdr:twoCellAnchor>
  <xdr:twoCellAnchor>
    <xdr:from>
      <xdr:col>14</xdr:col>
      <xdr:colOff>447675</xdr:colOff>
      <xdr:row>3</xdr:row>
      <xdr:rowOff>114300</xdr:rowOff>
    </xdr:from>
    <xdr:to>
      <xdr:col>16</xdr:col>
      <xdr:colOff>581025</xdr:colOff>
      <xdr:row>4</xdr:row>
      <xdr:rowOff>171450</xdr:rowOff>
    </xdr:to>
    <xdr:sp macro="[0]!FOMC_Terminal" textlink="">
      <xdr:nvSpPr>
        <xdr:cNvPr id="7" name="Rounded Rectangle 6"/>
        <xdr:cNvSpPr/>
      </xdr:nvSpPr>
      <xdr:spPr>
        <a:xfrm>
          <a:off x="9639300" y="1066800"/>
          <a:ext cx="1628775"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rgbClr val="0070C0"/>
              </a:solidFill>
              <a:latin typeface="Arial" panose="020B0604020202020204" pitchFamily="34" charset="0"/>
              <a:cs typeface="Arial" panose="020B0604020202020204" pitchFamily="34" charset="0"/>
            </a:rPr>
            <a:t>FOMC Calendar</a:t>
          </a:r>
        </a:p>
      </xdr:txBody>
    </xdr:sp>
    <xdr:clientData/>
  </xdr:twoCellAnchor>
  <xdr:twoCellAnchor>
    <xdr:from>
      <xdr:col>1</xdr:col>
      <xdr:colOff>1247774</xdr:colOff>
      <xdr:row>0</xdr:row>
      <xdr:rowOff>95250</xdr:rowOff>
    </xdr:from>
    <xdr:to>
      <xdr:col>2</xdr:col>
      <xdr:colOff>476250</xdr:colOff>
      <xdr:row>0</xdr:row>
      <xdr:rowOff>361950</xdr:rowOff>
    </xdr:to>
    <xdr:sp macro="[0]!Module1.FED_Terminal" textlink="">
      <xdr:nvSpPr>
        <xdr:cNvPr id="8" name="Rounded Rectangle 7">
          <a:hlinkClick xmlns:r="http://schemas.openxmlformats.org/officeDocument/2006/relationships" r:id="rId3"/>
        </xdr:cNvPr>
        <xdr:cNvSpPr/>
      </xdr:nvSpPr>
      <xdr:spPr>
        <a:xfrm>
          <a:off x="1371599" y="95250"/>
          <a:ext cx="666751" cy="266700"/>
        </a:xfrm>
        <a:prstGeom prst="roundRect">
          <a:avLst/>
        </a:prstGeom>
        <a:solidFill>
          <a:srgbClr val="02F80E"/>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Arial" panose="020B0604020202020204" pitchFamily="34" charset="0"/>
              <a:cs typeface="Arial" panose="020B0604020202020204" pitchFamily="34" charset="0"/>
            </a:rPr>
            <a:t>Help</a:t>
          </a:r>
        </a:p>
      </xdr:txBody>
    </xdr:sp>
    <xdr:clientData/>
  </xdr:twoCellAnchor>
  <xdr:twoCellAnchor>
    <xdr:from>
      <xdr:col>0</xdr:col>
      <xdr:colOff>63954</xdr:colOff>
      <xdr:row>29</xdr:row>
      <xdr:rowOff>87085</xdr:rowOff>
    </xdr:from>
    <xdr:to>
      <xdr:col>16</xdr:col>
      <xdr:colOff>610960</xdr:colOff>
      <xdr:row>38</xdr:row>
      <xdr:rowOff>68035</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381001</xdr:colOff>
      <xdr:row>12</xdr:row>
      <xdr:rowOff>28576</xdr:rowOff>
    </xdr:from>
    <xdr:to>
      <xdr:col>19</xdr:col>
      <xdr:colOff>187899</xdr:colOff>
      <xdr:row>37</xdr:row>
      <xdr:rowOff>9526</xdr:rowOff>
    </xdr:to>
    <xdr:pic>
      <xdr:nvPicPr>
        <xdr:cNvPr id="2" name="Picture 1"/>
        <xdr:cNvPicPr>
          <a:picLocks noChangeAspect="1"/>
        </xdr:cNvPicPr>
      </xdr:nvPicPr>
      <xdr:blipFill>
        <a:blip xmlns:r="http://schemas.openxmlformats.org/officeDocument/2006/relationships" r:embed="rId1"/>
        <a:stretch>
          <a:fillRect/>
        </a:stretch>
      </xdr:blipFill>
      <xdr:spPr>
        <a:xfrm>
          <a:off x="4038601" y="2314576"/>
          <a:ext cx="7731698" cy="4743450"/>
        </a:xfrm>
        <a:prstGeom prst="rect">
          <a:avLst/>
        </a:prstGeom>
      </xdr:spPr>
    </xdr:pic>
    <xdr:clientData/>
  </xdr:twoCellAnchor>
  <xdr:twoCellAnchor>
    <xdr:from>
      <xdr:col>5</xdr:col>
      <xdr:colOff>38100</xdr:colOff>
      <xdr:row>10</xdr:row>
      <xdr:rowOff>119063</xdr:rowOff>
    </xdr:from>
    <xdr:to>
      <xdr:col>6</xdr:col>
      <xdr:colOff>428625</xdr:colOff>
      <xdr:row>14</xdr:row>
      <xdr:rowOff>28575</xdr:rowOff>
    </xdr:to>
    <xdr:cxnSp macro="">
      <xdr:nvCxnSpPr>
        <xdr:cNvPr id="6" name="Straight Arrow Connector 5"/>
        <xdr:cNvCxnSpPr>
          <a:stCxn id="8" idx="3"/>
        </xdr:cNvCxnSpPr>
      </xdr:nvCxnSpPr>
      <xdr:spPr>
        <a:xfrm>
          <a:off x="3086100" y="2024063"/>
          <a:ext cx="1000125" cy="6715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66675</xdr:colOff>
      <xdr:row>9</xdr:row>
      <xdr:rowOff>38100</xdr:rowOff>
    </xdr:from>
    <xdr:to>
      <xdr:col>5</xdr:col>
      <xdr:colOff>38100</xdr:colOff>
      <xdr:row>12</xdr:row>
      <xdr:rowOff>9525</xdr:rowOff>
    </xdr:to>
    <xdr:sp macro="" textlink="">
      <xdr:nvSpPr>
        <xdr:cNvPr id="8" name="Rounded Rectangle 7"/>
        <xdr:cNvSpPr/>
      </xdr:nvSpPr>
      <xdr:spPr>
        <a:xfrm>
          <a:off x="66675" y="1752600"/>
          <a:ext cx="3019425" cy="5429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The Fed Minutes</a:t>
          </a:r>
          <a:r>
            <a:rPr lang="en-US" sz="1100" baseline="0">
              <a:solidFill>
                <a:sysClr val="windowText" lastClr="000000"/>
              </a:solidFill>
            </a:rPr>
            <a:t> selection will display the dots from that release date</a:t>
          </a:r>
          <a:endParaRPr lang="en-US" sz="1100">
            <a:solidFill>
              <a:sysClr val="windowText" lastClr="000000"/>
            </a:solidFill>
          </a:endParaRPr>
        </a:p>
      </xdr:txBody>
    </xdr:sp>
    <xdr:clientData/>
  </xdr:twoCellAnchor>
  <xdr:twoCellAnchor>
    <xdr:from>
      <xdr:col>0</xdr:col>
      <xdr:colOff>47625</xdr:colOff>
      <xdr:row>12</xdr:row>
      <xdr:rowOff>85725</xdr:rowOff>
    </xdr:from>
    <xdr:to>
      <xdr:col>5</xdr:col>
      <xdr:colOff>47625</xdr:colOff>
      <xdr:row>16</xdr:row>
      <xdr:rowOff>47625</xdr:rowOff>
    </xdr:to>
    <xdr:sp macro="" textlink="">
      <xdr:nvSpPr>
        <xdr:cNvPr id="12" name="Rounded Rectangle 11"/>
        <xdr:cNvSpPr/>
      </xdr:nvSpPr>
      <xdr:spPr>
        <a:xfrm>
          <a:off x="47625" y="2371725"/>
          <a:ext cx="3048000" cy="7239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Historical Comp allows</a:t>
          </a:r>
          <a:r>
            <a:rPr lang="en-US" sz="1100" baseline="0">
              <a:solidFill>
                <a:sysClr val="windowText" lastClr="000000"/>
              </a:solidFill>
            </a:rPr>
            <a:t> the user to choose a second release for comparison. Only the average line will be drqwn. No dots will appear.</a:t>
          </a:r>
        </a:p>
        <a:p>
          <a:pPr algn="l"/>
          <a:endParaRPr lang="en-US" sz="1100">
            <a:solidFill>
              <a:sysClr val="windowText" lastClr="000000"/>
            </a:solidFill>
          </a:endParaRPr>
        </a:p>
      </xdr:txBody>
    </xdr:sp>
    <xdr:clientData/>
  </xdr:twoCellAnchor>
  <xdr:twoCellAnchor>
    <xdr:from>
      <xdr:col>5</xdr:col>
      <xdr:colOff>47625</xdr:colOff>
      <xdr:row>14</xdr:row>
      <xdr:rowOff>66675</xdr:rowOff>
    </xdr:from>
    <xdr:to>
      <xdr:col>6</xdr:col>
      <xdr:colOff>438150</xdr:colOff>
      <xdr:row>14</xdr:row>
      <xdr:rowOff>171450</xdr:rowOff>
    </xdr:to>
    <xdr:cxnSp macro="">
      <xdr:nvCxnSpPr>
        <xdr:cNvPr id="13" name="Straight Arrow Connector 12"/>
        <xdr:cNvCxnSpPr>
          <a:stCxn id="12" idx="3"/>
        </xdr:cNvCxnSpPr>
      </xdr:nvCxnSpPr>
      <xdr:spPr>
        <a:xfrm>
          <a:off x="3095625" y="2733675"/>
          <a:ext cx="1000125" cy="1047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47625</xdr:colOff>
      <xdr:row>16</xdr:row>
      <xdr:rowOff>142875</xdr:rowOff>
    </xdr:from>
    <xdr:to>
      <xdr:col>5</xdr:col>
      <xdr:colOff>47625</xdr:colOff>
      <xdr:row>21</xdr:row>
      <xdr:rowOff>161925</xdr:rowOff>
    </xdr:to>
    <xdr:sp macro="" textlink="">
      <xdr:nvSpPr>
        <xdr:cNvPr id="23" name="Rounded Rectangle 22"/>
        <xdr:cNvSpPr/>
      </xdr:nvSpPr>
      <xdr:spPr>
        <a:xfrm>
          <a:off x="47625" y="3190875"/>
          <a:ext cx="3048000" cy="9715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The market curves will not update automatically</a:t>
          </a:r>
          <a:r>
            <a:rPr lang="en-US" sz="1100" baseline="0">
              <a:solidFill>
                <a:sysClr val="windowText" lastClr="000000"/>
              </a:solidFill>
            </a:rPr>
            <a:t> when the user changes the release date for Fed Minutes.  To update the date for those curves user must enter a date in "Futures Data Date"</a:t>
          </a:r>
        </a:p>
        <a:p>
          <a:pPr algn="l"/>
          <a:endParaRPr lang="en-US" sz="1100">
            <a:solidFill>
              <a:sysClr val="windowText" lastClr="000000"/>
            </a:solidFill>
          </a:endParaRPr>
        </a:p>
      </xdr:txBody>
    </xdr:sp>
    <xdr:clientData/>
  </xdr:twoCellAnchor>
  <xdr:twoCellAnchor>
    <xdr:from>
      <xdr:col>5</xdr:col>
      <xdr:colOff>47625</xdr:colOff>
      <xdr:row>16</xdr:row>
      <xdr:rowOff>76200</xdr:rowOff>
    </xdr:from>
    <xdr:to>
      <xdr:col>6</xdr:col>
      <xdr:colOff>466725</xdr:colOff>
      <xdr:row>19</xdr:row>
      <xdr:rowOff>57150</xdr:rowOff>
    </xdr:to>
    <xdr:cxnSp macro="">
      <xdr:nvCxnSpPr>
        <xdr:cNvPr id="24" name="Straight Arrow Connector 23"/>
        <xdr:cNvCxnSpPr>
          <a:stCxn id="23" idx="3"/>
        </xdr:cNvCxnSpPr>
      </xdr:nvCxnSpPr>
      <xdr:spPr>
        <a:xfrm flipV="1">
          <a:off x="3095625" y="3124200"/>
          <a:ext cx="1028700" cy="552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20</xdr:row>
      <xdr:rowOff>142875</xdr:rowOff>
    </xdr:from>
    <xdr:to>
      <xdr:col>9</xdr:col>
      <xdr:colOff>285750</xdr:colOff>
      <xdr:row>22</xdr:row>
      <xdr:rowOff>180975</xdr:rowOff>
    </xdr:to>
    <xdr:sp macro="" textlink="">
      <xdr:nvSpPr>
        <xdr:cNvPr id="27" name="Rounded Rectangle 26"/>
        <xdr:cNvSpPr/>
      </xdr:nvSpPr>
      <xdr:spPr>
        <a:xfrm>
          <a:off x="4419600" y="3952875"/>
          <a:ext cx="1352550" cy="4191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5</xdr:col>
      <xdr:colOff>47625</xdr:colOff>
      <xdr:row>19</xdr:row>
      <xdr:rowOff>57150</xdr:rowOff>
    </xdr:from>
    <xdr:to>
      <xdr:col>7</xdr:col>
      <xdr:colOff>152400</xdr:colOff>
      <xdr:row>21</xdr:row>
      <xdr:rowOff>161925</xdr:rowOff>
    </xdr:to>
    <xdr:cxnSp macro="">
      <xdr:nvCxnSpPr>
        <xdr:cNvPr id="28" name="Straight Arrow Connector 27"/>
        <xdr:cNvCxnSpPr>
          <a:stCxn id="23" idx="3"/>
          <a:endCxn id="27" idx="1"/>
        </xdr:cNvCxnSpPr>
      </xdr:nvCxnSpPr>
      <xdr:spPr>
        <a:xfrm>
          <a:off x="3095625" y="3676650"/>
          <a:ext cx="1323975" cy="4857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152400</xdr:colOff>
      <xdr:row>0</xdr:row>
      <xdr:rowOff>38100</xdr:rowOff>
    </xdr:from>
    <xdr:to>
      <xdr:col>14</xdr:col>
      <xdr:colOff>457200</xdr:colOff>
      <xdr:row>2</xdr:row>
      <xdr:rowOff>19051</xdr:rowOff>
    </xdr:to>
    <xdr:sp macro="" textlink="">
      <xdr:nvSpPr>
        <xdr:cNvPr id="40" name="com_bar"/>
        <xdr:cNvSpPr>
          <a:spLocks noChangeArrowheads="1"/>
        </xdr:cNvSpPr>
      </xdr:nvSpPr>
      <xdr:spPr bwMode="auto">
        <a:xfrm>
          <a:off x="1981200" y="38100"/>
          <a:ext cx="7010400" cy="361951"/>
        </a:xfrm>
        <a:prstGeom prst="rect">
          <a:avLst/>
        </a:prstGeom>
        <a:gradFill rotWithShape="1">
          <a:gsLst>
            <a:gs pos="0">
              <a:srgbClr val="477AB7"/>
            </a:gs>
            <a:gs pos="100000">
              <a:srgbClr val="B8CCE4">
                <a:alpha val="74001"/>
              </a:srgbClr>
            </a:gs>
          </a:gsLst>
          <a:lin ang="0" scaled="1"/>
        </a:gradFill>
        <a:ln w="9525">
          <a:solidFill>
            <a:srgbClr val="99CCFF"/>
          </a:solidFill>
          <a:miter lim="800000"/>
          <a:headEnd/>
          <a:tailEnd/>
        </a:ln>
      </xdr:spPr>
      <xdr:txBody>
        <a:bodyPr vertOverflow="clip" wrap="square" lIns="91440" tIns="45720" rIns="91440" bIns="45720" anchor="ctr" upright="1"/>
        <a:lstStyle/>
        <a:p>
          <a:pPr algn="ctr" rtl="0">
            <a:defRPr sz="1000"/>
          </a:pPr>
          <a:r>
            <a:rPr lang="en-US" sz="1800" b="1" i="0" strike="noStrike">
              <a:solidFill>
                <a:srgbClr val="000000"/>
              </a:solidFill>
              <a:latin typeface="+mn-lt"/>
            </a:rPr>
            <a:t>FOMC Dot Plot</a:t>
          </a:r>
        </a:p>
      </xdr:txBody>
    </xdr:sp>
    <xdr:clientData/>
  </xdr:twoCellAnchor>
  <xdr:twoCellAnchor editAs="oneCell">
    <xdr:from>
      <xdr:col>0</xdr:col>
      <xdr:colOff>180975</xdr:colOff>
      <xdr:row>0</xdr:row>
      <xdr:rowOff>76200</xdr:rowOff>
    </xdr:from>
    <xdr:to>
      <xdr:col>2</xdr:col>
      <xdr:colOff>111919</xdr:colOff>
      <xdr:row>1</xdr:row>
      <xdr:rowOff>123825</xdr:rowOff>
    </xdr:to>
    <xdr:pic>
      <xdr:nvPicPr>
        <xdr:cNvPr id="41" name="Picture 27" descr="bloomberg logo blk converted"/>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0975" y="76200"/>
          <a:ext cx="1150144"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9525</xdr:colOff>
      <xdr:row>8</xdr:row>
      <xdr:rowOff>28575</xdr:rowOff>
    </xdr:from>
    <xdr:to>
      <xdr:col>19</xdr:col>
      <xdr:colOff>123825</xdr:colOff>
      <xdr:row>9</xdr:row>
      <xdr:rowOff>171450</xdr:rowOff>
    </xdr:to>
    <xdr:sp macro="" textlink="">
      <xdr:nvSpPr>
        <xdr:cNvPr id="43" name="Rounded Rectangle 42"/>
        <xdr:cNvSpPr/>
      </xdr:nvSpPr>
      <xdr:spPr>
        <a:xfrm>
          <a:off x="9763125" y="1552575"/>
          <a:ext cx="1943100" cy="3333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Links</a:t>
          </a:r>
          <a:r>
            <a:rPr lang="en-US" sz="1100" baseline="0">
              <a:solidFill>
                <a:sysClr val="windowText" lastClr="000000"/>
              </a:solidFill>
            </a:rPr>
            <a:t> to Bloomberg terminal</a:t>
          </a:r>
        </a:p>
      </xdr:txBody>
    </xdr:sp>
    <xdr:clientData/>
  </xdr:twoCellAnchor>
  <xdr:twoCellAnchor>
    <xdr:from>
      <xdr:col>16</xdr:col>
      <xdr:colOff>600075</xdr:colOff>
      <xdr:row>12</xdr:row>
      <xdr:rowOff>180975</xdr:rowOff>
    </xdr:from>
    <xdr:to>
      <xdr:col>19</xdr:col>
      <xdr:colOff>142875</xdr:colOff>
      <xdr:row>17</xdr:row>
      <xdr:rowOff>47625</xdr:rowOff>
    </xdr:to>
    <xdr:sp macro="" textlink="">
      <xdr:nvSpPr>
        <xdr:cNvPr id="44" name="Rounded Rectangle 43"/>
        <xdr:cNvSpPr/>
      </xdr:nvSpPr>
      <xdr:spPr>
        <a:xfrm>
          <a:off x="10353675" y="2466975"/>
          <a:ext cx="1371600" cy="8191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17</xdr:col>
      <xdr:colOff>371475</xdr:colOff>
      <xdr:row>9</xdr:row>
      <xdr:rowOff>171450</xdr:rowOff>
    </xdr:from>
    <xdr:to>
      <xdr:col>18</xdr:col>
      <xdr:colOff>66675</xdr:colOff>
      <xdr:row>12</xdr:row>
      <xdr:rowOff>180975</xdr:rowOff>
    </xdr:to>
    <xdr:cxnSp macro="">
      <xdr:nvCxnSpPr>
        <xdr:cNvPr id="46" name="Straight Arrow Connector 45"/>
        <xdr:cNvCxnSpPr>
          <a:stCxn id="43" idx="2"/>
          <a:endCxn id="44" idx="0"/>
        </xdr:cNvCxnSpPr>
      </xdr:nvCxnSpPr>
      <xdr:spPr>
        <a:xfrm>
          <a:off x="10734675" y="1885950"/>
          <a:ext cx="304800" cy="5810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257175</xdr:colOff>
      <xdr:row>0</xdr:row>
      <xdr:rowOff>95250</xdr:rowOff>
    </xdr:from>
    <xdr:to>
      <xdr:col>18</xdr:col>
      <xdr:colOff>57150</xdr:colOff>
      <xdr:row>1</xdr:row>
      <xdr:rowOff>171450</xdr:rowOff>
    </xdr:to>
    <xdr:sp macro="[0]!Module1.FED_Terminal" textlink="">
      <xdr:nvSpPr>
        <xdr:cNvPr id="47" name="Rounded Rectangle 46">
          <a:hlinkClick xmlns:r="http://schemas.openxmlformats.org/officeDocument/2006/relationships" r:id="rId3"/>
        </xdr:cNvPr>
        <xdr:cNvSpPr/>
      </xdr:nvSpPr>
      <xdr:spPr>
        <a:xfrm>
          <a:off x="9401175" y="95250"/>
          <a:ext cx="1628775" cy="266700"/>
        </a:xfrm>
        <a:prstGeom prst="roundRect">
          <a:avLst/>
        </a:prstGeom>
        <a:solidFill>
          <a:schemeClr val="bg1">
            <a:lumMod val="8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rgbClr val="0070C0"/>
              </a:solidFill>
              <a:latin typeface="Arial" panose="020B0604020202020204" pitchFamily="34" charset="0"/>
              <a:cs typeface="Arial" panose="020B0604020202020204" pitchFamily="34" charset="0"/>
            </a:rPr>
            <a:t>Return</a:t>
          </a:r>
          <a:r>
            <a:rPr lang="en-US" sz="1200" b="1" baseline="0">
              <a:solidFill>
                <a:srgbClr val="0070C0"/>
              </a:solidFill>
              <a:latin typeface="Arial" panose="020B0604020202020204" pitchFamily="34" charset="0"/>
              <a:cs typeface="Arial" panose="020B0604020202020204" pitchFamily="34" charset="0"/>
            </a:rPr>
            <a:t> to Chart</a:t>
          </a:r>
          <a:endParaRPr lang="en-US" sz="1200" b="1">
            <a:solidFill>
              <a:srgbClr val="0070C0"/>
            </a:solidFill>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EV4379"/>
  <sheetViews>
    <sheetView showGridLines="0" tabSelected="1" zoomScale="70" zoomScaleNormal="70" workbookViewId="0">
      <selection activeCell="J46" sqref="J46"/>
    </sheetView>
  </sheetViews>
  <sheetFormatPr baseColWidth="10" defaultColWidth="9.140625" defaultRowHeight="15" x14ac:dyDescent="0.25"/>
  <cols>
    <col min="1" max="1" width="1.85546875" customWidth="1"/>
    <col min="2" max="2" width="21.5703125" customWidth="1"/>
    <col min="3" max="3" width="15.140625" customWidth="1"/>
    <col min="4" max="4" width="8.7109375" customWidth="1"/>
    <col min="6" max="6" width="9.7109375" bestFit="1" customWidth="1"/>
    <col min="7" max="7" width="10.7109375" style="4" bestFit="1" customWidth="1"/>
    <col min="14" max="14" width="9.140625" customWidth="1"/>
    <col min="15" max="15" width="13.28515625" customWidth="1"/>
    <col min="16" max="16" width="10.7109375" bestFit="1" customWidth="1"/>
    <col min="19" max="19" width="10.7109375" bestFit="1" customWidth="1"/>
    <col min="23" max="112" width="8.7109375" customWidth="1"/>
    <col min="113" max="114" width="10.7109375" bestFit="1" customWidth="1"/>
    <col min="115" max="115" width="10.7109375" style="4" bestFit="1" customWidth="1"/>
    <col min="116" max="116" width="8.7109375" customWidth="1"/>
    <col min="117" max="117" width="8.7109375" style="4" customWidth="1"/>
    <col min="118" max="119" width="8.7109375" customWidth="1"/>
    <col min="120" max="120" width="17.7109375" style="7" bestFit="1" customWidth="1"/>
    <col min="121" max="121" width="10.7109375" bestFit="1" customWidth="1"/>
    <col min="122" max="122" width="11.5703125" customWidth="1"/>
    <col min="123" max="123" width="12.28515625" customWidth="1"/>
    <col min="124" max="124" width="8.7109375" customWidth="1"/>
    <col min="125" max="126" width="10.7109375" bestFit="1" customWidth="1"/>
    <col min="127" max="127" width="12" bestFit="1" customWidth="1"/>
    <col min="128" max="129" width="10.7109375" bestFit="1" customWidth="1"/>
    <col min="130" max="130" width="8.7109375" customWidth="1"/>
    <col min="131" max="131" width="9.7109375" customWidth="1"/>
    <col min="132" max="134" width="8.7109375" customWidth="1"/>
    <col min="135" max="135" width="10.7109375" bestFit="1" customWidth="1"/>
    <col min="136" max="136" width="8.7109375" customWidth="1"/>
    <col min="137" max="137" width="10.7109375" bestFit="1" customWidth="1"/>
    <col min="138" max="143" width="8.7109375" customWidth="1"/>
    <col min="144" max="144" width="10.7109375" bestFit="1" customWidth="1"/>
    <col min="145" max="145" width="8.7109375" customWidth="1"/>
    <col min="146" max="146" width="10.7109375" bestFit="1" customWidth="1"/>
    <col min="147" max="158" width="8.7109375" customWidth="1"/>
  </cols>
  <sheetData>
    <row r="1" spans="2:147" ht="42" customHeight="1" thickBot="1" x14ac:dyDescent="0.3">
      <c r="DI1" t="s">
        <v>3</v>
      </c>
      <c r="DK1" s="4" t="s">
        <v>1</v>
      </c>
      <c r="DL1" t="s">
        <v>2</v>
      </c>
      <c r="DM1" s="4">
        <f>MIN(DS28)-365</f>
        <v>41274</v>
      </c>
      <c r="DP1" s="7" t="s">
        <v>24</v>
      </c>
      <c r="DS1" s="4">
        <f ca="1">OFFSET(DS3,MATCH(1,DR4:DR10,0),0)-366</f>
        <v>41273</v>
      </c>
      <c r="DY1" s="4">
        <f>AVERAGE(VLOOKUP(LARGE($DR$4:$DR$12,1),$DR$4:$DS$12,2,FALSE),VLOOKUP(LARGE($DR$4:$DR$12,2),$DR$4:$DS$12,2,FALSE))</f>
        <v>42917.5</v>
      </c>
      <c r="DZ1" s="3">
        <v>0</v>
      </c>
    </row>
    <row r="2" spans="2:147" ht="16.5" thickBot="1" x14ac:dyDescent="0.3">
      <c r="B2" s="5" t="s">
        <v>23</v>
      </c>
      <c r="C2" s="6">
        <v>41808</v>
      </c>
      <c r="DI2" s="4">
        <f>INDEX(Sheet2!A:A,QUOTIENT(ROW()-1,19)+2)</f>
        <v>41080</v>
      </c>
      <c r="DJ2" s="4">
        <f>INDEX(Sheet2!C:C,QUOTIENT(ROW()-1,19)+2)</f>
        <v>41274</v>
      </c>
      <c r="DK2" s="4">
        <f>INDEX(Sheet2!$AA$2:$AS$228,QUOTIENT(ROW()-1,19)+1,MOD(ROW()-2,19)+1)</f>
        <v>41123.4375</v>
      </c>
      <c r="DL2">
        <f>IFERROR(INDEX(Sheet2!$AU$2:$BM$228,QUOTIENT(ROW()-1,19)+1,MOD(ROW()-2,19)+1),NA())</f>
        <v>0.25</v>
      </c>
      <c r="DM2" s="4" t="e">
        <f t="shared" ref="DM2:DM65" si="0">+IF($C$2=$DI2,DK2,NA())</f>
        <v>#N/A</v>
      </c>
      <c r="DN2" t="e">
        <f t="shared" ref="DN2:DN65" si="1">+IF($C$2=$DI2,DL2,NA())</f>
        <v>#N/A</v>
      </c>
      <c r="DO2" t="e">
        <f>IF(DN2="",NA(),DN2)</f>
        <v>#N/A</v>
      </c>
      <c r="DT2">
        <v>1</v>
      </c>
      <c r="DU2">
        <v>2</v>
      </c>
      <c r="DY2" s="4">
        <f>+DY1</f>
        <v>42917.5</v>
      </c>
      <c r="DZ2" s="3">
        <v>6</v>
      </c>
    </row>
    <row r="3" spans="2:147" ht="16.5" customHeight="1" thickBot="1" x14ac:dyDescent="0.3">
      <c r="B3" s="10" t="s">
        <v>45</v>
      </c>
      <c r="C3" s="14">
        <v>41626</v>
      </c>
      <c r="E3" s="17" t="str">
        <f>"Target federal funds rate at year-end"</f>
        <v>Target federal funds rate at year-end</v>
      </c>
      <c r="F3" s="18"/>
      <c r="G3" s="18"/>
      <c r="H3" s="18"/>
      <c r="I3" s="18"/>
      <c r="J3" s="18"/>
      <c r="K3" s="18"/>
      <c r="L3" s="18"/>
      <c r="M3" s="19"/>
      <c r="DI3" s="4">
        <f>INDEX(Sheet2!A:A,QUOTIENT(ROW()-1,19)+2)</f>
        <v>41080</v>
      </c>
      <c r="DJ3" s="4">
        <f>INDEX(Sheet2!C:C,QUOTIENT(ROW()-1,19)+2)</f>
        <v>41274</v>
      </c>
      <c r="DK3" s="4">
        <f>INDEX(Sheet2!$AA$2:$AS$228,QUOTIENT(ROW()-1,19)+1,MOD(ROW()-2,19)+1)</f>
        <v>41143.512500000004</v>
      </c>
      <c r="DL3">
        <f>IFERROR(INDEX(Sheet2!$AU$2:$BM$228,QUOTIENT(ROW()-1,19)+1,MOD(ROW()-2,19)+1),NA())</f>
        <v>0.25</v>
      </c>
      <c r="DM3" s="4" t="e">
        <f t="shared" si="0"/>
        <v>#N/A</v>
      </c>
      <c r="DN3" t="e">
        <f t="shared" si="1"/>
        <v>#N/A</v>
      </c>
      <c r="DO3" t="e">
        <f t="shared" ref="DO3:DO66" si="2">IF(DN3="",NA(),DN3)</f>
        <v>#N/A</v>
      </c>
      <c r="DP3" s="8">
        <v>41808</v>
      </c>
      <c r="DS3" t="s">
        <v>46</v>
      </c>
      <c r="DT3" s="1">
        <f>+$C$2</f>
        <v>41808</v>
      </c>
      <c r="DU3" s="1">
        <f>IF(C3="","",C3)</f>
        <v>41626</v>
      </c>
      <c r="DV3" s="1"/>
      <c r="EA3" t="str">
        <f>"Target federal funds rate at year-end" &amp;CHAR(10)&amp;"As reported in FOMC minutes published: "&amp;TEXT(C2,"Mmm-yy")</f>
        <v>Target federal funds rate at year-end
As reported in FOMC minutes published: Jun-14</v>
      </c>
    </row>
    <row r="4" spans="2:147" ht="16.5" customHeight="1" thickBot="1" x14ac:dyDescent="0.3">
      <c r="B4" s="10" t="s">
        <v>25</v>
      </c>
      <c r="C4" s="11" t="s">
        <v>47</v>
      </c>
      <c r="E4" s="20"/>
      <c r="F4" s="21"/>
      <c r="G4" s="21"/>
      <c r="H4" s="21"/>
      <c r="I4" s="21"/>
      <c r="J4" s="21"/>
      <c r="K4" s="21"/>
      <c r="L4" s="21"/>
      <c r="M4" s="22"/>
      <c r="DI4" s="4">
        <f>INDEX(Sheet2!A:A,QUOTIENT(ROW()-1,19)+2)</f>
        <v>41080</v>
      </c>
      <c r="DJ4" s="4">
        <f>INDEX(Sheet2!C:C,QUOTIENT(ROW()-1,19)+2)</f>
        <v>41274</v>
      </c>
      <c r="DK4" s="4">
        <f>INDEX(Sheet2!$AA$2:$AS$228,QUOTIENT(ROW()-1,19)+1,MOD(ROW()-2,19)+1)</f>
        <v>41163.587500000001</v>
      </c>
      <c r="DL4">
        <f>IFERROR(INDEX(Sheet2!$AU$2:$BM$228,QUOTIENT(ROW()-1,19)+1,MOD(ROW()-2,19)+1),NA())</f>
        <v>0.25</v>
      </c>
      <c r="DM4" s="4" t="e">
        <f t="shared" si="0"/>
        <v>#N/A</v>
      </c>
      <c r="DN4" t="e">
        <f t="shared" si="1"/>
        <v>#N/A</v>
      </c>
      <c r="DO4" t="e">
        <f t="shared" si="2"/>
        <v>#N/A</v>
      </c>
      <c r="DP4" s="8">
        <v>41717</v>
      </c>
      <c r="DR4" t="str">
        <f>+IF(COUNTIF(DT4:DU4,"&gt;"&amp;0)=0,"",MAX($DR$3:DR3)+1)</f>
        <v/>
      </c>
      <c r="DS4" s="4">
        <v>41274</v>
      </c>
      <c r="DT4" s="16" t="e">
        <f>+IF(YEAR(DT$3)-YEAR($DS4)&gt;0,NA(),MAX(0.25,SUMIFS(Sheet2!$E:$E,Sheet2!$C:$C,Chart!$DS4,Sheet2!$A:$A,DT$3)))</f>
        <v>#N/A</v>
      </c>
      <c r="DU4" s="16" t="e">
        <f>+IF(YEAR(DU$3)-YEAR($DS4)&gt;0,NA(),MAX(0.25,SUMIFS(Sheet2!$E:$E,Sheet2!$C:$C,Chart!$DS4,Sheet2!$A:$A,DU$3)))</f>
        <v>#N/A</v>
      </c>
      <c r="DV4" s="9"/>
      <c r="DW4" t="str">
        <f t="shared" ref="DW4:DW9" si="3">IF(DR4="","",IF(MAX($DR$4:$DR$12)=DR4,"Longer Term",YEAR(DS4)))</f>
        <v/>
      </c>
      <c r="EA4" t="str">
        <f>"Minutes "&amp;TEXT(C2,"Mmm-YY")</f>
        <v>Minutes Jun-14</v>
      </c>
      <c r="EB4">
        <v>1</v>
      </c>
      <c r="EC4" t="s">
        <v>46</v>
      </c>
    </row>
    <row r="5" spans="2:147" ht="16.5" customHeight="1" thickBot="1" x14ac:dyDescent="0.3">
      <c r="B5" s="12" t="s">
        <v>51</v>
      </c>
      <c r="C5" s="13">
        <f ca="1">TODAY()</f>
        <v>41897</v>
      </c>
      <c r="E5" s="23" t="str">
        <f>"As reported in FOMC minutes published: "&amp;TEXT(C2,"Mmm-yy")</f>
        <v>As reported in FOMC minutes published: Jun-14</v>
      </c>
      <c r="F5" s="24"/>
      <c r="G5" s="24"/>
      <c r="H5" s="24"/>
      <c r="I5" s="24"/>
      <c r="J5" s="24"/>
      <c r="K5" s="24"/>
      <c r="L5" s="24"/>
      <c r="M5" s="25"/>
      <c r="DI5" s="4">
        <f>INDEX(Sheet2!A:A,QUOTIENT(ROW()-1,19)+2)</f>
        <v>41080</v>
      </c>
      <c r="DJ5" s="4">
        <f>INDEX(Sheet2!C:C,QUOTIENT(ROW()-1,19)+2)</f>
        <v>41274</v>
      </c>
      <c r="DK5" s="4">
        <f>INDEX(Sheet2!$AA$2:$AS$228,QUOTIENT(ROW()-1,19)+1,MOD(ROW()-2,19)+1)</f>
        <v>41183.662500000006</v>
      </c>
      <c r="DL5">
        <f>IFERROR(INDEX(Sheet2!$AU$2:$BM$228,QUOTIENT(ROW()-1,19)+1,MOD(ROW()-2,19)+1),NA())</f>
        <v>0.25</v>
      </c>
      <c r="DM5" s="4" t="e">
        <f t="shared" si="0"/>
        <v>#N/A</v>
      </c>
      <c r="DN5" t="e">
        <f t="shared" si="1"/>
        <v>#N/A</v>
      </c>
      <c r="DO5" t="e">
        <f t="shared" si="2"/>
        <v>#N/A</v>
      </c>
      <c r="DP5" s="8">
        <v>41626</v>
      </c>
      <c r="DR5">
        <f>+IF(COUNTIF(DT5:DU5,"&gt;"&amp;0)=0,"",MAX($DR$3:DR4)+1)</f>
        <v>1</v>
      </c>
      <c r="DS5" s="4">
        <v>41639</v>
      </c>
      <c r="DT5" s="16" t="e">
        <f>+IF(YEAR(DT$3)-YEAR($DS5)&gt;0,NA(),MAX(0.25,SUMIFS(Sheet2!$E:$E,Sheet2!$C:$C,Chart!$DS5,Sheet2!$A:$A,DT$3)))</f>
        <v>#N/A</v>
      </c>
      <c r="DU5" s="16">
        <f>+IF(YEAR(DU$3)-YEAR($DS5)&gt;0,NA(),MAX(0.25,SUMIFS(Sheet2!$E:$E,Sheet2!$C:$C,Chart!$DS5,Sheet2!$A:$A,DU$3)))</f>
        <v>0.25</v>
      </c>
      <c r="DV5" s="9"/>
      <c r="DW5">
        <f t="shared" si="3"/>
        <v>2013</v>
      </c>
      <c r="EB5">
        <v>2</v>
      </c>
      <c r="EC5" t="s">
        <v>47</v>
      </c>
    </row>
    <row r="6" spans="2:147" ht="15" customHeight="1" x14ac:dyDescent="0.25">
      <c r="E6" s="26"/>
      <c r="F6" s="27"/>
      <c r="G6" s="27"/>
      <c r="H6" s="27"/>
      <c r="I6" s="27"/>
      <c r="J6" s="27"/>
      <c r="K6" s="27"/>
      <c r="L6" s="27"/>
      <c r="M6" s="28"/>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I6" s="4">
        <f>INDEX(Sheet2!A:A,QUOTIENT(ROW()-1,19)+2)</f>
        <v>41080</v>
      </c>
      <c r="DJ6" s="4">
        <f>INDEX(Sheet2!C:C,QUOTIENT(ROW()-1,19)+2)</f>
        <v>41274</v>
      </c>
      <c r="DK6" s="4">
        <f>INDEX(Sheet2!$AA$2:$AS$228,QUOTIENT(ROW()-1,19)+1,MOD(ROW()-2,19)+1)</f>
        <v>41203.737500000003</v>
      </c>
      <c r="DL6">
        <f>IFERROR(INDEX(Sheet2!$AU$2:$BM$228,QUOTIENT(ROW()-1,19)+1,MOD(ROW()-2,19)+1),NA())</f>
        <v>0.25</v>
      </c>
      <c r="DM6" s="4" t="e">
        <f t="shared" si="0"/>
        <v>#N/A</v>
      </c>
      <c r="DN6" t="e">
        <f t="shared" si="1"/>
        <v>#N/A</v>
      </c>
      <c r="DO6" t="e">
        <f t="shared" si="2"/>
        <v>#N/A</v>
      </c>
      <c r="DP6" s="8">
        <v>41535</v>
      </c>
      <c r="DR6">
        <f>+IF(COUNTIF(DT6:DU6,"&gt;"&amp;0)=0,"",MAX($DR$3:DR5)+1)</f>
        <v>2</v>
      </c>
      <c r="DS6" s="4">
        <v>42004</v>
      </c>
      <c r="DT6" s="9">
        <f>IF(SUMIFS(Sheet2!$E:$E,Sheet2!$C:$C,Chart!$DS6,Sheet2!$A:$A,DT$3)=0,NA(),SUMIFS(Sheet2!$E:$E,Sheet2!$C:$C,Chart!$DS6,Sheet2!$A:$A,DT$3))</f>
        <v>0.265625</v>
      </c>
      <c r="DU6" s="9">
        <f>IF(SUMIFS(Sheet2!$E:$E,Sheet2!$C:$C,Chart!$DS6,Sheet2!$A:$A,DU$3)=0,NA(),SUMIFS(Sheet2!$E:$E,Sheet2!$C:$C,Chart!$DS6,Sheet2!$A:$A,DU$3))</f>
        <v>0.33823529411764708</v>
      </c>
      <c r="DV6" s="9"/>
      <c r="DW6">
        <f t="shared" si="3"/>
        <v>2014</v>
      </c>
      <c r="EB6">
        <v>3</v>
      </c>
    </row>
    <row r="7" spans="2:147" x14ac:dyDescent="0.25">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I7" s="4">
        <f>INDEX(Sheet2!A:A,QUOTIENT(ROW()-1,19)+2)</f>
        <v>41080</v>
      </c>
      <c r="DJ7" s="4">
        <f>INDEX(Sheet2!C:C,QUOTIENT(ROW()-1,19)+2)</f>
        <v>41274</v>
      </c>
      <c r="DK7" s="4">
        <f>INDEX(Sheet2!$AA$2:$AS$228,QUOTIENT(ROW()-1,19)+1,MOD(ROW()-2,19)+1)</f>
        <v>41223.8125</v>
      </c>
      <c r="DL7">
        <f>IFERROR(INDEX(Sheet2!$AU$2:$BM$228,QUOTIENT(ROW()-1,19)+1,MOD(ROW()-2,19)+1),NA())</f>
        <v>0.25</v>
      </c>
      <c r="DM7" s="4" t="e">
        <f t="shared" si="0"/>
        <v>#N/A</v>
      </c>
      <c r="DN7" t="e">
        <f t="shared" si="1"/>
        <v>#N/A</v>
      </c>
      <c r="DO7" t="e">
        <f t="shared" si="2"/>
        <v>#N/A</v>
      </c>
      <c r="DP7" s="8">
        <v>41444</v>
      </c>
      <c r="DR7">
        <f>+IF(COUNTIF(DT7:DU7,"&gt;"&amp;0)=0,"",MAX($DR$3:DR6)+1)</f>
        <v>3</v>
      </c>
      <c r="DS7" s="4">
        <v>42369</v>
      </c>
      <c r="DT7" s="9">
        <f>IF(SUMIFS(Sheet2!$E:$E,Sheet2!$C:$C,Chart!$DS7,Sheet2!$A:$A,DT$3)=0,NA(),SUMIFS(Sheet2!$E:$E,Sheet2!$C:$C,Chart!$DS7,Sheet2!$A:$A,DT$3))</f>
        <v>1.203125</v>
      </c>
      <c r="DU7" s="9">
        <f>IF(SUMIFS(Sheet2!$E:$E,Sheet2!$C:$C,Chart!$DS7,Sheet2!$A:$A,DU$3)=0,NA(),SUMIFS(Sheet2!$E:$E,Sheet2!$C:$C,Chart!$DS7,Sheet2!$A:$A,DU$3))</f>
        <v>1.0588235294117647</v>
      </c>
      <c r="DV7" s="9"/>
      <c r="DW7">
        <f t="shared" si="3"/>
        <v>2015</v>
      </c>
      <c r="EB7">
        <v>4</v>
      </c>
    </row>
    <row r="8" spans="2:147" x14ac:dyDescent="0.25">
      <c r="DI8" s="4">
        <f>INDEX(Sheet2!A:A,QUOTIENT(ROW()-1,19)+2)</f>
        <v>41080</v>
      </c>
      <c r="DJ8" s="4">
        <f>INDEX(Sheet2!C:C,QUOTIENT(ROW()-1,19)+2)</f>
        <v>41274</v>
      </c>
      <c r="DK8" s="4">
        <f>INDEX(Sheet2!$AA$2:$AS$228,QUOTIENT(ROW()-1,19)+1,MOD(ROW()-2,19)+1)</f>
        <v>41243.887500000004</v>
      </c>
      <c r="DL8">
        <f>IFERROR(INDEX(Sheet2!$AU$2:$BM$228,QUOTIENT(ROW()-1,19)+1,MOD(ROW()-2,19)+1),NA())</f>
        <v>0.25</v>
      </c>
      <c r="DM8" s="4" t="e">
        <f t="shared" si="0"/>
        <v>#N/A</v>
      </c>
      <c r="DN8" t="e">
        <f t="shared" si="1"/>
        <v>#N/A</v>
      </c>
      <c r="DO8" t="e">
        <f t="shared" si="2"/>
        <v>#N/A</v>
      </c>
      <c r="DP8" s="8">
        <v>41353</v>
      </c>
      <c r="DR8">
        <f>+IF(COUNTIF(DT8:DU8,"&gt;"&amp;0)=0,"",MAX($DR$3:DR7)+1)</f>
        <v>4</v>
      </c>
      <c r="DS8" s="4">
        <v>42735</v>
      </c>
      <c r="DT8" s="9">
        <f>IF(SUMIFS(Sheet2!$E:$E,Sheet2!$C:$C,Chart!$DS8,Sheet2!$A:$A,DT$3)=0,NA(),SUMIFS(Sheet2!$E:$E,Sheet2!$C:$C,Chart!$DS8,Sheet2!$A:$A,DT$3))</f>
        <v>2.53125</v>
      </c>
      <c r="DU8" s="9">
        <f>IF(SUMIFS(Sheet2!$E:$E,Sheet2!$C:$C,Chart!$DS8,Sheet2!$A:$A,DU$3)=0,NA(),SUMIFS(Sheet2!$E:$E,Sheet2!$C:$C,Chart!$DS8,Sheet2!$A:$A,DU$3))</f>
        <v>2.1764705882352944</v>
      </c>
      <c r="DV8" s="9"/>
      <c r="DW8">
        <f t="shared" si="3"/>
        <v>2016</v>
      </c>
    </row>
    <row r="9" spans="2:147" x14ac:dyDescent="0.25">
      <c r="DI9" s="4">
        <f>INDEX(Sheet2!A:A,QUOTIENT(ROW()-1,19)+2)</f>
        <v>41080</v>
      </c>
      <c r="DJ9" s="4">
        <f>INDEX(Sheet2!C:C,QUOTIENT(ROW()-1,19)+2)</f>
        <v>41274</v>
      </c>
      <c r="DK9" s="4">
        <f>INDEX(Sheet2!$AA$2:$AS$228,QUOTIENT(ROW()-1,19)+1,MOD(ROW()-2,19)+1)</f>
        <v>41263.962500000001</v>
      </c>
      <c r="DL9">
        <f>IFERROR(INDEX(Sheet2!$AU$2:$BM$228,QUOTIENT(ROW()-1,19)+1,MOD(ROW()-2,19)+1),NA())</f>
        <v>0.25</v>
      </c>
      <c r="DM9" s="4" t="e">
        <f t="shared" si="0"/>
        <v>#N/A</v>
      </c>
      <c r="DN9" t="e">
        <f t="shared" si="1"/>
        <v>#N/A</v>
      </c>
      <c r="DO9" t="e">
        <f t="shared" si="2"/>
        <v>#N/A</v>
      </c>
      <c r="DP9" s="8">
        <v>41255</v>
      </c>
      <c r="DR9">
        <f>+IF(COUNTIF(DT9:DU9,"&gt;"&amp;0)=0,"",MAX($DR$3:DR8)+1)</f>
        <v>5</v>
      </c>
      <c r="DS9" s="4">
        <v>43100</v>
      </c>
      <c r="DT9" s="9">
        <f>IF(SUMIFS(Sheet2!$E:$E,Sheet2!$C:$C,Chart!$DS9,Sheet2!$A:$A,DT$3)=0,NA(),SUMIFS(Sheet2!$E:$E,Sheet2!$C:$C,Chart!$DS9,Sheet2!$A:$A,DT$3))</f>
        <v>3.78125</v>
      </c>
      <c r="DU9" s="9">
        <f>IF(SUMIFS(Sheet2!$E:$E,Sheet2!$C:$C,Chart!$DS9,Sheet2!$A:$A,DU$3)=0,NA(),SUMIFS(Sheet2!$E:$E,Sheet2!$C:$C,Chart!$DS9,Sheet2!$A:$A,DU$3))</f>
        <v>3.9117647058823533</v>
      </c>
      <c r="DV9" s="9"/>
      <c r="DW9" t="str">
        <f t="shared" si="3"/>
        <v>Longer Term</v>
      </c>
    </row>
    <row r="10" spans="2:147" x14ac:dyDescent="0.25">
      <c r="DI10" s="4">
        <f>INDEX(Sheet2!A:A,QUOTIENT(ROW()-1,19)+2)</f>
        <v>41080</v>
      </c>
      <c r="DJ10" s="4">
        <f>INDEX(Sheet2!C:C,QUOTIENT(ROW()-1,19)+2)</f>
        <v>41274</v>
      </c>
      <c r="DK10" s="4">
        <f>INDEX(Sheet2!$AA$2:$AS$228,QUOTIENT(ROW()-1,19)+1,MOD(ROW()-2,19)+1)</f>
        <v>41284.037500000006</v>
      </c>
      <c r="DL10">
        <f>IFERROR(INDEX(Sheet2!$AU$2:$BM$228,QUOTIENT(ROW()-1,19)+1,MOD(ROW()-2,19)+1),NA())</f>
        <v>0.25</v>
      </c>
      <c r="DM10" s="4" t="e">
        <f t="shared" si="0"/>
        <v>#N/A</v>
      </c>
      <c r="DN10" t="e">
        <f t="shared" si="1"/>
        <v>#N/A</v>
      </c>
      <c r="DO10" t="e">
        <f t="shared" si="2"/>
        <v>#N/A</v>
      </c>
      <c r="DP10" s="8">
        <v>41165</v>
      </c>
    </row>
    <row r="11" spans="2:147" x14ac:dyDescent="0.25">
      <c r="G11"/>
      <c r="DI11" s="4">
        <f>INDEX(Sheet2!A:A,QUOTIENT(ROW()-1,19)+2)</f>
        <v>41080</v>
      </c>
      <c r="DJ11" s="4">
        <f>INDEX(Sheet2!C:C,QUOTIENT(ROW()-1,19)+2)</f>
        <v>41274</v>
      </c>
      <c r="DK11" s="4">
        <f>INDEX(Sheet2!$AA$2:$AS$228,QUOTIENT(ROW()-1,19)+1,MOD(ROW()-2,19)+1)</f>
        <v>41304.112500000003</v>
      </c>
      <c r="DL11">
        <f>IFERROR(INDEX(Sheet2!$AU$2:$BM$228,QUOTIENT(ROW()-1,19)+1,MOD(ROW()-2,19)+1),NA())</f>
        <v>0.25</v>
      </c>
      <c r="DM11" s="4" t="e">
        <f t="shared" si="0"/>
        <v>#N/A</v>
      </c>
      <c r="DN11" t="e">
        <f t="shared" si="1"/>
        <v>#N/A</v>
      </c>
      <c r="DO11" t="e">
        <f t="shared" si="2"/>
        <v>#N/A</v>
      </c>
      <c r="DP11" s="8">
        <v>41080</v>
      </c>
      <c r="DU11" t="str">
        <f>IF(DR11="","",IF(MAX($DR$4:$DR$12)=DR11,"Longer Term",YEAR(DS11)))</f>
        <v/>
      </c>
      <c r="EA11" s="1">
        <v>41061</v>
      </c>
      <c r="EB11" t="s">
        <v>4</v>
      </c>
      <c r="EC11" t="str">
        <f>_xll.BDP(EB11&amp;" Comdty","FUT_DLV_DT_LAST")</f>
        <v>6/13/2022</v>
      </c>
      <c r="ED11" t="str">
        <f>IF(YEAR(EC11)=YEAR(EA11),EB11,LEFT(EB11,3)&amp;"1"&amp;RIGHT(EB11,1))</f>
        <v>edm12</v>
      </c>
      <c r="EE11" s="4">
        <f>DATEVALUE(_xll.BDP(ED11&amp;" Comdty","FUT_DLV_DT_LAST"))</f>
        <v>41078</v>
      </c>
      <c r="EF11" t="str">
        <f ca="1">_xll.BDH(ED11&amp;" Comdty","PX Last",$C$5,$C$5,"days=a")</f>
        <v>#N/A N/A</v>
      </c>
      <c r="EG11" s="4" t="e">
        <f t="shared" ref="EG11:EG29" ca="1" si="4">IF(EE11&gt;=$C$5,EE11,NA())</f>
        <v>#N/A</v>
      </c>
      <c r="EH11" t="e">
        <f t="shared" ref="EH11:EH50" ca="1" si="5">IF(EE11&gt;=$C$5,100-EF11,NA())</f>
        <v>#N/A</v>
      </c>
      <c r="EJ11" s="1">
        <v>41061</v>
      </c>
      <c r="EK11" t="s">
        <v>26</v>
      </c>
      <c r="EL11" t="str">
        <f>_xll.BDP(EK11&amp;" Comdty","FUT_DLV_DT_LAST")</f>
        <v>#N/A Invalid Security</v>
      </c>
      <c r="EM11" t="str">
        <f>IFERROR(IF(YEAR(EL11)=YEAR(EJ11),EK11,LEFT(EK11,3)&amp;"1"&amp;RIGHT(EK11,1)),LEFT(EK11,3)&amp;"1"&amp;RIGHT(EK11,1))</f>
        <v>ffm12</v>
      </c>
      <c r="EN11" s="4">
        <f>DATEVALUE(_xll.BDP(EM11&amp;" Comdty","FUT_DLV_DT_LAST"))</f>
        <v>41089</v>
      </c>
      <c r="EO11" t="str">
        <f ca="1">_xll.BDH(EM11&amp;" Comdty","PX Last",$C$5,$C$5,"days=a")</f>
        <v>#N/A N/A</v>
      </c>
      <c r="EP11" s="4" t="e">
        <f t="shared" ref="EP11:EP29" ca="1" si="6">IF(EN11&gt;=$C$5,EN11,NA())</f>
        <v>#N/A</v>
      </c>
      <c r="EQ11" t="e">
        <f ca="1">IFERROR(IF(EN11&gt;=$C$5,100-EO11,NA()),NA())</f>
        <v>#N/A</v>
      </c>
    </row>
    <row r="12" spans="2:147" x14ac:dyDescent="0.25">
      <c r="G12"/>
      <c r="DI12" s="4">
        <f>INDEX(Sheet2!A:A,QUOTIENT(ROW()-1,19)+2)</f>
        <v>41080</v>
      </c>
      <c r="DJ12" s="4">
        <f>INDEX(Sheet2!C:C,QUOTIENT(ROW()-1,19)+2)</f>
        <v>41274</v>
      </c>
      <c r="DK12" s="4">
        <f>INDEX(Sheet2!$AA$2:$AS$228,QUOTIENT(ROW()-1,19)+1,MOD(ROW()-2,19)+1)</f>
        <v>41324.1875</v>
      </c>
      <c r="DL12">
        <f>IFERROR(INDEX(Sheet2!$AU$2:$BM$228,QUOTIENT(ROW()-1,19)+1,MOD(ROW()-2,19)+1),NA())</f>
        <v>0.25</v>
      </c>
      <c r="DM12" s="4" t="e">
        <f t="shared" si="0"/>
        <v>#N/A</v>
      </c>
      <c r="DN12" t="e">
        <f t="shared" si="1"/>
        <v>#N/A</v>
      </c>
      <c r="DO12" t="e">
        <f t="shared" si="2"/>
        <v>#N/A</v>
      </c>
      <c r="DS12" t="s">
        <v>47</v>
      </c>
      <c r="DT12" s="1">
        <f>DT3</f>
        <v>41808</v>
      </c>
      <c r="DU12" s="1">
        <f t="shared" ref="DU12" si="7">DU3</f>
        <v>41626</v>
      </c>
      <c r="DV12" s="1"/>
      <c r="EA12" s="1">
        <v>41153</v>
      </c>
      <c r="EB12" t="s">
        <v>5</v>
      </c>
      <c r="EC12" t="str">
        <f>_xll.BDP(EB12&amp;" Comdty","FUT_DLV_DT_LAST")</f>
        <v>9/19/2022</v>
      </c>
      <c r="ED12" t="str">
        <f t="shared" ref="ED12:ED29" si="8">IF(YEAR(EC12)=YEAR(EA12),EB12,LEFT(EB12,3)&amp;"1"&amp;RIGHT(EB12,1))</f>
        <v>edu12</v>
      </c>
      <c r="EE12" s="4">
        <f>DATEVALUE(_xll.BDP(ED12&amp;" Comdty","FUT_DLV_DT_LAST"))</f>
        <v>41169</v>
      </c>
      <c r="EF12" t="str">
        <f ca="1">_xll.BDH(ED12&amp;" Comdty","PX Last",$C$5,$C$5,"days=a")</f>
        <v>#N/A N/A</v>
      </c>
      <c r="EG12" s="4" t="e">
        <f t="shared" ca="1" si="4"/>
        <v>#N/A</v>
      </c>
      <c r="EH12" t="e">
        <f t="shared" ca="1" si="5"/>
        <v>#N/A</v>
      </c>
      <c r="EJ12" s="1">
        <v>41153</v>
      </c>
      <c r="EK12" t="s">
        <v>27</v>
      </c>
      <c r="EL12" t="str">
        <f>_xll.BDP(EK12&amp;" Comdty","FUT_DLV_DT_LAST")</f>
        <v>#N/A Invalid Security</v>
      </c>
      <c r="EM12" t="str">
        <f>IFERROR(IF(YEAR(EL12)=YEAR(EJ12),EK12,LEFT(EK12,3)&amp;"1"&amp;RIGHT(EK12,1)),LEFT(EK12,3)&amp;"1"&amp;RIGHT(EK12,1))</f>
        <v>ffu12</v>
      </c>
      <c r="EN12" s="4">
        <f>DATEVALUE(_xll.BDP(EM12&amp;" Comdty","FUT_DLV_DT_LAST"))</f>
        <v>41180</v>
      </c>
      <c r="EO12" t="str">
        <f ca="1">_xll.BDH(EM12&amp;" Comdty","PX Last",$C$5,$C$5,"days=a")</f>
        <v>#N/A N/A</v>
      </c>
      <c r="EP12" s="4" t="e">
        <f t="shared" ca="1" si="6"/>
        <v>#N/A</v>
      </c>
      <c r="EQ12" t="e">
        <f t="shared" ref="EQ12:EQ50" ca="1" si="9">IFERROR(IF(EN12&gt;=$C$5,100-EO12,NA()),NA())</f>
        <v>#N/A</v>
      </c>
    </row>
    <row r="13" spans="2:147" x14ac:dyDescent="0.25">
      <c r="G13"/>
      <c r="DI13" s="4">
        <f>INDEX(Sheet2!A:A,QUOTIENT(ROW()-1,19)+2)</f>
        <v>41080</v>
      </c>
      <c r="DJ13" s="4">
        <f>INDEX(Sheet2!C:C,QUOTIENT(ROW()-1,19)+2)</f>
        <v>41274</v>
      </c>
      <c r="DK13" s="4">
        <f>INDEX(Sheet2!$AA$2:$AS$228,QUOTIENT(ROW()-1,19)+1,MOD(ROW()-2,19)+1)</f>
        <v>41344.262500000004</v>
      </c>
      <c r="DL13">
        <f>IFERROR(INDEX(Sheet2!$AU$2:$BM$228,QUOTIENT(ROW()-1,19)+1,MOD(ROW()-2,19)+1),NA())</f>
        <v>0.25</v>
      </c>
      <c r="DM13" s="4" t="e">
        <f t="shared" si="0"/>
        <v>#N/A</v>
      </c>
      <c r="DN13" t="e">
        <f t="shared" si="1"/>
        <v>#N/A</v>
      </c>
      <c r="DO13" t="e">
        <f t="shared" si="2"/>
        <v>#N/A</v>
      </c>
      <c r="DR13" t="str">
        <f>+IF(COUNTIF(DT4:DV4,"&gt;"&amp;0)=0,"",MAX($DR$12:DR12)+1)</f>
        <v/>
      </c>
      <c r="DS13" s="4">
        <v>41274</v>
      </c>
      <c r="DT13" t="e">
        <f t="array" ref="DT13">IF(YEAR(DT$12)-YEAR($DS13)&gt;0,NA(),IFERROR(MEDIAN(IF(DT$12=$DI$2:$DI$4313,IF($DS13=$DJ$2:$DJ$4313,$DL$2:$DL$4313,""),"")),0.25))</f>
        <v>#N/A</v>
      </c>
      <c r="DU13" t="e">
        <f t="array" ref="DU13">IF(YEAR(DU$12)-YEAR($DS13)&gt;0,NA(),IFERROR(MEDIAN(IF(DU$12=$DI$2:$DI$4313,IF($DS13=$DJ$2:$DJ$4313,$DL$2:$DL$4313,""),"")),0.25))</f>
        <v>#N/A</v>
      </c>
      <c r="EA13" s="1">
        <v>41244</v>
      </c>
      <c r="EB13" t="s">
        <v>6</v>
      </c>
      <c r="EC13" t="str">
        <f>_xll.BDP(EB13&amp;" Comdty","FUT_DLV_DT_LAST")</f>
        <v>12/19/2022</v>
      </c>
      <c r="ED13" t="str">
        <f t="shared" si="8"/>
        <v>edz12</v>
      </c>
      <c r="EE13" s="4">
        <f>DATEVALUE(_xll.BDP(ED13&amp;" Comdty","FUT_DLV_DT_LAST"))</f>
        <v>41260</v>
      </c>
      <c r="EF13" t="str">
        <f ca="1">_xll.BDH(ED13&amp;" Comdty","PX Last",$C$5,$C$5,"days=a")</f>
        <v>#N/A N/A</v>
      </c>
      <c r="EG13" s="4" t="e">
        <f t="shared" ca="1" si="4"/>
        <v>#N/A</v>
      </c>
      <c r="EH13" t="e">
        <f t="shared" ca="1" si="5"/>
        <v>#N/A</v>
      </c>
      <c r="EJ13" s="1">
        <v>41244</v>
      </c>
      <c r="EK13" t="s">
        <v>28</v>
      </c>
      <c r="EL13" t="str">
        <f>_xll.BDP(EK13&amp;" Comdty","FUT_DLV_DT_LAST")</f>
        <v>#N/A Invalid Security</v>
      </c>
      <c r="EM13" t="str">
        <f t="shared" ref="EM13:EM29" si="10">IFERROR(IF(YEAR(EL13)=YEAR(EJ13),EK13,LEFT(EK13,3)&amp;"1"&amp;RIGHT(EK13,1)),LEFT(EK13,3)&amp;"1"&amp;RIGHT(EK13,1))</f>
        <v>ffz12</v>
      </c>
      <c r="EN13" s="4">
        <f>DATEVALUE(_xll.BDP(EM13&amp;" Comdty","FUT_DLV_DT_LAST"))</f>
        <v>41274</v>
      </c>
      <c r="EO13" t="str">
        <f ca="1">_xll.BDH(EM13&amp;" Comdty","PX Last",$C$5,$C$5,"days=a")</f>
        <v>#N/A N/A</v>
      </c>
      <c r="EP13" s="4" t="e">
        <f t="shared" ca="1" si="6"/>
        <v>#N/A</v>
      </c>
      <c r="EQ13" t="e">
        <f t="shared" ca="1" si="9"/>
        <v>#N/A</v>
      </c>
    </row>
    <row r="14" spans="2:147" x14ac:dyDescent="0.25">
      <c r="G14"/>
      <c r="DI14" s="4">
        <f>INDEX(Sheet2!A:A,QUOTIENT(ROW()-1,19)+2)</f>
        <v>41080</v>
      </c>
      <c r="DJ14" s="4">
        <f>INDEX(Sheet2!C:C,QUOTIENT(ROW()-1,19)+2)</f>
        <v>41274</v>
      </c>
      <c r="DK14" s="4">
        <f>INDEX(Sheet2!$AA$2:$AS$228,QUOTIENT(ROW()-1,19)+1,MOD(ROW()-2,19)+1)</f>
        <v>41364.337500000001</v>
      </c>
      <c r="DL14">
        <f>IFERROR(INDEX(Sheet2!$AU$2:$BM$228,QUOTIENT(ROW()-1,19)+1,MOD(ROW()-2,19)+1),NA())</f>
        <v>0.25</v>
      </c>
      <c r="DM14" s="4" t="e">
        <f t="shared" si="0"/>
        <v>#N/A</v>
      </c>
      <c r="DN14" t="e">
        <f t="shared" si="1"/>
        <v>#N/A</v>
      </c>
      <c r="DO14" t="e">
        <f t="shared" si="2"/>
        <v>#N/A</v>
      </c>
      <c r="DR14">
        <f>+IF(COUNTIF(DT5:DV5,"&gt;"&amp;0)=0,"",MAX($DR$12:DR13)+1)</f>
        <v>1</v>
      </c>
      <c r="DS14" s="4">
        <v>41639</v>
      </c>
      <c r="DT14" t="e">
        <f t="array" ref="DT14">IF(YEAR(DT$12)-YEAR($DS14)&gt;0,NA(),IFERROR(MEDIAN(IF(DT$12=$DI$2:$DI$4313,IF($DS14=$DJ$2:$DJ$4313,$DL$2:$DL$4313,""),"")),0.25))</f>
        <v>#N/A</v>
      </c>
      <c r="DU14">
        <f t="array" ref="DU14">IF(YEAR(DU$12)-YEAR($DS14)&gt;0,NA(),IFERROR(MEDIAN(IF(DU$12=$DI$2:$DI$4313,IF($DS14=$DJ$2:$DJ$4313,$DL$2:$DL$4313,""),"")),0.25))</f>
        <v>0.25</v>
      </c>
      <c r="EA14" s="1">
        <v>41334</v>
      </c>
      <c r="EB14" t="s">
        <v>7</v>
      </c>
      <c r="EC14" t="str">
        <f>_xll.BDP(EB14&amp;" Comdty","FUT_DLV_DT_LAST")</f>
        <v>3/13/2023</v>
      </c>
      <c r="ED14" t="str">
        <f t="shared" si="8"/>
        <v>edh13</v>
      </c>
      <c r="EE14" s="4">
        <f>DATEVALUE(_xll.BDP(ED14&amp;" Comdty","FUT_DLV_DT_LAST"))</f>
        <v>41351</v>
      </c>
      <c r="EF14" t="str">
        <f ca="1">_xll.BDH(ED14&amp;" Comdty","PX Last",$C$5,$C$5,"days=a")</f>
        <v>#N/A N/A</v>
      </c>
      <c r="EG14" s="4" t="e">
        <f t="shared" ca="1" si="4"/>
        <v>#N/A</v>
      </c>
      <c r="EH14" t="e">
        <f t="shared" ca="1" si="5"/>
        <v>#N/A</v>
      </c>
      <c r="EJ14" s="1">
        <v>41334</v>
      </c>
      <c r="EK14" t="s">
        <v>29</v>
      </c>
      <c r="EL14" t="str">
        <f>_xll.BDP(EK14&amp;" Comdty","FUT_DLV_DT_LAST")</f>
        <v>#N/A Invalid Security</v>
      </c>
      <c r="EM14" t="str">
        <f t="shared" si="10"/>
        <v>ffh13</v>
      </c>
      <c r="EN14" s="4">
        <f>DATEVALUE(_xll.BDP(EM14&amp;" Comdty","FUT_DLV_DT_LAST"))</f>
        <v>41361</v>
      </c>
      <c r="EO14" t="str">
        <f ca="1">_xll.BDH(EM14&amp;" Comdty","PX Last",$C$5,$C$5,"days=a")</f>
        <v>#N/A N/A</v>
      </c>
      <c r="EP14" s="4" t="e">
        <f t="shared" ca="1" si="6"/>
        <v>#N/A</v>
      </c>
      <c r="EQ14" t="e">
        <f t="shared" ca="1" si="9"/>
        <v>#N/A</v>
      </c>
    </row>
    <row r="15" spans="2:147" x14ac:dyDescent="0.25">
      <c r="G15"/>
      <c r="DI15" s="4">
        <f>INDEX(Sheet2!A:A,QUOTIENT(ROW()-1,19)+2)</f>
        <v>41080</v>
      </c>
      <c r="DJ15" s="4">
        <f>INDEX(Sheet2!C:C,QUOTIENT(ROW()-1,19)+2)</f>
        <v>41274</v>
      </c>
      <c r="DK15" s="4">
        <f>INDEX(Sheet2!$AA$2:$AS$228,QUOTIENT(ROW()-1,19)+1,MOD(ROW()-2,19)+1)</f>
        <v>41384.412500000006</v>
      </c>
      <c r="DL15">
        <f>IFERROR(INDEX(Sheet2!$AU$2:$BM$228,QUOTIENT(ROW()-1,19)+1,MOD(ROW()-2,19)+1),NA())</f>
        <v>0.25</v>
      </c>
      <c r="DM15" s="4" t="e">
        <f t="shared" si="0"/>
        <v>#N/A</v>
      </c>
      <c r="DN15" t="e">
        <f t="shared" si="1"/>
        <v>#N/A</v>
      </c>
      <c r="DO15" t="e">
        <f t="shared" si="2"/>
        <v>#N/A</v>
      </c>
      <c r="DR15">
        <f>+IF(COUNTIF(DT6:DV6,"&gt;"&amp;0)=0,"",MAX($DR$12:DR14)+1)</f>
        <v>2</v>
      </c>
      <c r="DS15" s="4">
        <v>42004</v>
      </c>
      <c r="DT15">
        <f t="array" ref="DT15">IFERROR(MEDIAN(IF(DT$12=$DI$2:$DI$4313,IF($DS15=$DJ$2:$DJ$4313,$DL$2:$DL$4313,""),"")),NA())</f>
        <v>0.25</v>
      </c>
      <c r="DU15">
        <f t="array" ref="DU15">IFERROR(MEDIAN(IF(DU$12=$DI$2:$DI$4313,IF($DS15=$DJ$2:$DJ$4313,$DL$2:$DL$4313,""),"")),NA())</f>
        <v>0.25</v>
      </c>
      <c r="EA15" s="1">
        <v>41426</v>
      </c>
      <c r="EB15" t="s">
        <v>8</v>
      </c>
      <c r="EC15" t="str">
        <f>_xll.BDP(EB15&amp;" Comdty","FUT_DLV_DT_LAST")</f>
        <v>6/19/2023</v>
      </c>
      <c r="ED15" t="str">
        <f t="shared" si="8"/>
        <v>edm13</v>
      </c>
      <c r="EE15" s="4">
        <f>DATEVALUE(_xll.BDP(ED15&amp;" Comdty","FUT_DLV_DT_LAST"))</f>
        <v>41442</v>
      </c>
      <c r="EF15" t="str">
        <f ca="1">_xll.BDH(ED15&amp;" Comdty","PX Last",$C$5,$C$5,"days=a")</f>
        <v>#N/A N/A</v>
      </c>
      <c r="EG15" s="4" t="e">
        <f t="shared" ca="1" si="4"/>
        <v>#N/A</v>
      </c>
      <c r="EH15" t="e">
        <f t="shared" ca="1" si="5"/>
        <v>#N/A</v>
      </c>
      <c r="EJ15" s="1">
        <v>41426</v>
      </c>
      <c r="EK15" t="s">
        <v>30</v>
      </c>
      <c r="EL15" t="str">
        <f>_xll.BDP(EK15&amp;" Comdty","FUT_DLV_DT_LAST")</f>
        <v>#N/A Invalid Security</v>
      </c>
      <c r="EM15" t="str">
        <f t="shared" si="10"/>
        <v>ffm13</v>
      </c>
      <c r="EN15" s="4">
        <f>DATEVALUE(_xll.BDP(EM15&amp;" Comdty","FUT_DLV_DT_LAST"))</f>
        <v>41453</v>
      </c>
      <c r="EO15" t="str">
        <f ca="1">_xll.BDH(EM15&amp;" Comdty","PX Last",$C$5,$C$5,"days=a")</f>
        <v>#N/A N/A</v>
      </c>
      <c r="EP15" s="4" t="e">
        <f t="shared" ca="1" si="6"/>
        <v>#N/A</v>
      </c>
      <c r="EQ15" t="e">
        <f t="shared" ca="1" si="9"/>
        <v>#N/A</v>
      </c>
    </row>
    <row r="16" spans="2:147" x14ac:dyDescent="0.25">
      <c r="G16"/>
      <c r="DI16" s="4">
        <f>INDEX(Sheet2!A:A,QUOTIENT(ROW()-1,19)+2)</f>
        <v>41080</v>
      </c>
      <c r="DJ16" s="4">
        <f>INDEX(Sheet2!C:C,QUOTIENT(ROW()-1,19)+2)</f>
        <v>41274</v>
      </c>
      <c r="DK16" s="4">
        <f>INDEX(Sheet2!$AA$2:$AS$228,QUOTIENT(ROW()-1,19)+1,MOD(ROW()-2,19)+1)</f>
        <v>41404.487500000003</v>
      </c>
      <c r="DL16">
        <f>IFERROR(INDEX(Sheet2!$AU$2:$BM$228,QUOTIENT(ROW()-1,19)+1,MOD(ROW()-2,19)+1),NA())</f>
        <v>0.25</v>
      </c>
      <c r="DM16" s="4" t="e">
        <f t="shared" si="0"/>
        <v>#N/A</v>
      </c>
      <c r="DN16" t="e">
        <f t="shared" si="1"/>
        <v>#N/A</v>
      </c>
      <c r="DO16" t="e">
        <f t="shared" si="2"/>
        <v>#N/A</v>
      </c>
      <c r="DR16">
        <f>+IF(COUNTIF(DT7:DV7,"&gt;"&amp;0)=0,"",MAX($DR$12:DR15)+1)</f>
        <v>3</v>
      </c>
      <c r="DS16" s="4">
        <v>42369</v>
      </c>
      <c r="DT16">
        <f t="array" ref="DT16">IFERROR(MEDIAN(IF(DT$12=$DI$2:$DI$4313,IF($DS16=$DJ$2:$DJ$4313,$DL$2:$DL$4313,""),"")),NA())</f>
        <v>1.125</v>
      </c>
      <c r="DU16">
        <f t="array" ref="DU16">IFERROR(MEDIAN(IF(DU$12=$DI$2:$DI$4313,IF($DS16=$DJ$2:$DJ$4313,$DL$2:$DL$4313,""),"")),NA())</f>
        <v>0.75</v>
      </c>
      <c r="EA16" s="1">
        <v>41518</v>
      </c>
      <c r="EB16" t="s">
        <v>9</v>
      </c>
      <c r="EC16" t="str">
        <f>_xll.BDP(EB16&amp;" Comdty","FUT_DLV_DT_LAST")</f>
        <v>9/18/2023</v>
      </c>
      <c r="ED16" t="str">
        <f t="shared" si="8"/>
        <v>edu13</v>
      </c>
      <c r="EE16" s="4">
        <f>DATEVALUE(_xll.BDP(ED16&amp;" Comdty","FUT_DLV_DT_LAST"))</f>
        <v>41533</v>
      </c>
      <c r="EF16" t="str">
        <f ca="1">_xll.BDH(ED16&amp;" Comdty","PX Last",$C$5,$C$5,"days=a")</f>
        <v>#N/A N/A</v>
      </c>
      <c r="EG16" s="4" t="e">
        <f t="shared" ca="1" si="4"/>
        <v>#N/A</v>
      </c>
      <c r="EH16" t="e">
        <f t="shared" ca="1" si="5"/>
        <v>#N/A</v>
      </c>
      <c r="EJ16" s="1">
        <v>41518</v>
      </c>
      <c r="EK16" t="s">
        <v>31</v>
      </c>
      <c r="EL16" t="str">
        <f>_xll.BDP(EK16&amp;" Comdty","FUT_DLV_DT_LAST")</f>
        <v>#N/A Invalid Security</v>
      </c>
      <c r="EM16" t="str">
        <f t="shared" si="10"/>
        <v>ffu13</v>
      </c>
      <c r="EN16" s="4">
        <f>DATEVALUE(_xll.BDP(EM16&amp;" Comdty","FUT_DLV_DT_LAST"))</f>
        <v>41548</v>
      </c>
      <c r="EO16" t="str">
        <f ca="1">_xll.BDH(EM16&amp;" Comdty","PX Last",$C$5,$C$5,"days=a")</f>
        <v>#N/A N/A</v>
      </c>
      <c r="EP16" s="4" t="e">
        <f t="shared" ca="1" si="6"/>
        <v>#N/A</v>
      </c>
      <c r="EQ16" t="e">
        <f t="shared" ca="1" si="9"/>
        <v>#N/A</v>
      </c>
    </row>
    <row r="17" spans="2:147" x14ac:dyDescent="0.25">
      <c r="G17"/>
      <c r="DI17" s="4">
        <f>INDEX(Sheet2!A:A,QUOTIENT(ROW()-1,19)+2)</f>
        <v>41080</v>
      </c>
      <c r="DJ17" s="4">
        <f>INDEX(Sheet2!C:C,QUOTIENT(ROW()-1,19)+2)</f>
        <v>41274</v>
      </c>
      <c r="DK17" s="4">
        <f>INDEX(Sheet2!$AA$2:$AS$228,QUOTIENT(ROW()-1,19)+1,MOD(ROW()-2,19)+1)</f>
        <v>41424.5625</v>
      </c>
      <c r="DL17">
        <f>IFERROR(INDEX(Sheet2!$AU$2:$BM$228,QUOTIENT(ROW()-1,19)+1,MOD(ROW()-2,19)+1),NA())</f>
        <v>0.25</v>
      </c>
      <c r="DM17" s="4" t="e">
        <f t="shared" si="0"/>
        <v>#N/A</v>
      </c>
      <c r="DN17" t="e">
        <f t="shared" si="1"/>
        <v>#N/A</v>
      </c>
      <c r="DO17" t="e">
        <f t="shared" si="2"/>
        <v>#N/A</v>
      </c>
      <c r="DR17">
        <f>+IF(COUNTIF(DT8:DV8,"&gt;"&amp;0)=0,"",MAX($DR$12:DR16)+1)</f>
        <v>4</v>
      </c>
      <c r="DS17" s="4">
        <v>42735</v>
      </c>
      <c r="DT17">
        <f t="array" ref="DT17">IFERROR(MEDIAN(IF(DT$12=$DI$2:$DI$4313,IF($DS17=$DJ$2:$DJ$4313,$DL$2:$DL$4313,""),"")),NA())</f>
        <v>2.5</v>
      </c>
      <c r="DU17">
        <f t="array" ref="DU17">IFERROR(MEDIAN(IF(DU$12=$DI$2:$DI$4313,IF($DS17=$DJ$2:$DJ$4313,$DL$2:$DL$4313,""),"")),NA())</f>
        <v>1.75</v>
      </c>
      <c r="EA17" s="1">
        <v>41609</v>
      </c>
      <c r="EB17" t="s">
        <v>10</v>
      </c>
      <c r="EC17" t="str">
        <f>_xll.BDP(EB17&amp;" Comdty","FUT_DLV_DT_LAST")</f>
        <v>12/18/2023</v>
      </c>
      <c r="ED17" t="str">
        <f t="shared" si="8"/>
        <v>edz13</v>
      </c>
      <c r="EE17" s="4">
        <f>DATEVALUE(_xll.BDP(ED17&amp;" Comdty","FUT_DLV_DT_LAST"))</f>
        <v>41624</v>
      </c>
      <c r="EF17" t="str">
        <f ca="1">_xll.BDH(ED17&amp;" Comdty","PX Last",$C$5,$C$5,"days=a")</f>
        <v>#N/A N/A</v>
      </c>
      <c r="EG17" s="4" t="e">
        <f t="shared" ca="1" si="4"/>
        <v>#N/A</v>
      </c>
      <c r="EH17" t="e">
        <f t="shared" ca="1" si="5"/>
        <v>#N/A</v>
      </c>
      <c r="EJ17" s="1">
        <v>41609</v>
      </c>
      <c r="EK17" t="s">
        <v>32</v>
      </c>
      <c r="EL17" t="str">
        <f>_xll.BDP(EK17&amp;" Comdty","FUT_DLV_DT_LAST")</f>
        <v>12/31/2013</v>
      </c>
      <c r="EM17" t="str">
        <f t="shared" si="10"/>
        <v>ffz3</v>
      </c>
      <c r="EN17" s="4">
        <f>DATEVALUE(_xll.BDP(EM17&amp;" Comdty","FUT_DLV_DT_LAST"))</f>
        <v>41639</v>
      </c>
      <c r="EO17" t="str">
        <f ca="1">_xll.BDH(EM17&amp;" Comdty","PX Last",$C$5,$C$5,"days=a")</f>
        <v>#N/A N/A</v>
      </c>
      <c r="EP17" s="4" t="e">
        <f t="shared" ca="1" si="6"/>
        <v>#N/A</v>
      </c>
      <c r="EQ17" t="e">
        <f t="shared" ca="1" si="9"/>
        <v>#N/A</v>
      </c>
    </row>
    <row r="18" spans="2:147" x14ac:dyDescent="0.25">
      <c r="G18"/>
      <c r="DI18" s="4">
        <f>INDEX(Sheet2!A:A,QUOTIENT(ROW()-1,19)+2)</f>
        <v>41080</v>
      </c>
      <c r="DJ18" s="4">
        <f>INDEX(Sheet2!C:C,QUOTIENT(ROW()-1,19)+2)</f>
        <v>41274</v>
      </c>
      <c r="DK18" s="4" t="e">
        <f>INDEX(Sheet2!$AA$2:$AS$228,QUOTIENT(ROW()-1,19)+1,MOD(ROW()-2,19)+1)</f>
        <v>#N/A</v>
      </c>
      <c r="DL18" t="str">
        <f>IFERROR(INDEX(Sheet2!$AU$2:$BM$228,QUOTIENT(ROW()-1,19)+1,MOD(ROW()-2,19)+1),NA())</f>
        <v/>
      </c>
      <c r="DM18" s="4" t="e">
        <f t="shared" si="0"/>
        <v>#N/A</v>
      </c>
      <c r="DN18" t="e">
        <f t="shared" si="1"/>
        <v>#N/A</v>
      </c>
      <c r="DO18" t="e">
        <f t="shared" si="2"/>
        <v>#N/A</v>
      </c>
      <c r="DR18">
        <f>+IF(COUNTIF(DT9:DV9,"&gt;"&amp;0)=0,"",MAX($DR$12:DR17)+1)</f>
        <v>5</v>
      </c>
      <c r="DS18" s="4">
        <v>43100</v>
      </c>
      <c r="DT18">
        <f t="array" ref="DT18">IFERROR(MEDIAN(IF(DT$12=$DI$2:$DI$4313,IF($DS18=$DJ$2:$DJ$4313,$DL$2:$DL$4313,""),"")),NA())</f>
        <v>3.75</v>
      </c>
      <c r="DU18">
        <f t="array" ref="DU18">IFERROR(MEDIAN(IF(DU$12=$DI$2:$DI$4313,IF($DS18=$DJ$2:$DJ$4313,$DL$2:$DL$4313,""),"")),NA())</f>
        <v>4</v>
      </c>
      <c r="EA18" s="1">
        <v>41699</v>
      </c>
      <c r="EB18" t="s">
        <v>11</v>
      </c>
      <c r="EC18" t="str">
        <f>_xll.BDP(EB18&amp;" Comdty","FUT_DLV_DT_LAST")</f>
        <v>3/18/2024</v>
      </c>
      <c r="ED18" t="str">
        <f t="shared" si="8"/>
        <v>edh14</v>
      </c>
      <c r="EE18" s="4">
        <f>DATEVALUE(_xll.BDP(ED18&amp;" Comdty","FUT_DLV_DT_LAST"))</f>
        <v>41715</v>
      </c>
      <c r="EF18" t="str">
        <f ca="1">_xll.BDH(ED18&amp;" Comdty","PX Last",$C$5,$C$5,"days=a")</f>
        <v>#N/A N/A</v>
      </c>
      <c r="EG18" s="4" t="e">
        <f t="shared" ca="1" si="4"/>
        <v>#N/A</v>
      </c>
      <c r="EH18" t="e">
        <f t="shared" ca="1" si="5"/>
        <v>#N/A</v>
      </c>
      <c r="EJ18" s="1">
        <v>41699</v>
      </c>
      <c r="EK18" t="s">
        <v>33</v>
      </c>
      <c r="EL18" t="str">
        <f>_xll.BDP(EK18&amp;" Comdty","FUT_DLV_DT_LAST")</f>
        <v>3/31/2014</v>
      </c>
      <c r="EM18" t="str">
        <f t="shared" si="10"/>
        <v>ffh4</v>
      </c>
      <c r="EN18" s="4">
        <f>DATEVALUE(_xll.BDP(EM18&amp;" Comdty","FUT_DLV_DT_LAST"))</f>
        <v>41729</v>
      </c>
      <c r="EO18" t="str">
        <f ca="1">_xll.BDH(EM18&amp;" Comdty","PX Last",$C$5,$C$5,"days=a")</f>
        <v>#N/A N/A</v>
      </c>
      <c r="EP18" s="4" t="e">
        <f t="shared" ca="1" si="6"/>
        <v>#N/A</v>
      </c>
      <c r="EQ18" t="e">
        <f t="shared" ca="1" si="9"/>
        <v>#N/A</v>
      </c>
    </row>
    <row r="19" spans="2:147" x14ac:dyDescent="0.25">
      <c r="G19"/>
      <c r="DI19" s="4">
        <f>INDEX(Sheet2!A:A,QUOTIENT(ROW()-1,19)+2)</f>
        <v>41080</v>
      </c>
      <c r="DJ19" s="4">
        <f>INDEX(Sheet2!C:C,QUOTIENT(ROW()-1,19)+2)</f>
        <v>41274</v>
      </c>
      <c r="DK19" s="4" t="e">
        <f>INDEX(Sheet2!$AA$2:$AS$228,QUOTIENT(ROW()-1,19)+1,MOD(ROW()-2,19)+1)</f>
        <v>#N/A</v>
      </c>
      <c r="DL19" t="str">
        <f>IFERROR(INDEX(Sheet2!$AU$2:$BM$228,QUOTIENT(ROW()-1,19)+1,MOD(ROW()-2,19)+1),NA())</f>
        <v/>
      </c>
      <c r="DM19" s="4" t="e">
        <f t="shared" si="0"/>
        <v>#N/A</v>
      </c>
      <c r="DN19" t="e">
        <f t="shared" si="1"/>
        <v>#N/A</v>
      </c>
      <c r="DO19" t="e">
        <f t="shared" si="2"/>
        <v>#N/A</v>
      </c>
      <c r="EA19" s="1">
        <v>41791</v>
      </c>
      <c r="EB19" t="s">
        <v>12</v>
      </c>
      <c r="EC19" t="str">
        <f>_xll.BDP(EB19&amp;" Comdty","FUT_DLV_DT_LAST")</f>
        <v>6/17/2024</v>
      </c>
      <c r="ED19" t="str">
        <f t="shared" si="8"/>
        <v>edm14</v>
      </c>
      <c r="EE19" s="4">
        <f>DATEVALUE(_xll.BDP(ED19&amp;" Comdty","FUT_DLV_DT_LAST"))</f>
        <v>41806</v>
      </c>
      <c r="EF19" t="str">
        <f ca="1">_xll.BDH(ED19&amp;" Comdty","PX Last",$C$5,$C$5,"days=a")</f>
        <v>#N/A N/A</v>
      </c>
      <c r="EG19" s="4" t="e">
        <f t="shared" ca="1" si="4"/>
        <v>#N/A</v>
      </c>
      <c r="EH19" t="e">
        <f t="shared" ca="1" si="5"/>
        <v>#N/A</v>
      </c>
      <c r="EJ19" s="1">
        <v>41791</v>
      </c>
      <c r="EK19" t="s">
        <v>34</v>
      </c>
      <c r="EL19" t="str">
        <f>_xll.BDP(EK19&amp;" Comdty","FUT_DLV_DT_LAST")</f>
        <v>6/30/2014</v>
      </c>
      <c r="EM19" t="str">
        <f t="shared" si="10"/>
        <v>ffm4</v>
      </c>
      <c r="EN19" s="4">
        <f>DATEVALUE(_xll.BDP(EM19&amp;" Comdty","FUT_DLV_DT_LAST"))</f>
        <v>41820</v>
      </c>
      <c r="EO19" t="str">
        <f ca="1">_xll.BDH(EM19&amp;" Comdty","PX Last",$C$5,$C$5,"days=a")</f>
        <v>#N/A N/A</v>
      </c>
      <c r="EP19" s="4" t="e">
        <f t="shared" ca="1" si="6"/>
        <v>#N/A</v>
      </c>
      <c r="EQ19" t="e">
        <f t="shared" ca="1" si="9"/>
        <v>#N/A</v>
      </c>
    </row>
    <row r="20" spans="2:147" x14ac:dyDescent="0.25">
      <c r="G20"/>
      <c r="DI20" s="4">
        <f>INDEX(Sheet2!A:A,QUOTIENT(ROW()-1,19)+2)</f>
        <v>41080</v>
      </c>
      <c r="DJ20" s="4">
        <f>INDEX(Sheet2!C:C,QUOTIENT(ROW()-1,19)+2)</f>
        <v>41274</v>
      </c>
      <c r="DK20" s="4" t="e">
        <f>INDEX(Sheet2!$AA$2:$AS$228,QUOTIENT(ROW()-1,19)+1,MOD(ROW()-2,19)+1)</f>
        <v>#N/A</v>
      </c>
      <c r="DL20" t="str">
        <f>IFERROR(INDEX(Sheet2!$AU$2:$BM$228,QUOTIENT(ROW()-1,19)+1,MOD(ROW()-2,19)+1),NA())</f>
        <v/>
      </c>
      <c r="DM20" s="4" t="e">
        <f t="shared" si="0"/>
        <v>#N/A</v>
      </c>
      <c r="DN20" t="e">
        <f t="shared" si="1"/>
        <v>#N/A</v>
      </c>
      <c r="DO20" t="e">
        <f t="shared" si="2"/>
        <v>#N/A</v>
      </c>
      <c r="EA20" s="1">
        <v>41883</v>
      </c>
      <c r="EB20" t="s">
        <v>13</v>
      </c>
      <c r="EC20" t="str">
        <f>_xll.BDP(EB20&amp;" Comdty","FUT_DLV_DT_LAST")</f>
        <v>9/15/2014</v>
      </c>
      <c r="ED20" t="str">
        <f t="shared" si="8"/>
        <v>edu4</v>
      </c>
      <c r="EE20" s="4">
        <f>DATEVALUE(_xll.BDP(ED20&amp;" Comdty","FUT_DLV_DT_LAST"))</f>
        <v>41897</v>
      </c>
      <c r="EF20">
        <f ca="1">_xll.BDH(ED20&amp;" Comdty","PX Last",$C$5,$C$5,"days=a")</f>
        <v>99.7654</v>
      </c>
      <c r="EG20" s="4">
        <f t="shared" ca="1" si="4"/>
        <v>41897</v>
      </c>
      <c r="EH20">
        <f t="shared" ca="1" si="5"/>
        <v>0.23460000000000036</v>
      </c>
      <c r="EJ20" s="1">
        <v>41883</v>
      </c>
      <c r="EK20" t="s">
        <v>35</v>
      </c>
      <c r="EL20" t="str">
        <f>_xll.BDP(EK20&amp;" Comdty","FUT_DLV_DT_LAST")</f>
        <v>9/30/2014</v>
      </c>
      <c r="EM20" t="str">
        <f t="shared" si="10"/>
        <v>ffu4</v>
      </c>
      <c r="EN20" s="4">
        <f>DATEVALUE(_xll.BDP(EM20&amp;" Comdty","FUT_DLV_DT_LAST"))</f>
        <v>41912</v>
      </c>
      <c r="EO20">
        <f ca="1">_xll.BDH(EM20&amp;" Comdty","PX Last",$C$5,$C$5,"days=a")</f>
        <v>99.91</v>
      </c>
      <c r="EP20" s="4">
        <f t="shared" ca="1" si="6"/>
        <v>41912</v>
      </c>
      <c r="EQ20">
        <f t="shared" ca="1" si="9"/>
        <v>9.0000000000003411E-2</v>
      </c>
    </row>
    <row r="21" spans="2:147" x14ac:dyDescent="0.25">
      <c r="G21"/>
      <c r="DI21" s="4">
        <f>INDEX(Sheet2!A:A,QUOTIENT(ROW()-1,19)+2)</f>
        <v>41080</v>
      </c>
      <c r="DJ21" s="4">
        <f>INDEX(Sheet2!C:C,QUOTIENT(ROW()-1,19)+2)</f>
        <v>41274</v>
      </c>
      <c r="DK21" s="4">
        <f>INDEX(Sheet2!$AA$2:$AS$228,QUOTIENT(ROW()-1,19)+1,MOD(ROW()-2,19)+1)</f>
        <v>41263.962500000001</v>
      </c>
      <c r="DL21">
        <f>IFERROR(INDEX(Sheet2!$AU$2:$BM$228,QUOTIENT(ROW()-1,19)+1,MOD(ROW()-2,19)+1),NA())</f>
        <v>0.5</v>
      </c>
      <c r="DM21" s="4" t="e">
        <f t="shared" si="0"/>
        <v>#N/A</v>
      </c>
      <c r="DN21" t="e">
        <f t="shared" si="1"/>
        <v>#N/A</v>
      </c>
      <c r="DO21" t="e">
        <f t="shared" si="2"/>
        <v>#N/A</v>
      </c>
      <c r="EA21" s="1">
        <v>41974</v>
      </c>
      <c r="EB21" t="s">
        <v>14</v>
      </c>
      <c r="EC21" t="str">
        <f>_xll.BDP(EB21&amp;" Comdty","FUT_DLV_DT_LAST")</f>
        <v>12/15/2014</v>
      </c>
      <c r="ED21" t="str">
        <f t="shared" si="8"/>
        <v>edz4</v>
      </c>
      <c r="EE21" s="4">
        <f>DATEVALUE(_xll.BDP(ED21&amp;" Comdty","FUT_DLV_DT_LAST"))</f>
        <v>41988</v>
      </c>
      <c r="EF21">
        <f ca="1">_xll.BDH(ED21&amp;" Comdty","PX Last",$C$5,$C$5,"days=a")</f>
        <v>99.745000000000005</v>
      </c>
      <c r="EG21" s="4">
        <f t="shared" ca="1" si="4"/>
        <v>41988</v>
      </c>
      <c r="EH21">
        <f t="shared" ca="1" si="5"/>
        <v>0.25499999999999545</v>
      </c>
      <c r="EJ21" s="1">
        <v>41974</v>
      </c>
      <c r="EK21" t="s">
        <v>36</v>
      </c>
      <c r="EL21" t="str">
        <f>_xll.BDP(EK21&amp;" Comdty","FUT_DLV_DT_LAST")</f>
        <v>12/31/2014</v>
      </c>
      <c r="EM21" t="str">
        <f t="shared" si="10"/>
        <v>ffz4</v>
      </c>
      <c r="EN21" s="4">
        <f>DATEVALUE(_xll.BDP(EM21&amp;" Comdty","FUT_DLV_DT_LAST"))</f>
        <v>42004</v>
      </c>
      <c r="EO21">
        <f ca="1">_xll.BDH(EM21&amp;" Comdty","PX Last",$C$5,$C$5,"days=a")</f>
        <v>99.9</v>
      </c>
      <c r="EP21" s="4">
        <f t="shared" ca="1" si="6"/>
        <v>42004</v>
      </c>
      <c r="EQ21">
        <f t="shared" ca="1" si="9"/>
        <v>9.9999999999994316E-2</v>
      </c>
    </row>
    <row r="22" spans="2:147" x14ac:dyDescent="0.25">
      <c r="G22"/>
      <c r="DI22" s="4">
        <f>INDEX(Sheet2!A:A,QUOTIENT(ROW()-1,19)+2)</f>
        <v>41080</v>
      </c>
      <c r="DJ22" s="4">
        <f>INDEX(Sheet2!C:C,QUOTIENT(ROW()-1,19)+2)</f>
        <v>41274</v>
      </c>
      <c r="DK22" s="4">
        <f>INDEX(Sheet2!$AA$2:$AS$228,QUOTIENT(ROW()-1,19)+1,MOD(ROW()-2,19)+1)</f>
        <v>41284.037500000006</v>
      </c>
      <c r="DL22">
        <f>IFERROR(INDEX(Sheet2!$AU$2:$BM$228,QUOTIENT(ROW()-1,19)+1,MOD(ROW()-2,19)+1),NA())</f>
        <v>0.5</v>
      </c>
      <c r="DM22" s="4" t="e">
        <f t="shared" si="0"/>
        <v>#N/A</v>
      </c>
      <c r="DN22" t="e">
        <f t="shared" si="1"/>
        <v>#N/A</v>
      </c>
      <c r="DO22" t="e">
        <f t="shared" si="2"/>
        <v>#N/A</v>
      </c>
      <c r="EA22" s="1">
        <v>42064</v>
      </c>
      <c r="EB22" t="s">
        <v>15</v>
      </c>
      <c r="EC22" t="str">
        <f>_xll.BDP(EB22&amp;" Comdty","FUT_DLV_DT_LAST")</f>
        <v>3/16/2015</v>
      </c>
      <c r="ED22" t="str">
        <f t="shared" si="8"/>
        <v>edh5</v>
      </c>
      <c r="EE22" s="4">
        <f>DATEVALUE(_xll.BDP(ED22&amp;" Comdty","FUT_DLV_DT_LAST"))</f>
        <v>42079</v>
      </c>
      <c r="EF22">
        <f ca="1">_xll.BDH(ED22&amp;" Comdty","PX Last",$C$5,$C$5,"days=a")</f>
        <v>99.635000000000005</v>
      </c>
      <c r="EG22" s="4">
        <f t="shared" ca="1" si="4"/>
        <v>42079</v>
      </c>
      <c r="EH22">
        <f t="shared" ca="1" si="5"/>
        <v>0.36499999999999488</v>
      </c>
      <c r="EJ22" s="1">
        <v>42064</v>
      </c>
      <c r="EK22" t="s">
        <v>37</v>
      </c>
      <c r="EL22" t="str">
        <f>_xll.BDP(EK22&amp;" Comdty","FUT_DLV_DT_LAST")</f>
        <v>3/31/2015</v>
      </c>
      <c r="EM22" t="str">
        <f t="shared" si="10"/>
        <v>ffh5</v>
      </c>
      <c r="EN22" s="4">
        <f>DATEVALUE(_xll.BDP(EM22&amp;" Comdty","FUT_DLV_DT_LAST"))</f>
        <v>42094</v>
      </c>
      <c r="EO22">
        <f ca="1">_xll.BDH(EM22&amp;" Comdty","PX Last",$C$5,$C$5,"days=a")</f>
        <v>99.85</v>
      </c>
      <c r="EP22" s="4">
        <f t="shared" ca="1" si="6"/>
        <v>42094</v>
      </c>
      <c r="EQ22">
        <f t="shared" ca="1" si="9"/>
        <v>0.15000000000000568</v>
      </c>
    </row>
    <row r="23" spans="2:147" x14ac:dyDescent="0.25">
      <c r="G23"/>
      <c r="DI23" s="4">
        <f>INDEX(Sheet2!A:A,QUOTIENT(ROW()-1,19)+2)</f>
        <v>41080</v>
      </c>
      <c r="DJ23" s="4">
        <f>INDEX(Sheet2!C:C,QUOTIENT(ROW()-1,19)+2)</f>
        <v>41274</v>
      </c>
      <c r="DK23" s="4" t="e">
        <f>INDEX(Sheet2!$AA$2:$AS$228,QUOTIENT(ROW()-1,19)+1,MOD(ROW()-2,19)+1)</f>
        <v>#N/A</v>
      </c>
      <c r="DL23" t="str">
        <f>IFERROR(INDEX(Sheet2!$AU$2:$BM$228,QUOTIENT(ROW()-1,19)+1,MOD(ROW()-2,19)+1),NA())</f>
        <v/>
      </c>
      <c r="DM23" s="4" t="e">
        <f t="shared" si="0"/>
        <v>#N/A</v>
      </c>
      <c r="DN23" t="e">
        <f t="shared" si="1"/>
        <v>#N/A</v>
      </c>
      <c r="DO23" t="e">
        <f t="shared" si="2"/>
        <v>#N/A</v>
      </c>
      <c r="EA23" s="1">
        <v>42156</v>
      </c>
      <c r="EB23" t="s">
        <v>16</v>
      </c>
      <c r="EC23" t="str">
        <f>_xll.BDP(EB23&amp;" Comdty","FUT_DLV_DT_LAST")</f>
        <v>6/15/2015</v>
      </c>
      <c r="ED23" t="str">
        <f t="shared" si="8"/>
        <v>edm5</v>
      </c>
      <c r="EE23" s="4">
        <f>DATEVALUE(_xll.BDP(ED23&amp;" Comdty","FUT_DLV_DT_LAST"))</f>
        <v>42170</v>
      </c>
      <c r="EF23">
        <f ca="1">_xll.BDH(ED23&amp;" Comdty","PX Last",$C$5,$C$5,"days=a")</f>
        <v>99.43</v>
      </c>
      <c r="EG23" s="4">
        <f t="shared" ca="1" si="4"/>
        <v>42170</v>
      </c>
      <c r="EH23">
        <f t="shared" ca="1" si="5"/>
        <v>0.56999999999999318</v>
      </c>
      <c r="EJ23" s="1">
        <v>42156</v>
      </c>
      <c r="EK23" t="s">
        <v>38</v>
      </c>
      <c r="EL23" t="str">
        <f>_xll.BDP(EK23&amp;" Comdty","FUT_DLV_DT_LAST")</f>
        <v>6/30/2015</v>
      </c>
      <c r="EM23" t="str">
        <f t="shared" si="10"/>
        <v>ffm5</v>
      </c>
      <c r="EN23" s="4">
        <f>DATEVALUE(_xll.BDP(EM23&amp;" Comdty","FUT_DLV_DT_LAST"))</f>
        <v>42185</v>
      </c>
      <c r="EO23">
        <f ca="1">_xll.BDH(EM23&amp;" Comdty","PX Last",$C$5,$C$5,"days=a")</f>
        <v>99.71</v>
      </c>
      <c r="EP23" s="4">
        <f t="shared" ca="1" si="6"/>
        <v>42185</v>
      </c>
      <c r="EQ23">
        <f t="shared" ca="1" si="9"/>
        <v>0.29000000000000625</v>
      </c>
    </row>
    <row r="24" spans="2:147" x14ac:dyDescent="0.25">
      <c r="G24"/>
      <c r="DI24" s="4">
        <f>INDEX(Sheet2!A:A,QUOTIENT(ROW()-1,19)+2)</f>
        <v>41080</v>
      </c>
      <c r="DJ24" s="4">
        <f>INDEX(Sheet2!C:C,QUOTIENT(ROW()-1,19)+2)</f>
        <v>41274</v>
      </c>
      <c r="DK24" s="4" t="e">
        <f>INDEX(Sheet2!$AA$2:$AS$228,QUOTIENT(ROW()-1,19)+1,MOD(ROW()-2,19)+1)</f>
        <v>#N/A</v>
      </c>
      <c r="DL24" t="str">
        <f>IFERROR(INDEX(Sheet2!$AU$2:$BM$228,QUOTIENT(ROW()-1,19)+1,MOD(ROW()-2,19)+1),NA())</f>
        <v/>
      </c>
      <c r="DM24" s="4" t="e">
        <f t="shared" si="0"/>
        <v>#N/A</v>
      </c>
      <c r="DN24" t="e">
        <f t="shared" si="1"/>
        <v>#N/A</v>
      </c>
      <c r="DO24" t="e">
        <f t="shared" si="2"/>
        <v>#N/A</v>
      </c>
      <c r="EA24" s="1">
        <v>42248</v>
      </c>
      <c r="EB24" t="s">
        <v>17</v>
      </c>
      <c r="EC24" t="str">
        <f>_xll.BDP(EB24&amp;" Comdty","FUT_DLV_DT_LAST")</f>
        <v>9/14/2015</v>
      </c>
      <c r="ED24" t="str">
        <f t="shared" si="8"/>
        <v>edu5</v>
      </c>
      <c r="EE24" s="4">
        <f>DATEVALUE(_xll.BDP(ED24&amp;" Comdty","FUT_DLV_DT_LAST"))</f>
        <v>42261</v>
      </c>
      <c r="EF24">
        <f ca="1">_xll.BDH(ED24&amp;" Comdty","PX Last",$C$5,$C$5,"days=a")</f>
        <v>99.19</v>
      </c>
      <c r="EG24" s="4">
        <f t="shared" ca="1" si="4"/>
        <v>42261</v>
      </c>
      <c r="EH24">
        <f t="shared" ca="1" si="5"/>
        <v>0.81000000000000227</v>
      </c>
      <c r="EJ24" s="1">
        <v>42248</v>
      </c>
      <c r="EK24" t="s">
        <v>39</v>
      </c>
      <c r="EL24" t="str">
        <f>_xll.BDP(EK24&amp;" Comdty","FUT_DLV_DT_LAST")</f>
        <v>9/30/2015</v>
      </c>
      <c r="EM24" t="str">
        <f t="shared" si="10"/>
        <v>ffu5</v>
      </c>
      <c r="EN24" s="4">
        <f>DATEVALUE(_xll.BDP(EM24&amp;" Comdty","FUT_DLV_DT_LAST"))</f>
        <v>42277</v>
      </c>
      <c r="EO24">
        <f ca="1">_xll.BDH(EM24&amp;" Comdty","PX Last",$C$5,$C$5,"days=a")</f>
        <v>99.49</v>
      </c>
      <c r="EP24" s="4">
        <f t="shared" ca="1" si="6"/>
        <v>42277</v>
      </c>
      <c r="EQ24">
        <f t="shared" ca="1" si="9"/>
        <v>0.51000000000000512</v>
      </c>
    </row>
    <row r="25" spans="2:147" x14ac:dyDescent="0.25">
      <c r="G25"/>
      <c r="DI25" s="4">
        <f>INDEX(Sheet2!A:A,QUOTIENT(ROW()-1,19)+2)</f>
        <v>41080</v>
      </c>
      <c r="DJ25" s="4">
        <f>INDEX(Sheet2!C:C,QUOTIENT(ROW()-1,19)+2)</f>
        <v>41274</v>
      </c>
      <c r="DK25" s="4" t="e">
        <f>INDEX(Sheet2!$AA$2:$AS$228,QUOTIENT(ROW()-1,19)+1,MOD(ROW()-2,19)+1)</f>
        <v>#N/A</v>
      </c>
      <c r="DL25" t="str">
        <f>IFERROR(INDEX(Sheet2!$AU$2:$BM$228,QUOTIENT(ROW()-1,19)+1,MOD(ROW()-2,19)+1),NA())</f>
        <v/>
      </c>
      <c r="DM25" s="4" t="e">
        <f t="shared" si="0"/>
        <v>#N/A</v>
      </c>
      <c r="DN25" t="e">
        <f t="shared" si="1"/>
        <v>#N/A</v>
      </c>
      <c r="DO25" t="e">
        <f t="shared" si="2"/>
        <v>#N/A</v>
      </c>
      <c r="EA25" s="1">
        <v>42339</v>
      </c>
      <c r="EB25" t="s">
        <v>18</v>
      </c>
      <c r="EC25" t="str">
        <f>_xll.BDP(EB25&amp;" Comdty","FUT_DLV_DT_LAST")</f>
        <v>12/14/2015</v>
      </c>
      <c r="ED25" t="str">
        <f t="shared" si="8"/>
        <v>edz5</v>
      </c>
      <c r="EE25" s="4">
        <f>DATEVALUE(_xll.BDP(ED25&amp;" Comdty","FUT_DLV_DT_LAST"))</f>
        <v>42352</v>
      </c>
      <c r="EF25">
        <f ca="1">_xll.BDH(ED25&amp;" Comdty","PX Last",$C$5,$C$5,"days=a")</f>
        <v>98.935000000000002</v>
      </c>
      <c r="EG25" s="4">
        <f t="shared" ca="1" si="4"/>
        <v>42352</v>
      </c>
      <c r="EH25">
        <f t="shared" ca="1" si="5"/>
        <v>1.0649999999999977</v>
      </c>
      <c r="EJ25" s="1">
        <v>42339</v>
      </c>
      <c r="EK25" t="s">
        <v>40</v>
      </c>
      <c r="EL25" t="str">
        <f>_xll.BDP(EK25&amp;" Comdty","FUT_DLV_DT_LAST")</f>
        <v>12/31/2015</v>
      </c>
      <c r="EM25" t="str">
        <f t="shared" si="10"/>
        <v>ffz5</v>
      </c>
      <c r="EN25" s="4">
        <f>DATEVALUE(_xll.BDP(EM25&amp;" Comdty","FUT_DLV_DT_LAST"))</f>
        <v>42369</v>
      </c>
      <c r="EO25">
        <f ca="1">_xll.BDH(EM25&amp;" Comdty","PX Last",$C$5,$C$5,"days=a")</f>
        <v>99.245000000000005</v>
      </c>
      <c r="EP25" s="4">
        <f t="shared" ca="1" si="6"/>
        <v>42369</v>
      </c>
      <c r="EQ25">
        <f t="shared" ca="1" si="9"/>
        <v>0.75499999999999545</v>
      </c>
    </row>
    <row r="26" spans="2:147" x14ac:dyDescent="0.25">
      <c r="G26"/>
      <c r="DI26" s="4">
        <f>INDEX(Sheet2!A:A,QUOTIENT(ROW()-1,19)+2)</f>
        <v>41080</v>
      </c>
      <c r="DJ26" s="4">
        <f>INDEX(Sheet2!C:C,QUOTIENT(ROW()-1,19)+2)</f>
        <v>41274</v>
      </c>
      <c r="DK26" s="4" t="e">
        <f>INDEX(Sheet2!$AA$2:$AS$228,QUOTIENT(ROW()-1,19)+1,MOD(ROW()-2,19)+1)</f>
        <v>#N/A</v>
      </c>
      <c r="DL26" t="str">
        <f>IFERROR(INDEX(Sheet2!$AU$2:$BM$228,QUOTIENT(ROW()-1,19)+1,MOD(ROW()-2,19)+1),NA())</f>
        <v/>
      </c>
      <c r="DM26" s="4" t="e">
        <f t="shared" si="0"/>
        <v>#N/A</v>
      </c>
      <c r="DN26" t="e">
        <f t="shared" si="1"/>
        <v>#N/A</v>
      </c>
      <c r="DO26" t="e">
        <f t="shared" si="2"/>
        <v>#N/A</v>
      </c>
      <c r="DS26" t="str">
        <f>C4</f>
        <v>Median</v>
      </c>
      <c r="DT26" s="1" t="str">
        <f>TEXT(DT3,"Mmm-YY")&amp;" "&amp;DS26</f>
        <v>Jun-14 Median</v>
      </c>
      <c r="DU26" s="1" t="str">
        <f>TEXT(DU3,"Mmm-YY")&amp;" "&amp;IF(DU3="","",DS26)</f>
        <v>Dec-13 Median</v>
      </c>
      <c r="DV26" s="1"/>
      <c r="EA26" s="1">
        <v>42430</v>
      </c>
      <c r="EB26" t="s">
        <v>19</v>
      </c>
      <c r="EC26" t="str">
        <f>_xll.BDP(EB26&amp;" Comdty","FUT_DLV_DT_LAST")</f>
        <v>3/14/2016</v>
      </c>
      <c r="ED26" t="str">
        <f t="shared" si="8"/>
        <v>edh6</v>
      </c>
      <c r="EE26" s="4">
        <f>DATEVALUE(_xll.BDP(ED26&amp;" Comdty","FUT_DLV_DT_LAST"))</f>
        <v>42443</v>
      </c>
      <c r="EF26">
        <f ca="1">_xll.BDH(ED26&amp;" Comdty","PX Last",$C$5,$C$5,"days=a")</f>
        <v>98.674999999999997</v>
      </c>
      <c r="EG26" s="4">
        <f t="shared" ca="1" si="4"/>
        <v>42443</v>
      </c>
      <c r="EH26">
        <f t="shared" ca="1" si="5"/>
        <v>1.3250000000000028</v>
      </c>
      <c r="EJ26" s="1">
        <v>42430</v>
      </c>
      <c r="EK26" t="s">
        <v>41</v>
      </c>
      <c r="EL26" t="str">
        <f>_xll.BDP(EK26&amp;" Comdty","FUT_DLV_DT_LAST")</f>
        <v>3/31/2016</v>
      </c>
      <c r="EM26" t="str">
        <f t="shared" si="10"/>
        <v>ffh6</v>
      </c>
      <c r="EN26" s="4">
        <f>DATEVALUE(_xll.BDP(EM26&amp;" Comdty","FUT_DLV_DT_LAST"))</f>
        <v>42460</v>
      </c>
      <c r="EO26">
        <f ca="1">_xll.BDH(EM26&amp;" Comdty","PX Last",$C$5,$C$5,"days=a")</f>
        <v>98.995000000000005</v>
      </c>
      <c r="EP26" s="4">
        <f t="shared" ca="1" si="6"/>
        <v>42460</v>
      </c>
      <c r="EQ26">
        <f t="shared" ca="1" si="9"/>
        <v>1.0049999999999955</v>
      </c>
    </row>
    <row r="27" spans="2:147" x14ac:dyDescent="0.25">
      <c r="G27"/>
      <c r="DI27" s="4">
        <f>INDEX(Sheet2!A:A,QUOTIENT(ROW()-1,19)+2)</f>
        <v>41080</v>
      </c>
      <c r="DJ27" s="4">
        <f>INDEX(Sheet2!C:C,QUOTIENT(ROW()-1,19)+2)</f>
        <v>41274</v>
      </c>
      <c r="DK27" s="4" t="e">
        <f>INDEX(Sheet2!$AA$2:$AS$228,QUOTIENT(ROW()-1,19)+1,MOD(ROW()-2,19)+1)</f>
        <v>#N/A</v>
      </c>
      <c r="DL27" t="str">
        <f>IFERROR(INDEX(Sheet2!$AU$2:$BM$228,QUOTIENT(ROW()-1,19)+1,MOD(ROW()-2,19)+1),NA())</f>
        <v/>
      </c>
      <c r="DM27" s="4" t="e">
        <f t="shared" si="0"/>
        <v>#N/A</v>
      </c>
      <c r="DN27" t="e">
        <f t="shared" si="1"/>
        <v>#N/A</v>
      </c>
      <c r="DO27" t="e">
        <f t="shared" si="2"/>
        <v>#N/A</v>
      </c>
      <c r="DR27" t="str">
        <f t="shared" ref="DR27:DR33" si="11">+IF($DS$26="Means",DR4,DR13)</f>
        <v/>
      </c>
      <c r="DS27" s="4" t="e">
        <f>IF(DR27="",NA(),IF(DS4=MAX($DS$4:$DS$10),NA(),DS4))</f>
        <v>#N/A</v>
      </c>
      <c r="DT27" t="e">
        <f>IF(ISERROR(DS27),NA(),IF($DS$26="Means",DT4,DT13))</f>
        <v>#N/A</v>
      </c>
      <c r="DU27" t="e">
        <f>IF(ISERROR(DS27),NA(),IF($DS$26="Means",DU4,DU13))</f>
        <v>#N/A</v>
      </c>
      <c r="DW27" t="str">
        <f t="shared" ref="DW27:DW31" si="12">IF(DR27="","",IF(MAX($DR$27:$DR$33)=DR27,"Longer Term",YEAR(DS27)))</f>
        <v/>
      </c>
      <c r="EA27" s="1">
        <v>42522</v>
      </c>
      <c r="EB27" t="s">
        <v>20</v>
      </c>
      <c r="EC27" t="str">
        <f>_xll.BDP(EB27&amp;" Comdty","FUT_DLV_DT_LAST")</f>
        <v>6/13/2016</v>
      </c>
      <c r="ED27" t="str">
        <f t="shared" si="8"/>
        <v>edm6</v>
      </c>
      <c r="EE27" s="4">
        <f>DATEVALUE(_xll.BDP(ED27&amp;" Comdty","FUT_DLV_DT_LAST"))</f>
        <v>42534</v>
      </c>
      <c r="EF27">
        <f ca="1">_xll.BDH(ED27&amp;" Comdty","PX Last",$C$5,$C$5,"days=a")</f>
        <v>98.4</v>
      </c>
      <c r="EG27" s="4">
        <f t="shared" ca="1" si="4"/>
        <v>42534</v>
      </c>
      <c r="EH27">
        <f t="shared" ca="1" si="5"/>
        <v>1.5999999999999943</v>
      </c>
      <c r="EJ27" s="1">
        <v>42522</v>
      </c>
      <c r="EK27" t="s">
        <v>42</v>
      </c>
      <c r="EL27" t="str">
        <f>_xll.BDP(EK27&amp;" Comdty","FUT_DLV_DT_LAST")</f>
        <v>6/30/2016</v>
      </c>
      <c r="EM27" t="str">
        <f t="shared" si="10"/>
        <v>ffm6</v>
      </c>
      <c r="EN27" s="4">
        <f>DATEVALUE(_xll.BDP(EM27&amp;" Comdty","FUT_DLV_DT_LAST"))</f>
        <v>42551</v>
      </c>
      <c r="EO27">
        <f ca="1">_xll.BDH(EM27&amp;" Comdty","PX Last",$C$5,$C$5,"days=a")</f>
        <v>98.73</v>
      </c>
      <c r="EP27" s="4">
        <f t="shared" ca="1" si="6"/>
        <v>42551</v>
      </c>
      <c r="EQ27">
        <f t="shared" ca="1" si="9"/>
        <v>1.269999999999996</v>
      </c>
    </row>
    <row r="28" spans="2:147" x14ac:dyDescent="0.25">
      <c r="D28" s="29"/>
      <c r="E28" s="29"/>
      <c r="G28"/>
      <c r="DI28" s="4">
        <f>INDEX(Sheet2!A:A,QUOTIENT(ROW()-1,19)+2)</f>
        <v>41080</v>
      </c>
      <c r="DJ28" s="4">
        <f>INDEX(Sheet2!C:C,QUOTIENT(ROW()-1,19)+2)</f>
        <v>41274</v>
      </c>
      <c r="DK28" s="4" t="e">
        <f>INDEX(Sheet2!$AA$2:$AS$228,QUOTIENT(ROW()-1,19)+1,MOD(ROW()-2,19)+1)</f>
        <v>#N/A</v>
      </c>
      <c r="DL28" t="str">
        <f>IFERROR(INDEX(Sheet2!$AU$2:$BM$228,QUOTIENT(ROW()-1,19)+1,MOD(ROW()-2,19)+1),NA())</f>
        <v/>
      </c>
      <c r="DM28" s="4" t="e">
        <f t="shared" si="0"/>
        <v>#N/A</v>
      </c>
      <c r="DN28" t="e">
        <f t="shared" si="1"/>
        <v>#N/A</v>
      </c>
      <c r="DO28" t="e">
        <f t="shared" si="2"/>
        <v>#N/A</v>
      </c>
      <c r="DR28">
        <f t="shared" si="11"/>
        <v>1</v>
      </c>
      <c r="DS28" s="4">
        <f>IF(DR28="",NA(),IF(DS5=MAX($DS$4:$DS$10),NA(),DS5))</f>
        <v>41639</v>
      </c>
      <c r="DT28" t="e">
        <f>IF(ISERROR(DS28),NA(),IF($DS$26="Means",DT5,DT14))</f>
        <v>#N/A</v>
      </c>
      <c r="DU28">
        <f>IF(ISERROR(DS28),NA(),IF($DS$26="Means",DU5,DU14))</f>
        <v>0.25</v>
      </c>
      <c r="DW28">
        <f t="shared" si="12"/>
        <v>2013</v>
      </c>
      <c r="EA28" s="1">
        <v>42614</v>
      </c>
      <c r="EB28" t="s">
        <v>21</v>
      </c>
      <c r="EC28" t="str">
        <f>_xll.BDP(EB28&amp;" Comdty","FUT_DLV_DT_LAST")</f>
        <v>9/19/2016</v>
      </c>
      <c r="ED28" t="str">
        <f t="shared" si="8"/>
        <v>edu6</v>
      </c>
      <c r="EE28" s="4">
        <f>DATEVALUE(_xll.BDP(ED28&amp;" Comdty","FUT_DLV_DT_LAST"))</f>
        <v>42632</v>
      </c>
      <c r="EF28">
        <f ca="1">_xll.BDH(ED28&amp;" Comdty","PX Last",$C$5,$C$5,"days=a")</f>
        <v>98.12</v>
      </c>
      <c r="EG28" s="4">
        <f t="shared" ca="1" si="4"/>
        <v>42632</v>
      </c>
      <c r="EH28">
        <f t="shared" ca="1" si="5"/>
        <v>1.8799999999999955</v>
      </c>
      <c r="EJ28" s="1">
        <v>42614</v>
      </c>
      <c r="EK28" t="s">
        <v>43</v>
      </c>
      <c r="EL28" t="str">
        <f>_xll.BDP(EK28&amp;" Comdty","FUT_DLV_DT_LAST")</f>
        <v>9/30/2016</v>
      </c>
      <c r="EM28" t="str">
        <f t="shared" si="10"/>
        <v>ffu6</v>
      </c>
      <c r="EN28" s="4">
        <f>DATEVALUE(_xll.BDP(EM28&amp;" Comdty","FUT_DLV_DT_LAST"))</f>
        <v>42643</v>
      </c>
      <c r="EO28">
        <f ca="1">_xll.BDH(EM28&amp;" Comdty","PX Last",$C$5,$C$5,"days=a")</f>
        <v>98.454999999999998</v>
      </c>
      <c r="EP28" s="4">
        <f t="shared" ca="1" si="6"/>
        <v>42643</v>
      </c>
      <c r="EQ28">
        <f t="shared" ca="1" si="9"/>
        <v>1.5450000000000017</v>
      </c>
    </row>
    <row r="29" spans="2:147" x14ac:dyDescent="0.25">
      <c r="G29"/>
      <c r="DI29" s="4">
        <f>INDEX(Sheet2!A:A,QUOTIENT(ROW()-1,19)+2)</f>
        <v>41080</v>
      </c>
      <c r="DJ29" s="4">
        <f>INDEX(Sheet2!C:C,QUOTIENT(ROW()-1,19)+2)</f>
        <v>41274</v>
      </c>
      <c r="DK29" s="4" t="e">
        <f>INDEX(Sheet2!$AA$2:$AS$228,QUOTIENT(ROW()-1,19)+1,MOD(ROW()-2,19)+1)</f>
        <v>#N/A</v>
      </c>
      <c r="DL29" t="str">
        <f>IFERROR(INDEX(Sheet2!$AU$2:$BM$228,QUOTIENT(ROW()-1,19)+1,MOD(ROW()-2,19)+1),NA())</f>
        <v/>
      </c>
      <c r="DM29" s="4" t="e">
        <f t="shared" si="0"/>
        <v>#N/A</v>
      </c>
      <c r="DN29" t="e">
        <f t="shared" si="1"/>
        <v>#N/A</v>
      </c>
      <c r="DO29" t="e">
        <f t="shared" si="2"/>
        <v>#N/A</v>
      </c>
      <c r="DR29">
        <f t="shared" si="11"/>
        <v>2</v>
      </c>
      <c r="DS29" s="4">
        <f>IF(DR29="",NA(),IF(DS6=MAX($DS$4:$DS$10),NA(),DS6))</f>
        <v>42004</v>
      </c>
      <c r="DT29">
        <f>IF(ISERROR(DS29),NA(),IF($DS$26="Means",DT6,DT15))</f>
        <v>0.25</v>
      </c>
      <c r="DU29">
        <f>IF(ISERROR(DS29),NA(),IF($DS$26="Means",DU6,DU15))</f>
        <v>0.25</v>
      </c>
      <c r="DW29">
        <f t="shared" si="12"/>
        <v>2014</v>
      </c>
      <c r="EA29" s="1">
        <v>42705</v>
      </c>
      <c r="EB29" t="s">
        <v>22</v>
      </c>
      <c r="EC29" t="str">
        <f>_xll.BDP(EB29&amp;" Comdty","FUT_DLV_DT_LAST")</f>
        <v>12/19/2016</v>
      </c>
      <c r="ED29" t="str">
        <f t="shared" si="8"/>
        <v>edz6</v>
      </c>
      <c r="EE29" s="4">
        <f>DATEVALUE(_xll.BDP(ED29&amp;" Comdty","FUT_DLV_DT_LAST"))</f>
        <v>42723</v>
      </c>
      <c r="EF29">
        <f ca="1">_xll.BDH(ED29&amp;" Comdty","PX Last",$C$5,$C$5,"days=a")</f>
        <v>97.85</v>
      </c>
      <c r="EG29" s="4">
        <f t="shared" ca="1" si="4"/>
        <v>42723</v>
      </c>
      <c r="EH29">
        <f t="shared" ca="1" si="5"/>
        <v>2.1500000000000057</v>
      </c>
      <c r="EJ29" s="1">
        <v>42705</v>
      </c>
      <c r="EK29" t="s">
        <v>44</v>
      </c>
      <c r="EL29" t="str">
        <f>_xll.BDP(EK29&amp;" Comdty","FUT_DLV_DT_LAST")</f>
        <v>12/30/2016</v>
      </c>
      <c r="EM29" t="str">
        <f t="shared" si="10"/>
        <v>ffz6</v>
      </c>
      <c r="EN29" s="4">
        <f>DATEVALUE(_xll.BDP(EM29&amp;" Comdty","FUT_DLV_DT_LAST"))</f>
        <v>42734</v>
      </c>
      <c r="EO29">
        <f ca="1">_xll.BDH(EM29&amp;" Comdty","PX Last",$C$5,$C$5,"days=a")</f>
        <v>98.194999999999993</v>
      </c>
      <c r="EP29" s="4">
        <f t="shared" ca="1" si="6"/>
        <v>42734</v>
      </c>
      <c r="EQ29">
        <f t="shared" ca="1" si="9"/>
        <v>1.8050000000000068</v>
      </c>
    </row>
    <row r="30" spans="2:147" x14ac:dyDescent="0.25">
      <c r="G30"/>
      <c r="DI30" s="4">
        <f>INDEX(Sheet2!A:A,QUOTIENT(ROW()-1,19)+2)</f>
        <v>41080</v>
      </c>
      <c r="DJ30" s="4">
        <f>INDEX(Sheet2!C:C,QUOTIENT(ROW()-1,19)+2)</f>
        <v>41274</v>
      </c>
      <c r="DK30" s="4" t="e">
        <f>INDEX(Sheet2!$AA$2:$AS$228,QUOTIENT(ROW()-1,19)+1,MOD(ROW()-2,19)+1)</f>
        <v>#N/A</v>
      </c>
      <c r="DL30" t="str">
        <f>IFERROR(INDEX(Sheet2!$AU$2:$BM$228,QUOTIENT(ROW()-1,19)+1,MOD(ROW()-2,19)+1),NA())</f>
        <v/>
      </c>
      <c r="DM30" s="4" t="e">
        <f t="shared" si="0"/>
        <v>#N/A</v>
      </c>
      <c r="DN30" t="e">
        <f t="shared" si="1"/>
        <v>#N/A</v>
      </c>
      <c r="DO30" t="e">
        <f t="shared" si="2"/>
        <v>#N/A</v>
      </c>
      <c r="DR30">
        <f t="shared" si="11"/>
        <v>3</v>
      </c>
      <c r="DS30" s="4">
        <f>IF(DR30="",NA(),IF(DS7=MAX($DS$4:$DS$10),NA(),DS7))</f>
        <v>42369</v>
      </c>
      <c r="DT30">
        <f>IF(ISERROR(DS30),NA(),IF($DS$26="Means",DT7,DT16))</f>
        <v>1.125</v>
      </c>
      <c r="DU30">
        <f t="shared" ref="DU30:DU31" si="13">IF(ISERROR(DS30),NA(),IF($DS$26="Means",DU7,DU16))</f>
        <v>0.75</v>
      </c>
      <c r="DW30">
        <f t="shared" si="12"/>
        <v>2015</v>
      </c>
      <c r="EG30" s="4" t="e">
        <f>NA()</f>
        <v>#N/A</v>
      </c>
      <c r="EH30" t="e">
        <f t="shared" ca="1" si="5"/>
        <v>#N/A</v>
      </c>
      <c r="EP30" s="4" t="e">
        <f>NA()</f>
        <v>#N/A</v>
      </c>
      <c r="EQ30" t="e">
        <f t="shared" ca="1" si="9"/>
        <v>#N/A</v>
      </c>
    </row>
    <row r="31" spans="2:147" x14ac:dyDescent="0.25">
      <c r="G31"/>
      <c r="P31" s="2"/>
      <c r="DI31" s="4">
        <f>INDEX(Sheet2!A:A,QUOTIENT(ROW()-1,19)+2)</f>
        <v>41080</v>
      </c>
      <c r="DJ31" s="4">
        <f>INDEX(Sheet2!C:C,QUOTIENT(ROW()-1,19)+2)</f>
        <v>41274</v>
      </c>
      <c r="DK31" s="4" t="e">
        <f>INDEX(Sheet2!$AA$2:$AS$228,QUOTIENT(ROW()-1,19)+1,MOD(ROW()-2,19)+1)</f>
        <v>#N/A</v>
      </c>
      <c r="DL31" t="str">
        <f>IFERROR(INDEX(Sheet2!$AU$2:$BM$228,QUOTIENT(ROW()-1,19)+1,MOD(ROW()-2,19)+1),NA())</f>
        <v/>
      </c>
      <c r="DM31" s="4" t="e">
        <f t="shared" si="0"/>
        <v>#N/A</v>
      </c>
      <c r="DN31" t="e">
        <f t="shared" si="1"/>
        <v>#N/A</v>
      </c>
      <c r="DO31" t="e">
        <f t="shared" si="2"/>
        <v>#N/A</v>
      </c>
      <c r="DR31">
        <f t="shared" si="11"/>
        <v>4</v>
      </c>
      <c r="DS31" s="4">
        <f>IF(DR31="",NA(),IF(DS8=MAX($DS$4:$DS$10),NA(),DS8))</f>
        <v>42735</v>
      </c>
      <c r="DT31">
        <f>IF(ISERROR(DS31),NA(),IF($DS$26="Means",DT8,DT17))</f>
        <v>2.5</v>
      </c>
      <c r="DU31">
        <f t="shared" si="13"/>
        <v>1.75</v>
      </c>
      <c r="DW31">
        <f t="shared" si="12"/>
        <v>2016</v>
      </c>
      <c r="EG31" s="4" t="e">
        <f>NA()</f>
        <v>#N/A</v>
      </c>
      <c r="EH31" t="e">
        <f t="shared" ca="1" si="5"/>
        <v>#N/A</v>
      </c>
      <c r="EP31" s="4" t="e">
        <f>NA()</f>
        <v>#N/A</v>
      </c>
      <c r="EQ31" t="e">
        <f t="shared" ca="1" si="9"/>
        <v>#N/A</v>
      </c>
    </row>
    <row r="32" spans="2:147" x14ac:dyDescent="0.25">
      <c r="B32" s="1"/>
      <c r="G32"/>
      <c r="DI32" s="4">
        <f>INDEX(Sheet2!A:A,QUOTIENT(ROW()-1,19)+2)</f>
        <v>41080</v>
      </c>
      <c r="DJ32" s="4">
        <f>INDEX(Sheet2!C:C,QUOTIENT(ROW()-1,19)+2)</f>
        <v>41274</v>
      </c>
      <c r="DK32" s="4" t="e">
        <f>INDEX(Sheet2!$AA$2:$AS$228,QUOTIENT(ROW()-1,19)+1,MOD(ROW()-2,19)+1)</f>
        <v>#N/A</v>
      </c>
      <c r="DL32" t="str">
        <f>IFERROR(INDEX(Sheet2!$AU$2:$BM$228,QUOTIENT(ROW()-1,19)+1,MOD(ROW()-2,19)+1),NA())</f>
        <v/>
      </c>
      <c r="DM32" s="4" t="e">
        <f t="shared" si="0"/>
        <v>#N/A</v>
      </c>
      <c r="DN32" t="e">
        <f t="shared" si="1"/>
        <v>#N/A</v>
      </c>
      <c r="DO32" t="e">
        <f t="shared" si="2"/>
        <v>#N/A</v>
      </c>
      <c r="DR32">
        <f t="shared" si="11"/>
        <v>5</v>
      </c>
      <c r="DS32" s="4">
        <f>IF(DR32="",NA(),DS9)</f>
        <v>43100</v>
      </c>
      <c r="DT32" t="e">
        <f>IF(OR(ISERROR($DS32),$DS32=MAX($DS$27:$DS$33)),NA(),IF($DS$26="Means",DT9,DT18))</f>
        <v>#N/A</v>
      </c>
      <c r="DU32" t="e">
        <f>IF(OR(ISERROR($DS32),$DS32=MAX($DS$27:$DS$33)),NA(),IF($DS$26="Means",DU9,DU18))</f>
        <v>#N/A</v>
      </c>
      <c r="DW32" t="str">
        <f>IF(DR32="","",IF(MAX($DR$27:$DR$33)=DR32,"Longer Term",YEAR(DS32)))</f>
        <v>Longer Term</v>
      </c>
      <c r="EG32" s="4" t="e">
        <f>NA()</f>
        <v>#N/A</v>
      </c>
      <c r="EH32" t="e">
        <f t="shared" ca="1" si="5"/>
        <v>#N/A</v>
      </c>
      <c r="EP32" s="4" t="e">
        <f>NA()</f>
        <v>#N/A</v>
      </c>
      <c r="EQ32" t="e">
        <f t="shared" ca="1" si="9"/>
        <v>#N/A</v>
      </c>
    </row>
    <row r="33" spans="2:147" x14ac:dyDescent="0.25">
      <c r="B33" s="1"/>
      <c r="G33"/>
      <c r="DI33" s="4">
        <f>INDEX(Sheet2!A:A,QUOTIENT(ROW()-1,19)+2)</f>
        <v>41080</v>
      </c>
      <c r="DJ33" s="4">
        <f>INDEX(Sheet2!C:C,QUOTIENT(ROW()-1,19)+2)</f>
        <v>41274</v>
      </c>
      <c r="DK33" s="4" t="e">
        <f>INDEX(Sheet2!$AA$2:$AS$228,QUOTIENT(ROW()-1,19)+1,MOD(ROW()-2,19)+1)</f>
        <v>#N/A</v>
      </c>
      <c r="DL33" t="str">
        <f>IFERROR(INDEX(Sheet2!$AU$2:$BM$228,QUOTIENT(ROW()-1,19)+1,MOD(ROW()-2,19)+1),NA())</f>
        <v/>
      </c>
      <c r="DM33" s="4" t="e">
        <f t="shared" si="0"/>
        <v>#N/A</v>
      </c>
      <c r="DN33" t="e">
        <f t="shared" si="1"/>
        <v>#N/A</v>
      </c>
      <c r="DO33" t="e">
        <f t="shared" si="2"/>
        <v>#N/A</v>
      </c>
      <c r="DR33">
        <f t="shared" si="11"/>
        <v>0</v>
      </c>
      <c r="DS33" s="4"/>
      <c r="DW33">
        <f>IF(DR33="","",IF(MAX($DR$27:$DR$33)=DR33,"Longer Term",YEAR(DS33)))</f>
        <v>1900</v>
      </c>
      <c r="EG33" s="4" t="e">
        <f>NA()</f>
        <v>#N/A</v>
      </c>
      <c r="EH33" t="e">
        <f t="shared" ca="1" si="5"/>
        <v>#N/A</v>
      </c>
      <c r="EP33" s="4" t="e">
        <f>NA()</f>
        <v>#N/A</v>
      </c>
      <c r="EQ33" t="e">
        <f t="shared" ca="1" si="9"/>
        <v>#N/A</v>
      </c>
    </row>
    <row r="34" spans="2:147" x14ac:dyDescent="0.25">
      <c r="G34"/>
      <c r="DI34" s="4">
        <f>INDEX(Sheet2!A:A,QUOTIENT(ROW()-1,19)+2)</f>
        <v>41080</v>
      </c>
      <c r="DJ34" s="4">
        <f>INDEX(Sheet2!C:C,QUOTIENT(ROW()-1,19)+2)</f>
        <v>41274</v>
      </c>
      <c r="DK34" s="4" t="e">
        <f>INDEX(Sheet2!$AA$2:$AS$228,QUOTIENT(ROW()-1,19)+1,MOD(ROW()-2,19)+1)</f>
        <v>#N/A</v>
      </c>
      <c r="DL34" t="str">
        <f>IFERROR(INDEX(Sheet2!$AU$2:$BM$228,QUOTIENT(ROW()-1,19)+1,MOD(ROW()-2,19)+1),NA())</f>
        <v/>
      </c>
      <c r="DM34" s="4" t="e">
        <f t="shared" si="0"/>
        <v>#N/A</v>
      </c>
      <c r="DN34" t="e">
        <f t="shared" si="1"/>
        <v>#N/A</v>
      </c>
      <c r="DO34" t="e">
        <f t="shared" si="2"/>
        <v>#N/A</v>
      </c>
      <c r="EG34" s="4" t="e">
        <f>NA()</f>
        <v>#N/A</v>
      </c>
      <c r="EH34" t="e">
        <f t="shared" ca="1" si="5"/>
        <v>#N/A</v>
      </c>
      <c r="EP34" s="4" t="e">
        <f>NA()</f>
        <v>#N/A</v>
      </c>
      <c r="EQ34" t="e">
        <f t="shared" ca="1" si="9"/>
        <v>#N/A</v>
      </c>
    </row>
    <row r="35" spans="2:147" x14ac:dyDescent="0.25">
      <c r="B35" s="15"/>
      <c r="G35"/>
      <c r="DI35" s="4">
        <f>INDEX(Sheet2!A:A,QUOTIENT(ROW()-1,19)+2)</f>
        <v>41080</v>
      </c>
      <c r="DJ35" s="4">
        <f>INDEX(Sheet2!C:C,QUOTIENT(ROW()-1,19)+2)</f>
        <v>41274</v>
      </c>
      <c r="DK35" s="4" t="e">
        <f>INDEX(Sheet2!$AA$2:$AS$228,QUOTIENT(ROW()-1,19)+1,MOD(ROW()-2,19)+1)</f>
        <v>#N/A</v>
      </c>
      <c r="DL35" t="str">
        <f>IFERROR(INDEX(Sheet2!$AU$2:$BM$228,QUOTIENT(ROW()-1,19)+1,MOD(ROW()-2,19)+1),NA())</f>
        <v/>
      </c>
      <c r="DM35" s="4" t="e">
        <f t="shared" si="0"/>
        <v>#N/A</v>
      </c>
      <c r="DN35" t="e">
        <f t="shared" si="1"/>
        <v>#N/A</v>
      </c>
      <c r="DO35" t="e">
        <f t="shared" si="2"/>
        <v>#N/A</v>
      </c>
      <c r="DS35" s="4">
        <f>+MAX($DS$4:$DS$10)-150</f>
        <v>42950</v>
      </c>
      <c r="DT35">
        <f>IF($DS$26="Means",VLOOKUP(MAX($DS$4:$DS$10),$DS$4:$DU$10,DT2+1,FALSE),VLOOKUP(MAX($DS$13:$DS$19),$DS$13:$DU$19,DT2+1,FALSE))</f>
        <v>3.75</v>
      </c>
      <c r="DU35">
        <f>IF($DS$26="Means",VLOOKUP(MAX($DS$4:$DS$10),$DS$4:$DU$10,DU2+1,FALSE),VLOOKUP(MAX($DS$13:$DS$19),$DS$13:$DU$19,DU2+1,FALSE))</f>
        <v>4</v>
      </c>
      <c r="EG35" s="4" t="e">
        <f>NA()</f>
        <v>#N/A</v>
      </c>
      <c r="EH35" t="e">
        <f t="shared" ca="1" si="5"/>
        <v>#N/A</v>
      </c>
      <c r="EP35" s="4" t="e">
        <f>NA()</f>
        <v>#N/A</v>
      </c>
      <c r="EQ35" t="e">
        <f t="shared" ca="1" si="9"/>
        <v>#N/A</v>
      </c>
    </row>
    <row r="36" spans="2:147" x14ac:dyDescent="0.25">
      <c r="B36" s="15"/>
      <c r="G36"/>
      <c r="DI36" s="4">
        <f>INDEX(Sheet2!A:A,QUOTIENT(ROW()-1,19)+2)</f>
        <v>41080</v>
      </c>
      <c r="DJ36" s="4">
        <f>INDEX(Sheet2!C:C,QUOTIENT(ROW()-1,19)+2)</f>
        <v>41274</v>
      </c>
      <c r="DK36" s="4" t="e">
        <f>INDEX(Sheet2!$AA$2:$AS$228,QUOTIENT(ROW()-1,19)+1,MOD(ROW()-2,19)+1)</f>
        <v>#N/A</v>
      </c>
      <c r="DL36" t="str">
        <f>IFERROR(INDEX(Sheet2!$AU$2:$BM$228,QUOTIENT(ROW()-1,19)+1,MOD(ROW()-2,19)+1),NA())</f>
        <v/>
      </c>
      <c r="DM36" s="4" t="e">
        <f t="shared" si="0"/>
        <v>#N/A</v>
      </c>
      <c r="DN36" t="e">
        <f t="shared" si="1"/>
        <v>#N/A</v>
      </c>
      <c r="DO36" t="e">
        <f t="shared" si="2"/>
        <v>#N/A</v>
      </c>
      <c r="DS36" s="4">
        <f>+DS35+300</f>
        <v>43250</v>
      </c>
      <c r="DT36">
        <f>+DT35</f>
        <v>3.75</v>
      </c>
      <c r="DU36">
        <f t="shared" ref="DU36" si="14">+DU35</f>
        <v>4</v>
      </c>
      <c r="EG36" s="4" t="e">
        <f>NA()</f>
        <v>#N/A</v>
      </c>
      <c r="EH36" t="e">
        <f t="shared" ca="1" si="5"/>
        <v>#N/A</v>
      </c>
      <c r="EP36" s="4" t="e">
        <f>NA()</f>
        <v>#N/A</v>
      </c>
      <c r="EQ36" t="e">
        <f t="shared" ca="1" si="9"/>
        <v>#N/A</v>
      </c>
    </row>
    <row r="37" spans="2:147" x14ac:dyDescent="0.25">
      <c r="G37"/>
      <c r="DI37" s="4">
        <f>INDEX(Sheet2!A:A,QUOTIENT(ROW()-1,19)+2)</f>
        <v>41080</v>
      </c>
      <c r="DJ37" s="4">
        <f>INDEX(Sheet2!C:C,QUOTIENT(ROW()-1,19)+2)</f>
        <v>41274</v>
      </c>
      <c r="DK37" s="4" t="e">
        <f>INDEX(Sheet2!$AA$2:$AS$228,QUOTIENT(ROW()-1,19)+1,MOD(ROW()-2,19)+1)</f>
        <v>#N/A</v>
      </c>
      <c r="DL37" t="str">
        <f>IFERROR(INDEX(Sheet2!$AU$2:$BM$228,QUOTIENT(ROW()-1,19)+1,MOD(ROW()-2,19)+1),NA())</f>
        <v/>
      </c>
      <c r="DM37" s="4" t="e">
        <f t="shared" si="0"/>
        <v>#N/A</v>
      </c>
      <c r="DN37" t="e">
        <f t="shared" si="1"/>
        <v>#N/A</v>
      </c>
      <c r="DO37" t="e">
        <f t="shared" si="2"/>
        <v>#N/A</v>
      </c>
      <c r="EG37" s="4" t="e">
        <f>NA()</f>
        <v>#N/A</v>
      </c>
      <c r="EH37" t="e">
        <f t="shared" ca="1" si="5"/>
        <v>#N/A</v>
      </c>
      <c r="EP37" s="4" t="e">
        <f>NA()</f>
        <v>#N/A</v>
      </c>
      <c r="EQ37" t="e">
        <f t="shared" ca="1" si="9"/>
        <v>#N/A</v>
      </c>
    </row>
    <row r="38" spans="2:147" x14ac:dyDescent="0.25">
      <c r="G38"/>
      <c r="O38" s="4"/>
      <c r="DI38" s="4">
        <f>INDEX(Sheet2!A:A,QUOTIENT(ROW()-1,19)+2)</f>
        <v>41080</v>
      </c>
      <c r="DJ38" s="4">
        <f>INDEX(Sheet2!C:C,QUOTIENT(ROW()-1,19)+2)</f>
        <v>41274</v>
      </c>
      <c r="DK38" s="4" t="e">
        <f>INDEX(Sheet2!$AA$2:$AS$228,QUOTIENT(ROW()-1,19)+1,MOD(ROW()-2,19)+1)</f>
        <v>#N/A</v>
      </c>
      <c r="DL38" t="str">
        <f>IFERROR(INDEX(Sheet2!$AU$2:$BM$228,QUOTIENT(ROW()-1,19)+1,MOD(ROW()-2,19)+1),NA())</f>
        <v/>
      </c>
      <c r="DM38" s="4" t="e">
        <f t="shared" si="0"/>
        <v>#N/A</v>
      </c>
      <c r="DN38" t="e">
        <f t="shared" si="1"/>
        <v>#N/A</v>
      </c>
      <c r="DO38" t="e">
        <f t="shared" si="2"/>
        <v>#N/A</v>
      </c>
      <c r="EG38" s="4" t="e">
        <f>NA()</f>
        <v>#N/A</v>
      </c>
      <c r="EH38" t="e">
        <f t="shared" ca="1" si="5"/>
        <v>#N/A</v>
      </c>
      <c r="EP38" s="4" t="e">
        <f>NA()</f>
        <v>#N/A</v>
      </c>
      <c r="EQ38" t="e">
        <f t="shared" ca="1" si="9"/>
        <v>#N/A</v>
      </c>
    </row>
    <row r="39" spans="2:147" x14ac:dyDescent="0.25">
      <c r="G39"/>
      <c r="O39" s="4"/>
      <c r="DI39" s="4">
        <f>INDEX(Sheet2!A:A,QUOTIENT(ROW()-1,19)+2)</f>
        <v>41080</v>
      </c>
      <c r="DJ39" s="4">
        <f>INDEX(Sheet2!C:C,QUOTIENT(ROW()-1,19)+2)</f>
        <v>41274</v>
      </c>
      <c r="DK39" s="4" t="e">
        <f>INDEX(Sheet2!$AA$2:$AS$228,QUOTIENT(ROW()-1,19)+1,MOD(ROW()-2,19)+1)</f>
        <v>#N/A</v>
      </c>
      <c r="DL39" t="str">
        <f>IFERROR(INDEX(Sheet2!$AU$2:$BM$228,QUOTIENT(ROW()-1,19)+1,MOD(ROW()-2,19)+1),NA())</f>
        <v/>
      </c>
      <c r="DM39" s="4" t="e">
        <f t="shared" si="0"/>
        <v>#N/A</v>
      </c>
      <c r="DN39" t="e">
        <f t="shared" si="1"/>
        <v>#N/A</v>
      </c>
      <c r="DO39" t="e">
        <f t="shared" si="2"/>
        <v>#N/A</v>
      </c>
      <c r="EG39" s="4" t="e">
        <f>NA()</f>
        <v>#N/A</v>
      </c>
      <c r="EH39" t="e">
        <f t="shared" ca="1" si="5"/>
        <v>#N/A</v>
      </c>
      <c r="EP39" s="4" t="e">
        <f>NA()</f>
        <v>#N/A</v>
      </c>
      <c r="EQ39" t="e">
        <f t="shared" ca="1" si="9"/>
        <v>#N/A</v>
      </c>
    </row>
    <row r="40" spans="2:147" x14ac:dyDescent="0.25">
      <c r="G40"/>
      <c r="DI40" s="4">
        <f>INDEX(Sheet2!A:A,QUOTIENT(ROW()-1,19)+2)</f>
        <v>41080</v>
      </c>
      <c r="DJ40" s="4">
        <f>INDEX(Sheet2!C:C,QUOTIENT(ROW()-1,19)+2)</f>
        <v>41274</v>
      </c>
      <c r="DK40" s="4">
        <f>INDEX(Sheet2!$AA$2:$AS$228,QUOTIENT(ROW()-1,19)+1,MOD(ROW()-2,19)+1)</f>
        <v>41274</v>
      </c>
      <c r="DL40">
        <f>IFERROR(INDEX(Sheet2!$AU$2:$BM$228,QUOTIENT(ROW()-1,19)+1,MOD(ROW()-2,19)+1),NA())</f>
        <v>0.75</v>
      </c>
      <c r="DM40" s="4" t="e">
        <f t="shared" si="0"/>
        <v>#N/A</v>
      </c>
      <c r="DN40" t="e">
        <f t="shared" si="1"/>
        <v>#N/A</v>
      </c>
      <c r="DO40" t="e">
        <f t="shared" si="2"/>
        <v>#N/A</v>
      </c>
      <c r="EG40" s="4" t="e">
        <f>NA()</f>
        <v>#N/A</v>
      </c>
      <c r="EH40" t="e">
        <f t="shared" ca="1" si="5"/>
        <v>#N/A</v>
      </c>
      <c r="EP40" s="4" t="e">
        <f>NA()</f>
        <v>#N/A</v>
      </c>
      <c r="EQ40" t="e">
        <f t="shared" ca="1" si="9"/>
        <v>#N/A</v>
      </c>
    </row>
    <row r="41" spans="2:147" x14ac:dyDescent="0.25">
      <c r="G41"/>
      <c r="DI41" s="4">
        <f>INDEX(Sheet2!A:A,QUOTIENT(ROW()-1,19)+2)</f>
        <v>41080</v>
      </c>
      <c r="DJ41" s="4">
        <f>INDEX(Sheet2!C:C,QUOTIENT(ROW()-1,19)+2)</f>
        <v>41274</v>
      </c>
      <c r="DK41" s="4" t="e">
        <f>INDEX(Sheet2!$AA$2:$AS$228,QUOTIENT(ROW()-1,19)+1,MOD(ROW()-2,19)+1)</f>
        <v>#N/A</v>
      </c>
      <c r="DL41" t="str">
        <f>IFERROR(INDEX(Sheet2!$AU$2:$BM$228,QUOTIENT(ROW()-1,19)+1,MOD(ROW()-2,19)+1),NA())</f>
        <v/>
      </c>
      <c r="DM41" s="4" t="e">
        <f t="shared" si="0"/>
        <v>#N/A</v>
      </c>
      <c r="DN41" t="e">
        <f t="shared" si="1"/>
        <v>#N/A</v>
      </c>
      <c r="DO41" t="e">
        <f t="shared" si="2"/>
        <v>#N/A</v>
      </c>
      <c r="EG41" s="4" t="e">
        <f>NA()</f>
        <v>#N/A</v>
      </c>
      <c r="EH41" t="e">
        <f t="shared" ca="1" si="5"/>
        <v>#N/A</v>
      </c>
      <c r="EP41" s="4" t="e">
        <f>NA()</f>
        <v>#N/A</v>
      </c>
      <c r="EQ41" t="e">
        <f t="shared" ca="1" si="9"/>
        <v>#N/A</v>
      </c>
    </row>
    <row r="42" spans="2:147" x14ac:dyDescent="0.25">
      <c r="G42"/>
      <c r="DI42" s="4">
        <f>INDEX(Sheet2!A:A,QUOTIENT(ROW()-1,19)+2)</f>
        <v>41080</v>
      </c>
      <c r="DJ42" s="4">
        <f>INDEX(Sheet2!C:C,QUOTIENT(ROW()-1,19)+2)</f>
        <v>41274</v>
      </c>
      <c r="DK42" s="4" t="e">
        <f>INDEX(Sheet2!$AA$2:$AS$228,QUOTIENT(ROW()-1,19)+1,MOD(ROW()-2,19)+1)</f>
        <v>#N/A</v>
      </c>
      <c r="DL42" t="str">
        <f>IFERROR(INDEX(Sheet2!$AU$2:$BM$228,QUOTIENT(ROW()-1,19)+1,MOD(ROW()-2,19)+1),NA())</f>
        <v/>
      </c>
      <c r="DM42" s="4" t="e">
        <f t="shared" si="0"/>
        <v>#N/A</v>
      </c>
      <c r="DN42" t="e">
        <f t="shared" si="1"/>
        <v>#N/A</v>
      </c>
      <c r="DO42" t="e">
        <f t="shared" si="2"/>
        <v>#N/A</v>
      </c>
      <c r="EG42" s="4" t="e">
        <f>NA()</f>
        <v>#N/A</v>
      </c>
      <c r="EH42" t="e">
        <f t="shared" ca="1" si="5"/>
        <v>#N/A</v>
      </c>
      <c r="EP42" s="4" t="e">
        <f>NA()</f>
        <v>#N/A</v>
      </c>
      <c r="EQ42" t="e">
        <f t="shared" ca="1" si="9"/>
        <v>#N/A</v>
      </c>
    </row>
    <row r="43" spans="2:147" x14ac:dyDescent="0.25">
      <c r="G43"/>
      <c r="DI43" s="4">
        <f>INDEX(Sheet2!A:A,QUOTIENT(ROW()-1,19)+2)</f>
        <v>41080</v>
      </c>
      <c r="DJ43" s="4">
        <f>INDEX(Sheet2!C:C,QUOTIENT(ROW()-1,19)+2)</f>
        <v>41274</v>
      </c>
      <c r="DK43" s="4" t="e">
        <f>INDEX(Sheet2!$AA$2:$AS$228,QUOTIENT(ROW()-1,19)+1,MOD(ROW()-2,19)+1)</f>
        <v>#N/A</v>
      </c>
      <c r="DL43" t="str">
        <f>IFERROR(INDEX(Sheet2!$AU$2:$BM$228,QUOTIENT(ROW()-1,19)+1,MOD(ROW()-2,19)+1),NA())</f>
        <v/>
      </c>
      <c r="DM43" s="4" t="e">
        <f t="shared" si="0"/>
        <v>#N/A</v>
      </c>
      <c r="DN43" t="e">
        <f t="shared" si="1"/>
        <v>#N/A</v>
      </c>
      <c r="DO43" t="e">
        <f t="shared" si="2"/>
        <v>#N/A</v>
      </c>
      <c r="EG43" s="4" t="e">
        <f>NA()</f>
        <v>#N/A</v>
      </c>
      <c r="EH43" t="e">
        <f t="shared" ca="1" si="5"/>
        <v>#N/A</v>
      </c>
      <c r="EP43" s="4" t="e">
        <f>NA()</f>
        <v>#N/A</v>
      </c>
      <c r="EQ43" t="e">
        <f t="shared" ca="1" si="9"/>
        <v>#N/A</v>
      </c>
    </row>
    <row r="44" spans="2:147" x14ac:dyDescent="0.25">
      <c r="G44"/>
      <c r="DI44" s="4">
        <f>INDEX(Sheet2!A:A,QUOTIENT(ROW()-1,19)+2)</f>
        <v>41080</v>
      </c>
      <c r="DJ44" s="4">
        <f>INDEX(Sheet2!C:C,QUOTIENT(ROW()-1,19)+2)</f>
        <v>41274</v>
      </c>
      <c r="DK44" s="4" t="e">
        <f>INDEX(Sheet2!$AA$2:$AS$228,QUOTIENT(ROW()-1,19)+1,MOD(ROW()-2,19)+1)</f>
        <v>#N/A</v>
      </c>
      <c r="DL44" t="str">
        <f>IFERROR(INDEX(Sheet2!$AU$2:$BM$228,QUOTIENT(ROW()-1,19)+1,MOD(ROW()-2,19)+1),NA())</f>
        <v/>
      </c>
      <c r="DM44" s="4" t="e">
        <f t="shared" si="0"/>
        <v>#N/A</v>
      </c>
      <c r="DN44" t="e">
        <f t="shared" si="1"/>
        <v>#N/A</v>
      </c>
      <c r="DO44" t="e">
        <f t="shared" si="2"/>
        <v>#N/A</v>
      </c>
      <c r="EG44" s="4" t="e">
        <f>NA()</f>
        <v>#N/A</v>
      </c>
      <c r="EH44" t="e">
        <f t="shared" ca="1" si="5"/>
        <v>#N/A</v>
      </c>
      <c r="EP44" s="4" t="e">
        <f>NA()</f>
        <v>#N/A</v>
      </c>
      <c r="EQ44" t="e">
        <f t="shared" ca="1" si="9"/>
        <v>#N/A</v>
      </c>
    </row>
    <row r="45" spans="2:147" x14ac:dyDescent="0.25">
      <c r="G45"/>
      <c r="DI45" s="4">
        <f>INDEX(Sheet2!A:A,QUOTIENT(ROW()-1,19)+2)</f>
        <v>41080</v>
      </c>
      <c r="DJ45" s="4">
        <f>INDEX(Sheet2!C:C,QUOTIENT(ROW()-1,19)+2)</f>
        <v>41274</v>
      </c>
      <c r="DK45" s="4" t="e">
        <f>INDEX(Sheet2!$AA$2:$AS$228,QUOTIENT(ROW()-1,19)+1,MOD(ROW()-2,19)+1)</f>
        <v>#N/A</v>
      </c>
      <c r="DL45" t="str">
        <f>IFERROR(INDEX(Sheet2!$AU$2:$BM$228,QUOTIENT(ROW()-1,19)+1,MOD(ROW()-2,19)+1),NA())</f>
        <v/>
      </c>
      <c r="DM45" s="4" t="e">
        <f t="shared" si="0"/>
        <v>#N/A</v>
      </c>
      <c r="DN45" t="e">
        <f t="shared" si="1"/>
        <v>#N/A</v>
      </c>
      <c r="DO45" t="e">
        <f t="shared" si="2"/>
        <v>#N/A</v>
      </c>
      <c r="EG45" s="4" t="e">
        <f>NA()</f>
        <v>#N/A</v>
      </c>
      <c r="EH45" t="e">
        <f t="shared" ca="1" si="5"/>
        <v>#N/A</v>
      </c>
      <c r="EP45" s="4" t="e">
        <f>NA()</f>
        <v>#N/A</v>
      </c>
      <c r="EQ45" t="e">
        <f t="shared" ca="1" si="9"/>
        <v>#N/A</v>
      </c>
    </row>
    <row r="46" spans="2:147" x14ac:dyDescent="0.25">
      <c r="G46"/>
      <c r="DI46" s="4">
        <f>INDEX(Sheet2!A:A,QUOTIENT(ROW()-1,19)+2)</f>
        <v>41080</v>
      </c>
      <c r="DJ46" s="4">
        <f>INDEX(Sheet2!C:C,QUOTIENT(ROW()-1,19)+2)</f>
        <v>41274</v>
      </c>
      <c r="DK46" s="4" t="e">
        <f>INDEX(Sheet2!$AA$2:$AS$228,QUOTIENT(ROW()-1,19)+1,MOD(ROW()-2,19)+1)</f>
        <v>#N/A</v>
      </c>
      <c r="DL46" t="str">
        <f>IFERROR(INDEX(Sheet2!$AU$2:$BM$228,QUOTIENT(ROW()-1,19)+1,MOD(ROW()-2,19)+1),NA())</f>
        <v/>
      </c>
      <c r="DM46" s="4" t="e">
        <f t="shared" si="0"/>
        <v>#N/A</v>
      </c>
      <c r="DN46" t="e">
        <f t="shared" si="1"/>
        <v>#N/A</v>
      </c>
      <c r="DO46" t="e">
        <f t="shared" si="2"/>
        <v>#N/A</v>
      </c>
      <c r="DR46">
        <v>1</v>
      </c>
      <c r="DS46">
        <v>2</v>
      </c>
      <c r="DT46">
        <v>3.5</v>
      </c>
      <c r="DU46">
        <v>4.5</v>
      </c>
      <c r="EG46" s="4" t="e">
        <f>NA()</f>
        <v>#N/A</v>
      </c>
      <c r="EH46" t="e">
        <f t="shared" ca="1" si="5"/>
        <v>#N/A</v>
      </c>
      <c r="EP46" s="4" t="e">
        <f>NA()</f>
        <v>#N/A</v>
      </c>
      <c r="EQ46" t="e">
        <f t="shared" ca="1" si="9"/>
        <v>#N/A</v>
      </c>
    </row>
    <row r="47" spans="2:147" x14ac:dyDescent="0.25">
      <c r="G47"/>
      <c r="DI47" s="4">
        <f>INDEX(Sheet2!A:A,QUOTIENT(ROW()-1,19)+2)</f>
        <v>41080</v>
      </c>
      <c r="DJ47" s="4">
        <f>INDEX(Sheet2!C:C,QUOTIENT(ROW()-1,19)+2)</f>
        <v>41274</v>
      </c>
      <c r="DK47" s="4" t="e">
        <f>INDEX(Sheet2!$AA$2:$AS$228,QUOTIENT(ROW()-1,19)+1,MOD(ROW()-2,19)+1)</f>
        <v>#N/A</v>
      </c>
      <c r="DL47" t="str">
        <f>IFERROR(INDEX(Sheet2!$AU$2:$BM$228,QUOTIENT(ROW()-1,19)+1,MOD(ROW()-2,19)+1),NA())</f>
        <v/>
      </c>
      <c r="DM47" s="4" t="e">
        <f t="shared" si="0"/>
        <v>#N/A</v>
      </c>
      <c r="DN47" t="e">
        <f t="shared" si="1"/>
        <v>#N/A</v>
      </c>
      <c r="DO47" t="e">
        <f t="shared" si="2"/>
        <v>#N/A</v>
      </c>
      <c r="DQ47" s="4">
        <f ca="1">DATE(YEAR(OFFSET(DS26,MATCH(1,$DR$27:$DR$33,0),0))-1,12,31)</f>
        <v>41274</v>
      </c>
      <c r="DR47" s="1" t="str">
        <f>+DT26</f>
        <v>Jun-14 Median</v>
      </c>
      <c r="DS47" s="1" t="str">
        <f>+DU26</f>
        <v>Dec-13 Median</v>
      </c>
      <c r="DT47" t="s">
        <v>49</v>
      </c>
      <c r="DU47" t="s">
        <v>48</v>
      </c>
      <c r="EG47" s="4" t="e">
        <f>NA()</f>
        <v>#N/A</v>
      </c>
      <c r="EH47" t="e">
        <f t="shared" ca="1" si="5"/>
        <v>#N/A</v>
      </c>
      <c r="EP47" s="4" t="e">
        <f>NA()</f>
        <v>#N/A</v>
      </c>
      <c r="EQ47" t="e">
        <f t="shared" ca="1" si="9"/>
        <v>#N/A</v>
      </c>
    </row>
    <row r="48" spans="2:147" x14ac:dyDescent="0.25">
      <c r="G48"/>
      <c r="DI48" s="4">
        <f>INDEX(Sheet2!A:A,QUOTIENT(ROW()-1,19)+2)</f>
        <v>41080</v>
      </c>
      <c r="DJ48" s="4">
        <f>INDEX(Sheet2!C:C,QUOTIENT(ROW()-1,19)+2)</f>
        <v>41274</v>
      </c>
      <c r="DK48" s="4" t="e">
        <f>INDEX(Sheet2!$AA$2:$AS$228,QUOTIENT(ROW()-1,19)+1,MOD(ROW()-2,19)+1)</f>
        <v>#N/A</v>
      </c>
      <c r="DL48" t="str">
        <f>IFERROR(INDEX(Sheet2!$AU$2:$BM$228,QUOTIENT(ROW()-1,19)+1,MOD(ROW()-2,19)+1),NA())</f>
        <v/>
      </c>
      <c r="DM48" s="4" t="e">
        <f t="shared" si="0"/>
        <v>#N/A</v>
      </c>
      <c r="DN48" t="e">
        <f t="shared" si="1"/>
        <v>#N/A</v>
      </c>
      <c r="DO48" t="e">
        <f t="shared" si="2"/>
        <v>#N/A</v>
      </c>
      <c r="DQ48" s="4" t="e">
        <f t="shared" ref="DQ48:DQ53" si="15">+DS27</f>
        <v>#N/A</v>
      </c>
      <c r="DR48" t="e">
        <f t="shared" ref="DR48:DR53" si="16">IF(ISERROR(DQ48),NA(),IF($DS$26="Means",DT4,DT13))</f>
        <v>#N/A</v>
      </c>
      <c r="DS48" t="e">
        <f t="shared" ref="DS48:DS53" si="17">IF(ISERROR(DQ48),NA(),IF($DS$26="Means",DU4,DU13))</f>
        <v>#N/A</v>
      </c>
      <c r="DT48" t="e">
        <f>IF(ISERROR(DQ48),NA(),VLOOKUP("edz"&amp;RIGHT(TEXT($DQ48,"yyyy"),1),$EB$11:$EH$50,7,FALSE))</f>
        <v>#N/A</v>
      </c>
      <c r="DU48" t="e">
        <f>IF(ISERROR(DQ48),NA(),VLOOKUP("ffz"&amp;RIGHT(TEXT($DQ48,"yyyy"),1),$EK$11:$EQ$50,7,FALSE))</f>
        <v>#N/A</v>
      </c>
      <c r="EG48" s="4" t="e">
        <f>NA()</f>
        <v>#N/A</v>
      </c>
      <c r="EH48" t="e">
        <f t="shared" ca="1" si="5"/>
        <v>#N/A</v>
      </c>
      <c r="EP48" s="4" t="e">
        <f>NA()</f>
        <v>#N/A</v>
      </c>
      <c r="EQ48" t="e">
        <f t="shared" ca="1" si="9"/>
        <v>#N/A</v>
      </c>
    </row>
    <row r="49" spans="7:152" x14ac:dyDescent="0.25">
      <c r="G49"/>
      <c r="DI49" s="4">
        <f>INDEX(Sheet2!A:A,QUOTIENT(ROW()-1,19)+2)</f>
        <v>41080</v>
      </c>
      <c r="DJ49" s="4">
        <f>INDEX(Sheet2!C:C,QUOTIENT(ROW()-1,19)+2)</f>
        <v>41274</v>
      </c>
      <c r="DK49" s="4" t="e">
        <f>INDEX(Sheet2!$AA$2:$AS$228,QUOTIENT(ROW()-1,19)+1,MOD(ROW()-2,19)+1)</f>
        <v>#N/A</v>
      </c>
      <c r="DL49" t="str">
        <f>IFERROR(INDEX(Sheet2!$AU$2:$BM$228,QUOTIENT(ROW()-1,19)+1,MOD(ROW()-2,19)+1),NA())</f>
        <v/>
      </c>
      <c r="DM49" s="4" t="e">
        <f t="shared" si="0"/>
        <v>#N/A</v>
      </c>
      <c r="DN49" t="e">
        <f t="shared" si="1"/>
        <v>#N/A</v>
      </c>
      <c r="DO49" t="e">
        <f t="shared" si="2"/>
        <v>#N/A</v>
      </c>
      <c r="DQ49" s="4">
        <f t="shared" si="15"/>
        <v>41639</v>
      </c>
      <c r="DR49" t="e">
        <f t="shared" si="16"/>
        <v>#N/A</v>
      </c>
      <c r="DS49">
        <f t="shared" si="17"/>
        <v>0.25</v>
      </c>
      <c r="DT49" t="e">
        <f t="shared" ref="DT49:DT53" ca="1" si="18">IF(ISERROR(DQ49),NA(),VLOOKUP("edz"&amp;RIGHT(TEXT($DQ49,"yyyy"),1),$EB$11:$EH$50,7,FALSE))</f>
        <v>#N/A</v>
      </c>
      <c r="DU49" t="e">
        <f t="shared" ref="DU49:DU53" ca="1" si="19">IF(ISERROR(DQ49),NA(),VLOOKUP("ffz"&amp;RIGHT(TEXT($DQ49,"yyyy"),1),$EK$11:$EQ$50,7,FALSE))</f>
        <v>#N/A</v>
      </c>
      <c r="EG49" s="4" t="e">
        <f>NA()</f>
        <v>#N/A</v>
      </c>
      <c r="EH49" t="e">
        <f t="shared" ca="1" si="5"/>
        <v>#N/A</v>
      </c>
      <c r="EP49" s="4" t="e">
        <f>NA()</f>
        <v>#N/A</v>
      </c>
      <c r="EQ49" t="e">
        <f t="shared" ca="1" si="9"/>
        <v>#N/A</v>
      </c>
    </row>
    <row r="50" spans="7:152" x14ac:dyDescent="0.25">
      <c r="G50"/>
      <c r="DI50" s="4">
        <f>INDEX(Sheet2!A:A,QUOTIENT(ROW()-1,19)+2)</f>
        <v>41080</v>
      </c>
      <c r="DJ50" s="4">
        <f>INDEX(Sheet2!C:C,QUOTIENT(ROW()-1,19)+2)</f>
        <v>41274</v>
      </c>
      <c r="DK50" s="4" t="e">
        <f>INDEX(Sheet2!$AA$2:$AS$228,QUOTIENT(ROW()-1,19)+1,MOD(ROW()-2,19)+1)</f>
        <v>#N/A</v>
      </c>
      <c r="DL50" t="str">
        <f>IFERROR(INDEX(Sheet2!$AU$2:$BM$228,QUOTIENT(ROW()-1,19)+1,MOD(ROW()-2,19)+1),NA())</f>
        <v/>
      </c>
      <c r="DM50" s="4" t="e">
        <f t="shared" si="0"/>
        <v>#N/A</v>
      </c>
      <c r="DN50" t="e">
        <f t="shared" si="1"/>
        <v>#N/A</v>
      </c>
      <c r="DO50" t="e">
        <f t="shared" si="2"/>
        <v>#N/A</v>
      </c>
      <c r="DQ50" s="4">
        <f t="shared" si="15"/>
        <v>42004</v>
      </c>
      <c r="DR50">
        <f t="shared" si="16"/>
        <v>0.25</v>
      </c>
      <c r="DS50">
        <f t="shared" si="17"/>
        <v>0.25</v>
      </c>
      <c r="DT50">
        <f t="shared" ca="1" si="18"/>
        <v>0.25499999999999545</v>
      </c>
      <c r="DU50">
        <f t="shared" ca="1" si="19"/>
        <v>9.9999999999994316E-2</v>
      </c>
      <c r="EG50" s="4" t="e">
        <f>NA()</f>
        <v>#N/A</v>
      </c>
      <c r="EH50" t="e">
        <f t="shared" ca="1" si="5"/>
        <v>#N/A</v>
      </c>
      <c r="EP50" s="4" t="e">
        <f>NA()</f>
        <v>#N/A</v>
      </c>
      <c r="EQ50" t="e">
        <f t="shared" ca="1" si="9"/>
        <v>#N/A</v>
      </c>
    </row>
    <row r="51" spans="7:152" x14ac:dyDescent="0.25">
      <c r="G51"/>
      <c r="DI51" s="4">
        <f>INDEX(Sheet2!A:A,QUOTIENT(ROW()-1,19)+2)</f>
        <v>41080</v>
      </c>
      <c r="DJ51" s="4">
        <f>INDEX(Sheet2!C:C,QUOTIENT(ROW()-1,19)+2)</f>
        <v>41274</v>
      </c>
      <c r="DK51" s="4" t="e">
        <f>INDEX(Sheet2!$AA$2:$AS$228,QUOTIENT(ROW()-1,19)+1,MOD(ROW()-2,19)+1)</f>
        <v>#N/A</v>
      </c>
      <c r="DL51" t="str">
        <f>IFERROR(INDEX(Sheet2!$AU$2:$BM$228,QUOTIENT(ROW()-1,19)+1,MOD(ROW()-2,19)+1),NA())</f>
        <v/>
      </c>
      <c r="DM51" s="4" t="e">
        <f t="shared" si="0"/>
        <v>#N/A</v>
      </c>
      <c r="DN51" t="e">
        <f t="shared" si="1"/>
        <v>#N/A</v>
      </c>
      <c r="DO51" t="e">
        <f t="shared" si="2"/>
        <v>#N/A</v>
      </c>
      <c r="DQ51" s="4">
        <f t="shared" si="15"/>
        <v>42369</v>
      </c>
      <c r="DR51">
        <f t="shared" si="16"/>
        <v>1.125</v>
      </c>
      <c r="DS51">
        <f t="shared" si="17"/>
        <v>0.75</v>
      </c>
      <c r="DT51">
        <f t="shared" ca="1" si="18"/>
        <v>1.0649999999999977</v>
      </c>
      <c r="DU51">
        <f t="shared" ca="1" si="19"/>
        <v>0.75499999999999545</v>
      </c>
    </row>
    <row r="52" spans="7:152" x14ac:dyDescent="0.25">
      <c r="G52"/>
      <c r="DI52" s="4">
        <f>INDEX(Sheet2!A:A,QUOTIENT(ROW()-1,19)+2)</f>
        <v>41080</v>
      </c>
      <c r="DJ52" s="4">
        <f>INDEX(Sheet2!C:C,QUOTIENT(ROW()-1,19)+2)</f>
        <v>41274</v>
      </c>
      <c r="DK52" s="4" t="e">
        <f>INDEX(Sheet2!$AA$2:$AS$228,QUOTIENT(ROW()-1,19)+1,MOD(ROW()-2,19)+1)</f>
        <v>#N/A</v>
      </c>
      <c r="DL52" t="str">
        <f>IFERROR(INDEX(Sheet2!$AU$2:$BM$228,QUOTIENT(ROW()-1,19)+1,MOD(ROW()-2,19)+1),NA())</f>
        <v/>
      </c>
      <c r="DM52" s="4" t="e">
        <f t="shared" si="0"/>
        <v>#N/A</v>
      </c>
      <c r="DN52" t="e">
        <f t="shared" si="1"/>
        <v>#N/A</v>
      </c>
      <c r="DO52" t="e">
        <f t="shared" si="2"/>
        <v>#N/A</v>
      </c>
      <c r="DQ52" s="4">
        <f t="shared" si="15"/>
        <v>42735</v>
      </c>
      <c r="DR52">
        <f t="shared" si="16"/>
        <v>2.5</v>
      </c>
      <c r="DS52">
        <f t="shared" si="17"/>
        <v>1.75</v>
      </c>
      <c r="DT52">
        <f t="shared" ca="1" si="18"/>
        <v>2.1500000000000057</v>
      </c>
      <c r="DU52">
        <f t="shared" ca="1" si="19"/>
        <v>1.8050000000000068</v>
      </c>
    </row>
    <row r="53" spans="7:152" x14ac:dyDescent="0.25">
      <c r="G53"/>
      <c r="DI53" s="4">
        <f>INDEX(Sheet2!A:A,QUOTIENT(ROW()-1,19)+2)</f>
        <v>41080</v>
      </c>
      <c r="DJ53" s="4">
        <f>INDEX(Sheet2!C:C,QUOTIENT(ROW()-1,19)+2)</f>
        <v>41274</v>
      </c>
      <c r="DK53" s="4" t="e">
        <f>INDEX(Sheet2!$AA$2:$AS$228,QUOTIENT(ROW()-1,19)+1,MOD(ROW()-2,19)+1)</f>
        <v>#N/A</v>
      </c>
      <c r="DL53" t="str">
        <f>IFERROR(INDEX(Sheet2!$AU$2:$BM$228,QUOTIENT(ROW()-1,19)+1,MOD(ROW()-2,19)+1),NA())</f>
        <v/>
      </c>
      <c r="DM53" s="4" t="e">
        <f t="shared" si="0"/>
        <v>#N/A</v>
      </c>
      <c r="DN53" t="e">
        <f t="shared" si="1"/>
        <v>#N/A</v>
      </c>
      <c r="DO53" t="e">
        <f t="shared" si="2"/>
        <v>#N/A</v>
      </c>
      <c r="DQ53" s="4">
        <f t="shared" si="15"/>
        <v>43100</v>
      </c>
      <c r="DR53">
        <f t="shared" si="16"/>
        <v>3.75</v>
      </c>
      <c r="DS53">
        <f t="shared" si="17"/>
        <v>4</v>
      </c>
      <c r="DT53" t="e">
        <f t="shared" si="18"/>
        <v>#N/A</v>
      </c>
      <c r="DU53" t="e">
        <f t="shared" si="19"/>
        <v>#N/A</v>
      </c>
    </row>
    <row r="54" spans="7:152" x14ac:dyDescent="0.25">
      <c r="G54"/>
      <c r="DI54" s="4">
        <f>INDEX(Sheet2!A:A,QUOTIENT(ROW()-1,19)+2)</f>
        <v>41080</v>
      </c>
      <c r="DJ54" s="4">
        <f>INDEX(Sheet2!C:C,QUOTIENT(ROW()-1,19)+2)</f>
        <v>41274</v>
      </c>
      <c r="DK54" s="4" t="e">
        <f>INDEX(Sheet2!$AA$2:$AS$228,QUOTIENT(ROW()-1,19)+1,MOD(ROW()-2,19)+1)</f>
        <v>#N/A</v>
      </c>
      <c r="DL54" t="str">
        <f>IFERROR(INDEX(Sheet2!$AU$2:$BM$228,QUOTIENT(ROW()-1,19)+1,MOD(ROW()-2,19)+1),NA())</f>
        <v/>
      </c>
      <c r="DM54" s="4" t="e">
        <f t="shared" si="0"/>
        <v>#N/A</v>
      </c>
      <c r="DN54" t="e">
        <f t="shared" si="1"/>
        <v>#N/A</v>
      </c>
      <c r="DO54" t="e">
        <f t="shared" si="2"/>
        <v>#N/A</v>
      </c>
      <c r="DR54" s="1"/>
      <c r="DS54" s="1"/>
      <c r="DT54" s="1"/>
      <c r="DU54" s="1"/>
      <c r="DV54" s="4"/>
      <c r="DW54" s="4"/>
      <c r="DX54" s="4"/>
      <c r="DY54" s="4"/>
      <c r="DZ54" s="4"/>
    </row>
    <row r="55" spans="7:152" x14ac:dyDescent="0.25">
      <c r="G55"/>
      <c r="DI55" s="4">
        <f>INDEX(Sheet2!A:A,QUOTIENT(ROW()-1,19)+2)</f>
        <v>41080</v>
      </c>
      <c r="DJ55" s="4">
        <f>INDEX(Sheet2!C:C,QUOTIENT(ROW()-1,19)+2)</f>
        <v>41274</v>
      </c>
      <c r="DK55" s="4" t="e">
        <f>INDEX(Sheet2!$AA$2:$AS$228,QUOTIENT(ROW()-1,19)+1,MOD(ROW()-2,19)+1)</f>
        <v>#N/A</v>
      </c>
      <c r="DL55" t="str">
        <f>IFERROR(INDEX(Sheet2!$AU$2:$BM$228,QUOTIENT(ROW()-1,19)+1,MOD(ROW()-2,19)+1),NA())</f>
        <v/>
      </c>
      <c r="DM55" s="4" t="e">
        <f t="shared" si="0"/>
        <v>#N/A</v>
      </c>
      <c r="DN55" t="e">
        <f t="shared" si="1"/>
        <v>#N/A</v>
      </c>
      <c r="DO55" t="e">
        <f t="shared" si="2"/>
        <v>#N/A</v>
      </c>
      <c r="DQ55" s="4"/>
      <c r="DV55" s="4"/>
      <c r="DW55" s="4"/>
      <c r="DX55" s="4"/>
      <c r="DY55" s="4"/>
    </row>
    <row r="56" spans="7:152" x14ac:dyDescent="0.25">
      <c r="G56"/>
      <c r="DI56" s="4">
        <f>INDEX(Sheet2!A:A,QUOTIENT(ROW()-1,19)+2)</f>
        <v>41080</v>
      </c>
      <c r="DJ56" s="4">
        <f>INDEX(Sheet2!C:C,QUOTIENT(ROW()-1,19)+2)</f>
        <v>41274</v>
      </c>
      <c r="DK56" s="4" t="e">
        <f>INDEX(Sheet2!$AA$2:$AS$228,QUOTIENT(ROW()-1,19)+1,MOD(ROW()-2,19)+1)</f>
        <v>#N/A</v>
      </c>
      <c r="DL56" t="str">
        <f>IFERROR(INDEX(Sheet2!$AU$2:$BM$228,QUOTIENT(ROW()-1,19)+1,MOD(ROW()-2,19)+1),NA())</f>
        <v/>
      </c>
      <c r="DM56" s="4" t="e">
        <f t="shared" si="0"/>
        <v>#N/A</v>
      </c>
      <c r="DN56" t="e">
        <f t="shared" si="1"/>
        <v>#N/A</v>
      </c>
      <c r="DO56" t="e">
        <f t="shared" si="2"/>
        <v>#N/A</v>
      </c>
      <c r="DV56" s="4"/>
      <c r="DW56" s="4"/>
      <c r="DX56" s="4"/>
      <c r="DY56" s="4"/>
    </row>
    <row r="57" spans="7:152" x14ac:dyDescent="0.25">
      <c r="G57"/>
      <c r="DI57" s="4">
        <f>INDEX(Sheet2!A:A,QUOTIENT(ROW()-1,19)+2)</f>
        <v>41080</v>
      </c>
      <c r="DJ57" s="4">
        <f>INDEX(Sheet2!C:C,QUOTIENT(ROW()-1,19)+2)</f>
        <v>41274</v>
      </c>
      <c r="DK57" s="4" t="e">
        <f>INDEX(Sheet2!$AA$2:$AS$228,QUOTIENT(ROW()-1,19)+1,MOD(ROW()-2,19)+1)</f>
        <v>#N/A</v>
      </c>
      <c r="DL57" t="str">
        <f>IFERROR(INDEX(Sheet2!$AU$2:$BM$228,QUOTIENT(ROW()-1,19)+1,MOD(ROW()-2,19)+1),NA())</f>
        <v/>
      </c>
      <c r="DM57" s="4" t="e">
        <f t="shared" si="0"/>
        <v>#N/A</v>
      </c>
      <c r="DN57" t="e">
        <f t="shared" si="1"/>
        <v>#N/A</v>
      </c>
      <c r="DO57" t="e">
        <f t="shared" si="2"/>
        <v>#N/A</v>
      </c>
      <c r="DQ57" s="4"/>
      <c r="DV57" s="4"/>
      <c r="DW57" s="4"/>
      <c r="DX57" s="4"/>
      <c r="DY57" s="4"/>
    </row>
    <row r="58" spans="7:152" x14ac:dyDescent="0.25">
      <c r="G58"/>
      <c r="DI58" s="4">
        <f>INDEX(Sheet2!A:A,QUOTIENT(ROW()-1,19)+2)</f>
        <v>41080</v>
      </c>
      <c r="DJ58" s="4">
        <f>INDEX(Sheet2!C:C,QUOTIENT(ROW()-1,19)+2)</f>
        <v>41639</v>
      </c>
      <c r="DK58" s="4" t="e">
        <f>INDEX(Sheet2!$AA$2:$AS$228,QUOTIENT(ROW()-1,19)+1,MOD(ROW()-2,19)+1)</f>
        <v>#N/A</v>
      </c>
      <c r="DL58" t="str">
        <f>IFERROR(INDEX(Sheet2!$AU$2:$BM$228,QUOTIENT(ROW()-1,19)+1,MOD(ROW()-2,19)+1),NA())</f>
        <v/>
      </c>
      <c r="DM58" s="4" t="e">
        <f t="shared" si="0"/>
        <v>#N/A</v>
      </c>
      <c r="DN58" t="e">
        <f t="shared" si="1"/>
        <v>#N/A</v>
      </c>
      <c r="DO58" t="e">
        <f t="shared" si="2"/>
        <v>#N/A</v>
      </c>
      <c r="DS58" s="4"/>
      <c r="DT58" s="4"/>
      <c r="DU58" s="4"/>
      <c r="DV58" s="4"/>
      <c r="DW58" s="4"/>
      <c r="DX58" s="4"/>
      <c r="DY58" s="4"/>
    </row>
    <row r="59" spans="7:152" x14ac:dyDescent="0.25">
      <c r="G59"/>
      <c r="DI59" s="4">
        <f>INDEX(Sheet2!A:A,QUOTIENT(ROW()-1,19)+2)</f>
        <v>41080</v>
      </c>
      <c r="DJ59" s="4">
        <f>INDEX(Sheet2!C:C,QUOTIENT(ROW()-1,19)+2)</f>
        <v>41639</v>
      </c>
      <c r="DK59" s="4">
        <f>INDEX(Sheet2!$AA$2:$AS$228,QUOTIENT(ROW()-1,19)+1,MOD(ROW()-2,19)+1)</f>
        <v>41518.549999999996</v>
      </c>
      <c r="DL59">
        <f>IFERROR(INDEX(Sheet2!$AU$2:$BM$228,QUOTIENT(ROW()-1,19)+1,MOD(ROW()-2,19)+1),NA())</f>
        <v>0.25</v>
      </c>
      <c r="DM59" s="4" t="e">
        <f t="shared" si="0"/>
        <v>#N/A</v>
      </c>
      <c r="DN59" t="e">
        <f t="shared" si="1"/>
        <v>#N/A</v>
      </c>
      <c r="DO59" t="e">
        <f t="shared" si="2"/>
        <v>#N/A</v>
      </c>
    </row>
    <row r="60" spans="7:152" x14ac:dyDescent="0.25">
      <c r="G60"/>
      <c r="DI60" s="4">
        <f>INDEX(Sheet2!A:A,QUOTIENT(ROW()-1,19)+2)</f>
        <v>41080</v>
      </c>
      <c r="DJ60" s="4">
        <f>INDEX(Sheet2!C:C,QUOTIENT(ROW()-1,19)+2)</f>
        <v>41639</v>
      </c>
      <c r="DK60" s="4">
        <f>INDEX(Sheet2!$AA$2:$AS$228,QUOTIENT(ROW()-1,19)+1,MOD(ROW()-2,19)+1)</f>
        <v>41538.625</v>
      </c>
      <c r="DL60">
        <f>IFERROR(INDEX(Sheet2!$AU$2:$BM$228,QUOTIENT(ROW()-1,19)+1,MOD(ROW()-2,19)+1),NA())</f>
        <v>0.25</v>
      </c>
      <c r="DM60" s="4" t="e">
        <f t="shared" si="0"/>
        <v>#N/A</v>
      </c>
      <c r="DN60" t="e">
        <f t="shared" si="1"/>
        <v>#N/A</v>
      </c>
      <c r="DO60" t="e">
        <f t="shared" si="2"/>
        <v>#N/A</v>
      </c>
    </row>
    <row r="61" spans="7:152" x14ac:dyDescent="0.25">
      <c r="G61"/>
      <c r="DI61" s="4">
        <f>INDEX(Sheet2!A:A,QUOTIENT(ROW()-1,19)+2)</f>
        <v>41080</v>
      </c>
      <c r="DJ61" s="4">
        <f>INDEX(Sheet2!C:C,QUOTIENT(ROW()-1,19)+2)</f>
        <v>41639</v>
      </c>
      <c r="DK61" s="4">
        <f>INDEX(Sheet2!$AA$2:$AS$228,QUOTIENT(ROW()-1,19)+1,MOD(ROW()-2,19)+1)</f>
        <v>41558.699999999997</v>
      </c>
      <c r="DL61">
        <f>IFERROR(INDEX(Sheet2!$AU$2:$BM$228,QUOTIENT(ROW()-1,19)+1,MOD(ROW()-2,19)+1),NA())</f>
        <v>0.25</v>
      </c>
      <c r="DM61" s="4" t="e">
        <f t="shared" si="0"/>
        <v>#N/A</v>
      </c>
      <c r="DN61" t="e">
        <f t="shared" si="1"/>
        <v>#N/A</v>
      </c>
      <c r="DO61" t="e">
        <f t="shared" si="2"/>
        <v>#N/A</v>
      </c>
      <c r="DQ61" t="str">
        <f t="shared" ref="DQ61:ER61" ca="1" si="20">IFERROR(INDEX($DR$47:$DU$53,MATCH(DQ62,$DQ$47:$DQ$53,0),MATCH(DQ64,$DR$46:$DU$46,0)),"")</f>
        <v>Jun-14 Median</v>
      </c>
      <c r="DR61" t="str">
        <f t="shared" ca="1" si="20"/>
        <v>Dec-13 Median</v>
      </c>
      <c r="DS61" t="str">
        <f t="shared" ca="1" si="20"/>
        <v>Eurodollar Futures</v>
      </c>
      <c r="DT61" t="str">
        <f t="shared" ca="1" si="20"/>
        <v>Fed Funds Futures</v>
      </c>
      <c r="DU61" t="str">
        <f t="shared" si="20"/>
        <v/>
      </c>
      <c r="DV61" t="str">
        <f t="shared" si="20"/>
        <v/>
      </c>
      <c r="DW61" t="str">
        <f t="shared" si="20"/>
        <v/>
      </c>
      <c r="DX61" t="str">
        <f t="shared" si="20"/>
        <v/>
      </c>
      <c r="DY61" t="str">
        <f t="shared" ca="1" si="20"/>
        <v/>
      </c>
      <c r="DZ61">
        <f t="shared" ca="1" si="20"/>
        <v>0.25</v>
      </c>
      <c r="EA61" t="str">
        <f t="shared" ca="1" si="20"/>
        <v/>
      </c>
      <c r="EB61" t="str">
        <f t="shared" ca="1" si="20"/>
        <v/>
      </c>
      <c r="EC61">
        <f t="shared" ca="1" si="20"/>
        <v>0.25</v>
      </c>
      <c r="ED61">
        <f t="shared" ca="1" si="20"/>
        <v>0.25</v>
      </c>
      <c r="EE61">
        <f t="shared" ca="1" si="20"/>
        <v>0.25499999999999545</v>
      </c>
      <c r="EF61">
        <f t="shared" ca="1" si="20"/>
        <v>9.9999999999994316E-2</v>
      </c>
      <c r="EG61">
        <f t="shared" ca="1" si="20"/>
        <v>1.125</v>
      </c>
      <c r="EH61">
        <f t="shared" ca="1" si="20"/>
        <v>0.75</v>
      </c>
      <c r="EI61">
        <f t="shared" ca="1" si="20"/>
        <v>1.0649999999999977</v>
      </c>
      <c r="EJ61">
        <f t="shared" ca="1" si="20"/>
        <v>0.75499999999999545</v>
      </c>
      <c r="EK61">
        <f t="shared" ca="1" si="20"/>
        <v>2.5</v>
      </c>
      <c r="EL61">
        <f t="shared" ca="1" si="20"/>
        <v>1.75</v>
      </c>
      <c r="EM61">
        <f t="shared" ca="1" si="20"/>
        <v>2.1500000000000057</v>
      </c>
      <c r="EN61">
        <f t="shared" ca="1" si="20"/>
        <v>1.8050000000000068</v>
      </c>
      <c r="EO61">
        <f t="shared" ca="1" si="20"/>
        <v>3.75</v>
      </c>
      <c r="EP61">
        <f t="shared" ca="1" si="20"/>
        <v>4</v>
      </c>
      <c r="EQ61" t="str">
        <f t="shared" ca="1" si="20"/>
        <v/>
      </c>
      <c r="ER61" t="str">
        <f t="shared" ca="1" si="20"/>
        <v/>
      </c>
    </row>
    <row r="62" spans="7:152" x14ac:dyDescent="0.25">
      <c r="G62"/>
      <c r="DI62" s="4">
        <f>INDEX(Sheet2!A:A,QUOTIENT(ROW()-1,19)+2)</f>
        <v>41080</v>
      </c>
      <c r="DJ62" s="4">
        <f>INDEX(Sheet2!C:C,QUOTIENT(ROW()-1,19)+2)</f>
        <v>41639</v>
      </c>
      <c r="DK62" s="4">
        <f>INDEX(Sheet2!$AA$2:$AS$228,QUOTIENT(ROW()-1,19)+1,MOD(ROW()-2,19)+1)</f>
        <v>41578.775000000001</v>
      </c>
      <c r="DL62">
        <f>IFERROR(INDEX(Sheet2!$AU$2:$BM$228,QUOTIENT(ROW()-1,19)+1,MOD(ROW()-2,19)+1),NA())</f>
        <v>0.25</v>
      </c>
      <c r="DM62" s="4" t="e">
        <f t="shared" si="0"/>
        <v>#N/A</v>
      </c>
      <c r="DN62" t="e">
        <f t="shared" si="1"/>
        <v>#N/A</v>
      </c>
      <c r="DO62" t="e">
        <f t="shared" si="2"/>
        <v>#N/A</v>
      </c>
      <c r="DQ62" s="4">
        <f t="shared" ref="DQ62:ER62" ca="1" si="21">INDEX($DQ$47:$DQ$53,QUOTIENT(COLUMN()-COLUMN(TopTableData),4)+1)</f>
        <v>41274</v>
      </c>
      <c r="DR62" s="4">
        <f t="shared" ca="1" si="21"/>
        <v>41274</v>
      </c>
      <c r="DS62" s="4">
        <f t="shared" ca="1" si="21"/>
        <v>41274</v>
      </c>
      <c r="DT62" s="4">
        <f t="shared" ca="1" si="21"/>
        <v>41274</v>
      </c>
      <c r="DU62" s="4" t="e">
        <f t="shared" si="21"/>
        <v>#N/A</v>
      </c>
      <c r="DV62" s="4" t="e">
        <f t="shared" si="21"/>
        <v>#N/A</v>
      </c>
      <c r="DW62" s="4" t="e">
        <f t="shared" si="21"/>
        <v>#N/A</v>
      </c>
      <c r="DX62" s="4" t="e">
        <f t="shared" si="21"/>
        <v>#N/A</v>
      </c>
      <c r="DY62" s="4">
        <f t="shared" si="21"/>
        <v>41639</v>
      </c>
      <c r="DZ62" s="4">
        <f t="shared" si="21"/>
        <v>41639</v>
      </c>
      <c r="EA62" s="4">
        <f t="shared" si="21"/>
        <v>41639</v>
      </c>
      <c r="EB62" s="4">
        <f t="shared" si="21"/>
        <v>41639</v>
      </c>
      <c r="EC62" s="4">
        <f t="shared" si="21"/>
        <v>42004</v>
      </c>
      <c r="ED62" s="4">
        <f t="shared" si="21"/>
        <v>42004</v>
      </c>
      <c r="EE62" s="4">
        <f t="shared" si="21"/>
        <v>42004</v>
      </c>
      <c r="EF62" s="4">
        <f t="shared" si="21"/>
        <v>42004</v>
      </c>
      <c r="EG62" s="4">
        <f t="shared" si="21"/>
        <v>42369</v>
      </c>
      <c r="EH62" s="4">
        <f t="shared" si="21"/>
        <v>42369</v>
      </c>
      <c r="EI62" s="4">
        <f t="shared" si="21"/>
        <v>42369</v>
      </c>
      <c r="EJ62" s="4">
        <f t="shared" si="21"/>
        <v>42369</v>
      </c>
      <c r="EK62" s="4">
        <f t="shared" si="21"/>
        <v>42735</v>
      </c>
      <c r="EL62" s="4">
        <f t="shared" si="21"/>
        <v>42735</v>
      </c>
      <c r="EM62" s="4">
        <f t="shared" si="21"/>
        <v>42735</v>
      </c>
      <c r="EN62" s="4">
        <f t="shared" si="21"/>
        <v>42735</v>
      </c>
      <c r="EO62" s="4">
        <f t="shared" si="21"/>
        <v>43100</v>
      </c>
      <c r="EP62" s="4">
        <f t="shared" si="21"/>
        <v>43100</v>
      </c>
      <c r="EQ62" s="4">
        <f t="shared" si="21"/>
        <v>43100</v>
      </c>
      <c r="ER62" s="4">
        <f t="shared" si="21"/>
        <v>43100</v>
      </c>
      <c r="ES62" s="4"/>
      <c r="ET62" s="4"/>
      <c r="EU62" s="4"/>
      <c r="EV62" s="4"/>
    </row>
    <row r="63" spans="7:152" x14ac:dyDescent="0.25">
      <c r="G63"/>
      <c r="DI63" s="4">
        <f>INDEX(Sheet2!A:A,QUOTIENT(ROW()-1,19)+2)</f>
        <v>41080</v>
      </c>
      <c r="DJ63" s="4">
        <f>INDEX(Sheet2!C:C,QUOTIENT(ROW()-1,19)+2)</f>
        <v>41639</v>
      </c>
      <c r="DK63" s="4">
        <f>INDEX(Sheet2!$AA$2:$AS$228,QUOTIENT(ROW()-1,19)+1,MOD(ROW()-2,19)+1)</f>
        <v>41598.85</v>
      </c>
      <c r="DL63">
        <f>IFERROR(INDEX(Sheet2!$AU$2:$BM$228,QUOTIENT(ROW()-1,19)+1,MOD(ROW()-2,19)+1),NA())</f>
        <v>0.25</v>
      </c>
      <c r="DM63" s="4" t="e">
        <f t="shared" si="0"/>
        <v>#N/A</v>
      </c>
      <c r="DN63" t="e">
        <f t="shared" si="1"/>
        <v>#N/A</v>
      </c>
      <c r="DO63" t="e">
        <f t="shared" si="2"/>
        <v>#N/A</v>
      </c>
      <c r="DQ63">
        <f>-DQ64</f>
        <v>-1</v>
      </c>
      <c r="DR63">
        <f t="shared" ref="DR63:ER63" si="22">-DR64</f>
        <v>-2</v>
      </c>
      <c r="DS63">
        <f t="shared" si="22"/>
        <v>-3.5</v>
      </c>
      <c r="DT63">
        <f t="shared" si="22"/>
        <v>-4.5</v>
      </c>
      <c r="DU63">
        <f t="shared" si="22"/>
        <v>-1</v>
      </c>
      <c r="DV63">
        <f t="shared" si="22"/>
        <v>-2</v>
      </c>
      <c r="DW63">
        <f t="shared" si="22"/>
        <v>-3.5</v>
      </c>
      <c r="DX63">
        <f t="shared" si="22"/>
        <v>-4.5</v>
      </c>
      <c r="DY63">
        <f t="shared" si="22"/>
        <v>-1</v>
      </c>
      <c r="DZ63">
        <f t="shared" si="22"/>
        <v>-2</v>
      </c>
      <c r="EA63">
        <f t="shared" si="22"/>
        <v>-3.5</v>
      </c>
      <c r="EB63">
        <f t="shared" si="22"/>
        <v>-4.5</v>
      </c>
      <c r="EC63">
        <f t="shared" si="22"/>
        <v>-1</v>
      </c>
      <c r="ED63">
        <f t="shared" si="22"/>
        <v>-2</v>
      </c>
      <c r="EE63">
        <f t="shared" si="22"/>
        <v>-3.5</v>
      </c>
      <c r="EF63">
        <f t="shared" si="22"/>
        <v>-4.5</v>
      </c>
      <c r="EG63">
        <f t="shared" si="22"/>
        <v>-1</v>
      </c>
      <c r="EH63">
        <f t="shared" si="22"/>
        <v>-2</v>
      </c>
      <c r="EI63">
        <f t="shared" si="22"/>
        <v>-3.5</v>
      </c>
      <c r="EJ63">
        <f t="shared" si="22"/>
        <v>-4.5</v>
      </c>
      <c r="EK63">
        <f t="shared" si="22"/>
        <v>-1</v>
      </c>
      <c r="EL63">
        <f t="shared" si="22"/>
        <v>-2</v>
      </c>
      <c r="EM63">
        <f t="shared" si="22"/>
        <v>-3.5</v>
      </c>
      <c r="EN63">
        <f t="shared" si="22"/>
        <v>-4.5</v>
      </c>
      <c r="EO63">
        <f t="shared" si="22"/>
        <v>-1</v>
      </c>
      <c r="EP63">
        <f t="shared" si="22"/>
        <v>-2</v>
      </c>
      <c r="EQ63">
        <f t="shared" si="22"/>
        <v>-3.5</v>
      </c>
      <c r="ER63">
        <f t="shared" si="22"/>
        <v>-4.5</v>
      </c>
    </row>
    <row r="64" spans="7:152" x14ac:dyDescent="0.25">
      <c r="G64"/>
      <c r="DI64" s="4">
        <f>INDEX(Sheet2!A:A,QUOTIENT(ROW()-1,19)+2)</f>
        <v>41080</v>
      </c>
      <c r="DJ64" s="4">
        <f>INDEX(Sheet2!C:C,QUOTIENT(ROW()-1,19)+2)</f>
        <v>41639</v>
      </c>
      <c r="DK64" s="4">
        <f>INDEX(Sheet2!$AA$2:$AS$228,QUOTIENT(ROW()-1,19)+1,MOD(ROW()-2,19)+1)</f>
        <v>41618.924999999996</v>
      </c>
      <c r="DL64">
        <f>IFERROR(INDEX(Sheet2!$AU$2:$BM$228,QUOTIENT(ROW()-1,19)+1,MOD(ROW()-2,19)+1),NA())</f>
        <v>0.25</v>
      </c>
      <c r="DM64" s="4" t="e">
        <f t="shared" si="0"/>
        <v>#N/A</v>
      </c>
      <c r="DN64" t="e">
        <f t="shared" si="1"/>
        <v>#N/A</v>
      </c>
      <c r="DO64" t="e">
        <f t="shared" si="2"/>
        <v>#N/A</v>
      </c>
      <c r="DQ64">
        <f t="shared" ref="DQ64:ER64" si="23">INDEX($DR$46:$DU$46,MOD(COLUMN()-COLUMN(TopTableData),4)+1)</f>
        <v>1</v>
      </c>
      <c r="DR64">
        <f t="shared" si="23"/>
        <v>2</v>
      </c>
      <c r="DS64">
        <f t="shared" si="23"/>
        <v>3.5</v>
      </c>
      <c r="DT64">
        <f t="shared" si="23"/>
        <v>4.5</v>
      </c>
      <c r="DU64">
        <f t="shared" si="23"/>
        <v>1</v>
      </c>
      <c r="DV64">
        <f t="shared" si="23"/>
        <v>2</v>
      </c>
      <c r="DW64">
        <f t="shared" si="23"/>
        <v>3.5</v>
      </c>
      <c r="DX64">
        <f t="shared" si="23"/>
        <v>4.5</v>
      </c>
      <c r="DY64">
        <f t="shared" si="23"/>
        <v>1</v>
      </c>
      <c r="DZ64">
        <f t="shared" si="23"/>
        <v>2</v>
      </c>
      <c r="EA64">
        <f t="shared" si="23"/>
        <v>3.5</v>
      </c>
      <c r="EB64">
        <f t="shared" si="23"/>
        <v>4.5</v>
      </c>
      <c r="EC64">
        <f t="shared" si="23"/>
        <v>1</v>
      </c>
      <c r="ED64">
        <f t="shared" si="23"/>
        <v>2</v>
      </c>
      <c r="EE64">
        <f t="shared" si="23"/>
        <v>3.5</v>
      </c>
      <c r="EF64">
        <f t="shared" si="23"/>
        <v>4.5</v>
      </c>
      <c r="EG64">
        <f t="shared" si="23"/>
        <v>1</v>
      </c>
      <c r="EH64">
        <f t="shared" si="23"/>
        <v>2</v>
      </c>
      <c r="EI64">
        <f t="shared" si="23"/>
        <v>3.5</v>
      </c>
      <c r="EJ64">
        <f t="shared" si="23"/>
        <v>4.5</v>
      </c>
      <c r="EK64">
        <f t="shared" si="23"/>
        <v>1</v>
      </c>
      <c r="EL64">
        <f t="shared" si="23"/>
        <v>2</v>
      </c>
      <c r="EM64">
        <f t="shared" si="23"/>
        <v>3.5</v>
      </c>
      <c r="EN64">
        <f t="shared" si="23"/>
        <v>4.5</v>
      </c>
      <c r="EO64">
        <f t="shared" si="23"/>
        <v>1</v>
      </c>
      <c r="EP64">
        <f t="shared" si="23"/>
        <v>2</v>
      </c>
      <c r="EQ64">
        <f t="shared" si="23"/>
        <v>3.5</v>
      </c>
      <c r="ER64">
        <f t="shared" si="23"/>
        <v>4.5</v>
      </c>
    </row>
    <row r="65" spans="7:125" x14ac:dyDescent="0.25">
      <c r="G65"/>
      <c r="DI65" s="4">
        <f>INDEX(Sheet2!A:A,QUOTIENT(ROW()-1,19)+2)</f>
        <v>41080</v>
      </c>
      <c r="DJ65" s="4">
        <f>INDEX(Sheet2!C:C,QUOTIENT(ROW()-1,19)+2)</f>
        <v>41639</v>
      </c>
      <c r="DK65" s="4">
        <f>INDEX(Sheet2!$AA$2:$AS$228,QUOTIENT(ROW()-1,19)+1,MOD(ROW()-2,19)+1)</f>
        <v>41639</v>
      </c>
      <c r="DL65">
        <f>IFERROR(INDEX(Sheet2!$AU$2:$BM$228,QUOTIENT(ROW()-1,19)+1,MOD(ROW()-2,19)+1),NA())</f>
        <v>0.25</v>
      </c>
      <c r="DM65" s="4" t="e">
        <f t="shared" si="0"/>
        <v>#N/A</v>
      </c>
      <c r="DN65" t="e">
        <f t="shared" si="1"/>
        <v>#N/A</v>
      </c>
      <c r="DO65" t="e">
        <f t="shared" si="2"/>
        <v>#N/A</v>
      </c>
      <c r="DR65" s="4"/>
    </row>
    <row r="66" spans="7:125" x14ac:dyDescent="0.25">
      <c r="G66"/>
      <c r="DI66" s="4">
        <f>INDEX(Sheet2!A:A,QUOTIENT(ROW()-1,19)+2)</f>
        <v>41080</v>
      </c>
      <c r="DJ66" s="4">
        <f>INDEX(Sheet2!C:C,QUOTIENT(ROW()-1,19)+2)</f>
        <v>41639</v>
      </c>
      <c r="DK66" s="4">
        <f>INDEX(Sheet2!$AA$2:$AS$228,QUOTIENT(ROW()-1,19)+1,MOD(ROW()-2,19)+1)</f>
        <v>41659.074999999997</v>
      </c>
      <c r="DL66">
        <f>IFERROR(INDEX(Sheet2!$AU$2:$BM$228,QUOTIENT(ROW()-1,19)+1,MOD(ROW()-2,19)+1),NA())</f>
        <v>0.25</v>
      </c>
      <c r="DM66" s="4" t="e">
        <f t="shared" ref="DM66:DM129" si="24">+IF($C$2=$DI66,DK66,NA())</f>
        <v>#N/A</v>
      </c>
      <c r="DN66" t="e">
        <f t="shared" ref="DN66:DN129" si="25">+IF($C$2=$DI66,DL66,NA())</f>
        <v>#N/A</v>
      </c>
      <c r="DO66" t="e">
        <f t="shared" si="2"/>
        <v>#N/A</v>
      </c>
      <c r="DR66" s="4"/>
    </row>
    <row r="67" spans="7:125" x14ac:dyDescent="0.25">
      <c r="G67"/>
      <c r="DI67" s="4">
        <f>INDEX(Sheet2!A:A,QUOTIENT(ROW()-1,19)+2)</f>
        <v>41080</v>
      </c>
      <c r="DJ67" s="4">
        <f>INDEX(Sheet2!C:C,QUOTIENT(ROW()-1,19)+2)</f>
        <v>41639</v>
      </c>
      <c r="DK67" s="4">
        <f>INDEX(Sheet2!$AA$2:$AS$228,QUOTIENT(ROW()-1,19)+1,MOD(ROW()-2,19)+1)</f>
        <v>41679.15</v>
      </c>
      <c r="DL67">
        <f>IFERROR(INDEX(Sheet2!$AU$2:$BM$228,QUOTIENT(ROW()-1,19)+1,MOD(ROW()-2,19)+1),NA())</f>
        <v>0.25</v>
      </c>
      <c r="DM67" s="4" t="e">
        <f t="shared" si="24"/>
        <v>#N/A</v>
      </c>
      <c r="DN67" t="e">
        <f t="shared" si="25"/>
        <v>#N/A</v>
      </c>
      <c r="DO67" t="e">
        <f t="shared" ref="DO67:DO130" si="26">IF(DN67="",NA(),DN67)</f>
        <v>#N/A</v>
      </c>
      <c r="DQ67" s="4"/>
      <c r="DR67" s="4"/>
      <c r="DS67" s="4"/>
      <c r="DT67" s="4"/>
      <c r="DU67" s="4"/>
    </row>
    <row r="68" spans="7:125" x14ac:dyDescent="0.25">
      <c r="G68"/>
      <c r="DI68" s="4">
        <f>INDEX(Sheet2!A:A,QUOTIENT(ROW()-1,19)+2)</f>
        <v>41080</v>
      </c>
      <c r="DJ68" s="4">
        <f>INDEX(Sheet2!C:C,QUOTIENT(ROW()-1,19)+2)</f>
        <v>41639</v>
      </c>
      <c r="DK68" s="4">
        <f>INDEX(Sheet2!$AA$2:$AS$228,QUOTIENT(ROW()-1,19)+1,MOD(ROW()-2,19)+1)</f>
        <v>41699.224999999999</v>
      </c>
      <c r="DL68">
        <f>IFERROR(INDEX(Sheet2!$AU$2:$BM$228,QUOTIENT(ROW()-1,19)+1,MOD(ROW()-2,19)+1),NA())</f>
        <v>0.25</v>
      </c>
      <c r="DM68" s="4" t="e">
        <f t="shared" si="24"/>
        <v>#N/A</v>
      </c>
      <c r="DN68" t="e">
        <f t="shared" si="25"/>
        <v>#N/A</v>
      </c>
      <c r="DO68" t="e">
        <f t="shared" si="26"/>
        <v>#N/A</v>
      </c>
      <c r="DQ68" s="4"/>
      <c r="DR68" s="4"/>
      <c r="DS68" s="4"/>
      <c r="DT68" s="4"/>
      <c r="DU68" s="4"/>
    </row>
    <row r="69" spans="7:125" x14ac:dyDescent="0.25">
      <c r="G69"/>
      <c r="DI69" s="4">
        <f>INDEX(Sheet2!A:A,QUOTIENT(ROW()-1,19)+2)</f>
        <v>41080</v>
      </c>
      <c r="DJ69" s="4">
        <f>INDEX(Sheet2!C:C,QUOTIENT(ROW()-1,19)+2)</f>
        <v>41639</v>
      </c>
      <c r="DK69" s="4">
        <f>INDEX(Sheet2!$AA$2:$AS$228,QUOTIENT(ROW()-1,19)+1,MOD(ROW()-2,19)+1)</f>
        <v>41719.299999999996</v>
      </c>
      <c r="DL69">
        <f>IFERROR(INDEX(Sheet2!$AU$2:$BM$228,QUOTIENT(ROW()-1,19)+1,MOD(ROW()-2,19)+1),NA())</f>
        <v>0.25</v>
      </c>
      <c r="DM69" s="4" t="e">
        <f t="shared" si="24"/>
        <v>#N/A</v>
      </c>
      <c r="DN69" t="e">
        <f t="shared" si="25"/>
        <v>#N/A</v>
      </c>
      <c r="DO69" t="e">
        <f t="shared" si="26"/>
        <v>#N/A</v>
      </c>
      <c r="DQ69" s="4"/>
      <c r="DR69" s="4"/>
      <c r="DS69" s="4"/>
      <c r="DT69" s="4"/>
      <c r="DU69" s="4"/>
    </row>
    <row r="70" spans="7:125" x14ac:dyDescent="0.25">
      <c r="G70"/>
      <c r="DI70" s="4">
        <f>INDEX(Sheet2!A:A,QUOTIENT(ROW()-1,19)+2)</f>
        <v>41080</v>
      </c>
      <c r="DJ70" s="4">
        <f>INDEX(Sheet2!C:C,QUOTIENT(ROW()-1,19)+2)</f>
        <v>41639</v>
      </c>
      <c r="DK70" s="4">
        <f>INDEX(Sheet2!$AA$2:$AS$228,QUOTIENT(ROW()-1,19)+1,MOD(ROW()-2,19)+1)</f>
        <v>41739.375</v>
      </c>
      <c r="DL70">
        <f>IFERROR(INDEX(Sheet2!$AU$2:$BM$228,QUOTIENT(ROW()-1,19)+1,MOD(ROW()-2,19)+1),NA())</f>
        <v>0.25</v>
      </c>
      <c r="DM70" s="4" t="e">
        <f t="shared" si="24"/>
        <v>#N/A</v>
      </c>
      <c r="DN70" t="e">
        <f t="shared" si="25"/>
        <v>#N/A</v>
      </c>
      <c r="DO70" t="e">
        <f t="shared" si="26"/>
        <v>#N/A</v>
      </c>
      <c r="DQ70" s="4"/>
      <c r="DR70" s="4"/>
      <c r="DS70" s="4"/>
      <c r="DT70" s="4"/>
      <c r="DU70" s="4"/>
    </row>
    <row r="71" spans="7:125" x14ac:dyDescent="0.25">
      <c r="G71"/>
      <c r="DI71" s="4">
        <f>INDEX(Sheet2!A:A,QUOTIENT(ROW()-1,19)+2)</f>
        <v>41080</v>
      </c>
      <c r="DJ71" s="4">
        <f>INDEX(Sheet2!C:C,QUOTIENT(ROW()-1,19)+2)</f>
        <v>41639</v>
      </c>
      <c r="DK71" s="4">
        <f>INDEX(Sheet2!$AA$2:$AS$228,QUOTIENT(ROW()-1,19)+1,MOD(ROW()-2,19)+1)</f>
        <v>41759.449999999997</v>
      </c>
      <c r="DL71">
        <f>IFERROR(INDEX(Sheet2!$AU$2:$BM$228,QUOTIENT(ROW()-1,19)+1,MOD(ROW()-2,19)+1),NA())</f>
        <v>0.25</v>
      </c>
      <c r="DM71" s="4" t="e">
        <f t="shared" si="24"/>
        <v>#N/A</v>
      </c>
      <c r="DN71" t="e">
        <f t="shared" si="25"/>
        <v>#N/A</v>
      </c>
      <c r="DO71" t="e">
        <f t="shared" si="26"/>
        <v>#N/A</v>
      </c>
      <c r="DQ71" s="4"/>
      <c r="DR71" s="4"/>
      <c r="DS71" s="4"/>
      <c r="DT71" s="4"/>
      <c r="DU71" s="4"/>
    </row>
    <row r="72" spans="7:125" x14ac:dyDescent="0.25">
      <c r="G72"/>
      <c r="DI72" s="4">
        <f>INDEX(Sheet2!A:A,QUOTIENT(ROW()-1,19)+2)</f>
        <v>41080</v>
      </c>
      <c r="DJ72" s="4">
        <f>INDEX(Sheet2!C:C,QUOTIENT(ROW()-1,19)+2)</f>
        <v>41639</v>
      </c>
      <c r="DK72" s="4" t="e">
        <f>INDEX(Sheet2!$AA$2:$AS$228,QUOTIENT(ROW()-1,19)+1,MOD(ROW()-2,19)+1)</f>
        <v>#N/A</v>
      </c>
      <c r="DL72" t="str">
        <f>IFERROR(INDEX(Sheet2!$AU$2:$BM$228,QUOTIENT(ROW()-1,19)+1,MOD(ROW()-2,19)+1),NA())</f>
        <v/>
      </c>
      <c r="DM72" s="4" t="e">
        <f t="shared" si="24"/>
        <v>#N/A</v>
      </c>
      <c r="DN72" t="e">
        <f t="shared" si="25"/>
        <v>#N/A</v>
      </c>
      <c r="DO72" t="e">
        <f t="shared" si="26"/>
        <v>#N/A</v>
      </c>
      <c r="DQ72" s="4"/>
      <c r="DR72" s="4"/>
      <c r="DS72" s="4"/>
      <c r="DT72" s="4"/>
      <c r="DU72" s="4"/>
    </row>
    <row r="73" spans="7:125" x14ac:dyDescent="0.25">
      <c r="G73"/>
      <c r="DI73" s="4">
        <f>INDEX(Sheet2!A:A,QUOTIENT(ROW()-1,19)+2)</f>
        <v>41080</v>
      </c>
      <c r="DJ73" s="4">
        <f>INDEX(Sheet2!C:C,QUOTIENT(ROW()-1,19)+2)</f>
        <v>41639</v>
      </c>
      <c r="DK73" s="4" t="e">
        <f>INDEX(Sheet2!$AA$2:$AS$228,QUOTIENT(ROW()-1,19)+1,MOD(ROW()-2,19)+1)</f>
        <v>#N/A</v>
      </c>
      <c r="DL73" t="str">
        <f>IFERROR(INDEX(Sheet2!$AU$2:$BM$228,QUOTIENT(ROW()-1,19)+1,MOD(ROW()-2,19)+1),NA())</f>
        <v/>
      </c>
      <c r="DM73" s="4" t="e">
        <f t="shared" si="24"/>
        <v>#N/A</v>
      </c>
      <c r="DN73" t="e">
        <f t="shared" si="25"/>
        <v>#N/A</v>
      </c>
      <c r="DO73" t="e">
        <f t="shared" si="26"/>
        <v>#N/A</v>
      </c>
      <c r="DQ73" s="4"/>
      <c r="DR73" s="4"/>
      <c r="DS73" s="4"/>
      <c r="DT73" s="4"/>
      <c r="DU73" s="4"/>
    </row>
    <row r="74" spans="7:125" x14ac:dyDescent="0.25">
      <c r="G74"/>
      <c r="DI74" s="4">
        <f>INDEX(Sheet2!A:A,QUOTIENT(ROW()-1,19)+2)</f>
        <v>41080</v>
      </c>
      <c r="DJ74" s="4">
        <f>INDEX(Sheet2!C:C,QUOTIENT(ROW()-1,19)+2)</f>
        <v>41639</v>
      </c>
      <c r="DK74" s="4" t="e">
        <f>INDEX(Sheet2!$AA$2:$AS$228,QUOTIENT(ROW()-1,19)+1,MOD(ROW()-2,19)+1)</f>
        <v>#N/A</v>
      </c>
      <c r="DL74" t="str">
        <f>IFERROR(INDEX(Sheet2!$AU$2:$BM$228,QUOTIENT(ROW()-1,19)+1,MOD(ROW()-2,19)+1),NA())</f>
        <v/>
      </c>
      <c r="DM74" s="4" t="e">
        <f t="shared" si="24"/>
        <v>#N/A</v>
      </c>
      <c r="DN74" t="e">
        <f t="shared" si="25"/>
        <v>#N/A</v>
      </c>
      <c r="DO74" t="e">
        <f t="shared" si="26"/>
        <v>#N/A</v>
      </c>
      <c r="DR74" s="4"/>
    </row>
    <row r="75" spans="7:125" x14ac:dyDescent="0.25">
      <c r="G75"/>
      <c r="DI75" s="4">
        <f>INDEX(Sheet2!A:A,QUOTIENT(ROW()-1,19)+2)</f>
        <v>41080</v>
      </c>
      <c r="DJ75" s="4">
        <f>INDEX(Sheet2!C:C,QUOTIENT(ROW()-1,19)+2)</f>
        <v>41639</v>
      </c>
      <c r="DK75" s="4" t="e">
        <f>INDEX(Sheet2!$AA$2:$AS$228,QUOTIENT(ROW()-1,19)+1,MOD(ROW()-2,19)+1)</f>
        <v>#N/A</v>
      </c>
      <c r="DL75" t="str">
        <f>IFERROR(INDEX(Sheet2!$AU$2:$BM$228,QUOTIENT(ROW()-1,19)+1,MOD(ROW()-2,19)+1),NA())</f>
        <v/>
      </c>
      <c r="DM75" s="4" t="e">
        <f t="shared" si="24"/>
        <v>#N/A</v>
      </c>
      <c r="DN75" t="e">
        <f t="shared" si="25"/>
        <v>#N/A</v>
      </c>
      <c r="DO75" t="e">
        <f t="shared" si="26"/>
        <v>#N/A</v>
      </c>
      <c r="DR75" s="4"/>
    </row>
    <row r="76" spans="7:125" x14ac:dyDescent="0.25">
      <c r="G76"/>
      <c r="DI76" s="4">
        <f>INDEX(Sheet2!A:A,QUOTIENT(ROW()-1,19)+2)</f>
        <v>41080</v>
      </c>
      <c r="DJ76" s="4">
        <f>INDEX(Sheet2!C:C,QUOTIENT(ROW()-1,19)+2)</f>
        <v>41639</v>
      </c>
      <c r="DK76" s="4" t="e">
        <f>INDEX(Sheet2!$AA$2:$AS$228,QUOTIENT(ROW()-1,19)+1,MOD(ROW()-2,19)+1)</f>
        <v>#N/A</v>
      </c>
      <c r="DL76" t="str">
        <f>IFERROR(INDEX(Sheet2!$AU$2:$BM$228,QUOTIENT(ROW()-1,19)+1,MOD(ROW()-2,19)+1),NA())</f>
        <v/>
      </c>
      <c r="DM76" s="4" t="e">
        <f t="shared" si="24"/>
        <v>#N/A</v>
      </c>
      <c r="DN76" t="e">
        <f t="shared" si="25"/>
        <v>#N/A</v>
      </c>
      <c r="DO76" t="e">
        <f t="shared" si="26"/>
        <v>#N/A</v>
      </c>
      <c r="DR76" s="4"/>
    </row>
    <row r="77" spans="7:125" x14ac:dyDescent="0.25">
      <c r="G77"/>
      <c r="DI77" s="4">
        <f>INDEX(Sheet2!A:A,QUOTIENT(ROW()-1,19)+2)</f>
        <v>41080</v>
      </c>
      <c r="DJ77" s="4">
        <f>INDEX(Sheet2!C:C,QUOTIENT(ROW()-1,19)+2)</f>
        <v>41639</v>
      </c>
      <c r="DK77" s="4" t="e">
        <f>INDEX(Sheet2!$AA$2:$AS$228,QUOTIENT(ROW()-1,19)+1,MOD(ROW()-2,19)+1)</f>
        <v>#N/A</v>
      </c>
      <c r="DL77" t="str">
        <f>IFERROR(INDEX(Sheet2!$AU$2:$BM$228,QUOTIENT(ROW()-1,19)+1,MOD(ROW()-2,19)+1),NA())</f>
        <v/>
      </c>
      <c r="DM77" s="4" t="e">
        <f t="shared" si="24"/>
        <v>#N/A</v>
      </c>
      <c r="DN77" t="e">
        <f t="shared" si="25"/>
        <v>#N/A</v>
      </c>
      <c r="DO77" t="e">
        <f t="shared" si="26"/>
        <v>#N/A</v>
      </c>
      <c r="DR77" s="4"/>
    </row>
    <row r="78" spans="7:125" x14ac:dyDescent="0.25">
      <c r="G78"/>
      <c r="DI78" s="4">
        <f>INDEX(Sheet2!A:A,QUOTIENT(ROW()-1,19)+2)</f>
        <v>41080</v>
      </c>
      <c r="DJ78" s="4">
        <f>INDEX(Sheet2!C:C,QUOTIENT(ROW()-1,19)+2)</f>
        <v>41639</v>
      </c>
      <c r="DK78" s="4">
        <f>INDEX(Sheet2!$AA$2:$AS$228,QUOTIENT(ROW()-1,19)+1,MOD(ROW()-2,19)+1)</f>
        <v>41639</v>
      </c>
      <c r="DL78">
        <f>IFERROR(INDEX(Sheet2!$AU$2:$BM$228,QUOTIENT(ROW()-1,19)+1,MOD(ROW()-2,19)+1),NA())</f>
        <v>0.5</v>
      </c>
      <c r="DM78" s="4" t="e">
        <f t="shared" si="24"/>
        <v>#N/A</v>
      </c>
      <c r="DN78" t="e">
        <f t="shared" si="25"/>
        <v>#N/A</v>
      </c>
      <c r="DO78" t="e">
        <f t="shared" si="26"/>
        <v>#N/A</v>
      </c>
      <c r="DR78" s="4"/>
    </row>
    <row r="79" spans="7:125" x14ac:dyDescent="0.25">
      <c r="G79"/>
      <c r="DI79" s="4">
        <f>INDEX(Sheet2!A:A,QUOTIENT(ROW()-1,19)+2)</f>
        <v>41080</v>
      </c>
      <c r="DJ79" s="4">
        <f>INDEX(Sheet2!C:C,QUOTIENT(ROW()-1,19)+2)</f>
        <v>41639</v>
      </c>
      <c r="DK79" s="4" t="e">
        <f>INDEX(Sheet2!$AA$2:$AS$228,QUOTIENT(ROW()-1,19)+1,MOD(ROW()-2,19)+1)</f>
        <v>#N/A</v>
      </c>
      <c r="DL79" t="str">
        <f>IFERROR(INDEX(Sheet2!$AU$2:$BM$228,QUOTIENT(ROW()-1,19)+1,MOD(ROW()-2,19)+1),NA())</f>
        <v/>
      </c>
      <c r="DM79" s="4" t="e">
        <f t="shared" si="24"/>
        <v>#N/A</v>
      </c>
      <c r="DN79" t="e">
        <f t="shared" si="25"/>
        <v>#N/A</v>
      </c>
      <c r="DO79" t="e">
        <f t="shared" si="26"/>
        <v>#N/A</v>
      </c>
      <c r="DR79" s="4"/>
    </row>
    <row r="80" spans="7:125" x14ac:dyDescent="0.25">
      <c r="G80"/>
      <c r="DI80" s="4">
        <f>INDEX(Sheet2!A:A,QUOTIENT(ROW()-1,19)+2)</f>
        <v>41080</v>
      </c>
      <c r="DJ80" s="4">
        <f>INDEX(Sheet2!C:C,QUOTIENT(ROW()-1,19)+2)</f>
        <v>41639</v>
      </c>
      <c r="DK80" s="4" t="e">
        <f>INDEX(Sheet2!$AA$2:$AS$228,QUOTIENT(ROW()-1,19)+1,MOD(ROW()-2,19)+1)</f>
        <v>#N/A</v>
      </c>
      <c r="DL80" t="str">
        <f>IFERROR(INDEX(Sheet2!$AU$2:$BM$228,QUOTIENT(ROW()-1,19)+1,MOD(ROW()-2,19)+1),NA())</f>
        <v/>
      </c>
      <c r="DM80" s="4" t="e">
        <f t="shared" si="24"/>
        <v>#N/A</v>
      </c>
      <c r="DN80" t="e">
        <f t="shared" si="25"/>
        <v>#N/A</v>
      </c>
      <c r="DO80" t="e">
        <f t="shared" si="26"/>
        <v>#N/A</v>
      </c>
      <c r="DR80" s="4"/>
    </row>
    <row r="81" spans="7:122" x14ac:dyDescent="0.25">
      <c r="G81"/>
      <c r="DI81" s="4">
        <f>INDEX(Sheet2!A:A,QUOTIENT(ROW()-1,19)+2)</f>
        <v>41080</v>
      </c>
      <c r="DJ81" s="4">
        <f>INDEX(Sheet2!C:C,QUOTIENT(ROW()-1,19)+2)</f>
        <v>41639</v>
      </c>
      <c r="DK81" s="4" t="e">
        <f>INDEX(Sheet2!$AA$2:$AS$228,QUOTIENT(ROW()-1,19)+1,MOD(ROW()-2,19)+1)</f>
        <v>#N/A</v>
      </c>
      <c r="DL81" t="str">
        <f>IFERROR(INDEX(Sheet2!$AU$2:$BM$228,QUOTIENT(ROW()-1,19)+1,MOD(ROW()-2,19)+1),NA())</f>
        <v/>
      </c>
      <c r="DM81" s="4" t="e">
        <f t="shared" si="24"/>
        <v>#N/A</v>
      </c>
      <c r="DN81" t="e">
        <f t="shared" si="25"/>
        <v>#N/A</v>
      </c>
      <c r="DO81" t="e">
        <f t="shared" si="26"/>
        <v>#N/A</v>
      </c>
      <c r="DR81" s="4"/>
    </row>
    <row r="82" spans="7:122" x14ac:dyDescent="0.25">
      <c r="G82"/>
      <c r="DI82" s="4">
        <f>INDEX(Sheet2!A:A,QUOTIENT(ROW()-1,19)+2)</f>
        <v>41080</v>
      </c>
      <c r="DJ82" s="4">
        <f>INDEX(Sheet2!C:C,QUOTIENT(ROW()-1,19)+2)</f>
        <v>41639</v>
      </c>
      <c r="DK82" s="4" t="e">
        <f>INDEX(Sheet2!$AA$2:$AS$228,QUOTIENT(ROW()-1,19)+1,MOD(ROW()-2,19)+1)</f>
        <v>#N/A</v>
      </c>
      <c r="DL82" t="str">
        <f>IFERROR(INDEX(Sheet2!$AU$2:$BM$228,QUOTIENT(ROW()-1,19)+1,MOD(ROW()-2,19)+1),NA())</f>
        <v/>
      </c>
      <c r="DM82" s="4" t="e">
        <f t="shared" si="24"/>
        <v>#N/A</v>
      </c>
      <c r="DN82" t="e">
        <f t="shared" si="25"/>
        <v>#N/A</v>
      </c>
      <c r="DO82" t="e">
        <f t="shared" si="26"/>
        <v>#N/A</v>
      </c>
      <c r="DR82" s="4"/>
    </row>
    <row r="83" spans="7:122" x14ac:dyDescent="0.25">
      <c r="G83"/>
      <c r="DI83" s="4">
        <f>INDEX(Sheet2!A:A,QUOTIENT(ROW()-1,19)+2)</f>
        <v>41080</v>
      </c>
      <c r="DJ83" s="4">
        <f>INDEX(Sheet2!C:C,QUOTIENT(ROW()-1,19)+2)</f>
        <v>41639</v>
      </c>
      <c r="DK83" s="4" t="e">
        <f>INDEX(Sheet2!$AA$2:$AS$228,QUOTIENT(ROW()-1,19)+1,MOD(ROW()-2,19)+1)</f>
        <v>#N/A</v>
      </c>
      <c r="DL83" t="str">
        <f>IFERROR(INDEX(Sheet2!$AU$2:$BM$228,QUOTIENT(ROW()-1,19)+1,MOD(ROW()-2,19)+1),NA())</f>
        <v/>
      </c>
      <c r="DM83" s="4" t="e">
        <f t="shared" si="24"/>
        <v>#N/A</v>
      </c>
      <c r="DN83" t="e">
        <f t="shared" si="25"/>
        <v>#N/A</v>
      </c>
      <c r="DO83" t="e">
        <f t="shared" si="26"/>
        <v>#N/A</v>
      </c>
      <c r="DR83" s="4"/>
    </row>
    <row r="84" spans="7:122" x14ac:dyDescent="0.25">
      <c r="G84"/>
      <c r="DI84" s="4">
        <f>INDEX(Sheet2!A:A,QUOTIENT(ROW()-1,19)+2)</f>
        <v>41080</v>
      </c>
      <c r="DJ84" s="4">
        <f>INDEX(Sheet2!C:C,QUOTIENT(ROW()-1,19)+2)</f>
        <v>41639</v>
      </c>
      <c r="DK84" s="4" t="e">
        <f>INDEX(Sheet2!$AA$2:$AS$228,QUOTIENT(ROW()-1,19)+1,MOD(ROW()-2,19)+1)</f>
        <v>#N/A</v>
      </c>
      <c r="DL84" t="str">
        <f>IFERROR(INDEX(Sheet2!$AU$2:$BM$228,QUOTIENT(ROW()-1,19)+1,MOD(ROW()-2,19)+1),NA())</f>
        <v/>
      </c>
      <c r="DM84" s="4" t="e">
        <f t="shared" si="24"/>
        <v>#N/A</v>
      </c>
      <c r="DN84" t="e">
        <f t="shared" si="25"/>
        <v>#N/A</v>
      </c>
      <c r="DO84" t="e">
        <f t="shared" si="26"/>
        <v>#N/A</v>
      </c>
      <c r="DR84" s="4"/>
    </row>
    <row r="85" spans="7:122" x14ac:dyDescent="0.25">
      <c r="G85"/>
      <c r="DI85" s="4">
        <f>INDEX(Sheet2!A:A,QUOTIENT(ROW()-1,19)+2)</f>
        <v>41080</v>
      </c>
      <c r="DJ85" s="4">
        <f>INDEX(Sheet2!C:C,QUOTIENT(ROW()-1,19)+2)</f>
        <v>41639</v>
      </c>
      <c r="DK85" s="4" t="e">
        <f>INDEX(Sheet2!$AA$2:$AS$228,QUOTIENT(ROW()-1,19)+1,MOD(ROW()-2,19)+1)</f>
        <v>#N/A</v>
      </c>
      <c r="DL85" t="str">
        <f>IFERROR(INDEX(Sheet2!$AU$2:$BM$228,QUOTIENT(ROW()-1,19)+1,MOD(ROW()-2,19)+1),NA())</f>
        <v/>
      </c>
      <c r="DM85" s="4" t="e">
        <f t="shared" si="24"/>
        <v>#N/A</v>
      </c>
      <c r="DN85" t="e">
        <f t="shared" si="25"/>
        <v>#N/A</v>
      </c>
      <c r="DO85" t="e">
        <f t="shared" si="26"/>
        <v>#N/A</v>
      </c>
      <c r="DR85" s="4"/>
    </row>
    <row r="86" spans="7:122" x14ac:dyDescent="0.25">
      <c r="G86"/>
      <c r="DI86" s="4">
        <f>INDEX(Sheet2!A:A,QUOTIENT(ROW()-1,19)+2)</f>
        <v>41080</v>
      </c>
      <c r="DJ86" s="4">
        <f>INDEX(Sheet2!C:C,QUOTIENT(ROW()-1,19)+2)</f>
        <v>41639</v>
      </c>
      <c r="DK86" s="4" t="e">
        <f>INDEX(Sheet2!$AA$2:$AS$228,QUOTIENT(ROW()-1,19)+1,MOD(ROW()-2,19)+1)</f>
        <v>#N/A</v>
      </c>
      <c r="DL86" t="str">
        <f>IFERROR(INDEX(Sheet2!$AU$2:$BM$228,QUOTIENT(ROW()-1,19)+1,MOD(ROW()-2,19)+1),NA())</f>
        <v/>
      </c>
      <c r="DM86" s="4" t="e">
        <f t="shared" si="24"/>
        <v>#N/A</v>
      </c>
      <c r="DN86" t="e">
        <f t="shared" si="25"/>
        <v>#N/A</v>
      </c>
      <c r="DO86" t="e">
        <f t="shared" si="26"/>
        <v>#N/A</v>
      </c>
      <c r="DR86" s="4"/>
    </row>
    <row r="87" spans="7:122" x14ac:dyDescent="0.25">
      <c r="G87"/>
      <c r="DI87" s="4">
        <f>INDEX(Sheet2!A:A,QUOTIENT(ROW()-1,19)+2)</f>
        <v>41080</v>
      </c>
      <c r="DJ87" s="4">
        <f>INDEX(Sheet2!C:C,QUOTIENT(ROW()-1,19)+2)</f>
        <v>41639</v>
      </c>
      <c r="DK87" s="4" t="e">
        <f>INDEX(Sheet2!$AA$2:$AS$228,QUOTIENT(ROW()-1,19)+1,MOD(ROW()-2,19)+1)</f>
        <v>#N/A</v>
      </c>
      <c r="DL87" t="str">
        <f>IFERROR(INDEX(Sheet2!$AU$2:$BM$228,QUOTIENT(ROW()-1,19)+1,MOD(ROW()-2,19)+1),NA())</f>
        <v/>
      </c>
      <c r="DM87" s="4" t="e">
        <f t="shared" si="24"/>
        <v>#N/A</v>
      </c>
      <c r="DN87" t="e">
        <f t="shared" si="25"/>
        <v>#N/A</v>
      </c>
      <c r="DO87" t="e">
        <f t="shared" si="26"/>
        <v>#N/A</v>
      </c>
      <c r="DR87" s="4"/>
    </row>
    <row r="88" spans="7:122" x14ac:dyDescent="0.25">
      <c r="G88"/>
      <c r="DI88" s="4">
        <f>INDEX(Sheet2!A:A,QUOTIENT(ROW()-1,19)+2)</f>
        <v>41080</v>
      </c>
      <c r="DJ88" s="4">
        <f>INDEX(Sheet2!C:C,QUOTIENT(ROW()-1,19)+2)</f>
        <v>41639</v>
      </c>
      <c r="DK88" s="4" t="e">
        <f>INDEX(Sheet2!$AA$2:$AS$228,QUOTIENT(ROW()-1,19)+1,MOD(ROW()-2,19)+1)</f>
        <v>#N/A</v>
      </c>
      <c r="DL88" t="str">
        <f>IFERROR(INDEX(Sheet2!$AU$2:$BM$228,QUOTIENT(ROW()-1,19)+1,MOD(ROW()-2,19)+1),NA())</f>
        <v/>
      </c>
      <c r="DM88" s="4" t="e">
        <f t="shared" si="24"/>
        <v>#N/A</v>
      </c>
      <c r="DN88" t="e">
        <f t="shared" si="25"/>
        <v>#N/A</v>
      </c>
      <c r="DO88" t="e">
        <f t="shared" si="26"/>
        <v>#N/A</v>
      </c>
      <c r="DR88" s="4"/>
    </row>
    <row r="89" spans="7:122" x14ac:dyDescent="0.25">
      <c r="G89"/>
      <c r="DI89" s="4">
        <f>INDEX(Sheet2!A:A,QUOTIENT(ROW()-1,19)+2)</f>
        <v>41080</v>
      </c>
      <c r="DJ89" s="4">
        <f>INDEX(Sheet2!C:C,QUOTIENT(ROW()-1,19)+2)</f>
        <v>41639</v>
      </c>
      <c r="DK89" s="4" t="e">
        <f>INDEX(Sheet2!$AA$2:$AS$228,QUOTIENT(ROW()-1,19)+1,MOD(ROW()-2,19)+1)</f>
        <v>#N/A</v>
      </c>
      <c r="DL89" t="str">
        <f>IFERROR(INDEX(Sheet2!$AU$2:$BM$228,QUOTIENT(ROW()-1,19)+1,MOD(ROW()-2,19)+1),NA())</f>
        <v/>
      </c>
      <c r="DM89" s="4" t="e">
        <f t="shared" si="24"/>
        <v>#N/A</v>
      </c>
      <c r="DN89" t="e">
        <f t="shared" si="25"/>
        <v>#N/A</v>
      </c>
      <c r="DO89" t="e">
        <f t="shared" si="26"/>
        <v>#N/A</v>
      </c>
      <c r="DQ89" s="4"/>
    </row>
    <row r="90" spans="7:122" x14ac:dyDescent="0.25">
      <c r="G90"/>
      <c r="DI90" s="4">
        <f>INDEX(Sheet2!A:A,QUOTIENT(ROW()-1,19)+2)</f>
        <v>41080</v>
      </c>
      <c r="DJ90" s="4">
        <f>INDEX(Sheet2!C:C,QUOTIENT(ROW()-1,19)+2)</f>
        <v>41639</v>
      </c>
      <c r="DK90" s="4" t="e">
        <f>INDEX(Sheet2!$AA$2:$AS$228,QUOTIENT(ROW()-1,19)+1,MOD(ROW()-2,19)+1)</f>
        <v>#N/A</v>
      </c>
      <c r="DL90" t="str">
        <f>IFERROR(INDEX(Sheet2!$AU$2:$BM$228,QUOTIENT(ROW()-1,19)+1,MOD(ROW()-2,19)+1),NA())</f>
        <v/>
      </c>
      <c r="DM90" s="4" t="e">
        <f t="shared" si="24"/>
        <v>#N/A</v>
      </c>
      <c r="DN90" t="e">
        <f t="shared" si="25"/>
        <v>#N/A</v>
      </c>
      <c r="DO90" t="e">
        <f t="shared" si="26"/>
        <v>#N/A</v>
      </c>
      <c r="DQ90" s="4"/>
    </row>
    <row r="91" spans="7:122" x14ac:dyDescent="0.25">
      <c r="G91"/>
      <c r="DI91" s="4">
        <f>INDEX(Sheet2!A:A,QUOTIENT(ROW()-1,19)+2)</f>
        <v>41080</v>
      </c>
      <c r="DJ91" s="4">
        <f>INDEX(Sheet2!C:C,QUOTIENT(ROW()-1,19)+2)</f>
        <v>41639</v>
      </c>
      <c r="DK91" s="4" t="e">
        <f>INDEX(Sheet2!$AA$2:$AS$228,QUOTIENT(ROW()-1,19)+1,MOD(ROW()-2,19)+1)</f>
        <v>#N/A</v>
      </c>
      <c r="DL91" t="str">
        <f>IFERROR(INDEX(Sheet2!$AU$2:$BM$228,QUOTIENT(ROW()-1,19)+1,MOD(ROW()-2,19)+1),NA())</f>
        <v/>
      </c>
      <c r="DM91" s="4" t="e">
        <f t="shared" si="24"/>
        <v>#N/A</v>
      </c>
      <c r="DN91" t="e">
        <f t="shared" si="25"/>
        <v>#N/A</v>
      </c>
      <c r="DO91" t="e">
        <f t="shared" si="26"/>
        <v>#N/A</v>
      </c>
      <c r="DQ91" s="4"/>
    </row>
    <row r="92" spans="7:122" x14ac:dyDescent="0.25">
      <c r="G92"/>
      <c r="DI92" s="4">
        <f>INDEX(Sheet2!A:A,QUOTIENT(ROW()-1,19)+2)</f>
        <v>41080</v>
      </c>
      <c r="DJ92" s="4">
        <f>INDEX(Sheet2!C:C,QUOTIENT(ROW()-1,19)+2)</f>
        <v>41639</v>
      </c>
      <c r="DK92" s="4" t="e">
        <f>INDEX(Sheet2!$AA$2:$AS$228,QUOTIENT(ROW()-1,19)+1,MOD(ROW()-2,19)+1)</f>
        <v>#N/A</v>
      </c>
      <c r="DL92" t="str">
        <f>IFERROR(INDEX(Sheet2!$AU$2:$BM$228,QUOTIENT(ROW()-1,19)+1,MOD(ROW()-2,19)+1),NA())</f>
        <v/>
      </c>
      <c r="DM92" s="4" t="e">
        <f t="shared" si="24"/>
        <v>#N/A</v>
      </c>
      <c r="DN92" t="e">
        <f t="shared" si="25"/>
        <v>#N/A</v>
      </c>
      <c r="DO92" t="e">
        <f t="shared" si="26"/>
        <v>#N/A</v>
      </c>
      <c r="DQ92" s="4"/>
    </row>
    <row r="93" spans="7:122" x14ac:dyDescent="0.25">
      <c r="G93"/>
      <c r="DI93" s="4">
        <f>INDEX(Sheet2!A:A,QUOTIENT(ROW()-1,19)+2)</f>
        <v>41080</v>
      </c>
      <c r="DJ93" s="4">
        <f>INDEX(Sheet2!C:C,QUOTIENT(ROW()-1,19)+2)</f>
        <v>41639</v>
      </c>
      <c r="DK93" s="4" t="e">
        <f>INDEX(Sheet2!$AA$2:$AS$228,QUOTIENT(ROW()-1,19)+1,MOD(ROW()-2,19)+1)</f>
        <v>#N/A</v>
      </c>
      <c r="DL93" t="str">
        <f>IFERROR(INDEX(Sheet2!$AU$2:$BM$228,QUOTIENT(ROW()-1,19)+1,MOD(ROW()-2,19)+1),NA())</f>
        <v/>
      </c>
      <c r="DM93" s="4" t="e">
        <f t="shared" si="24"/>
        <v>#N/A</v>
      </c>
      <c r="DN93" t="e">
        <f t="shared" si="25"/>
        <v>#N/A</v>
      </c>
      <c r="DO93" t="e">
        <f t="shared" si="26"/>
        <v>#N/A</v>
      </c>
      <c r="DQ93" s="4"/>
    </row>
    <row r="94" spans="7:122" x14ac:dyDescent="0.25">
      <c r="G94"/>
      <c r="DI94" s="4">
        <f>INDEX(Sheet2!A:A,QUOTIENT(ROW()-1,19)+2)</f>
        <v>41080</v>
      </c>
      <c r="DJ94" s="4">
        <f>INDEX(Sheet2!C:C,QUOTIENT(ROW()-1,19)+2)</f>
        <v>41639</v>
      </c>
      <c r="DK94" s="4" t="e">
        <f>INDEX(Sheet2!$AA$2:$AS$228,QUOTIENT(ROW()-1,19)+1,MOD(ROW()-2,19)+1)</f>
        <v>#N/A</v>
      </c>
      <c r="DL94" t="str">
        <f>IFERROR(INDEX(Sheet2!$AU$2:$BM$228,QUOTIENT(ROW()-1,19)+1,MOD(ROW()-2,19)+1),NA())</f>
        <v/>
      </c>
      <c r="DM94" s="4" t="e">
        <f t="shared" si="24"/>
        <v>#N/A</v>
      </c>
      <c r="DN94" t="e">
        <f t="shared" si="25"/>
        <v>#N/A</v>
      </c>
      <c r="DO94" t="e">
        <f t="shared" si="26"/>
        <v>#N/A</v>
      </c>
      <c r="DQ94" s="4"/>
    </row>
    <row r="95" spans="7:122" x14ac:dyDescent="0.25">
      <c r="G95"/>
      <c r="DI95" s="4">
        <f>INDEX(Sheet2!A:A,QUOTIENT(ROW()-1,19)+2)</f>
        <v>41080</v>
      </c>
      <c r="DJ95" s="4">
        <f>INDEX(Sheet2!C:C,QUOTIENT(ROW()-1,19)+2)</f>
        <v>41639</v>
      </c>
      <c r="DK95" s="4" t="e">
        <f>INDEX(Sheet2!$AA$2:$AS$228,QUOTIENT(ROW()-1,19)+1,MOD(ROW()-2,19)+1)</f>
        <v>#N/A</v>
      </c>
      <c r="DL95" t="str">
        <f>IFERROR(INDEX(Sheet2!$AU$2:$BM$228,QUOTIENT(ROW()-1,19)+1,MOD(ROW()-2,19)+1),NA())</f>
        <v/>
      </c>
      <c r="DM95" s="4" t="e">
        <f t="shared" si="24"/>
        <v>#N/A</v>
      </c>
      <c r="DN95" t="e">
        <f t="shared" si="25"/>
        <v>#N/A</v>
      </c>
      <c r="DO95" t="e">
        <f t="shared" si="26"/>
        <v>#N/A</v>
      </c>
      <c r="DQ95" s="4"/>
    </row>
    <row r="96" spans="7:122" x14ac:dyDescent="0.25">
      <c r="G96"/>
      <c r="DI96" s="4">
        <f>INDEX(Sheet2!A:A,QUOTIENT(ROW()-1,19)+2)</f>
        <v>41080</v>
      </c>
      <c r="DJ96" s="4">
        <f>INDEX(Sheet2!C:C,QUOTIENT(ROW()-1,19)+2)</f>
        <v>41639</v>
      </c>
      <c r="DK96" s="4" t="e">
        <f>INDEX(Sheet2!$AA$2:$AS$228,QUOTIENT(ROW()-1,19)+1,MOD(ROW()-2,19)+1)</f>
        <v>#N/A</v>
      </c>
      <c r="DL96" t="str">
        <f>IFERROR(INDEX(Sheet2!$AU$2:$BM$228,QUOTIENT(ROW()-1,19)+1,MOD(ROW()-2,19)+1),NA())</f>
        <v/>
      </c>
      <c r="DM96" s="4" t="e">
        <f t="shared" si="24"/>
        <v>#N/A</v>
      </c>
      <c r="DN96" t="e">
        <f t="shared" si="25"/>
        <v>#N/A</v>
      </c>
      <c r="DO96" t="e">
        <f t="shared" si="26"/>
        <v>#N/A</v>
      </c>
      <c r="DQ96" s="4"/>
    </row>
    <row r="97" spans="7:121" x14ac:dyDescent="0.25">
      <c r="G97"/>
      <c r="DI97" s="4">
        <f>INDEX(Sheet2!A:A,QUOTIENT(ROW()-1,19)+2)</f>
        <v>41080</v>
      </c>
      <c r="DJ97" s="4">
        <f>INDEX(Sheet2!C:C,QUOTIENT(ROW()-1,19)+2)</f>
        <v>41639</v>
      </c>
      <c r="DK97" s="4">
        <f>INDEX(Sheet2!$AA$2:$AS$228,QUOTIENT(ROW()-1,19)+1,MOD(ROW()-2,19)+1)</f>
        <v>41639</v>
      </c>
      <c r="DL97">
        <f>IFERROR(INDEX(Sheet2!$AU$2:$BM$228,QUOTIENT(ROW()-1,19)+1,MOD(ROW()-2,19)+1),NA())</f>
        <v>0.75</v>
      </c>
      <c r="DM97" s="4" t="e">
        <f t="shared" si="24"/>
        <v>#N/A</v>
      </c>
      <c r="DN97" t="e">
        <f t="shared" si="25"/>
        <v>#N/A</v>
      </c>
      <c r="DO97" t="e">
        <f t="shared" si="26"/>
        <v>#N/A</v>
      </c>
      <c r="DQ97" s="4"/>
    </row>
    <row r="98" spans="7:121" x14ac:dyDescent="0.25">
      <c r="G98"/>
      <c r="DI98" s="4">
        <f>INDEX(Sheet2!A:A,QUOTIENT(ROW()-1,19)+2)</f>
        <v>41080</v>
      </c>
      <c r="DJ98" s="4">
        <f>INDEX(Sheet2!C:C,QUOTIENT(ROW()-1,19)+2)</f>
        <v>41639</v>
      </c>
      <c r="DK98" s="4" t="e">
        <f>INDEX(Sheet2!$AA$2:$AS$228,QUOTIENT(ROW()-1,19)+1,MOD(ROW()-2,19)+1)</f>
        <v>#N/A</v>
      </c>
      <c r="DL98" t="str">
        <f>IFERROR(INDEX(Sheet2!$AU$2:$BM$228,QUOTIENT(ROW()-1,19)+1,MOD(ROW()-2,19)+1),NA())</f>
        <v/>
      </c>
      <c r="DM98" s="4" t="e">
        <f t="shared" si="24"/>
        <v>#N/A</v>
      </c>
      <c r="DN98" t="e">
        <f t="shared" si="25"/>
        <v>#N/A</v>
      </c>
      <c r="DO98" t="e">
        <f t="shared" si="26"/>
        <v>#N/A</v>
      </c>
      <c r="DQ98" s="4"/>
    </row>
    <row r="99" spans="7:121" x14ac:dyDescent="0.25">
      <c r="G99"/>
      <c r="DI99" s="4">
        <f>INDEX(Sheet2!A:A,QUOTIENT(ROW()-1,19)+2)</f>
        <v>41080</v>
      </c>
      <c r="DJ99" s="4">
        <f>INDEX(Sheet2!C:C,QUOTIENT(ROW()-1,19)+2)</f>
        <v>41639</v>
      </c>
      <c r="DK99" s="4" t="e">
        <f>INDEX(Sheet2!$AA$2:$AS$228,QUOTIENT(ROW()-1,19)+1,MOD(ROW()-2,19)+1)</f>
        <v>#N/A</v>
      </c>
      <c r="DL99" t="str">
        <f>IFERROR(INDEX(Sheet2!$AU$2:$BM$228,QUOTIENT(ROW()-1,19)+1,MOD(ROW()-2,19)+1),NA())</f>
        <v/>
      </c>
      <c r="DM99" s="4" t="e">
        <f t="shared" si="24"/>
        <v>#N/A</v>
      </c>
      <c r="DN99" t="e">
        <f t="shared" si="25"/>
        <v>#N/A</v>
      </c>
      <c r="DO99" t="e">
        <f t="shared" si="26"/>
        <v>#N/A</v>
      </c>
      <c r="DQ99" s="4"/>
    </row>
    <row r="100" spans="7:121" x14ac:dyDescent="0.25">
      <c r="G100"/>
      <c r="DI100" s="4">
        <f>INDEX(Sheet2!A:A,QUOTIENT(ROW()-1,19)+2)</f>
        <v>41080</v>
      </c>
      <c r="DJ100" s="4">
        <f>INDEX(Sheet2!C:C,QUOTIENT(ROW()-1,19)+2)</f>
        <v>41639</v>
      </c>
      <c r="DK100" s="4" t="e">
        <f>INDEX(Sheet2!$AA$2:$AS$228,QUOTIENT(ROW()-1,19)+1,MOD(ROW()-2,19)+1)</f>
        <v>#N/A</v>
      </c>
      <c r="DL100" t="str">
        <f>IFERROR(INDEX(Sheet2!$AU$2:$BM$228,QUOTIENT(ROW()-1,19)+1,MOD(ROW()-2,19)+1),NA())</f>
        <v/>
      </c>
      <c r="DM100" s="4" t="e">
        <f t="shared" si="24"/>
        <v>#N/A</v>
      </c>
      <c r="DN100" t="e">
        <f t="shared" si="25"/>
        <v>#N/A</v>
      </c>
      <c r="DO100" t="e">
        <f t="shared" si="26"/>
        <v>#N/A</v>
      </c>
      <c r="DQ100" s="4"/>
    </row>
    <row r="101" spans="7:121" x14ac:dyDescent="0.25">
      <c r="G101"/>
      <c r="DI101" s="4">
        <f>INDEX(Sheet2!A:A,QUOTIENT(ROW()-1,19)+2)</f>
        <v>41080</v>
      </c>
      <c r="DJ101" s="4">
        <f>INDEX(Sheet2!C:C,QUOTIENT(ROW()-1,19)+2)</f>
        <v>41639</v>
      </c>
      <c r="DK101" s="4" t="e">
        <f>INDEX(Sheet2!$AA$2:$AS$228,QUOTIENT(ROW()-1,19)+1,MOD(ROW()-2,19)+1)</f>
        <v>#N/A</v>
      </c>
      <c r="DL101" t="str">
        <f>IFERROR(INDEX(Sheet2!$AU$2:$BM$228,QUOTIENT(ROW()-1,19)+1,MOD(ROW()-2,19)+1),NA())</f>
        <v/>
      </c>
      <c r="DM101" s="4" t="e">
        <f t="shared" si="24"/>
        <v>#N/A</v>
      </c>
      <c r="DN101" t="e">
        <f t="shared" si="25"/>
        <v>#N/A</v>
      </c>
      <c r="DO101" t="e">
        <f t="shared" si="26"/>
        <v>#N/A</v>
      </c>
      <c r="DQ101" s="4"/>
    </row>
    <row r="102" spans="7:121" x14ac:dyDescent="0.25">
      <c r="G102"/>
      <c r="DI102" s="4">
        <f>INDEX(Sheet2!A:A,QUOTIENT(ROW()-1,19)+2)</f>
        <v>41080</v>
      </c>
      <c r="DJ102" s="4">
        <f>INDEX(Sheet2!C:C,QUOTIENT(ROW()-1,19)+2)</f>
        <v>41639</v>
      </c>
      <c r="DK102" s="4" t="e">
        <f>INDEX(Sheet2!$AA$2:$AS$228,QUOTIENT(ROW()-1,19)+1,MOD(ROW()-2,19)+1)</f>
        <v>#N/A</v>
      </c>
      <c r="DL102" t="str">
        <f>IFERROR(INDEX(Sheet2!$AU$2:$BM$228,QUOTIENT(ROW()-1,19)+1,MOD(ROW()-2,19)+1),NA())</f>
        <v/>
      </c>
      <c r="DM102" s="4" t="e">
        <f t="shared" si="24"/>
        <v>#N/A</v>
      </c>
      <c r="DN102" t="e">
        <f t="shared" si="25"/>
        <v>#N/A</v>
      </c>
      <c r="DO102" t="e">
        <f t="shared" si="26"/>
        <v>#N/A</v>
      </c>
      <c r="DQ102" s="4"/>
    </row>
    <row r="103" spans="7:121" x14ac:dyDescent="0.25">
      <c r="G103"/>
      <c r="DI103" s="4">
        <f>INDEX(Sheet2!A:A,QUOTIENT(ROW()-1,19)+2)</f>
        <v>41080</v>
      </c>
      <c r="DJ103" s="4">
        <f>INDEX(Sheet2!C:C,QUOTIENT(ROW()-1,19)+2)</f>
        <v>41639</v>
      </c>
      <c r="DK103" s="4" t="e">
        <f>INDEX(Sheet2!$AA$2:$AS$228,QUOTIENT(ROW()-1,19)+1,MOD(ROW()-2,19)+1)</f>
        <v>#N/A</v>
      </c>
      <c r="DL103" t="str">
        <f>IFERROR(INDEX(Sheet2!$AU$2:$BM$228,QUOTIENT(ROW()-1,19)+1,MOD(ROW()-2,19)+1),NA())</f>
        <v/>
      </c>
      <c r="DM103" s="4" t="e">
        <f t="shared" si="24"/>
        <v>#N/A</v>
      </c>
      <c r="DN103" t="e">
        <f t="shared" si="25"/>
        <v>#N/A</v>
      </c>
      <c r="DO103" t="e">
        <f t="shared" si="26"/>
        <v>#N/A</v>
      </c>
      <c r="DQ103" s="4"/>
    </row>
    <row r="104" spans="7:121" x14ac:dyDescent="0.25">
      <c r="G104"/>
      <c r="DI104" s="4">
        <f>INDEX(Sheet2!A:A,QUOTIENT(ROW()-1,19)+2)</f>
        <v>41080</v>
      </c>
      <c r="DJ104" s="4">
        <f>INDEX(Sheet2!C:C,QUOTIENT(ROW()-1,19)+2)</f>
        <v>41639</v>
      </c>
      <c r="DK104" s="4" t="e">
        <f>INDEX(Sheet2!$AA$2:$AS$228,QUOTIENT(ROW()-1,19)+1,MOD(ROW()-2,19)+1)</f>
        <v>#N/A</v>
      </c>
      <c r="DL104" t="str">
        <f>IFERROR(INDEX(Sheet2!$AU$2:$BM$228,QUOTIENT(ROW()-1,19)+1,MOD(ROW()-2,19)+1),NA())</f>
        <v/>
      </c>
      <c r="DM104" s="4" t="e">
        <f t="shared" si="24"/>
        <v>#N/A</v>
      </c>
      <c r="DN104" t="e">
        <f t="shared" si="25"/>
        <v>#N/A</v>
      </c>
      <c r="DO104" t="e">
        <f t="shared" si="26"/>
        <v>#N/A</v>
      </c>
      <c r="DQ104" s="4"/>
    </row>
    <row r="105" spans="7:121" x14ac:dyDescent="0.25">
      <c r="G105"/>
      <c r="DI105" s="4">
        <f>INDEX(Sheet2!A:A,QUOTIENT(ROW()-1,19)+2)</f>
        <v>41080</v>
      </c>
      <c r="DJ105" s="4">
        <f>INDEX(Sheet2!C:C,QUOTIENT(ROW()-1,19)+2)</f>
        <v>41639</v>
      </c>
      <c r="DK105" s="4" t="e">
        <f>INDEX(Sheet2!$AA$2:$AS$228,QUOTIENT(ROW()-1,19)+1,MOD(ROW()-2,19)+1)</f>
        <v>#N/A</v>
      </c>
      <c r="DL105" t="str">
        <f>IFERROR(INDEX(Sheet2!$AU$2:$BM$228,QUOTIENT(ROW()-1,19)+1,MOD(ROW()-2,19)+1),NA())</f>
        <v/>
      </c>
      <c r="DM105" s="4" t="e">
        <f t="shared" si="24"/>
        <v>#N/A</v>
      </c>
      <c r="DN105" t="e">
        <f t="shared" si="25"/>
        <v>#N/A</v>
      </c>
      <c r="DO105" t="e">
        <f t="shared" si="26"/>
        <v>#N/A</v>
      </c>
      <c r="DQ105" s="4"/>
    </row>
    <row r="106" spans="7:121" x14ac:dyDescent="0.25">
      <c r="G106"/>
      <c r="DI106" s="4">
        <f>INDEX(Sheet2!A:A,QUOTIENT(ROW()-1,19)+2)</f>
        <v>41080</v>
      </c>
      <c r="DJ106" s="4">
        <f>INDEX(Sheet2!C:C,QUOTIENT(ROW()-1,19)+2)</f>
        <v>41639</v>
      </c>
      <c r="DK106" s="4" t="e">
        <f>INDEX(Sheet2!$AA$2:$AS$228,QUOTIENT(ROW()-1,19)+1,MOD(ROW()-2,19)+1)</f>
        <v>#N/A</v>
      </c>
      <c r="DL106" t="str">
        <f>IFERROR(INDEX(Sheet2!$AU$2:$BM$228,QUOTIENT(ROW()-1,19)+1,MOD(ROW()-2,19)+1),NA())</f>
        <v/>
      </c>
      <c r="DM106" s="4" t="e">
        <f t="shared" si="24"/>
        <v>#N/A</v>
      </c>
      <c r="DN106" t="e">
        <f t="shared" si="25"/>
        <v>#N/A</v>
      </c>
      <c r="DO106" t="e">
        <f t="shared" si="26"/>
        <v>#N/A</v>
      </c>
      <c r="DQ106" s="4"/>
    </row>
    <row r="107" spans="7:121" x14ac:dyDescent="0.25">
      <c r="G107"/>
      <c r="DI107" s="4">
        <f>INDEX(Sheet2!A:A,QUOTIENT(ROW()-1,19)+2)</f>
        <v>41080</v>
      </c>
      <c r="DJ107" s="4">
        <f>INDEX(Sheet2!C:C,QUOTIENT(ROW()-1,19)+2)</f>
        <v>41639</v>
      </c>
      <c r="DK107" s="4" t="e">
        <f>INDEX(Sheet2!$AA$2:$AS$228,QUOTIENT(ROW()-1,19)+1,MOD(ROW()-2,19)+1)</f>
        <v>#N/A</v>
      </c>
      <c r="DL107" t="str">
        <f>IFERROR(INDEX(Sheet2!$AU$2:$BM$228,QUOTIENT(ROW()-1,19)+1,MOD(ROW()-2,19)+1),NA())</f>
        <v/>
      </c>
      <c r="DM107" s="4" t="e">
        <f t="shared" si="24"/>
        <v>#N/A</v>
      </c>
      <c r="DN107" t="e">
        <f t="shared" si="25"/>
        <v>#N/A</v>
      </c>
      <c r="DO107" t="e">
        <f t="shared" si="26"/>
        <v>#N/A</v>
      </c>
      <c r="DQ107" s="4"/>
    </row>
    <row r="108" spans="7:121" x14ac:dyDescent="0.25">
      <c r="G108"/>
      <c r="DI108" s="4">
        <f>INDEX(Sheet2!A:A,QUOTIENT(ROW()-1,19)+2)</f>
        <v>41080</v>
      </c>
      <c r="DJ108" s="4">
        <f>INDEX(Sheet2!C:C,QUOTIENT(ROW()-1,19)+2)</f>
        <v>41639</v>
      </c>
      <c r="DK108" s="4" t="e">
        <f>INDEX(Sheet2!$AA$2:$AS$228,QUOTIENT(ROW()-1,19)+1,MOD(ROW()-2,19)+1)</f>
        <v>#N/A</v>
      </c>
      <c r="DL108" t="str">
        <f>IFERROR(INDEX(Sheet2!$AU$2:$BM$228,QUOTIENT(ROW()-1,19)+1,MOD(ROW()-2,19)+1),NA())</f>
        <v/>
      </c>
      <c r="DM108" s="4" t="e">
        <f t="shared" si="24"/>
        <v>#N/A</v>
      </c>
      <c r="DN108" t="e">
        <f t="shared" si="25"/>
        <v>#N/A</v>
      </c>
      <c r="DO108" t="e">
        <f t="shared" si="26"/>
        <v>#N/A</v>
      </c>
      <c r="DQ108" s="4"/>
    </row>
    <row r="109" spans="7:121" x14ac:dyDescent="0.25">
      <c r="G109"/>
      <c r="DI109" s="4">
        <f>INDEX(Sheet2!A:A,QUOTIENT(ROW()-1,19)+2)</f>
        <v>41080</v>
      </c>
      <c r="DJ109" s="4">
        <f>INDEX(Sheet2!C:C,QUOTIENT(ROW()-1,19)+2)</f>
        <v>41639</v>
      </c>
      <c r="DK109" s="4" t="e">
        <f>INDEX(Sheet2!$AA$2:$AS$228,QUOTIENT(ROW()-1,19)+1,MOD(ROW()-2,19)+1)</f>
        <v>#N/A</v>
      </c>
      <c r="DL109" t="str">
        <f>IFERROR(INDEX(Sheet2!$AU$2:$BM$228,QUOTIENT(ROW()-1,19)+1,MOD(ROW()-2,19)+1),NA())</f>
        <v/>
      </c>
      <c r="DM109" s="4" t="e">
        <f t="shared" si="24"/>
        <v>#N/A</v>
      </c>
      <c r="DN109" t="e">
        <f t="shared" si="25"/>
        <v>#N/A</v>
      </c>
      <c r="DO109" t="e">
        <f t="shared" si="26"/>
        <v>#N/A</v>
      </c>
      <c r="DQ109" s="4"/>
    </row>
    <row r="110" spans="7:121" x14ac:dyDescent="0.25">
      <c r="G110"/>
      <c r="DI110" s="4">
        <f>INDEX(Sheet2!A:A,QUOTIENT(ROW()-1,19)+2)</f>
        <v>41080</v>
      </c>
      <c r="DJ110" s="4">
        <f>INDEX(Sheet2!C:C,QUOTIENT(ROW()-1,19)+2)</f>
        <v>41639</v>
      </c>
      <c r="DK110" s="4" t="e">
        <f>INDEX(Sheet2!$AA$2:$AS$228,QUOTIENT(ROW()-1,19)+1,MOD(ROW()-2,19)+1)</f>
        <v>#N/A</v>
      </c>
      <c r="DL110" t="str">
        <f>IFERROR(INDEX(Sheet2!$AU$2:$BM$228,QUOTIENT(ROW()-1,19)+1,MOD(ROW()-2,19)+1),NA())</f>
        <v/>
      </c>
      <c r="DM110" s="4" t="e">
        <f t="shared" si="24"/>
        <v>#N/A</v>
      </c>
      <c r="DN110" t="e">
        <f t="shared" si="25"/>
        <v>#N/A</v>
      </c>
      <c r="DO110" t="e">
        <f t="shared" si="26"/>
        <v>#N/A</v>
      </c>
      <c r="DQ110" s="4"/>
    </row>
    <row r="111" spans="7:121" x14ac:dyDescent="0.25">
      <c r="G111"/>
      <c r="DI111" s="4">
        <f>INDEX(Sheet2!A:A,QUOTIENT(ROW()-1,19)+2)</f>
        <v>41080</v>
      </c>
      <c r="DJ111" s="4">
        <f>INDEX(Sheet2!C:C,QUOTIENT(ROW()-1,19)+2)</f>
        <v>41639</v>
      </c>
      <c r="DK111" s="4" t="e">
        <f>INDEX(Sheet2!$AA$2:$AS$228,QUOTIENT(ROW()-1,19)+1,MOD(ROW()-2,19)+1)</f>
        <v>#N/A</v>
      </c>
      <c r="DL111" t="str">
        <f>IFERROR(INDEX(Sheet2!$AU$2:$BM$228,QUOTIENT(ROW()-1,19)+1,MOD(ROW()-2,19)+1),NA())</f>
        <v/>
      </c>
      <c r="DM111" s="4" t="e">
        <f t="shared" si="24"/>
        <v>#N/A</v>
      </c>
      <c r="DN111" t="e">
        <f t="shared" si="25"/>
        <v>#N/A</v>
      </c>
      <c r="DO111" t="e">
        <f t="shared" si="26"/>
        <v>#N/A</v>
      </c>
      <c r="DQ111" s="4"/>
    </row>
    <row r="112" spans="7:121" x14ac:dyDescent="0.25">
      <c r="G112"/>
      <c r="DI112" s="4">
        <f>INDEX(Sheet2!A:A,QUOTIENT(ROW()-1,19)+2)</f>
        <v>41080</v>
      </c>
      <c r="DJ112" s="4">
        <f>INDEX(Sheet2!C:C,QUOTIENT(ROW()-1,19)+2)</f>
        <v>41639</v>
      </c>
      <c r="DK112" s="4" t="e">
        <f>INDEX(Sheet2!$AA$2:$AS$228,QUOTIENT(ROW()-1,19)+1,MOD(ROW()-2,19)+1)</f>
        <v>#N/A</v>
      </c>
      <c r="DL112" t="str">
        <f>IFERROR(INDEX(Sheet2!$AU$2:$BM$228,QUOTIENT(ROW()-1,19)+1,MOD(ROW()-2,19)+1),NA())</f>
        <v/>
      </c>
      <c r="DM112" s="4" t="e">
        <f t="shared" si="24"/>
        <v>#N/A</v>
      </c>
      <c r="DN112" t="e">
        <f t="shared" si="25"/>
        <v>#N/A</v>
      </c>
      <c r="DO112" t="e">
        <f t="shared" si="26"/>
        <v>#N/A</v>
      </c>
      <c r="DQ112" s="4"/>
    </row>
    <row r="113" spans="7:121" x14ac:dyDescent="0.25">
      <c r="G113"/>
      <c r="DI113" s="4">
        <f>INDEX(Sheet2!A:A,QUOTIENT(ROW()-1,19)+2)</f>
        <v>41080</v>
      </c>
      <c r="DJ113" s="4">
        <f>INDEX(Sheet2!C:C,QUOTIENT(ROW()-1,19)+2)</f>
        <v>41639</v>
      </c>
      <c r="DK113" s="4" t="e">
        <f>INDEX(Sheet2!$AA$2:$AS$228,QUOTIENT(ROW()-1,19)+1,MOD(ROW()-2,19)+1)</f>
        <v>#N/A</v>
      </c>
      <c r="DL113" t="str">
        <f>IFERROR(INDEX(Sheet2!$AU$2:$BM$228,QUOTIENT(ROW()-1,19)+1,MOD(ROW()-2,19)+1),NA())</f>
        <v/>
      </c>
      <c r="DM113" s="4" t="e">
        <f t="shared" si="24"/>
        <v>#N/A</v>
      </c>
      <c r="DN113" t="e">
        <f t="shared" si="25"/>
        <v>#N/A</v>
      </c>
      <c r="DO113" t="e">
        <f t="shared" si="26"/>
        <v>#N/A</v>
      </c>
      <c r="DQ113" s="4"/>
    </row>
    <row r="114" spans="7:121" x14ac:dyDescent="0.25">
      <c r="G114"/>
      <c r="DI114" s="4">
        <f>INDEX(Sheet2!A:A,QUOTIENT(ROW()-1,19)+2)</f>
        <v>41080</v>
      </c>
      <c r="DJ114" s="4">
        <f>INDEX(Sheet2!C:C,QUOTIENT(ROW()-1,19)+2)</f>
        <v>41639</v>
      </c>
      <c r="DK114" s="4" t="e">
        <f>INDEX(Sheet2!$AA$2:$AS$228,QUOTIENT(ROW()-1,19)+1,MOD(ROW()-2,19)+1)</f>
        <v>#N/A</v>
      </c>
      <c r="DL114" t="str">
        <f>IFERROR(INDEX(Sheet2!$AU$2:$BM$228,QUOTIENT(ROW()-1,19)+1,MOD(ROW()-2,19)+1),NA())</f>
        <v/>
      </c>
      <c r="DM114" s="4" t="e">
        <f t="shared" si="24"/>
        <v>#N/A</v>
      </c>
      <c r="DN114" t="e">
        <f t="shared" si="25"/>
        <v>#N/A</v>
      </c>
      <c r="DO114" t="e">
        <f t="shared" si="26"/>
        <v>#N/A</v>
      </c>
      <c r="DQ114" s="4"/>
    </row>
    <row r="115" spans="7:121" x14ac:dyDescent="0.25">
      <c r="G115"/>
      <c r="DI115" s="4">
        <f>INDEX(Sheet2!A:A,QUOTIENT(ROW()-1,19)+2)</f>
        <v>41080</v>
      </c>
      <c r="DJ115" s="4">
        <f>INDEX(Sheet2!C:C,QUOTIENT(ROW()-1,19)+2)</f>
        <v>41639</v>
      </c>
      <c r="DK115" s="4" t="e">
        <f>INDEX(Sheet2!$AA$2:$AS$228,QUOTIENT(ROW()-1,19)+1,MOD(ROW()-2,19)+1)</f>
        <v>#N/A</v>
      </c>
      <c r="DL115" t="str">
        <f>IFERROR(INDEX(Sheet2!$AU$2:$BM$228,QUOTIENT(ROW()-1,19)+1,MOD(ROW()-2,19)+1),NA())</f>
        <v/>
      </c>
      <c r="DM115" s="4" t="e">
        <f t="shared" si="24"/>
        <v>#N/A</v>
      </c>
      <c r="DN115" t="e">
        <f t="shared" si="25"/>
        <v>#N/A</v>
      </c>
      <c r="DO115" t="e">
        <f t="shared" si="26"/>
        <v>#N/A</v>
      </c>
      <c r="DQ115" s="4"/>
    </row>
    <row r="116" spans="7:121" x14ac:dyDescent="0.25">
      <c r="G116"/>
      <c r="DI116" s="4">
        <f>INDEX(Sheet2!A:A,QUOTIENT(ROW()-1,19)+2)</f>
        <v>41080</v>
      </c>
      <c r="DJ116" s="4">
        <f>INDEX(Sheet2!C:C,QUOTIENT(ROW()-1,19)+2)</f>
        <v>41639</v>
      </c>
      <c r="DK116" s="4">
        <f>INDEX(Sheet2!$AA$2:$AS$228,QUOTIENT(ROW()-1,19)+1,MOD(ROW()-2,19)+1)</f>
        <v>41639</v>
      </c>
      <c r="DL116">
        <f>IFERROR(INDEX(Sheet2!$AU$2:$BM$228,QUOTIENT(ROW()-1,19)+1,MOD(ROW()-2,19)+1),NA())</f>
        <v>1</v>
      </c>
      <c r="DM116" s="4" t="e">
        <f t="shared" si="24"/>
        <v>#N/A</v>
      </c>
      <c r="DN116" t="e">
        <f t="shared" si="25"/>
        <v>#N/A</v>
      </c>
      <c r="DO116" t="e">
        <f t="shared" si="26"/>
        <v>#N/A</v>
      </c>
      <c r="DQ116" s="4"/>
    </row>
    <row r="117" spans="7:121" x14ac:dyDescent="0.25">
      <c r="G117"/>
      <c r="DI117" s="4">
        <f>INDEX(Sheet2!A:A,QUOTIENT(ROW()-1,19)+2)</f>
        <v>41080</v>
      </c>
      <c r="DJ117" s="4">
        <f>INDEX(Sheet2!C:C,QUOTIENT(ROW()-1,19)+2)</f>
        <v>41639</v>
      </c>
      <c r="DK117" s="4" t="e">
        <f>INDEX(Sheet2!$AA$2:$AS$228,QUOTIENT(ROW()-1,19)+1,MOD(ROW()-2,19)+1)</f>
        <v>#N/A</v>
      </c>
      <c r="DL117" t="str">
        <f>IFERROR(INDEX(Sheet2!$AU$2:$BM$228,QUOTIENT(ROW()-1,19)+1,MOD(ROW()-2,19)+1),NA())</f>
        <v/>
      </c>
      <c r="DM117" s="4" t="e">
        <f t="shared" si="24"/>
        <v>#N/A</v>
      </c>
      <c r="DN117" t="e">
        <f t="shared" si="25"/>
        <v>#N/A</v>
      </c>
      <c r="DO117" t="e">
        <f t="shared" si="26"/>
        <v>#N/A</v>
      </c>
      <c r="DQ117" s="4"/>
    </row>
    <row r="118" spans="7:121" x14ac:dyDescent="0.25">
      <c r="G118"/>
      <c r="DI118" s="4">
        <f>INDEX(Sheet2!A:A,QUOTIENT(ROW()-1,19)+2)</f>
        <v>41080</v>
      </c>
      <c r="DJ118" s="4">
        <f>INDEX(Sheet2!C:C,QUOTIENT(ROW()-1,19)+2)</f>
        <v>41639</v>
      </c>
      <c r="DK118" s="4" t="e">
        <f>INDEX(Sheet2!$AA$2:$AS$228,QUOTIENT(ROW()-1,19)+1,MOD(ROW()-2,19)+1)</f>
        <v>#N/A</v>
      </c>
      <c r="DL118" t="str">
        <f>IFERROR(INDEX(Sheet2!$AU$2:$BM$228,QUOTIENT(ROW()-1,19)+1,MOD(ROW()-2,19)+1),NA())</f>
        <v/>
      </c>
      <c r="DM118" s="4" t="e">
        <f t="shared" si="24"/>
        <v>#N/A</v>
      </c>
      <c r="DN118" t="e">
        <f t="shared" si="25"/>
        <v>#N/A</v>
      </c>
      <c r="DO118" t="e">
        <f t="shared" si="26"/>
        <v>#N/A</v>
      </c>
      <c r="DQ118" s="4"/>
    </row>
    <row r="119" spans="7:121" x14ac:dyDescent="0.25">
      <c r="G119"/>
      <c r="DI119" s="4">
        <f>INDEX(Sheet2!A:A,QUOTIENT(ROW()-1,19)+2)</f>
        <v>41080</v>
      </c>
      <c r="DJ119" s="4">
        <f>INDEX(Sheet2!C:C,QUOTIENT(ROW()-1,19)+2)</f>
        <v>41639</v>
      </c>
      <c r="DK119" s="4" t="e">
        <f>INDEX(Sheet2!$AA$2:$AS$228,QUOTIENT(ROW()-1,19)+1,MOD(ROW()-2,19)+1)</f>
        <v>#N/A</v>
      </c>
      <c r="DL119" t="str">
        <f>IFERROR(INDEX(Sheet2!$AU$2:$BM$228,QUOTIENT(ROW()-1,19)+1,MOD(ROW()-2,19)+1),NA())</f>
        <v/>
      </c>
      <c r="DM119" s="4" t="e">
        <f t="shared" si="24"/>
        <v>#N/A</v>
      </c>
      <c r="DN119" t="e">
        <f t="shared" si="25"/>
        <v>#N/A</v>
      </c>
      <c r="DO119" t="e">
        <f t="shared" si="26"/>
        <v>#N/A</v>
      </c>
      <c r="DQ119" s="4"/>
    </row>
    <row r="120" spans="7:121" x14ac:dyDescent="0.25">
      <c r="G120"/>
      <c r="DI120" s="4">
        <f>INDEX(Sheet2!A:A,QUOTIENT(ROW()-1,19)+2)</f>
        <v>41080</v>
      </c>
      <c r="DJ120" s="4">
        <f>INDEX(Sheet2!C:C,QUOTIENT(ROW()-1,19)+2)</f>
        <v>41639</v>
      </c>
      <c r="DK120" s="4" t="e">
        <f>INDEX(Sheet2!$AA$2:$AS$228,QUOTIENT(ROW()-1,19)+1,MOD(ROW()-2,19)+1)</f>
        <v>#N/A</v>
      </c>
      <c r="DL120" t="str">
        <f>IFERROR(INDEX(Sheet2!$AU$2:$BM$228,QUOTIENT(ROW()-1,19)+1,MOD(ROW()-2,19)+1),NA())</f>
        <v/>
      </c>
      <c r="DM120" s="4" t="e">
        <f t="shared" si="24"/>
        <v>#N/A</v>
      </c>
      <c r="DN120" t="e">
        <f t="shared" si="25"/>
        <v>#N/A</v>
      </c>
      <c r="DO120" t="e">
        <f t="shared" si="26"/>
        <v>#N/A</v>
      </c>
      <c r="DQ120" s="4"/>
    </row>
    <row r="121" spans="7:121" x14ac:dyDescent="0.25">
      <c r="G121"/>
      <c r="DI121" s="4">
        <f>INDEX(Sheet2!A:A,QUOTIENT(ROW()-1,19)+2)</f>
        <v>41080</v>
      </c>
      <c r="DJ121" s="4">
        <f>INDEX(Sheet2!C:C,QUOTIENT(ROW()-1,19)+2)</f>
        <v>41639</v>
      </c>
      <c r="DK121" s="4" t="e">
        <f>INDEX(Sheet2!$AA$2:$AS$228,QUOTIENT(ROW()-1,19)+1,MOD(ROW()-2,19)+1)</f>
        <v>#N/A</v>
      </c>
      <c r="DL121" t="str">
        <f>IFERROR(INDEX(Sheet2!$AU$2:$BM$228,QUOTIENT(ROW()-1,19)+1,MOD(ROW()-2,19)+1),NA())</f>
        <v/>
      </c>
      <c r="DM121" s="4" t="e">
        <f t="shared" si="24"/>
        <v>#N/A</v>
      </c>
      <c r="DN121" t="e">
        <f t="shared" si="25"/>
        <v>#N/A</v>
      </c>
      <c r="DO121" t="e">
        <f t="shared" si="26"/>
        <v>#N/A</v>
      </c>
      <c r="DQ121" s="4"/>
    </row>
    <row r="122" spans="7:121" x14ac:dyDescent="0.25">
      <c r="G122"/>
      <c r="DI122" s="4">
        <f>INDEX(Sheet2!A:A,QUOTIENT(ROW()-1,19)+2)</f>
        <v>41080</v>
      </c>
      <c r="DJ122" s="4">
        <f>INDEX(Sheet2!C:C,QUOTIENT(ROW()-1,19)+2)</f>
        <v>41639</v>
      </c>
      <c r="DK122" s="4" t="e">
        <f>INDEX(Sheet2!$AA$2:$AS$228,QUOTIENT(ROW()-1,19)+1,MOD(ROW()-2,19)+1)</f>
        <v>#N/A</v>
      </c>
      <c r="DL122" t="str">
        <f>IFERROR(INDEX(Sheet2!$AU$2:$BM$228,QUOTIENT(ROW()-1,19)+1,MOD(ROW()-2,19)+1),NA())</f>
        <v/>
      </c>
      <c r="DM122" s="4" t="e">
        <f t="shared" si="24"/>
        <v>#N/A</v>
      </c>
      <c r="DN122" t="e">
        <f t="shared" si="25"/>
        <v>#N/A</v>
      </c>
      <c r="DO122" t="e">
        <f t="shared" si="26"/>
        <v>#N/A</v>
      </c>
      <c r="DQ122" s="4"/>
    </row>
    <row r="123" spans="7:121" x14ac:dyDescent="0.25">
      <c r="G123"/>
      <c r="DI123" s="4">
        <f>INDEX(Sheet2!A:A,QUOTIENT(ROW()-1,19)+2)</f>
        <v>41080</v>
      </c>
      <c r="DJ123" s="4">
        <f>INDEX(Sheet2!C:C,QUOTIENT(ROW()-1,19)+2)</f>
        <v>41639</v>
      </c>
      <c r="DK123" s="4" t="e">
        <f>INDEX(Sheet2!$AA$2:$AS$228,QUOTIENT(ROW()-1,19)+1,MOD(ROW()-2,19)+1)</f>
        <v>#N/A</v>
      </c>
      <c r="DL123" t="str">
        <f>IFERROR(INDEX(Sheet2!$AU$2:$BM$228,QUOTIENT(ROW()-1,19)+1,MOD(ROW()-2,19)+1),NA())</f>
        <v/>
      </c>
      <c r="DM123" s="4" t="e">
        <f t="shared" si="24"/>
        <v>#N/A</v>
      </c>
      <c r="DN123" t="e">
        <f t="shared" si="25"/>
        <v>#N/A</v>
      </c>
      <c r="DO123" t="e">
        <f t="shared" si="26"/>
        <v>#N/A</v>
      </c>
      <c r="DQ123" s="4"/>
    </row>
    <row r="124" spans="7:121" x14ac:dyDescent="0.25">
      <c r="G124"/>
      <c r="DI124" s="4">
        <f>INDEX(Sheet2!A:A,QUOTIENT(ROW()-1,19)+2)</f>
        <v>41080</v>
      </c>
      <c r="DJ124" s="4">
        <f>INDEX(Sheet2!C:C,QUOTIENT(ROW()-1,19)+2)</f>
        <v>41639</v>
      </c>
      <c r="DK124" s="4" t="e">
        <f>INDEX(Sheet2!$AA$2:$AS$228,QUOTIENT(ROW()-1,19)+1,MOD(ROW()-2,19)+1)</f>
        <v>#N/A</v>
      </c>
      <c r="DL124" t="str">
        <f>IFERROR(INDEX(Sheet2!$AU$2:$BM$228,QUOTIENT(ROW()-1,19)+1,MOD(ROW()-2,19)+1),NA())</f>
        <v/>
      </c>
      <c r="DM124" s="4" t="e">
        <f t="shared" si="24"/>
        <v>#N/A</v>
      </c>
      <c r="DN124" t="e">
        <f t="shared" si="25"/>
        <v>#N/A</v>
      </c>
      <c r="DO124" t="e">
        <f t="shared" si="26"/>
        <v>#N/A</v>
      </c>
      <c r="DQ124" s="4"/>
    </row>
    <row r="125" spans="7:121" x14ac:dyDescent="0.25">
      <c r="G125"/>
      <c r="DI125" s="4">
        <f>INDEX(Sheet2!A:A,QUOTIENT(ROW()-1,19)+2)</f>
        <v>41080</v>
      </c>
      <c r="DJ125" s="4">
        <f>INDEX(Sheet2!C:C,QUOTIENT(ROW()-1,19)+2)</f>
        <v>41639</v>
      </c>
      <c r="DK125" s="4" t="e">
        <f>INDEX(Sheet2!$AA$2:$AS$228,QUOTIENT(ROW()-1,19)+1,MOD(ROW()-2,19)+1)</f>
        <v>#N/A</v>
      </c>
      <c r="DL125" t="str">
        <f>IFERROR(INDEX(Sheet2!$AU$2:$BM$228,QUOTIENT(ROW()-1,19)+1,MOD(ROW()-2,19)+1),NA())</f>
        <v/>
      </c>
      <c r="DM125" s="4" t="e">
        <f t="shared" si="24"/>
        <v>#N/A</v>
      </c>
      <c r="DN125" t="e">
        <f t="shared" si="25"/>
        <v>#N/A</v>
      </c>
      <c r="DO125" t="e">
        <f t="shared" si="26"/>
        <v>#N/A</v>
      </c>
      <c r="DQ125" s="4"/>
    </row>
    <row r="126" spans="7:121" x14ac:dyDescent="0.25">
      <c r="G126"/>
      <c r="DI126" s="4">
        <f>INDEX(Sheet2!A:A,QUOTIENT(ROW()-1,19)+2)</f>
        <v>41080</v>
      </c>
      <c r="DJ126" s="4">
        <f>INDEX(Sheet2!C:C,QUOTIENT(ROW()-1,19)+2)</f>
        <v>41639</v>
      </c>
      <c r="DK126" s="4" t="e">
        <f>INDEX(Sheet2!$AA$2:$AS$228,QUOTIENT(ROW()-1,19)+1,MOD(ROW()-2,19)+1)</f>
        <v>#N/A</v>
      </c>
      <c r="DL126" t="str">
        <f>IFERROR(INDEX(Sheet2!$AU$2:$BM$228,QUOTIENT(ROW()-1,19)+1,MOD(ROW()-2,19)+1),NA())</f>
        <v/>
      </c>
      <c r="DM126" s="4" t="e">
        <f t="shared" si="24"/>
        <v>#N/A</v>
      </c>
      <c r="DN126" t="e">
        <f t="shared" si="25"/>
        <v>#N/A</v>
      </c>
      <c r="DO126" t="e">
        <f t="shared" si="26"/>
        <v>#N/A</v>
      </c>
      <c r="DQ126" s="4"/>
    </row>
    <row r="127" spans="7:121" x14ac:dyDescent="0.25">
      <c r="G127"/>
      <c r="DI127" s="4">
        <f>INDEX(Sheet2!A:A,QUOTIENT(ROW()-1,19)+2)</f>
        <v>41080</v>
      </c>
      <c r="DJ127" s="4">
        <f>INDEX(Sheet2!C:C,QUOTIENT(ROW()-1,19)+2)</f>
        <v>41639</v>
      </c>
      <c r="DK127" s="4" t="e">
        <f>INDEX(Sheet2!$AA$2:$AS$228,QUOTIENT(ROW()-1,19)+1,MOD(ROW()-2,19)+1)</f>
        <v>#N/A</v>
      </c>
      <c r="DL127" t="str">
        <f>IFERROR(INDEX(Sheet2!$AU$2:$BM$228,QUOTIENT(ROW()-1,19)+1,MOD(ROW()-2,19)+1),NA())</f>
        <v/>
      </c>
      <c r="DM127" s="4" t="e">
        <f t="shared" si="24"/>
        <v>#N/A</v>
      </c>
      <c r="DN127" t="e">
        <f t="shared" si="25"/>
        <v>#N/A</v>
      </c>
      <c r="DO127" t="e">
        <f t="shared" si="26"/>
        <v>#N/A</v>
      </c>
      <c r="DQ127" s="4"/>
    </row>
    <row r="128" spans="7:121" x14ac:dyDescent="0.25">
      <c r="G128"/>
      <c r="DI128" s="4">
        <f>INDEX(Sheet2!A:A,QUOTIENT(ROW()-1,19)+2)</f>
        <v>41080</v>
      </c>
      <c r="DJ128" s="4">
        <f>INDEX(Sheet2!C:C,QUOTIENT(ROW()-1,19)+2)</f>
        <v>41639</v>
      </c>
      <c r="DK128" s="4" t="e">
        <f>INDEX(Sheet2!$AA$2:$AS$228,QUOTIENT(ROW()-1,19)+1,MOD(ROW()-2,19)+1)</f>
        <v>#N/A</v>
      </c>
      <c r="DL128" t="str">
        <f>IFERROR(INDEX(Sheet2!$AU$2:$BM$228,QUOTIENT(ROW()-1,19)+1,MOD(ROW()-2,19)+1),NA())</f>
        <v/>
      </c>
      <c r="DM128" s="4" t="e">
        <f t="shared" si="24"/>
        <v>#N/A</v>
      </c>
      <c r="DN128" t="e">
        <f t="shared" si="25"/>
        <v>#N/A</v>
      </c>
      <c r="DO128" t="e">
        <f t="shared" si="26"/>
        <v>#N/A</v>
      </c>
      <c r="DQ128" s="4"/>
    </row>
    <row r="129" spans="7:121" x14ac:dyDescent="0.25">
      <c r="G129"/>
      <c r="DI129" s="4">
        <f>INDEX(Sheet2!A:A,QUOTIENT(ROW()-1,19)+2)</f>
        <v>41080</v>
      </c>
      <c r="DJ129" s="4">
        <f>INDEX(Sheet2!C:C,QUOTIENT(ROW()-1,19)+2)</f>
        <v>41639</v>
      </c>
      <c r="DK129" s="4" t="e">
        <f>INDEX(Sheet2!$AA$2:$AS$228,QUOTIENT(ROW()-1,19)+1,MOD(ROW()-2,19)+1)</f>
        <v>#N/A</v>
      </c>
      <c r="DL129" t="str">
        <f>IFERROR(INDEX(Sheet2!$AU$2:$BM$228,QUOTIENT(ROW()-1,19)+1,MOD(ROW()-2,19)+1),NA())</f>
        <v/>
      </c>
      <c r="DM129" s="4" t="e">
        <f t="shared" si="24"/>
        <v>#N/A</v>
      </c>
      <c r="DN129" t="e">
        <f t="shared" si="25"/>
        <v>#N/A</v>
      </c>
      <c r="DO129" t="e">
        <f t="shared" si="26"/>
        <v>#N/A</v>
      </c>
      <c r="DQ129" s="4"/>
    </row>
    <row r="130" spans="7:121" x14ac:dyDescent="0.25">
      <c r="G130"/>
      <c r="DI130" s="4">
        <f>INDEX(Sheet2!A:A,QUOTIENT(ROW()-1,19)+2)</f>
        <v>41080</v>
      </c>
      <c r="DJ130" s="4">
        <f>INDEX(Sheet2!C:C,QUOTIENT(ROW()-1,19)+2)</f>
        <v>41639</v>
      </c>
      <c r="DK130" s="4" t="e">
        <f>INDEX(Sheet2!$AA$2:$AS$228,QUOTIENT(ROW()-1,19)+1,MOD(ROW()-2,19)+1)</f>
        <v>#N/A</v>
      </c>
      <c r="DL130" t="str">
        <f>IFERROR(INDEX(Sheet2!$AU$2:$BM$228,QUOTIENT(ROW()-1,19)+1,MOD(ROW()-2,19)+1),NA())</f>
        <v/>
      </c>
      <c r="DM130" s="4" t="e">
        <f t="shared" ref="DM130:DM193" si="27">+IF($C$2=$DI130,DK130,NA())</f>
        <v>#N/A</v>
      </c>
      <c r="DN130" t="e">
        <f t="shared" ref="DN130:DN193" si="28">+IF($C$2=$DI130,DL130,NA())</f>
        <v>#N/A</v>
      </c>
      <c r="DO130" t="e">
        <f t="shared" si="26"/>
        <v>#N/A</v>
      </c>
      <c r="DQ130" s="4"/>
    </row>
    <row r="131" spans="7:121" x14ac:dyDescent="0.25">
      <c r="G131"/>
      <c r="DI131" s="4">
        <f>INDEX(Sheet2!A:A,QUOTIENT(ROW()-1,19)+2)</f>
        <v>41080</v>
      </c>
      <c r="DJ131" s="4">
        <f>INDEX(Sheet2!C:C,QUOTIENT(ROW()-1,19)+2)</f>
        <v>41639</v>
      </c>
      <c r="DK131" s="4" t="e">
        <f>INDEX(Sheet2!$AA$2:$AS$228,QUOTIENT(ROW()-1,19)+1,MOD(ROW()-2,19)+1)</f>
        <v>#N/A</v>
      </c>
      <c r="DL131" t="str">
        <f>IFERROR(INDEX(Sheet2!$AU$2:$BM$228,QUOTIENT(ROW()-1,19)+1,MOD(ROW()-2,19)+1),NA())</f>
        <v/>
      </c>
      <c r="DM131" s="4" t="e">
        <f t="shared" si="27"/>
        <v>#N/A</v>
      </c>
      <c r="DN131" t="e">
        <f t="shared" si="28"/>
        <v>#N/A</v>
      </c>
      <c r="DO131" t="e">
        <f t="shared" ref="DO131:DO194" si="29">IF(DN131="",NA(),DN131)</f>
        <v>#N/A</v>
      </c>
      <c r="DQ131" s="4"/>
    </row>
    <row r="132" spans="7:121" x14ac:dyDescent="0.25">
      <c r="G132"/>
      <c r="DI132" s="4">
        <f>INDEX(Sheet2!A:A,QUOTIENT(ROW()-1,19)+2)</f>
        <v>41080</v>
      </c>
      <c r="DJ132" s="4">
        <f>INDEX(Sheet2!C:C,QUOTIENT(ROW()-1,19)+2)</f>
        <v>41639</v>
      </c>
      <c r="DK132" s="4" t="e">
        <f>INDEX(Sheet2!$AA$2:$AS$228,QUOTIENT(ROW()-1,19)+1,MOD(ROW()-2,19)+1)</f>
        <v>#N/A</v>
      </c>
      <c r="DL132" t="str">
        <f>IFERROR(INDEX(Sheet2!$AU$2:$BM$228,QUOTIENT(ROW()-1,19)+1,MOD(ROW()-2,19)+1),NA())</f>
        <v/>
      </c>
      <c r="DM132" s="4" t="e">
        <f t="shared" si="27"/>
        <v>#N/A</v>
      </c>
      <c r="DN132" t="e">
        <f t="shared" si="28"/>
        <v>#N/A</v>
      </c>
      <c r="DO132" t="e">
        <f t="shared" si="29"/>
        <v>#N/A</v>
      </c>
      <c r="DQ132" s="4"/>
    </row>
    <row r="133" spans="7:121" x14ac:dyDescent="0.25">
      <c r="G133"/>
      <c r="DI133" s="4">
        <f>INDEX(Sheet2!A:A,QUOTIENT(ROW()-1,19)+2)</f>
        <v>41080</v>
      </c>
      <c r="DJ133" s="4">
        <f>INDEX(Sheet2!C:C,QUOTIENT(ROW()-1,19)+2)</f>
        <v>41639</v>
      </c>
      <c r="DK133" s="4" t="e">
        <f>INDEX(Sheet2!$AA$2:$AS$228,QUOTIENT(ROW()-1,19)+1,MOD(ROW()-2,19)+1)</f>
        <v>#N/A</v>
      </c>
      <c r="DL133" t="str">
        <f>IFERROR(INDEX(Sheet2!$AU$2:$BM$228,QUOTIENT(ROW()-1,19)+1,MOD(ROW()-2,19)+1),NA())</f>
        <v/>
      </c>
      <c r="DM133" s="4" t="e">
        <f t="shared" si="27"/>
        <v>#N/A</v>
      </c>
      <c r="DN133" t="e">
        <f t="shared" si="28"/>
        <v>#N/A</v>
      </c>
      <c r="DO133" t="e">
        <f t="shared" si="29"/>
        <v>#N/A</v>
      </c>
      <c r="DQ133" s="4"/>
    </row>
    <row r="134" spans="7:121" x14ac:dyDescent="0.25">
      <c r="G134"/>
      <c r="DI134" s="4">
        <f>INDEX(Sheet2!A:A,QUOTIENT(ROW()-1,19)+2)</f>
        <v>41080</v>
      </c>
      <c r="DJ134" s="4">
        <f>INDEX(Sheet2!C:C,QUOTIENT(ROW()-1,19)+2)</f>
        <v>41639</v>
      </c>
      <c r="DK134" s="4" t="e">
        <f>INDEX(Sheet2!$AA$2:$AS$228,QUOTIENT(ROW()-1,19)+1,MOD(ROW()-2,19)+1)</f>
        <v>#N/A</v>
      </c>
      <c r="DL134" t="str">
        <f>IFERROR(INDEX(Sheet2!$AU$2:$BM$228,QUOTIENT(ROW()-1,19)+1,MOD(ROW()-2,19)+1),NA())</f>
        <v/>
      </c>
      <c r="DM134" s="4" t="e">
        <f t="shared" si="27"/>
        <v>#N/A</v>
      </c>
      <c r="DN134" t="e">
        <f t="shared" si="28"/>
        <v>#N/A</v>
      </c>
      <c r="DO134" t="e">
        <f t="shared" si="29"/>
        <v>#N/A</v>
      </c>
      <c r="DQ134" s="4"/>
    </row>
    <row r="135" spans="7:121" x14ac:dyDescent="0.25">
      <c r="G135"/>
      <c r="DI135" s="4">
        <f>INDEX(Sheet2!A:A,QUOTIENT(ROW()-1,19)+2)</f>
        <v>41080</v>
      </c>
      <c r="DJ135" s="4">
        <f>INDEX(Sheet2!C:C,QUOTIENT(ROW()-1,19)+2)</f>
        <v>41639</v>
      </c>
      <c r="DK135" s="4">
        <f>INDEX(Sheet2!$AA$2:$AS$228,QUOTIENT(ROW()-1,19)+1,MOD(ROW()-2,19)+1)</f>
        <v>41628.962500000001</v>
      </c>
      <c r="DL135">
        <f>IFERROR(INDEX(Sheet2!$AU$2:$BM$228,QUOTIENT(ROW()-1,19)+1,MOD(ROW()-2,19)+1),NA())</f>
        <v>1.25</v>
      </c>
      <c r="DM135" s="4" t="e">
        <f t="shared" si="27"/>
        <v>#N/A</v>
      </c>
      <c r="DN135" t="e">
        <f t="shared" si="28"/>
        <v>#N/A</v>
      </c>
      <c r="DO135" t="e">
        <f t="shared" si="29"/>
        <v>#N/A</v>
      </c>
      <c r="DQ135" s="4"/>
    </row>
    <row r="136" spans="7:121" x14ac:dyDescent="0.25">
      <c r="G136"/>
      <c r="DI136" s="4">
        <f>INDEX(Sheet2!A:A,QUOTIENT(ROW()-1,19)+2)</f>
        <v>41080</v>
      </c>
      <c r="DJ136" s="4">
        <f>INDEX(Sheet2!C:C,QUOTIENT(ROW()-1,19)+2)</f>
        <v>41639</v>
      </c>
      <c r="DK136" s="4">
        <f>INDEX(Sheet2!$AA$2:$AS$228,QUOTIENT(ROW()-1,19)+1,MOD(ROW()-2,19)+1)</f>
        <v>41649.037500000006</v>
      </c>
      <c r="DL136">
        <f>IFERROR(INDEX(Sheet2!$AU$2:$BM$228,QUOTIENT(ROW()-1,19)+1,MOD(ROW()-2,19)+1),NA())</f>
        <v>1.25</v>
      </c>
      <c r="DM136" s="4" t="e">
        <f t="shared" si="27"/>
        <v>#N/A</v>
      </c>
      <c r="DN136" t="e">
        <f t="shared" si="28"/>
        <v>#N/A</v>
      </c>
      <c r="DO136" t="e">
        <f t="shared" si="29"/>
        <v>#N/A</v>
      </c>
      <c r="DQ136" s="4"/>
    </row>
    <row r="137" spans="7:121" x14ac:dyDescent="0.25">
      <c r="G137"/>
      <c r="DI137" s="4">
        <f>INDEX(Sheet2!A:A,QUOTIENT(ROW()-1,19)+2)</f>
        <v>41080</v>
      </c>
      <c r="DJ137" s="4">
        <f>INDEX(Sheet2!C:C,QUOTIENT(ROW()-1,19)+2)</f>
        <v>41639</v>
      </c>
      <c r="DK137" s="4" t="e">
        <f>INDEX(Sheet2!$AA$2:$AS$228,QUOTIENT(ROW()-1,19)+1,MOD(ROW()-2,19)+1)</f>
        <v>#N/A</v>
      </c>
      <c r="DL137" t="str">
        <f>IFERROR(INDEX(Sheet2!$AU$2:$BM$228,QUOTIENT(ROW()-1,19)+1,MOD(ROW()-2,19)+1),NA())</f>
        <v/>
      </c>
      <c r="DM137" s="4" t="e">
        <f t="shared" si="27"/>
        <v>#N/A</v>
      </c>
      <c r="DN137" t="e">
        <f t="shared" si="28"/>
        <v>#N/A</v>
      </c>
      <c r="DO137" t="e">
        <f t="shared" si="29"/>
        <v>#N/A</v>
      </c>
      <c r="DQ137" s="4"/>
    </row>
    <row r="138" spans="7:121" x14ac:dyDescent="0.25">
      <c r="G138"/>
      <c r="DI138" s="4">
        <f>INDEX(Sheet2!A:A,QUOTIENT(ROW()-1,19)+2)</f>
        <v>41080</v>
      </c>
      <c r="DJ138" s="4">
        <f>INDEX(Sheet2!C:C,QUOTIENT(ROW()-1,19)+2)</f>
        <v>41639</v>
      </c>
      <c r="DK138" s="4" t="e">
        <f>INDEX(Sheet2!$AA$2:$AS$228,QUOTIENT(ROW()-1,19)+1,MOD(ROW()-2,19)+1)</f>
        <v>#N/A</v>
      </c>
      <c r="DL138" t="str">
        <f>IFERROR(INDEX(Sheet2!$AU$2:$BM$228,QUOTIENT(ROW()-1,19)+1,MOD(ROW()-2,19)+1),NA())</f>
        <v/>
      </c>
      <c r="DM138" s="4" t="e">
        <f t="shared" si="27"/>
        <v>#N/A</v>
      </c>
      <c r="DN138" t="e">
        <f t="shared" si="28"/>
        <v>#N/A</v>
      </c>
      <c r="DO138" t="e">
        <f t="shared" si="29"/>
        <v>#N/A</v>
      </c>
      <c r="DQ138" s="4"/>
    </row>
    <row r="139" spans="7:121" x14ac:dyDescent="0.25">
      <c r="G139"/>
      <c r="DI139" s="4">
        <f>INDEX(Sheet2!A:A,QUOTIENT(ROW()-1,19)+2)</f>
        <v>41080</v>
      </c>
      <c r="DJ139" s="4">
        <f>INDEX(Sheet2!C:C,QUOTIENT(ROW()-1,19)+2)</f>
        <v>41639</v>
      </c>
      <c r="DK139" s="4" t="e">
        <f>INDEX(Sheet2!$AA$2:$AS$228,QUOTIENT(ROW()-1,19)+1,MOD(ROW()-2,19)+1)</f>
        <v>#N/A</v>
      </c>
      <c r="DL139" t="str">
        <f>IFERROR(INDEX(Sheet2!$AU$2:$BM$228,QUOTIENT(ROW()-1,19)+1,MOD(ROW()-2,19)+1),NA())</f>
        <v/>
      </c>
      <c r="DM139" s="4" t="e">
        <f t="shared" si="27"/>
        <v>#N/A</v>
      </c>
      <c r="DN139" t="e">
        <f t="shared" si="28"/>
        <v>#N/A</v>
      </c>
      <c r="DO139" t="e">
        <f t="shared" si="29"/>
        <v>#N/A</v>
      </c>
      <c r="DQ139" s="4"/>
    </row>
    <row r="140" spans="7:121" x14ac:dyDescent="0.25">
      <c r="G140"/>
      <c r="DI140" s="4">
        <f>INDEX(Sheet2!A:A,QUOTIENT(ROW()-1,19)+2)</f>
        <v>41080</v>
      </c>
      <c r="DJ140" s="4">
        <f>INDEX(Sheet2!C:C,QUOTIENT(ROW()-1,19)+2)</f>
        <v>41639</v>
      </c>
      <c r="DK140" s="4" t="e">
        <f>INDEX(Sheet2!$AA$2:$AS$228,QUOTIENT(ROW()-1,19)+1,MOD(ROW()-2,19)+1)</f>
        <v>#N/A</v>
      </c>
      <c r="DL140" t="str">
        <f>IFERROR(INDEX(Sheet2!$AU$2:$BM$228,QUOTIENT(ROW()-1,19)+1,MOD(ROW()-2,19)+1),NA())</f>
        <v/>
      </c>
      <c r="DM140" s="4" t="e">
        <f t="shared" si="27"/>
        <v>#N/A</v>
      </c>
      <c r="DN140" t="e">
        <f t="shared" si="28"/>
        <v>#N/A</v>
      </c>
      <c r="DO140" t="e">
        <f t="shared" si="29"/>
        <v>#N/A</v>
      </c>
      <c r="DQ140" s="4"/>
    </row>
    <row r="141" spans="7:121" x14ac:dyDescent="0.25">
      <c r="G141"/>
      <c r="DI141" s="4">
        <f>INDEX(Sheet2!A:A,QUOTIENT(ROW()-1,19)+2)</f>
        <v>41080</v>
      </c>
      <c r="DJ141" s="4">
        <f>INDEX(Sheet2!C:C,QUOTIENT(ROW()-1,19)+2)</f>
        <v>41639</v>
      </c>
      <c r="DK141" s="4" t="e">
        <f>INDEX(Sheet2!$AA$2:$AS$228,QUOTIENT(ROW()-1,19)+1,MOD(ROW()-2,19)+1)</f>
        <v>#N/A</v>
      </c>
      <c r="DL141" t="str">
        <f>IFERROR(INDEX(Sheet2!$AU$2:$BM$228,QUOTIENT(ROW()-1,19)+1,MOD(ROW()-2,19)+1),NA())</f>
        <v/>
      </c>
      <c r="DM141" s="4" t="e">
        <f t="shared" si="27"/>
        <v>#N/A</v>
      </c>
      <c r="DN141" t="e">
        <f t="shared" si="28"/>
        <v>#N/A</v>
      </c>
      <c r="DO141" t="e">
        <f t="shared" si="29"/>
        <v>#N/A</v>
      </c>
      <c r="DQ141" s="4"/>
    </row>
    <row r="142" spans="7:121" x14ac:dyDescent="0.25">
      <c r="G142"/>
      <c r="DI142" s="4">
        <f>INDEX(Sheet2!A:A,QUOTIENT(ROW()-1,19)+2)</f>
        <v>41080</v>
      </c>
      <c r="DJ142" s="4">
        <f>INDEX(Sheet2!C:C,QUOTIENT(ROW()-1,19)+2)</f>
        <v>41639</v>
      </c>
      <c r="DK142" s="4" t="e">
        <f>INDEX(Sheet2!$AA$2:$AS$228,QUOTIENT(ROW()-1,19)+1,MOD(ROW()-2,19)+1)</f>
        <v>#N/A</v>
      </c>
      <c r="DL142" t="str">
        <f>IFERROR(INDEX(Sheet2!$AU$2:$BM$228,QUOTIENT(ROW()-1,19)+1,MOD(ROW()-2,19)+1),NA())</f>
        <v/>
      </c>
      <c r="DM142" s="4" t="e">
        <f t="shared" si="27"/>
        <v>#N/A</v>
      </c>
      <c r="DN142" t="e">
        <f t="shared" si="28"/>
        <v>#N/A</v>
      </c>
      <c r="DO142" t="e">
        <f t="shared" si="29"/>
        <v>#N/A</v>
      </c>
      <c r="DQ142" s="4"/>
    </row>
    <row r="143" spans="7:121" x14ac:dyDescent="0.25">
      <c r="G143"/>
      <c r="DI143" s="4">
        <f>INDEX(Sheet2!A:A,QUOTIENT(ROW()-1,19)+2)</f>
        <v>41080</v>
      </c>
      <c r="DJ143" s="4">
        <f>INDEX(Sheet2!C:C,QUOTIENT(ROW()-1,19)+2)</f>
        <v>41639</v>
      </c>
      <c r="DK143" s="4" t="e">
        <f>INDEX(Sheet2!$AA$2:$AS$228,QUOTIENT(ROW()-1,19)+1,MOD(ROW()-2,19)+1)</f>
        <v>#N/A</v>
      </c>
      <c r="DL143" t="str">
        <f>IFERROR(INDEX(Sheet2!$AU$2:$BM$228,QUOTIENT(ROW()-1,19)+1,MOD(ROW()-2,19)+1),NA())</f>
        <v/>
      </c>
      <c r="DM143" s="4" t="e">
        <f t="shared" si="27"/>
        <v>#N/A</v>
      </c>
      <c r="DN143" t="e">
        <f t="shared" si="28"/>
        <v>#N/A</v>
      </c>
      <c r="DO143" t="e">
        <f t="shared" si="29"/>
        <v>#N/A</v>
      </c>
      <c r="DQ143" s="4"/>
    </row>
    <row r="144" spans="7:121" x14ac:dyDescent="0.25">
      <c r="G144"/>
      <c r="DI144" s="4">
        <f>INDEX(Sheet2!A:A,QUOTIENT(ROW()-1,19)+2)</f>
        <v>41080</v>
      </c>
      <c r="DJ144" s="4">
        <f>INDEX(Sheet2!C:C,QUOTIENT(ROW()-1,19)+2)</f>
        <v>41639</v>
      </c>
      <c r="DK144" s="4" t="e">
        <f>INDEX(Sheet2!$AA$2:$AS$228,QUOTIENT(ROW()-1,19)+1,MOD(ROW()-2,19)+1)</f>
        <v>#N/A</v>
      </c>
      <c r="DL144" t="str">
        <f>IFERROR(INDEX(Sheet2!$AU$2:$BM$228,QUOTIENT(ROW()-1,19)+1,MOD(ROW()-2,19)+1),NA())</f>
        <v/>
      </c>
      <c r="DM144" s="4" t="e">
        <f t="shared" si="27"/>
        <v>#N/A</v>
      </c>
      <c r="DN144" t="e">
        <f t="shared" si="28"/>
        <v>#N/A</v>
      </c>
      <c r="DO144" t="e">
        <f t="shared" si="29"/>
        <v>#N/A</v>
      </c>
      <c r="DQ144" s="4"/>
    </row>
    <row r="145" spans="7:121" x14ac:dyDescent="0.25">
      <c r="G145"/>
      <c r="DI145" s="4">
        <f>INDEX(Sheet2!A:A,QUOTIENT(ROW()-1,19)+2)</f>
        <v>41080</v>
      </c>
      <c r="DJ145" s="4">
        <f>INDEX(Sheet2!C:C,QUOTIENT(ROW()-1,19)+2)</f>
        <v>41639</v>
      </c>
      <c r="DK145" s="4" t="e">
        <f>INDEX(Sheet2!$AA$2:$AS$228,QUOTIENT(ROW()-1,19)+1,MOD(ROW()-2,19)+1)</f>
        <v>#N/A</v>
      </c>
      <c r="DL145" t="str">
        <f>IFERROR(INDEX(Sheet2!$AU$2:$BM$228,QUOTIENT(ROW()-1,19)+1,MOD(ROW()-2,19)+1),NA())</f>
        <v/>
      </c>
      <c r="DM145" s="4" t="e">
        <f t="shared" si="27"/>
        <v>#N/A</v>
      </c>
      <c r="DN145" t="e">
        <f t="shared" si="28"/>
        <v>#N/A</v>
      </c>
      <c r="DO145" t="e">
        <f t="shared" si="29"/>
        <v>#N/A</v>
      </c>
      <c r="DQ145" s="4"/>
    </row>
    <row r="146" spans="7:121" x14ac:dyDescent="0.25">
      <c r="G146"/>
      <c r="DI146" s="4">
        <f>INDEX(Sheet2!A:A,QUOTIENT(ROW()-1,19)+2)</f>
        <v>41080</v>
      </c>
      <c r="DJ146" s="4">
        <f>INDEX(Sheet2!C:C,QUOTIENT(ROW()-1,19)+2)</f>
        <v>41639</v>
      </c>
      <c r="DK146" s="4" t="e">
        <f>INDEX(Sheet2!$AA$2:$AS$228,QUOTIENT(ROW()-1,19)+1,MOD(ROW()-2,19)+1)</f>
        <v>#N/A</v>
      </c>
      <c r="DL146" t="str">
        <f>IFERROR(INDEX(Sheet2!$AU$2:$BM$228,QUOTIENT(ROW()-1,19)+1,MOD(ROW()-2,19)+1),NA())</f>
        <v/>
      </c>
      <c r="DM146" s="4" t="e">
        <f t="shared" si="27"/>
        <v>#N/A</v>
      </c>
      <c r="DN146" t="e">
        <f t="shared" si="28"/>
        <v>#N/A</v>
      </c>
      <c r="DO146" t="e">
        <f t="shared" si="29"/>
        <v>#N/A</v>
      </c>
      <c r="DQ146" s="4"/>
    </row>
    <row r="147" spans="7:121" x14ac:dyDescent="0.25">
      <c r="G147"/>
      <c r="DI147" s="4">
        <f>INDEX(Sheet2!A:A,QUOTIENT(ROW()-1,19)+2)</f>
        <v>41080</v>
      </c>
      <c r="DJ147" s="4">
        <f>INDEX(Sheet2!C:C,QUOTIENT(ROW()-1,19)+2)</f>
        <v>41639</v>
      </c>
      <c r="DK147" s="4" t="e">
        <f>INDEX(Sheet2!$AA$2:$AS$228,QUOTIENT(ROW()-1,19)+1,MOD(ROW()-2,19)+1)</f>
        <v>#N/A</v>
      </c>
      <c r="DL147" t="str">
        <f>IFERROR(INDEX(Sheet2!$AU$2:$BM$228,QUOTIENT(ROW()-1,19)+1,MOD(ROW()-2,19)+1),NA())</f>
        <v/>
      </c>
      <c r="DM147" s="4" t="e">
        <f t="shared" si="27"/>
        <v>#N/A</v>
      </c>
      <c r="DN147" t="e">
        <f t="shared" si="28"/>
        <v>#N/A</v>
      </c>
      <c r="DO147" t="e">
        <f t="shared" si="29"/>
        <v>#N/A</v>
      </c>
      <c r="DQ147" s="4"/>
    </row>
    <row r="148" spans="7:121" x14ac:dyDescent="0.25">
      <c r="G148"/>
      <c r="DI148" s="4">
        <f>INDEX(Sheet2!A:A,QUOTIENT(ROW()-1,19)+2)</f>
        <v>41080</v>
      </c>
      <c r="DJ148" s="4">
        <f>INDEX(Sheet2!C:C,QUOTIENT(ROW()-1,19)+2)</f>
        <v>41639</v>
      </c>
      <c r="DK148" s="4" t="e">
        <f>INDEX(Sheet2!$AA$2:$AS$228,QUOTIENT(ROW()-1,19)+1,MOD(ROW()-2,19)+1)</f>
        <v>#N/A</v>
      </c>
      <c r="DL148" t="str">
        <f>IFERROR(INDEX(Sheet2!$AU$2:$BM$228,QUOTIENT(ROW()-1,19)+1,MOD(ROW()-2,19)+1),NA())</f>
        <v/>
      </c>
      <c r="DM148" s="4" t="e">
        <f t="shared" si="27"/>
        <v>#N/A</v>
      </c>
      <c r="DN148" t="e">
        <f t="shared" si="28"/>
        <v>#N/A</v>
      </c>
      <c r="DO148" t="e">
        <f t="shared" si="29"/>
        <v>#N/A</v>
      </c>
      <c r="DQ148" s="4"/>
    </row>
    <row r="149" spans="7:121" x14ac:dyDescent="0.25">
      <c r="G149"/>
      <c r="DI149" s="4">
        <f>INDEX(Sheet2!A:A,QUOTIENT(ROW()-1,19)+2)</f>
        <v>41080</v>
      </c>
      <c r="DJ149" s="4">
        <f>INDEX(Sheet2!C:C,QUOTIENT(ROW()-1,19)+2)</f>
        <v>41639</v>
      </c>
      <c r="DK149" s="4" t="e">
        <f>INDEX(Sheet2!$AA$2:$AS$228,QUOTIENT(ROW()-1,19)+1,MOD(ROW()-2,19)+1)</f>
        <v>#N/A</v>
      </c>
      <c r="DL149" t="str">
        <f>IFERROR(INDEX(Sheet2!$AU$2:$BM$228,QUOTIENT(ROW()-1,19)+1,MOD(ROW()-2,19)+1),NA())</f>
        <v/>
      </c>
      <c r="DM149" s="4" t="e">
        <f t="shared" si="27"/>
        <v>#N/A</v>
      </c>
      <c r="DN149" t="e">
        <f t="shared" si="28"/>
        <v>#N/A</v>
      </c>
      <c r="DO149" t="e">
        <f t="shared" si="29"/>
        <v>#N/A</v>
      </c>
      <c r="DQ149" s="4"/>
    </row>
    <row r="150" spans="7:121" x14ac:dyDescent="0.25">
      <c r="G150"/>
      <c r="DI150" s="4">
        <f>INDEX(Sheet2!A:A,QUOTIENT(ROW()-1,19)+2)</f>
        <v>41080</v>
      </c>
      <c r="DJ150" s="4">
        <f>INDEX(Sheet2!C:C,QUOTIENT(ROW()-1,19)+2)</f>
        <v>41639</v>
      </c>
      <c r="DK150" s="4" t="e">
        <f>INDEX(Sheet2!$AA$2:$AS$228,QUOTIENT(ROW()-1,19)+1,MOD(ROW()-2,19)+1)</f>
        <v>#N/A</v>
      </c>
      <c r="DL150" t="str">
        <f>IFERROR(INDEX(Sheet2!$AU$2:$BM$228,QUOTIENT(ROW()-1,19)+1,MOD(ROW()-2,19)+1),NA())</f>
        <v/>
      </c>
      <c r="DM150" s="4" t="e">
        <f t="shared" si="27"/>
        <v>#N/A</v>
      </c>
      <c r="DN150" t="e">
        <f t="shared" si="28"/>
        <v>#N/A</v>
      </c>
      <c r="DO150" t="e">
        <f t="shared" si="29"/>
        <v>#N/A</v>
      </c>
      <c r="DQ150" s="4"/>
    </row>
    <row r="151" spans="7:121" x14ac:dyDescent="0.25">
      <c r="G151"/>
      <c r="DI151" s="4">
        <f>INDEX(Sheet2!A:A,QUOTIENT(ROW()-1,19)+2)</f>
        <v>41080</v>
      </c>
      <c r="DJ151" s="4">
        <f>INDEX(Sheet2!C:C,QUOTIENT(ROW()-1,19)+2)</f>
        <v>41639</v>
      </c>
      <c r="DK151" s="4" t="e">
        <f>INDEX(Sheet2!$AA$2:$AS$228,QUOTIENT(ROW()-1,19)+1,MOD(ROW()-2,19)+1)</f>
        <v>#N/A</v>
      </c>
      <c r="DL151" t="str">
        <f>IFERROR(INDEX(Sheet2!$AU$2:$BM$228,QUOTIENT(ROW()-1,19)+1,MOD(ROW()-2,19)+1),NA())</f>
        <v/>
      </c>
      <c r="DM151" s="4" t="e">
        <f t="shared" si="27"/>
        <v>#N/A</v>
      </c>
      <c r="DN151" t="e">
        <f t="shared" si="28"/>
        <v>#N/A</v>
      </c>
      <c r="DO151" t="e">
        <f t="shared" si="29"/>
        <v>#N/A</v>
      </c>
      <c r="DQ151" s="4"/>
    </row>
    <row r="152" spans="7:121" x14ac:dyDescent="0.25">
      <c r="G152"/>
      <c r="DI152" s="4">
        <f>INDEX(Sheet2!A:A,QUOTIENT(ROW()-1,19)+2)</f>
        <v>41080</v>
      </c>
      <c r="DJ152" s="4">
        <f>INDEX(Sheet2!C:C,QUOTIENT(ROW()-1,19)+2)</f>
        <v>41639</v>
      </c>
      <c r="DK152" s="4" t="e">
        <f>INDEX(Sheet2!$AA$2:$AS$228,QUOTIENT(ROW()-1,19)+1,MOD(ROW()-2,19)+1)</f>
        <v>#N/A</v>
      </c>
      <c r="DL152" t="str">
        <f>IFERROR(INDEX(Sheet2!$AU$2:$BM$228,QUOTIENT(ROW()-1,19)+1,MOD(ROW()-2,19)+1),NA())</f>
        <v/>
      </c>
      <c r="DM152" s="4" t="e">
        <f t="shared" si="27"/>
        <v>#N/A</v>
      </c>
      <c r="DN152" t="e">
        <f t="shared" si="28"/>
        <v>#N/A</v>
      </c>
      <c r="DO152" t="e">
        <f t="shared" si="29"/>
        <v>#N/A</v>
      </c>
      <c r="DQ152" s="4"/>
    </row>
    <row r="153" spans="7:121" x14ac:dyDescent="0.25">
      <c r="G153"/>
      <c r="DI153" s="4">
        <f>INDEX(Sheet2!A:A,QUOTIENT(ROW()-1,19)+2)</f>
        <v>41080</v>
      </c>
      <c r="DJ153" s="4">
        <f>INDEX(Sheet2!C:C,QUOTIENT(ROW()-1,19)+2)</f>
        <v>41639</v>
      </c>
      <c r="DK153" s="4" t="e">
        <f>INDEX(Sheet2!$AA$2:$AS$228,QUOTIENT(ROW()-1,19)+1,MOD(ROW()-2,19)+1)</f>
        <v>#N/A</v>
      </c>
      <c r="DL153" t="str">
        <f>IFERROR(INDEX(Sheet2!$AU$2:$BM$228,QUOTIENT(ROW()-1,19)+1,MOD(ROW()-2,19)+1),NA())</f>
        <v/>
      </c>
      <c r="DM153" s="4" t="e">
        <f t="shared" si="27"/>
        <v>#N/A</v>
      </c>
      <c r="DN153" t="e">
        <f t="shared" si="28"/>
        <v>#N/A</v>
      </c>
      <c r="DO153" t="e">
        <f t="shared" si="29"/>
        <v>#N/A</v>
      </c>
      <c r="DQ153" s="4"/>
    </row>
    <row r="154" spans="7:121" x14ac:dyDescent="0.25">
      <c r="G154"/>
      <c r="DI154" s="4">
        <f>INDEX(Sheet2!A:A,QUOTIENT(ROW()-1,19)+2)</f>
        <v>41080</v>
      </c>
      <c r="DJ154" s="4">
        <f>INDEX(Sheet2!C:C,QUOTIENT(ROW()-1,19)+2)</f>
        <v>41639</v>
      </c>
      <c r="DK154" s="4">
        <f>INDEX(Sheet2!$AA$2:$AS$228,QUOTIENT(ROW()-1,19)+1,MOD(ROW()-2,19)+1)</f>
        <v>41639</v>
      </c>
      <c r="DL154">
        <f>IFERROR(INDEX(Sheet2!$AU$2:$BM$228,QUOTIENT(ROW()-1,19)+1,MOD(ROW()-2,19)+1),NA())</f>
        <v>1.75</v>
      </c>
      <c r="DM154" s="4" t="e">
        <f t="shared" si="27"/>
        <v>#N/A</v>
      </c>
      <c r="DN154" t="e">
        <f t="shared" si="28"/>
        <v>#N/A</v>
      </c>
      <c r="DO154" t="e">
        <f t="shared" si="29"/>
        <v>#N/A</v>
      </c>
      <c r="DQ154" s="4"/>
    </row>
    <row r="155" spans="7:121" x14ac:dyDescent="0.25">
      <c r="G155"/>
      <c r="DI155" s="4">
        <f>INDEX(Sheet2!A:A,QUOTIENT(ROW()-1,19)+2)</f>
        <v>41080</v>
      </c>
      <c r="DJ155" s="4">
        <f>INDEX(Sheet2!C:C,QUOTIENT(ROW()-1,19)+2)</f>
        <v>41639</v>
      </c>
      <c r="DK155" s="4" t="e">
        <f>INDEX(Sheet2!$AA$2:$AS$228,QUOTIENT(ROW()-1,19)+1,MOD(ROW()-2,19)+1)</f>
        <v>#N/A</v>
      </c>
      <c r="DL155" t="str">
        <f>IFERROR(INDEX(Sheet2!$AU$2:$BM$228,QUOTIENT(ROW()-1,19)+1,MOD(ROW()-2,19)+1),NA())</f>
        <v/>
      </c>
      <c r="DM155" s="4" t="e">
        <f t="shared" si="27"/>
        <v>#N/A</v>
      </c>
      <c r="DN155" t="e">
        <f t="shared" si="28"/>
        <v>#N/A</v>
      </c>
      <c r="DO155" t="e">
        <f t="shared" si="29"/>
        <v>#N/A</v>
      </c>
      <c r="DQ155" s="4"/>
    </row>
    <row r="156" spans="7:121" x14ac:dyDescent="0.25">
      <c r="G156"/>
      <c r="DI156" s="4">
        <f>INDEX(Sheet2!A:A,QUOTIENT(ROW()-1,19)+2)</f>
        <v>41080</v>
      </c>
      <c r="DJ156" s="4">
        <f>INDEX(Sheet2!C:C,QUOTIENT(ROW()-1,19)+2)</f>
        <v>41639</v>
      </c>
      <c r="DK156" s="4" t="e">
        <f>INDEX(Sheet2!$AA$2:$AS$228,QUOTIENT(ROW()-1,19)+1,MOD(ROW()-2,19)+1)</f>
        <v>#N/A</v>
      </c>
      <c r="DL156" t="str">
        <f>IFERROR(INDEX(Sheet2!$AU$2:$BM$228,QUOTIENT(ROW()-1,19)+1,MOD(ROW()-2,19)+1),NA())</f>
        <v/>
      </c>
      <c r="DM156" s="4" t="e">
        <f t="shared" si="27"/>
        <v>#N/A</v>
      </c>
      <c r="DN156" t="e">
        <f t="shared" si="28"/>
        <v>#N/A</v>
      </c>
      <c r="DO156" t="e">
        <f t="shared" si="29"/>
        <v>#N/A</v>
      </c>
      <c r="DQ156" s="4"/>
    </row>
    <row r="157" spans="7:121" x14ac:dyDescent="0.25">
      <c r="G157"/>
      <c r="DI157" s="4">
        <f>INDEX(Sheet2!A:A,QUOTIENT(ROW()-1,19)+2)</f>
        <v>41080</v>
      </c>
      <c r="DJ157" s="4">
        <f>INDEX(Sheet2!C:C,QUOTIENT(ROW()-1,19)+2)</f>
        <v>41639</v>
      </c>
      <c r="DK157" s="4" t="e">
        <f>INDEX(Sheet2!$AA$2:$AS$228,QUOTIENT(ROW()-1,19)+1,MOD(ROW()-2,19)+1)</f>
        <v>#N/A</v>
      </c>
      <c r="DL157" t="str">
        <f>IFERROR(INDEX(Sheet2!$AU$2:$BM$228,QUOTIENT(ROW()-1,19)+1,MOD(ROW()-2,19)+1),NA())</f>
        <v/>
      </c>
      <c r="DM157" s="4" t="e">
        <f t="shared" si="27"/>
        <v>#N/A</v>
      </c>
      <c r="DN157" t="e">
        <f t="shared" si="28"/>
        <v>#N/A</v>
      </c>
      <c r="DO157" t="e">
        <f t="shared" si="29"/>
        <v>#N/A</v>
      </c>
      <c r="DQ157" s="4"/>
    </row>
    <row r="158" spans="7:121" x14ac:dyDescent="0.25">
      <c r="G158"/>
      <c r="DI158" s="4">
        <f>INDEX(Sheet2!A:A,QUOTIENT(ROW()-1,19)+2)</f>
        <v>41080</v>
      </c>
      <c r="DJ158" s="4">
        <f>INDEX(Sheet2!C:C,QUOTIENT(ROW()-1,19)+2)</f>
        <v>41639</v>
      </c>
      <c r="DK158" s="4" t="e">
        <f>INDEX(Sheet2!$AA$2:$AS$228,QUOTIENT(ROW()-1,19)+1,MOD(ROW()-2,19)+1)</f>
        <v>#N/A</v>
      </c>
      <c r="DL158" t="str">
        <f>IFERROR(INDEX(Sheet2!$AU$2:$BM$228,QUOTIENT(ROW()-1,19)+1,MOD(ROW()-2,19)+1),NA())</f>
        <v/>
      </c>
      <c r="DM158" s="4" t="e">
        <f t="shared" si="27"/>
        <v>#N/A</v>
      </c>
      <c r="DN158" t="e">
        <f t="shared" si="28"/>
        <v>#N/A</v>
      </c>
      <c r="DO158" t="e">
        <f t="shared" si="29"/>
        <v>#N/A</v>
      </c>
      <c r="DQ158" s="4"/>
    </row>
    <row r="159" spans="7:121" x14ac:dyDescent="0.25">
      <c r="G159"/>
      <c r="DI159" s="4">
        <f>INDEX(Sheet2!A:A,QUOTIENT(ROW()-1,19)+2)</f>
        <v>41080</v>
      </c>
      <c r="DJ159" s="4">
        <f>INDEX(Sheet2!C:C,QUOTIENT(ROW()-1,19)+2)</f>
        <v>41639</v>
      </c>
      <c r="DK159" s="4" t="e">
        <f>INDEX(Sheet2!$AA$2:$AS$228,QUOTIENT(ROW()-1,19)+1,MOD(ROW()-2,19)+1)</f>
        <v>#N/A</v>
      </c>
      <c r="DL159" t="str">
        <f>IFERROR(INDEX(Sheet2!$AU$2:$BM$228,QUOTIENT(ROW()-1,19)+1,MOD(ROW()-2,19)+1),NA())</f>
        <v/>
      </c>
      <c r="DM159" s="4" t="e">
        <f t="shared" si="27"/>
        <v>#N/A</v>
      </c>
      <c r="DN159" t="e">
        <f t="shared" si="28"/>
        <v>#N/A</v>
      </c>
      <c r="DO159" t="e">
        <f t="shared" si="29"/>
        <v>#N/A</v>
      </c>
      <c r="DQ159" s="4"/>
    </row>
    <row r="160" spans="7:121" x14ac:dyDescent="0.25">
      <c r="G160"/>
      <c r="DI160" s="4">
        <f>INDEX(Sheet2!A:A,QUOTIENT(ROW()-1,19)+2)</f>
        <v>41080</v>
      </c>
      <c r="DJ160" s="4">
        <f>INDEX(Sheet2!C:C,QUOTIENT(ROW()-1,19)+2)</f>
        <v>41639</v>
      </c>
      <c r="DK160" s="4" t="e">
        <f>INDEX(Sheet2!$AA$2:$AS$228,QUOTIENT(ROW()-1,19)+1,MOD(ROW()-2,19)+1)</f>
        <v>#N/A</v>
      </c>
      <c r="DL160" t="str">
        <f>IFERROR(INDEX(Sheet2!$AU$2:$BM$228,QUOTIENT(ROW()-1,19)+1,MOD(ROW()-2,19)+1),NA())</f>
        <v/>
      </c>
      <c r="DM160" s="4" t="e">
        <f t="shared" si="27"/>
        <v>#N/A</v>
      </c>
      <c r="DN160" t="e">
        <f t="shared" si="28"/>
        <v>#N/A</v>
      </c>
      <c r="DO160" t="e">
        <f t="shared" si="29"/>
        <v>#N/A</v>
      </c>
      <c r="DQ160" s="4"/>
    </row>
    <row r="161" spans="7:121" x14ac:dyDescent="0.25">
      <c r="G161"/>
      <c r="DI161" s="4">
        <f>INDEX(Sheet2!A:A,QUOTIENT(ROW()-1,19)+2)</f>
        <v>41080</v>
      </c>
      <c r="DJ161" s="4">
        <f>INDEX(Sheet2!C:C,QUOTIENT(ROW()-1,19)+2)</f>
        <v>41639</v>
      </c>
      <c r="DK161" s="4" t="e">
        <f>INDEX(Sheet2!$AA$2:$AS$228,QUOTIENT(ROW()-1,19)+1,MOD(ROW()-2,19)+1)</f>
        <v>#N/A</v>
      </c>
      <c r="DL161" t="str">
        <f>IFERROR(INDEX(Sheet2!$AU$2:$BM$228,QUOTIENT(ROW()-1,19)+1,MOD(ROW()-2,19)+1),NA())</f>
        <v/>
      </c>
      <c r="DM161" s="4" t="e">
        <f t="shared" si="27"/>
        <v>#N/A</v>
      </c>
      <c r="DN161" t="e">
        <f t="shared" si="28"/>
        <v>#N/A</v>
      </c>
      <c r="DO161" t="e">
        <f t="shared" si="29"/>
        <v>#N/A</v>
      </c>
      <c r="DQ161" s="4"/>
    </row>
    <row r="162" spans="7:121" x14ac:dyDescent="0.25">
      <c r="G162"/>
      <c r="DI162" s="4">
        <f>INDEX(Sheet2!A:A,QUOTIENT(ROW()-1,19)+2)</f>
        <v>41080</v>
      </c>
      <c r="DJ162" s="4">
        <f>INDEX(Sheet2!C:C,QUOTIENT(ROW()-1,19)+2)</f>
        <v>41639</v>
      </c>
      <c r="DK162" s="4" t="e">
        <f>INDEX(Sheet2!$AA$2:$AS$228,QUOTIENT(ROW()-1,19)+1,MOD(ROW()-2,19)+1)</f>
        <v>#N/A</v>
      </c>
      <c r="DL162" t="str">
        <f>IFERROR(INDEX(Sheet2!$AU$2:$BM$228,QUOTIENT(ROW()-1,19)+1,MOD(ROW()-2,19)+1),NA())</f>
        <v/>
      </c>
      <c r="DM162" s="4" t="e">
        <f t="shared" si="27"/>
        <v>#N/A</v>
      </c>
      <c r="DN162" t="e">
        <f t="shared" si="28"/>
        <v>#N/A</v>
      </c>
      <c r="DO162" t="e">
        <f t="shared" si="29"/>
        <v>#N/A</v>
      </c>
      <c r="DQ162" s="4"/>
    </row>
    <row r="163" spans="7:121" x14ac:dyDescent="0.25">
      <c r="G163"/>
      <c r="DI163" s="4">
        <f>INDEX(Sheet2!A:A,QUOTIENT(ROW()-1,19)+2)</f>
        <v>41080</v>
      </c>
      <c r="DJ163" s="4">
        <f>INDEX(Sheet2!C:C,QUOTIENT(ROW()-1,19)+2)</f>
        <v>41639</v>
      </c>
      <c r="DK163" s="4" t="e">
        <f>INDEX(Sheet2!$AA$2:$AS$228,QUOTIENT(ROW()-1,19)+1,MOD(ROW()-2,19)+1)</f>
        <v>#N/A</v>
      </c>
      <c r="DL163" t="str">
        <f>IFERROR(INDEX(Sheet2!$AU$2:$BM$228,QUOTIENT(ROW()-1,19)+1,MOD(ROW()-2,19)+1),NA())</f>
        <v/>
      </c>
      <c r="DM163" s="4" t="e">
        <f t="shared" si="27"/>
        <v>#N/A</v>
      </c>
      <c r="DN163" t="e">
        <f t="shared" si="28"/>
        <v>#N/A</v>
      </c>
      <c r="DO163" t="e">
        <f t="shared" si="29"/>
        <v>#N/A</v>
      </c>
      <c r="DQ163" s="4"/>
    </row>
    <row r="164" spans="7:121" x14ac:dyDescent="0.25">
      <c r="G164"/>
      <c r="DI164" s="4">
        <f>INDEX(Sheet2!A:A,QUOTIENT(ROW()-1,19)+2)</f>
        <v>41080</v>
      </c>
      <c r="DJ164" s="4">
        <f>INDEX(Sheet2!C:C,QUOTIENT(ROW()-1,19)+2)</f>
        <v>41639</v>
      </c>
      <c r="DK164" s="4" t="e">
        <f>INDEX(Sheet2!$AA$2:$AS$228,QUOTIENT(ROW()-1,19)+1,MOD(ROW()-2,19)+1)</f>
        <v>#N/A</v>
      </c>
      <c r="DL164" t="str">
        <f>IFERROR(INDEX(Sheet2!$AU$2:$BM$228,QUOTIENT(ROW()-1,19)+1,MOD(ROW()-2,19)+1),NA())</f>
        <v/>
      </c>
      <c r="DM164" s="4" t="e">
        <f t="shared" si="27"/>
        <v>#N/A</v>
      </c>
      <c r="DN164" t="e">
        <f t="shared" si="28"/>
        <v>#N/A</v>
      </c>
      <c r="DO164" t="e">
        <f t="shared" si="29"/>
        <v>#N/A</v>
      </c>
      <c r="DQ164" s="4"/>
    </row>
    <row r="165" spans="7:121" x14ac:dyDescent="0.25">
      <c r="G165"/>
      <c r="DI165" s="4">
        <f>INDEX(Sheet2!A:A,QUOTIENT(ROW()-1,19)+2)</f>
        <v>41080</v>
      </c>
      <c r="DJ165" s="4">
        <f>INDEX(Sheet2!C:C,QUOTIENT(ROW()-1,19)+2)</f>
        <v>41639</v>
      </c>
      <c r="DK165" s="4" t="e">
        <f>INDEX(Sheet2!$AA$2:$AS$228,QUOTIENT(ROW()-1,19)+1,MOD(ROW()-2,19)+1)</f>
        <v>#N/A</v>
      </c>
      <c r="DL165" t="str">
        <f>IFERROR(INDEX(Sheet2!$AU$2:$BM$228,QUOTIENT(ROW()-1,19)+1,MOD(ROW()-2,19)+1),NA())</f>
        <v/>
      </c>
      <c r="DM165" s="4" t="e">
        <f t="shared" si="27"/>
        <v>#N/A</v>
      </c>
      <c r="DN165" t="e">
        <f t="shared" si="28"/>
        <v>#N/A</v>
      </c>
      <c r="DO165" t="e">
        <f t="shared" si="29"/>
        <v>#N/A</v>
      </c>
      <c r="DQ165" s="4"/>
    </row>
    <row r="166" spans="7:121" x14ac:dyDescent="0.25">
      <c r="G166"/>
      <c r="DI166" s="4">
        <f>INDEX(Sheet2!A:A,QUOTIENT(ROW()-1,19)+2)</f>
        <v>41080</v>
      </c>
      <c r="DJ166" s="4">
        <f>INDEX(Sheet2!C:C,QUOTIENT(ROW()-1,19)+2)</f>
        <v>41639</v>
      </c>
      <c r="DK166" s="4" t="e">
        <f>INDEX(Sheet2!$AA$2:$AS$228,QUOTIENT(ROW()-1,19)+1,MOD(ROW()-2,19)+1)</f>
        <v>#N/A</v>
      </c>
      <c r="DL166" t="str">
        <f>IFERROR(INDEX(Sheet2!$AU$2:$BM$228,QUOTIENT(ROW()-1,19)+1,MOD(ROW()-2,19)+1),NA())</f>
        <v/>
      </c>
      <c r="DM166" s="4" t="e">
        <f t="shared" si="27"/>
        <v>#N/A</v>
      </c>
      <c r="DN166" t="e">
        <f t="shared" si="28"/>
        <v>#N/A</v>
      </c>
      <c r="DO166" t="e">
        <f t="shared" si="29"/>
        <v>#N/A</v>
      </c>
      <c r="DQ166" s="4"/>
    </row>
    <row r="167" spans="7:121" x14ac:dyDescent="0.25">
      <c r="G167"/>
      <c r="DI167" s="4">
        <f>INDEX(Sheet2!A:A,QUOTIENT(ROW()-1,19)+2)</f>
        <v>41080</v>
      </c>
      <c r="DJ167" s="4">
        <f>INDEX(Sheet2!C:C,QUOTIENT(ROW()-1,19)+2)</f>
        <v>41639</v>
      </c>
      <c r="DK167" s="4" t="e">
        <f>INDEX(Sheet2!$AA$2:$AS$228,QUOTIENT(ROW()-1,19)+1,MOD(ROW()-2,19)+1)</f>
        <v>#N/A</v>
      </c>
      <c r="DL167" t="str">
        <f>IFERROR(INDEX(Sheet2!$AU$2:$BM$228,QUOTIENT(ROW()-1,19)+1,MOD(ROW()-2,19)+1),NA())</f>
        <v/>
      </c>
      <c r="DM167" s="4" t="e">
        <f t="shared" si="27"/>
        <v>#N/A</v>
      </c>
      <c r="DN167" t="e">
        <f t="shared" si="28"/>
        <v>#N/A</v>
      </c>
      <c r="DO167" t="e">
        <f t="shared" si="29"/>
        <v>#N/A</v>
      </c>
      <c r="DQ167" s="4"/>
    </row>
    <row r="168" spans="7:121" x14ac:dyDescent="0.25">
      <c r="G168"/>
      <c r="DI168" s="4">
        <f>INDEX(Sheet2!A:A,QUOTIENT(ROW()-1,19)+2)</f>
        <v>41080</v>
      </c>
      <c r="DJ168" s="4">
        <f>INDEX(Sheet2!C:C,QUOTIENT(ROW()-1,19)+2)</f>
        <v>41639</v>
      </c>
      <c r="DK168" s="4" t="e">
        <f>INDEX(Sheet2!$AA$2:$AS$228,QUOTIENT(ROW()-1,19)+1,MOD(ROW()-2,19)+1)</f>
        <v>#N/A</v>
      </c>
      <c r="DL168" t="str">
        <f>IFERROR(INDEX(Sheet2!$AU$2:$BM$228,QUOTIENT(ROW()-1,19)+1,MOD(ROW()-2,19)+1),NA())</f>
        <v/>
      </c>
      <c r="DM168" s="4" t="e">
        <f t="shared" si="27"/>
        <v>#N/A</v>
      </c>
      <c r="DN168" t="e">
        <f t="shared" si="28"/>
        <v>#N/A</v>
      </c>
      <c r="DO168" t="e">
        <f t="shared" si="29"/>
        <v>#N/A</v>
      </c>
      <c r="DQ168" s="4"/>
    </row>
    <row r="169" spans="7:121" x14ac:dyDescent="0.25">
      <c r="G169"/>
      <c r="DI169" s="4">
        <f>INDEX(Sheet2!A:A,QUOTIENT(ROW()-1,19)+2)</f>
        <v>41080</v>
      </c>
      <c r="DJ169" s="4">
        <f>INDEX(Sheet2!C:C,QUOTIENT(ROW()-1,19)+2)</f>
        <v>41639</v>
      </c>
      <c r="DK169" s="4" t="e">
        <f>INDEX(Sheet2!$AA$2:$AS$228,QUOTIENT(ROW()-1,19)+1,MOD(ROW()-2,19)+1)</f>
        <v>#N/A</v>
      </c>
      <c r="DL169" t="str">
        <f>IFERROR(INDEX(Sheet2!$AU$2:$BM$228,QUOTIENT(ROW()-1,19)+1,MOD(ROW()-2,19)+1),NA())</f>
        <v/>
      </c>
      <c r="DM169" s="4" t="e">
        <f t="shared" si="27"/>
        <v>#N/A</v>
      </c>
      <c r="DN169" t="e">
        <f t="shared" si="28"/>
        <v>#N/A</v>
      </c>
      <c r="DO169" t="e">
        <f t="shared" si="29"/>
        <v>#N/A</v>
      </c>
      <c r="DQ169" s="4"/>
    </row>
    <row r="170" spans="7:121" x14ac:dyDescent="0.25">
      <c r="G170"/>
      <c r="DI170" s="4">
        <f>INDEX(Sheet2!A:A,QUOTIENT(ROW()-1,19)+2)</f>
        <v>41080</v>
      </c>
      <c r="DJ170" s="4">
        <f>INDEX(Sheet2!C:C,QUOTIENT(ROW()-1,19)+2)</f>
        <v>41639</v>
      </c>
      <c r="DK170" s="4" t="e">
        <f>INDEX(Sheet2!$AA$2:$AS$228,QUOTIENT(ROW()-1,19)+1,MOD(ROW()-2,19)+1)</f>
        <v>#N/A</v>
      </c>
      <c r="DL170" t="str">
        <f>IFERROR(INDEX(Sheet2!$AU$2:$BM$228,QUOTIENT(ROW()-1,19)+1,MOD(ROW()-2,19)+1),NA())</f>
        <v/>
      </c>
      <c r="DM170" s="4" t="e">
        <f t="shared" si="27"/>
        <v>#N/A</v>
      </c>
      <c r="DN170" t="e">
        <f t="shared" si="28"/>
        <v>#N/A</v>
      </c>
      <c r="DO170" t="e">
        <f t="shared" si="29"/>
        <v>#N/A</v>
      </c>
      <c r="DQ170" s="4"/>
    </row>
    <row r="171" spans="7:121" x14ac:dyDescent="0.25">
      <c r="G171"/>
      <c r="DI171" s="4">
        <f>INDEX(Sheet2!A:A,QUOTIENT(ROW()-1,19)+2)</f>
        <v>41080</v>
      </c>
      <c r="DJ171" s="4">
        <f>INDEX(Sheet2!C:C,QUOTIENT(ROW()-1,19)+2)</f>
        <v>41639</v>
      </c>
      <c r="DK171" s="4" t="e">
        <f>INDEX(Sheet2!$AA$2:$AS$228,QUOTIENT(ROW()-1,19)+1,MOD(ROW()-2,19)+1)</f>
        <v>#N/A</v>
      </c>
      <c r="DL171" t="str">
        <f>IFERROR(INDEX(Sheet2!$AU$2:$BM$228,QUOTIENT(ROW()-1,19)+1,MOD(ROW()-2,19)+1),NA())</f>
        <v/>
      </c>
      <c r="DM171" s="4" t="e">
        <f t="shared" si="27"/>
        <v>#N/A</v>
      </c>
      <c r="DN171" t="e">
        <f t="shared" si="28"/>
        <v>#N/A</v>
      </c>
      <c r="DO171" t="e">
        <f t="shared" si="29"/>
        <v>#N/A</v>
      </c>
      <c r="DQ171" s="4"/>
    </row>
    <row r="172" spans="7:121" x14ac:dyDescent="0.25">
      <c r="G172"/>
      <c r="DI172" s="4">
        <f>INDEX(Sheet2!A:A,QUOTIENT(ROW()-1,19)+2)</f>
        <v>41080</v>
      </c>
      <c r="DJ172" s="4">
        <f>INDEX(Sheet2!C:C,QUOTIENT(ROW()-1,19)+2)</f>
        <v>42004</v>
      </c>
      <c r="DK172" s="4" t="e">
        <f>INDEX(Sheet2!$AA$2:$AS$228,QUOTIENT(ROW()-1,19)+1,MOD(ROW()-2,19)+1)</f>
        <v>#N/A</v>
      </c>
      <c r="DL172" t="str">
        <f>IFERROR(INDEX(Sheet2!$AU$2:$BM$228,QUOTIENT(ROW()-1,19)+1,MOD(ROW()-2,19)+1),NA())</f>
        <v/>
      </c>
      <c r="DM172" s="4" t="e">
        <f t="shared" si="27"/>
        <v>#N/A</v>
      </c>
      <c r="DN172" t="e">
        <f t="shared" si="28"/>
        <v>#N/A</v>
      </c>
      <c r="DO172" t="e">
        <f t="shared" si="29"/>
        <v>#N/A</v>
      </c>
      <c r="DQ172" s="4"/>
    </row>
    <row r="173" spans="7:121" x14ac:dyDescent="0.25">
      <c r="G173"/>
      <c r="DI173" s="4">
        <f>INDEX(Sheet2!A:A,QUOTIENT(ROW()-1,19)+2)</f>
        <v>41080</v>
      </c>
      <c r="DJ173" s="4">
        <f>INDEX(Sheet2!C:C,QUOTIENT(ROW()-1,19)+2)</f>
        <v>42004</v>
      </c>
      <c r="DK173" s="4">
        <f>INDEX(Sheet2!$AA$2:$AS$228,QUOTIENT(ROW()-1,19)+1,MOD(ROW()-2,19)+1)</f>
        <v>41953.8125</v>
      </c>
      <c r="DL173">
        <f>IFERROR(INDEX(Sheet2!$AU$2:$BM$228,QUOTIENT(ROW()-1,19)+1,MOD(ROW()-2,19)+1),NA())</f>
        <v>0.25</v>
      </c>
      <c r="DM173" s="4" t="e">
        <f t="shared" si="27"/>
        <v>#N/A</v>
      </c>
      <c r="DN173" t="e">
        <f t="shared" si="28"/>
        <v>#N/A</v>
      </c>
      <c r="DO173" t="e">
        <f t="shared" si="29"/>
        <v>#N/A</v>
      </c>
      <c r="DQ173" s="4"/>
    </row>
    <row r="174" spans="7:121" x14ac:dyDescent="0.25">
      <c r="G174"/>
      <c r="DI174" s="4">
        <f>INDEX(Sheet2!A:A,QUOTIENT(ROW()-1,19)+2)</f>
        <v>41080</v>
      </c>
      <c r="DJ174" s="4">
        <f>INDEX(Sheet2!C:C,QUOTIENT(ROW()-1,19)+2)</f>
        <v>42004</v>
      </c>
      <c r="DK174" s="4">
        <f>INDEX(Sheet2!$AA$2:$AS$228,QUOTIENT(ROW()-1,19)+1,MOD(ROW()-2,19)+1)</f>
        <v>41973.887500000004</v>
      </c>
      <c r="DL174">
        <f>IFERROR(INDEX(Sheet2!$AU$2:$BM$228,QUOTIENT(ROW()-1,19)+1,MOD(ROW()-2,19)+1),NA())</f>
        <v>0.25</v>
      </c>
      <c r="DM174" s="4" t="e">
        <f t="shared" si="27"/>
        <v>#N/A</v>
      </c>
      <c r="DN174" t="e">
        <f t="shared" si="28"/>
        <v>#N/A</v>
      </c>
      <c r="DO174" t="e">
        <f t="shared" si="29"/>
        <v>#N/A</v>
      </c>
      <c r="DQ174" s="4"/>
    </row>
    <row r="175" spans="7:121" x14ac:dyDescent="0.25">
      <c r="G175"/>
      <c r="DI175" s="4">
        <f>INDEX(Sheet2!A:A,QUOTIENT(ROW()-1,19)+2)</f>
        <v>41080</v>
      </c>
      <c r="DJ175" s="4">
        <f>INDEX(Sheet2!C:C,QUOTIENT(ROW()-1,19)+2)</f>
        <v>42004</v>
      </c>
      <c r="DK175" s="4">
        <f>INDEX(Sheet2!$AA$2:$AS$228,QUOTIENT(ROW()-1,19)+1,MOD(ROW()-2,19)+1)</f>
        <v>41993.962500000001</v>
      </c>
      <c r="DL175">
        <f>IFERROR(INDEX(Sheet2!$AU$2:$BM$228,QUOTIENT(ROW()-1,19)+1,MOD(ROW()-2,19)+1),NA())</f>
        <v>0.25</v>
      </c>
      <c r="DM175" s="4" t="e">
        <f t="shared" si="27"/>
        <v>#N/A</v>
      </c>
      <c r="DN175" t="e">
        <f t="shared" si="28"/>
        <v>#N/A</v>
      </c>
      <c r="DO175" t="e">
        <f t="shared" si="29"/>
        <v>#N/A</v>
      </c>
      <c r="DQ175" s="4"/>
    </row>
    <row r="176" spans="7:121" x14ac:dyDescent="0.25">
      <c r="G176"/>
      <c r="DI176" s="4">
        <f>INDEX(Sheet2!A:A,QUOTIENT(ROW()-1,19)+2)</f>
        <v>41080</v>
      </c>
      <c r="DJ176" s="4">
        <f>INDEX(Sheet2!C:C,QUOTIENT(ROW()-1,19)+2)</f>
        <v>42004</v>
      </c>
      <c r="DK176" s="4">
        <f>INDEX(Sheet2!$AA$2:$AS$228,QUOTIENT(ROW()-1,19)+1,MOD(ROW()-2,19)+1)</f>
        <v>42014.037500000006</v>
      </c>
      <c r="DL176">
        <f>IFERROR(INDEX(Sheet2!$AU$2:$BM$228,QUOTIENT(ROW()-1,19)+1,MOD(ROW()-2,19)+1),NA())</f>
        <v>0.25</v>
      </c>
      <c r="DM176" s="4" t="e">
        <f t="shared" si="27"/>
        <v>#N/A</v>
      </c>
      <c r="DN176" t="e">
        <f t="shared" si="28"/>
        <v>#N/A</v>
      </c>
      <c r="DO176" t="e">
        <f t="shared" si="29"/>
        <v>#N/A</v>
      </c>
      <c r="DQ176" s="4"/>
    </row>
    <row r="177" spans="7:121" x14ac:dyDescent="0.25">
      <c r="G177"/>
      <c r="DI177" s="4">
        <f>INDEX(Sheet2!A:A,QUOTIENT(ROW()-1,19)+2)</f>
        <v>41080</v>
      </c>
      <c r="DJ177" s="4">
        <f>INDEX(Sheet2!C:C,QUOTIENT(ROW()-1,19)+2)</f>
        <v>42004</v>
      </c>
      <c r="DK177" s="4">
        <f>INDEX(Sheet2!$AA$2:$AS$228,QUOTIENT(ROW()-1,19)+1,MOD(ROW()-2,19)+1)</f>
        <v>42034.112500000003</v>
      </c>
      <c r="DL177">
        <f>IFERROR(INDEX(Sheet2!$AU$2:$BM$228,QUOTIENT(ROW()-1,19)+1,MOD(ROW()-2,19)+1),NA())</f>
        <v>0.25</v>
      </c>
      <c r="DM177" s="4" t="e">
        <f t="shared" si="27"/>
        <v>#N/A</v>
      </c>
      <c r="DN177" t="e">
        <f t="shared" si="28"/>
        <v>#N/A</v>
      </c>
      <c r="DO177" t="e">
        <f t="shared" si="29"/>
        <v>#N/A</v>
      </c>
      <c r="DQ177" s="4"/>
    </row>
    <row r="178" spans="7:121" x14ac:dyDescent="0.25">
      <c r="G178"/>
      <c r="DI178" s="4">
        <f>INDEX(Sheet2!A:A,QUOTIENT(ROW()-1,19)+2)</f>
        <v>41080</v>
      </c>
      <c r="DJ178" s="4">
        <f>INDEX(Sheet2!C:C,QUOTIENT(ROW()-1,19)+2)</f>
        <v>42004</v>
      </c>
      <c r="DK178" s="4">
        <f>INDEX(Sheet2!$AA$2:$AS$228,QUOTIENT(ROW()-1,19)+1,MOD(ROW()-2,19)+1)</f>
        <v>42054.1875</v>
      </c>
      <c r="DL178">
        <f>IFERROR(INDEX(Sheet2!$AU$2:$BM$228,QUOTIENT(ROW()-1,19)+1,MOD(ROW()-2,19)+1),NA())</f>
        <v>0.25</v>
      </c>
      <c r="DM178" s="4" t="e">
        <f t="shared" si="27"/>
        <v>#N/A</v>
      </c>
      <c r="DN178" t="e">
        <f t="shared" si="28"/>
        <v>#N/A</v>
      </c>
      <c r="DO178" t="e">
        <f t="shared" si="29"/>
        <v>#N/A</v>
      </c>
      <c r="DQ178" s="4"/>
    </row>
    <row r="179" spans="7:121" x14ac:dyDescent="0.25">
      <c r="G179"/>
      <c r="DI179" s="4">
        <f>INDEX(Sheet2!A:A,QUOTIENT(ROW()-1,19)+2)</f>
        <v>41080</v>
      </c>
      <c r="DJ179" s="4">
        <f>INDEX(Sheet2!C:C,QUOTIENT(ROW()-1,19)+2)</f>
        <v>42004</v>
      </c>
      <c r="DK179" s="4" t="e">
        <f>INDEX(Sheet2!$AA$2:$AS$228,QUOTIENT(ROW()-1,19)+1,MOD(ROW()-2,19)+1)</f>
        <v>#N/A</v>
      </c>
      <c r="DL179" t="str">
        <f>IFERROR(INDEX(Sheet2!$AU$2:$BM$228,QUOTIENT(ROW()-1,19)+1,MOD(ROW()-2,19)+1),NA())</f>
        <v/>
      </c>
      <c r="DM179" s="4" t="e">
        <f t="shared" si="27"/>
        <v>#N/A</v>
      </c>
      <c r="DN179" t="e">
        <f t="shared" si="28"/>
        <v>#N/A</v>
      </c>
      <c r="DO179" t="e">
        <f t="shared" si="29"/>
        <v>#N/A</v>
      </c>
      <c r="DQ179" s="4"/>
    </row>
    <row r="180" spans="7:121" x14ac:dyDescent="0.25">
      <c r="G180"/>
      <c r="DI180" s="4">
        <f>INDEX(Sheet2!A:A,QUOTIENT(ROW()-1,19)+2)</f>
        <v>41080</v>
      </c>
      <c r="DJ180" s="4">
        <f>INDEX(Sheet2!C:C,QUOTIENT(ROW()-1,19)+2)</f>
        <v>42004</v>
      </c>
      <c r="DK180" s="4" t="e">
        <f>INDEX(Sheet2!$AA$2:$AS$228,QUOTIENT(ROW()-1,19)+1,MOD(ROW()-2,19)+1)</f>
        <v>#N/A</v>
      </c>
      <c r="DL180" t="str">
        <f>IFERROR(INDEX(Sheet2!$AU$2:$BM$228,QUOTIENT(ROW()-1,19)+1,MOD(ROW()-2,19)+1),NA())</f>
        <v/>
      </c>
      <c r="DM180" s="4" t="e">
        <f t="shared" si="27"/>
        <v>#N/A</v>
      </c>
      <c r="DN180" t="e">
        <f t="shared" si="28"/>
        <v>#N/A</v>
      </c>
      <c r="DO180" t="e">
        <f t="shared" si="29"/>
        <v>#N/A</v>
      </c>
      <c r="DQ180" s="4"/>
    </row>
    <row r="181" spans="7:121" x14ac:dyDescent="0.25">
      <c r="G181"/>
      <c r="DI181" s="4">
        <f>INDEX(Sheet2!A:A,QUOTIENT(ROW()-1,19)+2)</f>
        <v>41080</v>
      </c>
      <c r="DJ181" s="4">
        <f>INDEX(Sheet2!C:C,QUOTIENT(ROW()-1,19)+2)</f>
        <v>42004</v>
      </c>
      <c r="DK181" s="4" t="e">
        <f>INDEX(Sheet2!$AA$2:$AS$228,QUOTIENT(ROW()-1,19)+1,MOD(ROW()-2,19)+1)</f>
        <v>#N/A</v>
      </c>
      <c r="DL181" t="str">
        <f>IFERROR(INDEX(Sheet2!$AU$2:$BM$228,QUOTIENT(ROW()-1,19)+1,MOD(ROW()-2,19)+1),NA())</f>
        <v/>
      </c>
      <c r="DM181" s="4" t="e">
        <f t="shared" si="27"/>
        <v>#N/A</v>
      </c>
      <c r="DN181" t="e">
        <f t="shared" si="28"/>
        <v>#N/A</v>
      </c>
      <c r="DO181" t="e">
        <f t="shared" si="29"/>
        <v>#N/A</v>
      </c>
      <c r="DQ181" s="4"/>
    </row>
    <row r="182" spans="7:121" x14ac:dyDescent="0.25">
      <c r="G182"/>
      <c r="DI182" s="4">
        <f>INDEX(Sheet2!A:A,QUOTIENT(ROW()-1,19)+2)</f>
        <v>41080</v>
      </c>
      <c r="DJ182" s="4">
        <f>INDEX(Sheet2!C:C,QUOTIENT(ROW()-1,19)+2)</f>
        <v>42004</v>
      </c>
      <c r="DK182" s="4" t="e">
        <f>INDEX(Sheet2!$AA$2:$AS$228,QUOTIENT(ROW()-1,19)+1,MOD(ROW()-2,19)+1)</f>
        <v>#N/A</v>
      </c>
      <c r="DL182" t="str">
        <f>IFERROR(INDEX(Sheet2!$AU$2:$BM$228,QUOTIENT(ROW()-1,19)+1,MOD(ROW()-2,19)+1),NA())</f>
        <v/>
      </c>
      <c r="DM182" s="4" t="e">
        <f t="shared" si="27"/>
        <v>#N/A</v>
      </c>
      <c r="DN182" t="e">
        <f t="shared" si="28"/>
        <v>#N/A</v>
      </c>
      <c r="DO182" t="e">
        <f t="shared" si="29"/>
        <v>#N/A</v>
      </c>
      <c r="DQ182" s="4"/>
    </row>
    <row r="183" spans="7:121" x14ac:dyDescent="0.25">
      <c r="G183"/>
      <c r="DI183" s="4">
        <f>INDEX(Sheet2!A:A,QUOTIENT(ROW()-1,19)+2)</f>
        <v>41080</v>
      </c>
      <c r="DJ183" s="4">
        <f>INDEX(Sheet2!C:C,QUOTIENT(ROW()-1,19)+2)</f>
        <v>42004</v>
      </c>
      <c r="DK183" s="4" t="e">
        <f>INDEX(Sheet2!$AA$2:$AS$228,QUOTIENT(ROW()-1,19)+1,MOD(ROW()-2,19)+1)</f>
        <v>#N/A</v>
      </c>
      <c r="DL183" t="str">
        <f>IFERROR(INDEX(Sheet2!$AU$2:$BM$228,QUOTIENT(ROW()-1,19)+1,MOD(ROW()-2,19)+1),NA())</f>
        <v/>
      </c>
      <c r="DM183" s="4" t="e">
        <f t="shared" si="27"/>
        <v>#N/A</v>
      </c>
      <c r="DN183" t="e">
        <f t="shared" si="28"/>
        <v>#N/A</v>
      </c>
      <c r="DO183" t="e">
        <f t="shared" si="29"/>
        <v>#N/A</v>
      </c>
      <c r="DQ183" s="4"/>
    </row>
    <row r="184" spans="7:121" x14ac:dyDescent="0.25">
      <c r="G184"/>
      <c r="DI184" s="4">
        <f>INDEX(Sheet2!A:A,QUOTIENT(ROW()-1,19)+2)</f>
        <v>41080</v>
      </c>
      <c r="DJ184" s="4">
        <f>INDEX(Sheet2!C:C,QUOTIENT(ROW()-1,19)+2)</f>
        <v>42004</v>
      </c>
      <c r="DK184" s="4" t="e">
        <f>INDEX(Sheet2!$AA$2:$AS$228,QUOTIENT(ROW()-1,19)+1,MOD(ROW()-2,19)+1)</f>
        <v>#N/A</v>
      </c>
      <c r="DL184" t="str">
        <f>IFERROR(INDEX(Sheet2!$AU$2:$BM$228,QUOTIENT(ROW()-1,19)+1,MOD(ROW()-2,19)+1),NA())</f>
        <v/>
      </c>
      <c r="DM184" s="4" t="e">
        <f t="shared" si="27"/>
        <v>#N/A</v>
      </c>
      <c r="DN184" t="e">
        <f t="shared" si="28"/>
        <v>#N/A</v>
      </c>
      <c r="DO184" t="e">
        <f t="shared" si="29"/>
        <v>#N/A</v>
      </c>
      <c r="DQ184" s="4"/>
    </row>
    <row r="185" spans="7:121" x14ac:dyDescent="0.25">
      <c r="G185"/>
      <c r="DI185" s="4">
        <f>INDEX(Sheet2!A:A,QUOTIENT(ROW()-1,19)+2)</f>
        <v>41080</v>
      </c>
      <c r="DJ185" s="4">
        <f>INDEX(Sheet2!C:C,QUOTIENT(ROW()-1,19)+2)</f>
        <v>42004</v>
      </c>
      <c r="DK185" s="4" t="e">
        <f>INDEX(Sheet2!$AA$2:$AS$228,QUOTIENT(ROW()-1,19)+1,MOD(ROW()-2,19)+1)</f>
        <v>#N/A</v>
      </c>
      <c r="DL185" t="str">
        <f>IFERROR(INDEX(Sheet2!$AU$2:$BM$228,QUOTIENT(ROW()-1,19)+1,MOD(ROW()-2,19)+1),NA())</f>
        <v/>
      </c>
      <c r="DM185" s="4" t="e">
        <f t="shared" si="27"/>
        <v>#N/A</v>
      </c>
      <c r="DN185" t="e">
        <f t="shared" si="28"/>
        <v>#N/A</v>
      </c>
      <c r="DO185" t="e">
        <f t="shared" si="29"/>
        <v>#N/A</v>
      </c>
      <c r="DQ185" s="4"/>
    </row>
    <row r="186" spans="7:121" x14ac:dyDescent="0.25">
      <c r="G186"/>
      <c r="DI186" s="4">
        <f>INDEX(Sheet2!A:A,QUOTIENT(ROW()-1,19)+2)</f>
        <v>41080</v>
      </c>
      <c r="DJ186" s="4">
        <f>INDEX(Sheet2!C:C,QUOTIENT(ROW()-1,19)+2)</f>
        <v>42004</v>
      </c>
      <c r="DK186" s="4" t="e">
        <f>INDEX(Sheet2!$AA$2:$AS$228,QUOTIENT(ROW()-1,19)+1,MOD(ROW()-2,19)+1)</f>
        <v>#N/A</v>
      </c>
      <c r="DL186" t="str">
        <f>IFERROR(INDEX(Sheet2!$AU$2:$BM$228,QUOTIENT(ROW()-1,19)+1,MOD(ROW()-2,19)+1),NA())</f>
        <v/>
      </c>
      <c r="DM186" s="4" t="e">
        <f t="shared" si="27"/>
        <v>#N/A</v>
      </c>
      <c r="DN186" t="e">
        <f t="shared" si="28"/>
        <v>#N/A</v>
      </c>
      <c r="DO186" t="e">
        <f t="shared" si="29"/>
        <v>#N/A</v>
      </c>
      <c r="DQ186" s="4"/>
    </row>
    <row r="187" spans="7:121" x14ac:dyDescent="0.25">
      <c r="G187"/>
      <c r="DI187" s="4">
        <f>INDEX(Sheet2!A:A,QUOTIENT(ROW()-1,19)+2)</f>
        <v>41080</v>
      </c>
      <c r="DJ187" s="4">
        <f>INDEX(Sheet2!C:C,QUOTIENT(ROW()-1,19)+2)</f>
        <v>42004</v>
      </c>
      <c r="DK187" s="4" t="e">
        <f>INDEX(Sheet2!$AA$2:$AS$228,QUOTIENT(ROW()-1,19)+1,MOD(ROW()-2,19)+1)</f>
        <v>#N/A</v>
      </c>
      <c r="DL187" t="str">
        <f>IFERROR(INDEX(Sheet2!$AU$2:$BM$228,QUOTIENT(ROW()-1,19)+1,MOD(ROW()-2,19)+1),NA())</f>
        <v/>
      </c>
      <c r="DM187" s="4" t="e">
        <f t="shared" si="27"/>
        <v>#N/A</v>
      </c>
      <c r="DN187" t="e">
        <f t="shared" si="28"/>
        <v>#N/A</v>
      </c>
      <c r="DO187" t="e">
        <f t="shared" si="29"/>
        <v>#N/A</v>
      </c>
      <c r="DQ187" s="4"/>
    </row>
    <row r="188" spans="7:121" x14ac:dyDescent="0.25">
      <c r="G188"/>
      <c r="DI188" s="4">
        <f>INDEX(Sheet2!A:A,QUOTIENT(ROW()-1,19)+2)</f>
        <v>41080</v>
      </c>
      <c r="DJ188" s="4">
        <f>INDEX(Sheet2!C:C,QUOTIENT(ROW()-1,19)+2)</f>
        <v>42004</v>
      </c>
      <c r="DK188" s="4" t="e">
        <f>INDEX(Sheet2!$AA$2:$AS$228,QUOTIENT(ROW()-1,19)+1,MOD(ROW()-2,19)+1)</f>
        <v>#N/A</v>
      </c>
      <c r="DL188" t="str">
        <f>IFERROR(INDEX(Sheet2!$AU$2:$BM$228,QUOTIENT(ROW()-1,19)+1,MOD(ROW()-2,19)+1),NA())</f>
        <v/>
      </c>
      <c r="DM188" s="4" t="e">
        <f t="shared" si="27"/>
        <v>#N/A</v>
      </c>
      <c r="DN188" t="e">
        <f t="shared" si="28"/>
        <v>#N/A</v>
      </c>
      <c r="DO188" t="e">
        <f t="shared" si="29"/>
        <v>#N/A</v>
      </c>
      <c r="DQ188" s="4"/>
    </row>
    <row r="189" spans="7:121" x14ac:dyDescent="0.25">
      <c r="G189"/>
      <c r="DI189" s="4">
        <f>INDEX(Sheet2!A:A,QUOTIENT(ROW()-1,19)+2)</f>
        <v>41080</v>
      </c>
      <c r="DJ189" s="4">
        <f>INDEX(Sheet2!C:C,QUOTIENT(ROW()-1,19)+2)</f>
        <v>42004</v>
      </c>
      <c r="DK189" s="4" t="e">
        <f>INDEX(Sheet2!$AA$2:$AS$228,QUOTIENT(ROW()-1,19)+1,MOD(ROW()-2,19)+1)</f>
        <v>#N/A</v>
      </c>
      <c r="DL189" t="str">
        <f>IFERROR(INDEX(Sheet2!$AU$2:$BM$228,QUOTIENT(ROW()-1,19)+1,MOD(ROW()-2,19)+1),NA())</f>
        <v/>
      </c>
      <c r="DM189" s="4" t="e">
        <f t="shared" si="27"/>
        <v>#N/A</v>
      </c>
      <c r="DN189" t="e">
        <f t="shared" si="28"/>
        <v>#N/A</v>
      </c>
      <c r="DO189" t="e">
        <f t="shared" si="29"/>
        <v>#N/A</v>
      </c>
      <c r="DQ189" s="4"/>
    </row>
    <row r="190" spans="7:121" x14ac:dyDescent="0.25">
      <c r="G190"/>
      <c r="DI190" s="4">
        <f>INDEX(Sheet2!A:A,QUOTIENT(ROW()-1,19)+2)</f>
        <v>41080</v>
      </c>
      <c r="DJ190" s="4">
        <f>INDEX(Sheet2!C:C,QUOTIENT(ROW()-1,19)+2)</f>
        <v>42004</v>
      </c>
      <c r="DK190" s="4" t="e">
        <f>INDEX(Sheet2!$AA$2:$AS$228,QUOTIENT(ROW()-1,19)+1,MOD(ROW()-2,19)+1)</f>
        <v>#N/A</v>
      </c>
      <c r="DL190" t="str">
        <f>IFERROR(INDEX(Sheet2!$AU$2:$BM$228,QUOTIENT(ROW()-1,19)+1,MOD(ROW()-2,19)+1),NA())</f>
        <v/>
      </c>
      <c r="DM190" s="4" t="e">
        <f t="shared" si="27"/>
        <v>#N/A</v>
      </c>
      <c r="DN190" t="e">
        <f t="shared" si="28"/>
        <v>#N/A</v>
      </c>
      <c r="DO190" t="e">
        <f t="shared" si="29"/>
        <v>#N/A</v>
      </c>
      <c r="DQ190" s="4"/>
    </row>
    <row r="191" spans="7:121" x14ac:dyDescent="0.25">
      <c r="G191"/>
      <c r="DI191" s="4">
        <f>INDEX(Sheet2!A:A,QUOTIENT(ROW()-1,19)+2)</f>
        <v>41080</v>
      </c>
      <c r="DJ191" s="4">
        <f>INDEX(Sheet2!C:C,QUOTIENT(ROW()-1,19)+2)</f>
        <v>42004</v>
      </c>
      <c r="DK191" s="4" t="e">
        <f>INDEX(Sheet2!$AA$2:$AS$228,QUOTIENT(ROW()-1,19)+1,MOD(ROW()-2,19)+1)</f>
        <v>#N/A</v>
      </c>
      <c r="DL191" t="str">
        <f>IFERROR(INDEX(Sheet2!$AU$2:$BM$228,QUOTIENT(ROW()-1,19)+1,MOD(ROW()-2,19)+1),NA())</f>
        <v/>
      </c>
      <c r="DM191" s="4" t="e">
        <f t="shared" si="27"/>
        <v>#N/A</v>
      </c>
      <c r="DN191" t="e">
        <f t="shared" si="28"/>
        <v>#N/A</v>
      </c>
      <c r="DO191" t="e">
        <f t="shared" si="29"/>
        <v>#N/A</v>
      </c>
      <c r="DQ191" s="4"/>
    </row>
    <row r="192" spans="7:121" x14ac:dyDescent="0.25">
      <c r="G192"/>
      <c r="DI192" s="4">
        <f>INDEX(Sheet2!A:A,QUOTIENT(ROW()-1,19)+2)</f>
        <v>41080</v>
      </c>
      <c r="DJ192" s="4">
        <f>INDEX(Sheet2!C:C,QUOTIENT(ROW()-1,19)+2)</f>
        <v>42004</v>
      </c>
      <c r="DK192" s="4">
        <f>INDEX(Sheet2!$AA$2:$AS$228,QUOTIENT(ROW()-1,19)+1,MOD(ROW()-2,19)+1)</f>
        <v>41973.887499999997</v>
      </c>
      <c r="DL192">
        <f>IFERROR(INDEX(Sheet2!$AU$2:$BM$228,QUOTIENT(ROW()-1,19)+1,MOD(ROW()-2,19)+1),NA())</f>
        <v>0.5</v>
      </c>
      <c r="DM192" s="4" t="e">
        <f t="shared" si="27"/>
        <v>#N/A</v>
      </c>
      <c r="DN192" t="e">
        <f t="shared" si="28"/>
        <v>#N/A</v>
      </c>
      <c r="DO192" t="e">
        <f t="shared" si="29"/>
        <v>#N/A</v>
      </c>
      <c r="DQ192" s="4"/>
    </row>
    <row r="193" spans="7:121" x14ac:dyDescent="0.25">
      <c r="G193"/>
      <c r="DI193" s="4">
        <f>INDEX(Sheet2!A:A,QUOTIENT(ROW()-1,19)+2)</f>
        <v>41080</v>
      </c>
      <c r="DJ193" s="4">
        <f>INDEX(Sheet2!C:C,QUOTIENT(ROW()-1,19)+2)</f>
        <v>42004</v>
      </c>
      <c r="DK193" s="4">
        <f>INDEX(Sheet2!$AA$2:$AS$228,QUOTIENT(ROW()-1,19)+1,MOD(ROW()-2,19)+1)</f>
        <v>41993.962500000001</v>
      </c>
      <c r="DL193">
        <f>IFERROR(INDEX(Sheet2!$AU$2:$BM$228,QUOTIENT(ROW()-1,19)+1,MOD(ROW()-2,19)+1),NA())</f>
        <v>0.5</v>
      </c>
      <c r="DM193" s="4" t="e">
        <f t="shared" si="27"/>
        <v>#N/A</v>
      </c>
      <c r="DN193" t="e">
        <f t="shared" si="28"/>
        <v>#N/A</v>
      </c>
      <c r="DO193" t="e">
        <f t="shared" si="29"/>
        <v>#N/A</v>
      </c>
      <c r="DQ193" s="4"/>
    </row>
    <row r="194" spans="7:121" x14ac:dyDescent="0.25">
      <c r="G194"/>
      <c r="DI194" s="4">
        <f>INDEX(Sheet2!A:A,QUOTIENT(ROW()-1,19)+2)</f>
        <v>41080</v>
      </c>
      <c r="DJ194" s="4">
        <f>INDEX(Sheet2!C:C,QUOTIENT(ROW()-1,19)+2)</f>
        <v>42004</v>
      </c>
      <c r="DK194" s="4">
        <f>INDEX(Sheet2!$AA$2:$AS$228,QUOTIENT(ROW()-1,19)+1,MOD(ROW()-2,19)+1)</f>
        <v>42014.037499999999</v>
      </c>
      <c r="DL194">
        <f>IFERROR(INDEX(Sheet2!$AU$2:$BM$228,QUOTIENT(ROW()-1,19)+1,MOD(ROW()-2,19)+1),NA())</f>
        <v>0.5</v>
      </c>
      <c r="DM194" s="4" t="e">
        <f t="shared" ref="DM194:DM257" si="30">+IF($C$2=$DI194,DK194,NA())</f>
        <v>#N/A</v>
      </c>
      <c r="DN194" t="e">
        <f t="shared" ref="DN194:DN257" si="31">+IF($C$2=$DI194,DL194,NA())</f>
        <v>#N/A</v>
      </c>
      <c r="DO194" t="e">
        <f t="shared" si="29"/>
        <v>#N/A</v>
      </c>
      <c r="DQ194" s="4"/>
    </row>
    <row r="195" spans="7:121" x14ac:dyDescent="0.25">
      <c r="G195"/>
      <c r="DI195" s="4">
        <f>INDEX(Sheet2!A:A,QUOTIENT(ROW()-1,19)+2)</f>
        <v>41080</v>
      </c>
      <c r="DJ195" s="4">
        <f>INDEX(Sheet2!C:C,QUOTIENT(ROW()-1,19)+2)</f>
        <v>42004</v>
      </c>
      <c r="DK195" s="4">
        <f>INDEX(Sheet2!$AA$2:$AS$228,QUOTIENT(ROW()-1,19)+1,MOD(ROW()-2,19)+1)</f>
        <v>42034.112500000003</v>
      </c>
      <c r="DL195">
        <f>IFERROR(INDEX(Sheet2!$AU$2:$BM$228,QUOTIENT(ROW()-1,19)+1,MOD(ROW()-2,19)+1),NA())</f>
        <v>0.5</v>
      </c>
      <c r="DM195" s="4" t="e">
        <f t="shared" si="30"/>
        <v>#N/A</v>
      </c>
      <c r="DN195" t="e">
        <f t="shared" si="31"/>
        <v>#N/A</v>
      </c>
      <c r="DO195" t="e">
        <f t="shared" ref="DO195:DO258" si="32">IF(DN195="",NA(),DN195)</f>
        <v>#N/A</v>
      </c>
      <c r="DQ195" s="4"/>
    </row>
    <row r="196" spans="7:121" x14ac:dyDescent="0.25">
      <c r="G196"/>
      <c r="DI196" s="4">
        <f>INDEX(Sheet2!A:A,QUOTIENT(ROW()-1,19)+2)</f>
        <v>41080</v>
      </c>
      <c r="DJ196" s="4">
        <f>INDEX(Sheet2!C:C,QUOTIENT(ROW()-1,19)+2)</f>
        <v>42004</v>
      </c>
      <c r="DK196" s="4" t="e">
        <f>INDEX(Sheet2!$AA$2:$AS$228,QUOTIENT(ROW()-1,19)+1,MOD(ROW()-2,19)+1)</f>
        <v>#N/A</v>
      </c>
      <c r="DL196" t="str">
        <f>IFERROR(INDEX(Sheet2!$AU$2:$BM$228,QUOTIENT(ROW()-1,19)+1,MOD(ROW()-2,19)+1),NA())</f>
        <v/>
      </c>
      <c r="DM196" s="4" t="e">
        <f t="shared" si="30"/>
        <v>#N/A</v>
      </c>
      <c r="DN196" t="e">
        <f t="shared" si="31"/>
        <v>#N/A</v>
      </c>
      <c r="DO196" t="e">
        <f t="shared" si="32"/>
        <v>#N/A</v>
      </c>
      <c r="DQ196" s="4"/>
    </row>
    <row r="197" spans="7:121" x14ac:dyDescent="0.25">
      <c r="G197"/>
      <c r="DI197" s="4">
        <f>INDEX(Sheet2!A:A,QUOTIENT(ROW()-1,19)+2)</f>
        <v>41080</v>
      </c>
      <c r="DJ197" s="4">
        <f>INDEX(Sheet2!C:C,QUOTIENT(ROW()-1,19)+2)</f>
        <v>42004</v>
      </c>
      <c r="DK197" s="4" t="e">
        <f>INDEX(Sheet2!$AA$2:$AS$228,QUOTIENT(ROW()-1,19)+1,MOD(ROW()-2,19)+1)</f>
        <v>#N/A</v>
      </c>
      <c r="DL197" t="str">
        <f>IFERROR(INDEX(Sheet2!$AU$2:$BM$228,QUOTIENT(ROW()-1,19)+1,MOD(ROW()-2,19)+1),NA())</f>
        <v/>
      </c>
      <c r="DM197" s="4" t="e">
        <f t="shared" si="30"/>
        <v>#N/A</v>
      </c>
      <c r="DN197" t="e">
        <f t="shared" si="31"/>
        <v>#N/A</v>
      </c>
      <c r="DO197" t="e">
        <f t="shared" si="32"/>
        <v>#N/A</v>
      </c>
      <c r="DQ197" s="4"/>
    </row>
    <row r="198" spans="7:121" x14ac:dyDescent="0.25">
      <c r="G198"/>
      <c r="DI198" s="4">
        <f>INDEX(Sheet2!A:A,QUOTIENT(ROW()-1,19)+2)</f>
        <v>41080</v>
      </c>
      <c r="DJ198" s="4">
        <f>INDEX(Sheet2!C:C,QUOTIENT(ROW()-1,19)+2)</f>
        <v>42004</v>
      </c>
      <c r="DK198" s="4" t="e">
        <f>INDEX(Sheet2!$AA$2:$AS$228,QUOTIENT(ROW()-1,19)+1,MOD(ROW()-2,19)+1)</f>
        <v>#N/A</v>
      </c>
      <c r="DL198" t="str">
        <f>IFERROR(INDEX(Sheet2!$AU$2:$BM$228,QUOTIENT(ROW()-1,19)+1,MOD(ROW()-2,19)+1),NA())</f>
        <v/>
      </c>
      <c r="DM198" s="4" t="e">
        <f t="shared" si="30"/>
        <v>#N/A</v>
      </c>
      <c r="DN198" t="e">
        <f t="shared" si="31"/>
        <v>#N/A</v>
      </c>
      <c r="DO198" t="e">
        <f t="shared" si="32"/>
        <v>#N/A</v>
      </c>
      <c r="DQ198" s="4"/>
    </row>
    <row r="199" spans="7:121" x14ac:dyDescent="0.25">
      <c r="G199"/>
      <c r="DI199" s="4">
        <f>INDEX(Sheet2!A:A,QUOTIENT(ROW()-1,19)+2)</f>
        <v>41080</v>
      </c>
      <c r="DJ199" s="4">
        <f>INDEX(Sheet2!C:C,QUOTIENT(ROW()-1,19)+2)</f>
        <v>42004</v>
      </c>
      <c r="DK199" s="4" t="e">
        <f>INDEX(Sheet2!$AA$2:$AS$228,QUOTIENT(ROW()-1,19)+1,MOD(ROW()-2,19)+1)</f>
        <v>#N/A</v>
      </c>
      <c r="DL199" t="str">
        <f>IFERROR(INDEX(Sheet2!$AU$2:$BM$228,QUOTIENT(ROW()-1,19)+1,MOD(ROW()-2,19)+1),NA())</f>
        <v/>
      </c>
      <c r="DM199" s="4" t="e">
        <f t="shared" si="30"/>
        <v>#N/A</v>
      </c>
      <c r="DN199" t="e">
        <f t="shared" si="31"/>
        <v>#N/A</v>
      </c>
      <c r="DO199" t="e">
        <f t="shared" si="32"/>
        <v>#N/A</v>
      </c>
      <c r="DQ199" s="4"/>
    </row>
    <row r="200" spans="7:121" x14ac:dyDescent="0.25">
      <c r="G200"/>
      <c r="DI200" s="4">
        <f>INDEX(Sheet2!A:A,QUOTIENT(ROW()-1,19)+2)</f>
        <v>41080</v>
      </c>
      <c r="DJ200" s="4">
        <f>INDEX(Sheet2!C:C,QUOTIENT(ROW()-1,19)+2)</f>
        <v>42004</v>
      </c>
      <c r="DK200" s="4" t="e">
        <f>INDEX(Sheet2!$AA$2:$AS$228,QUOTIENT(ROW()-1,19)+1,MOD(ROW()-2,19)+1)</f>
        <v>#N/A</v>
      </c>
      <c r="DL200" t="str">
        <f>IFERROR(INDEX(Sheet2!$AU$2:$BM$228,QUOTIENT(ROW()-1,19)+1,MOD(ROW()-2,19)+1),NA())</f>
        <v/>
      </c>
      <c r="DM200" s="4" t="e">
        <f t="shared" si="30"/>
        <v>#N/A</v>
      </c>
      <c r="DN200" t="e">
        <f t="shared" si="31"/>
        <v>#N/A</v>
      </c>
      <c r="DO200" t="e">
        <f t="shared" si="32"/>
        <v>#N/A</v>
      </c>
      <c r="DQ200" s="4"/>
    </row>
    <row r="201" spans="7:121" x14ac:dyDescent="0.25">
      <c r="G201"/>
      <c r="DI201" s="4">
        <f>INDEX(Sheet2!A:A,QUOTIENT(ROW()-1,19)+2)</f>
        <v>41080</v>
      </c>
      <c r="DJ201" s="4">
        <f>INDEX(Sheet2!C:C,QUOTIENT(ROW()-1,19)+2)</f>
        <v>42004</v>
      </c>
      <c r="DK201" s="4" t="e">
        <f>INDEX(Sheet2!$AA$2:$AS$228,QUOTIENT(ROW()-1,19)+1,MOD(ROW()-2,19)+1)</f>
        <v>#N/A</v>
      </c>
      <c r="DL201" t="str">
        <f>IFERROR(INDEX(Sheet2!$AU$2:$BM$228,QUOTIENT(ROW()-1,19)+1,MOD(ROW()-2,19)+1),NA())</f>
        <v/>
      </c>
      <c r="DM201" s="4" t="e">
        <f t="shared" si="30"/>
        <v>#N/A</v>
      </c>
      <c r="DN201" t="e">
        <f t="shared" si="31"/>
        <v>#N/A</v>
      </c>
      <c r="DO201" t="e">
        <f t="shared" si="32"/>
        <v>#N/A</v>
      </c>
      <c r="DQ201" s="4"/>
    </row>
    <row r="202" spans="7:121" x14ac:dyDescent="0.25">
      <c r="G202"/>
      <c r="DI202" s="4">
        <f>INDEX(Sheet2!A:A,QUOTIENT(ROW()-1,19)+2)</f>
        <v>41080</v>
      </c>
      <c r="DJ202" s="4">
        <f>INDEX(Sheet2!C:C,QUOTIENT(ROW()-1,19)+2)</f>
        <v>42004</v>
      </c>
      <c r="DK202" s="4" t="e">
        <f>INDEX(Sheet2!$AA$2:$AS$228,QUOTIENT(ROW()-1,19)+1,MOD(ROW()-2,19)+1)</f>
        <v>#N/A</v>
      </c>
      <c r="DL202" t="str">
        <f>IFERROR(INDEX(Sheet2!$AU$2:$BM$228,QUOTIENT(ROW()-1,19)+1,MOD(ROW()-2,19)+1),NA())</f>
        <v/>
      </c>
      <c r="DM202" s="4" t="e">
        <f t="shared" si="30"/>
        <v>#N/A</v>
      </c>
      <c r="DN202" t="e">
        <f t="shared" si="31"/>
        <v>#N/A</v>
      </c>
      <c r="DO202" t="e">
        <f t="shared" si="32"/>
        <v>#N/A</v>
      </c>
      <c r="DQ202" s="4"/>
    </row>
    <row r="203" spans="7:121" x14ac:dyDescent="0.25">
      <c r="G203"/>
      <c r="DI203" s="4">
        <f>INDEX(Sheet2!A:A,QUOTIENT(ROW()-1,19)+2)</f>
        <v>41080</v>
      </c>
      <c r="DJ203" s="4">
        <f>INDEX(Sheet2!C:C,QUOTIENT(ROW()-1,19)+2)</f>
        <v>42004</v>
      </c>
      <c r="DK203" s="4" t="e">
        <f>INDEX(Sheet2!$AA$2:$AS$228,QUOTIENT(ROW()-1,19)+1,MOD(ROW()-2,19)+1)</f>
        <v>#N/A</v>
      </c>
      <c r="DL203" t="str">
        <f>IFERROR(INDEX(Sheet2!$AU$2:$BM$228,QUOTIENT(ROW()-1,19)+1,MOD(ROW()-2,19)+1),NA())</f>
        <v/>
      </c>
      <c r="DM203" s="4" t="e">
        <f t="shared" si="30"/>
        <v>#N/A</v>
      </c>
      <c r="DN203" t="e">
        <f t="shared" si="31"/>
        <v>#N/A</v>
      </c>
      <c r="DO203" t="e">
        <f t="shared" si="32"/>
        <v>#N/A</v>
      </c>
      <c r="DQ203" s="4"/>
    </row>
    <row r="204" spans="7:121" x14ac:dyDescent="0.25">
      <c r="G204"/>
      <c r="DI204" s="4">
        <f>INDEX(Sheet2!A:A,QUOTIENT(ROW()-1,19)+2)</f>
        <v>41080</v>
      </c>
      <c r="DJ204" s="4">
        <f>INDEX(Sheet2!C:C,QUOTIENT(ROW()-1,19)+2)</f>
        <v>42004</v>
      </c>
      <c r="DK204" s="4" t="e">
        <f>INDEX(Sheet2!$AA$2:$AS$228,QUOTIENT(ROW()-1,19)+1,MOD(ROW()-2,19)+1)</f>
        <v>#N/A</v>
      </c>
      <c r="DL204" t="str">
        <f>IFERROR(INDEX(Sheet2!$AU$2:$BM$228,QUOTIENT(ROW()-1,19)+1,MOD(ROW()-2,19)+1),NA())</f>
        <v/>
      </c>
      <c r="DM204" s="4" t="e">
        <f t="shared" si="30"/>
        <v>#N/A</v>
      </c>
      <c r="DN204" t="e">
        <f t="shared" si="31"/>
        <v>#N/A</v>
      </c>
      <c r="DO204" t="e">
        <f t="shared" si="32"/>
        <v>#N/A</v>
      </c>
      <c r="DQ204" s="4"/>
    </row>
    <row r="205" spans="7:121" x14ac:dyDescent="0.25">
      <c r="G205"/>
      <c r="DI205" s="4">
        <f>INDEX(Sheet2!A:A,QUOTIENT(ROW()-1,19)+2)</f>
        <v>41080</v>
      </c>
      <c r="DJ205" s="4">
        <f>INDEX(Sheet2!C:C,QUOTIENT(ROW()-1,19)+2)</f>
        <v>42004</v>
      </c>
      <c r="DK205" s="4" t="e">
        <f>INDEX(Sheet2!$AA$2:$AS$228,QUOTIENT(ROW()-1,19)+1,MOD(ROW()-2,19)+1)</f>
        <v>#N/A</v>
      </c>
      <c r="DL205" t="str">
        <f>IFERROR(INDEX(Sheet2!$AU$2:$BM$228,QUOTIENT(ROW()-1,19)+1,MOD(ROW()-2,19)+1),NA())</f>
        <v/>
      </c>
      <c r="DM205" s="4" t="e">
        <f t="shared" si="30"/>
        <v>#N/A</v>
      </c>
      <c r="DN205" t="e">
        <f t="shared" si="31"/>
        <v>#N/A</v>
      </c>
      <c r="DO205" t="e">
        <f t="shared" si="32"/>
        <v>#N/A</v>
      </c>
      <c r="DQ205" s="4"/>
    </row>
    <row r="206" spans="7:121" x14ac:dyDescent="0.25">
      <c r="G206"/>
      <c r="DI206" s="4">
        <f>INDEX(Sheet2!A:A,QUOTIENT(ROW()-1,19)+2)</f>
        <v>41080</v>
      </c>
      <c r="DJ206" s="4">
        <f>INDEX(Sheet2!C:C,QUOTIENT(ROW()-1,19)+2)</f>
        <v>42004</v>
      </c>
      <c r="DK206" s="4" t="e">
        <f>INDEX(Sheet2!$AA$2:$AS$228,QUOTIENT(ROW()-1,19)+1,MOD(ROW()-2,19)+1)</f>
        <v>#N/A</v>
      </c>
      <c r="DL206" t="str">
        <f>IFERROR(INDEX(Sheet2!$AU$2:$BM$228,QUOTIENT(ROW()-1,19)+1,MOD(ROW()-2,19)+1),NA())</f>
        <v/>
      </c>
      <c r="DM206" s="4" t="e">
        <f t="shared" si="30"/>
        <v>#N/A</v>
      </c>
      <c r="DN206" t="e">
        <f t="shared" si="31"/>
        <v>#N/A</v>
      </c>
      <c r="DO206" t="e">
        <f t="shared" si="32"/>
        <v>#N/A</v>
      </c>
      <c r="DQ206" s="4"/>
    </row>
    <row r="207" spans="7:121" x14ac:dyDescent="0.25">
      <c r="G207"/>
      <c r="DI207" s="4">
        <f>INDEX(Sheet2!A:A,QUOTIENT(ROW()-1,19)+2)</f>
        <v>41080</v>
      </c>
      <c r="DJ207" s="4">
        <f>INDEX(Sheet2!C:C,QUOTIENT(ROW()-1,19)+2)</f>
        <v>42004</v>
      </c>
      <c r="DK207" s="4" t="e">
        <f>INDEX(Sheet2!$AA$2:$AS$228,QUOTIENT(ROW()-1,19)+1,MOD(ROW()-2,19)+1)</f>
        <v>#N/A</v>
      </c>
      <c r="DL207" t="str">
        <f>IFERROR(INDEX(Sheet2!$AU$2:$BM$228,QUOTIENT(ROW()-1,19)+1,MOD(ROW()-2,19)+1),NA())</f>
        <v/>
      </c>
      <c r="DM207" s="4" t="e">
        <f t="shared" si="30"/>
        <v>#N/A</v>
      </c>
      <c r="DN207" t="e">
        <f t="shared" si="31"/>
        <v>#N/A</v>
      </c>
      <c r="DO207" t="e">
        <f t="shared" si="32"/>
        <v>#N/A</v>
      </c>
      <c r="DQ207" s="4"/>
    </row>
    <row r="208" spans="7:121" x14ac:dyDescent="0.25">
      <c r="G208"/>
      <c r="DI208" s="4">
        <f>INDEX(Sheet2!A:A,QUOTIENT(ROW()-1,19)+2)</f>
        <v>41080</v>
      </c>
      <c r="DJ208" s="4">
        <f>INDEX(Sheet2!C:C,QUOTIENT(ROW()-1,19)+2)</f>
        <v>42004</v>
      </c>
      <c r="DK208" s="4" t="e">
        <f>INDEX(Sheet2!$AA$2:$AS$228,QUOTIENT(ROW()-1,19)+1,MOD(ROW()-2,19)+1)</f>
        <v>#N/A</v>
      </c>
      <c r="DL208" t="str">
        <f>IFERROR(INDEX(Sheet2!$AU$2:$BM$228,QUOTIENT(ROW()-1,19)+1,MOD(ROW()-2,19)+1),NA())</f>
        <v/>
      </c>
      <c r="DM208" s="4" t="e">
        <f t="shared" si="30"/>
        <v>#N/A</v>
      </c>
      <c r="DN208" t="e">
        <f t="shared" si="31"/>
        <v>#N/A</v>
      </c>
      <c r="DO208" t="e">
        <f t="shared" si="32"/>
        <v>#N/A</v>
      </c>
      <c r="DQ208" s="4"/>
    </row>
    <row r="209" spans="7:121" x14ac:dyDescent="0.25">
      <c r="G209"/>
      <c r="DI209" s="4">
        <f>INDEX(Sheet2!A:A,QUOTIENT(ROW()-1,19)+2)</f>
        <v>41080</v>
      </c>
      <c r="DJ209" s="4">
        <f>INDEX(Sheet2!C:C,QUOTIENT(ROW()-1,19)+2)</f>
        <v>42004</v>
      </c>
      <c r="DK209" s="4" t="e">
        <f>INDEX(Sheet2!$AA$2:$AS$228,QUOTIENT(ROW()-1,19)+1,MOD(ROW()-2,19)+1)</f>
        <v>#N/A</v>
      </c>
      <c r="DL209" t="str">
        <f>IFERROR(INDEX(Sheet2!$AU$2:$BM$228,QUOTIENT(ROW()-1,19)+1,MOD(ROW()-2,19)+1),NA())</f>
        <v/>
      </c>
      <c r="DM209" s="4" t="e">
        <f t="shared" si="30"/>
        <v>#N/A</v>
      </c>
      <c r="DN209" t="e">
        <f t="shared" si="31"/>
        <v>#N/A</v>
      </c>
      <c r="DO209" t="e">
        <f t="shared" si="32"/>
        <v>#N/A</v>
      </c>
      <c r="DQ209" s="4"/>
    </row>
    <row r="210" spans="7:121" x14ac:dyDescent="0.25">
      <c r="G210"/>
      <c r="DI210" s="4">
        <f>INDEX(Sheet2!A:A,QUOTIENT(ROW()-1,19)+2)</f>
        <v>41080</v>
      </c>
      <c r="DJ210" s="4">
        <f>INDEX(Sheet2!C:C,QUOTIENT(ROW()-1,19)+2)</f>
        <v>42004</v>
      </c>
      <c r="DK210" s="4" t="e">
        <f>INDEX(Sheet2!$AA$2:$AS$228,QUOTIENT(ROW()-1,19)+1,MOD(ROW()-2,19)+1)</f>
        <v>#N/A</v>
      </c>
      <c r="DL210" t="str">
        <f>IFERROR(INDEX(Sheet2!$AU$2:$BM$228,QUOTIENT(ROW()-1,19)+1,MOD(ROW()-2,19)+1),NA())</f>
        <v/>
      </c>
      <c r="DM210" s="4" t="e">
        <f t="shared" si="30"/>
        <v>#N/A</v>
      </c>
      <c r="DN210" t="e">
        <f t="shared" si="31"/>
        <v>#N/A</v>
      </c>
      <c r="DO210" t="e">
        <f t="shared" si="32"/>
        <v>#N/A</v>
      </c>
      <c r="DQ210" s="4"/>
    </row>
    <row r="211" spans="7:121" x14ac:dyDescent="0.25">
      <c r="G211"/>
      <c r="DI211" s="4">
        <f>INDEX(Sheet2!A:A,QUOTIENT(ROW()-1,19)+2)</f>
        <v>41080</v>
      </c>
      <c r="DJ211" s="4">
        <f>INDEX(Sheet2!C:C,QUOTIENT(ROW()-1,19)+2)</f>
        <v>42004</v>
      </c>
      <c r="DK211" s="4">
        <f>INDEX(Sheet2!$AA$2:$AS$228,QUOTIENT(ROW()-1,19)+1,MOD(ROW()-2,19)+1)</f>
        <v>42004</v>
      </c>
      <c r="DL211">
        <f>IFERROR(INDEX(Sheet2!$AU$2:$BM$228,QUOTIENT(ROW()-1,19)+1,MOD(ROW()-2,19)+1),NA())</f>
        <v>0.75</v>
      </c>
      <c r="DM211" s="4" t="e">
        <f t="shared" si="30"/>
        <v>#N/A</v>
      </c>
      <c r="DN211" t="e">
        <f t="shared" si="31"/>
        <v>#N/A</v>
      </c>
      <c r="DO211" t="e">
        <f t="shared" si="32"/>
        <v>#N/A</v>
      </c>
      <c r="DQ211" s="4"/>
    </row>
    <row r="212" spans="7:121" x14ac:dyDescent="0.25">
      <c r="G212"/>
      <c r="DI212" s="4">
        <f>INDEX(Sheet2!A:A,QUOTIENT(ROW()-1,19)+2)</f>
        <v>41080</v>
      </c>
      <c r="DJ212" s="4">
        <f>INDEX(Sheet2!C:C,QUOTIENT(ROW()-1,19)+2)</f>
        <v>42004</v>
      </c>
      <c r="DK212" s="4" t="e">
        <f>INDEX(Sheet2!$AA$2:$AS$228,QUOTIENT(ROW()-1,19)+1,MOD(ROW()-2,19)+1)</f>
        <v>#N/A</v>
      </c>
      <c r="DL212" t="str">
        <f>IFERROR(INDEX(Sheet2!$AU$2:$BM$228,QUOTIENT(ROW()-1,19)+1,MOD(ROW()-2,19)+1),NA())</f>
        <v/>
      </c>
      <c r="DM212" s="4" t="e">
        <f t="shared" si="30"/>
        <v>#N/A</v>
      </c>
      <c r="DN212" t="e">
        <f t="shared" si="31"/>
        <v>#N/A</v>
      </c>
      <c r="DO212" t="e">
        <f t="shared" si="32"/>
        <v>#N/A</v>
      </c>
      <c r="DQ212" s="4"/>
    </row>
    <row r="213" spans="7:121" x14ac:dyDescent="0.25">
      <c r="G213"/>
      <c r="DI213" s="4">
        <f>INDEX(Sheet2!A:A,QUOTIENT(ROW()-1,19)+2)</f>
        <v>41080</v>
      </c>
      <c r="DJ213" s="4">
        <f>INDEX(Sheet2!C:C,QUOTIENT(ROW()-1,19)+2)</f>
        <v>42004</v>
      </c>
      <c r="DK213" s="4" t="e">
        <f>INDEX(Sheet2!$AA$2:$AS$228,QUOTIENT(ROW()-1,19)+1,MOD(ROW()-2,19)+1)</f>
        <v>#N/A</v>
      </c>
      <c r="DL213" t="str">
        <f>IFERROR(INDEX(Sheet2!$AU$2:$BM$228,QUOTIENT(ROW()-1,19)+1,MOD(ROW()-2,19)+1),NA())</f>
        <v/>
      </c>
      <c r="DM213" s="4" t="e">
        <f t="shared" si="30"/>
        <v>#N/A</v>
      </c>
      <c r="DN213" t="e">
        <f t="shared" si="31"/>
        <v>#N/A</v>
      </c>
      <c r="DO213" t="e">
        <f t="shared" si="32"/>
        <v>#N/A</v>
      </c>
      <c r="DQ213" s="4"/>
    </row>
    <row r="214" spans="7:121" x14ac:dyDescent="0.25">
      <c r="G214"/>
      <c r="DI214" s="4">
        <f>INDEX(Sheet2!A:A,QUOTIENT(ROW()-1,19)+2)</f>
        <v>41080</v>
      </c>
      <c r="DJ214" s="4">
        <f>INDEX(Sheet2!C:C,QUOTIENT(ROW()-1,19)+2)</f>
        <v>42004</v>
      </c>
      <c r="DK214" s="4" t="e">
        <f>INDEX(Sheet2!$AA$2:$AS$228,QUOTIENT(ROW()-1,19)+1,MOD(ROW()-2,19)+1)</f>
        <v>#N/A</v>
      </c>
      <c r="DL214" t="str">
        <f>IFERROR(INDEX(Sheet2!$AU$2:$BM$228,QUOTIENT(ROW()-1,19)+1,MOD(ROW()-2,19)+1),NA())</f>
        <v/>
      </c>
      <c r="DM214" s="4" t="e">
        <f t="shared" si="30"/>
        <v>#N/A</v>
      </c>
      <c r="DN214" t="e">
        <f t="shared" si="31"/>
        <v>#N/A</v>
      </c>
      <c r="DO214" t="e">
        <f t="shared" si="32"/>
        <v>#N/A</v>
      </c>
      <c r="DQ214" s="4"/>
    </row>
    <row r="215" spans="7:121" x14ac:dyDescent="0.25">
      <c r="G215"/>
      <c r="DI215" s="4">
        <f>INDEX(Sheet2!A:A,QUOTIENT(ROW()-1,19)+2)</f>
        <v>41080</v>
      </c>
      <c r="DJ215" s="4">
        <f>INDEX(Sheet2!C:C,QUOTIENT(ROW()-1,19)+2)</f>
        <v>42004</v>
      </c>
      <c r="DK215" s="4" t="e">
        <f>INDEX(Sheet2!$AA$2:$AS$228,QUOTIENT(ROW()-1,19)+1,MOD(ROW()-2,19)+1)</f>
        <v>#N/A</v>
      </c>
      <c r="DL215" t="str">
        <f>IFERROR(INDEX(Sheet2!$AU$2:$BM$228,QUOTIENT(ROW()-1,19)+1,MOD(ROW()-2,19)+1),NA())</f>
        <v/>
      </c>
      <c r="DM215" s="4" t="e">
        <f t="shared" si="30"/>
        <v>#N/A</v>
      </c>
      <c r="DN215" t="e">
        <f t="shared" si="31"/>
        <v>#N/A</v>
      </c>
      <c r="DO215" t="e">
        <f t="shared" si="32"/>
        <v>#N/A</v>
      </c>
      <c r="DQ215" s="4"/>
    </row>
    <row r="216" spans="7:121" x14ac:dyDescent="0.25">
      <c r="G216"/>
      <c r="DI216" s="4">
        <f>INDEX(Sheet2!A:A,QUOTIENT(ROW()-1,19)+2)</f>
        <v>41080</v>
      </c>
      <c r="DJ216" s="4">
        <f>INDEX(Sheet2!C:C,QUOTIENT(ROW()-1,19)+2)</f>
        <v>42004</v>
      </c>
      <c r="DK216" s="4" t="e">
        <f>INDEX(Sheet2!$AA$2:$AS$228,QUOTIENT(ROW()-1,19)+1,MOD(ROW()-2,19)+1)</f>
        <v>#N/A</v>
      </c>
      <c r="DL216" t="str">
        <f>IFERROR(INDEX(Sheet2!$AU$2:$BM$228,QUOTIENT(ROW()-1,19)+1,MOD(ROW()-2,19)+1),NA())</f>
        <v/>
      </c>
      <c r="DM216" s="4" t="e">
        <f t="shared" si="30"/>
        <v>#N/A</v>
      </c>
      <c r="DN216" t="e">
        <f t="shared" si="31"/>
        <v>#N/A</v>
      </c>
      <c r="DO216" t="e">
        <f t="shared" si="32"/>
        <v>#N/A</v>
      </c>
      <c r="DQ216" s="4"/>
    </row>
    <row r="217" spans="7:121" x14ac:dyDescent="0.25">
      <c r="G217"/>
      <c r="DI217" s="4">
        <f>INDEX(Sheet2!A:A,QUOTIENT(ROW()-1,19)+2)</f>
        <v>41080</v>
      </c>
      <c r="DJ217" s="4">
        <f>INDEX(Sheet2!C:C,QUOTIENT(ROW()-1,19)+2)</f>
        <v>42004</v>
      </c>
      <c r="DK217" s="4" t="e">
        <f>INDEX(Sheet2!$AA$2:$AS$228,QUOTIENT(ROW()-1,19)+1,MOD(ROW()-2,19)+1)</f>
        <v>#N/A</v>
      </c>
      <c r="DL217" t="str">
        <f>IFERROR(INDEX(Sheet2!$AU$2:$BM$228,QUOTIENT(ROW()-1,19)+1,MOD(ROW()-2,19)+1),NA())</f>
        <v/>
      </c>
      <c r="DM217" s="4" t="e">
        <f t="shared" si="30"/>
        <v>#N/A</v>
      </c>
      <c r="DN217" t="e">
        <f t="shared" si="31"/>
        <v>#N/A</v>
      </c>
      <c r="DO217" t="e">
        <f t="shared" si="32"/>
        <v>#N/A</v>
      </c>
      <c r="DQ217" s="4"/>
    </row>
    <row r="218" spans="7:121" x14ac:dyDescent="0.25">
      <c r="G218"/>
      <c r="DI218" s="4">
        <f>INDEX(Sheet2!A:A,QUOTIENT(ROW()-1,19)+2)</f>
        <v>41080</v>
      </c>
      <c r="DJ218" s="4">
        <f>INDEX(Sheet2!C:C,QUOTIENT(ROW()-1,19)+2)</f>
        <v>42004</v>
      </c>
      <c r="DK218" s="4" t="e">
        <f>INDEX(Sheet2!$AA$2:$AS$228,QUOTIENT(ROW()-1,19)+1,MOD(ROW()-2,19)+1)</f>
        <v>#N/A</v>
      </c>
      <c r="DL218" t="str">
        <f>IFERROR(INDEX(Sheet2!$AU$2:$BM$228,QUOTIENT(ROW()-1,19)+1,MOD(ROW()-2,19)+1),NA())</f>
        <v/>
      </c>
      <c r="DM218" s="4" t="e">
        <f t="shared" si="30"/>
        <v>#N/A</v>
      </c>
      <c r="DN218" t="e">
        <f t="shared" si="31"/>
        <v>#N/A</v>
      </c>
      <c r="DO218" t="e">
        <f t="shared" si="32"/>
        <v>#N/A</v>
      </c>
      <c r="DQ218" s="4"/>
    </row>
    <row r="219" spans="7:121" x14ac:dyDescent="0.25">
      <c r="G219"/>
      <c r="DI219" s="4">
        <f>INDEX(Sheet2!A:A,QUOTIENT(ROW()-1,19)+2)</f>
        <v>41080</v>
      </c>
      <c r="DJ219" s="4">
        <f>INDEX(Sheet2!C:C,QUOTIENT(ROW()-1,19)+2)</f>
        <v>42004</v>
      </c>
      <c r="DK219" s="4" t="e">
        <f>INDEX(Sheet2!$AA$2:$AS$228,QUOTIENT(ROW()-1,19)+1,MOD(ROW()-2,19)+1)</f>
        <v>#N/A</v>
      </c>
      <c r="DL219" t="str">
        <f>IFERROR(INDEX(Sheet2!$AU$2:$BM$228,QUOTIENT(ROW()-1,19)+1,MOD(ROW()-2,19)+1),NA())</f>
        <v/>
      </c>
      <c r="DM219" s="4" t="e">
        <f t="shared" si="30"/>
        <v>#N/A</v>
      </c>
      <c r="DN219" t="e">
        <f t="shared" si="31"/>
        <v>#N/A</v>
      </c>
      <c r="DO219" t="e">
        <f t="shared" si="32"/>
        <v>#N/A</v>
      </c>
      <c r="DQ219" s="4"/>
    </row>
    <row r="220" spans="7:121" x14ac:dyDescent="0.25">
      <c r="G220"/>
      <c r="DI220" s="4">
        <f>INDEX(Sheet2!A:A,QUOTIENT(ROW()-1,19)+2)</f>
        <v>41080</v>
      </c>
      <c r="DJ220" s="4">
        <f>INDEX(Sheet2!C:C,QUOTIENT(ROW()-1,19)+2)</f>
        <v>42004</v>
      </c>
      <c r="DK220" s="4" t="e">
        <f>INDEX(Sheet2!$AA$2:$AS$228,QUOTIENT(ROW()-1,19)+1,MOD(ROW()-2,19)+1)</f>
        <v>#N/A</v>
      </c>
      <c r="DL220" t="str">
        <f>IFERROR(INDEX(Sheet2!$AU$2:$BM$228,QUOTIENT(ROW()-1,19)+1,MOD(ROW()-2,19)+1),NA())</f>
        <v/>
      </c>
      <c r="DM220" s="4" t="e">
        <f t="shared" si="30"/>
        <v>#N/A</v>
      </c>
      <c r="DN220" t="e">
        <f t="shared" si="31"/>
        <v>#N/A</v>
      </c>
      <c r="DO220" t="e">
        <f t="shared" si="32"/>
        <v>#N/A</v>
      </c>
      <c r="DQ220" s="4"/>
    </row>
    <row r="221" spans="7:121" x14ac:dyDescent="0.25">
      <c r="G221"/>
      <c r="DI221" s="4">
        <f>INDEX(Sheet2!A:A,QUOTIENT(ROW()-1,19)+2)</f>
        <v>41080</v>
      </c>
      <c r="DJ221" s="4">
        <f>INDEX(Sheet2!C:C,QUOTIENT(ROW()-1,19)+2)</f>
        <v>42004</v>
      </c>
      <c r="DK221" s="4" t="e">
        <f>INDEX(Sheet2!$AA$2:$AS$228,QUOTIENT(ROW()-1,19)+1,MOD(ROW()-2,19)+1)</f>
        <v>#N/A</v>
      </c>
      <c r="DL221" t="str">
        <f>IFERROR(INDEX(Sheet2!$AU$2:$BM$228,QUOTIENT(ROW()-1,19)+1,MOD(ROW()-2,19)+1),NA())</f>
        <v/>
      </c>
      <c r="DM221" s="4" t="e">
        <f t="shared" si="30"/>
        <v>#N/A</v>
      </c>
      <c r="DN221" t="e">
        <f t="shared" si="31"/>
        <v>#N/A</v>
      </c>
      <c r="DO221" t="e">
        <f t="shared" si="32"/>
        <v>#N/A</v>
      </c>
      <c r="DQ221" s="4"/>
    </row>
    <row r="222" spans="7:121" x14ac:dyDescent="0.25">
      <c r="G222"/>
      <c r="DI222" s="4">
        <f>INDEX(Sheet2!A:A,QUOTIENT(ROW()-1,19)+2)</f>
        <v>41080</v>
      </c>
      <c r="DJ222" s="4">
        <f>INDEX(Sheet2!C:C,QUOTIENT(ROW()-1,19)+2)</f>
        <v>42004</v>
      </c>
      <c r="DK222" s="4" t="e">
        <f>INDEX(Sheet2!$AA$2:$AS$228,QUOTIENT(ROW()-1,19)+1,MOD(ROW()-2,19)+1)</f>
        <v>#N/A</v>
      </c>
      <c r="DL222" t="str">
        <f>IFERROR(INDEX(Sheet2!$AU$2:$BM$228,QUOTIENT(ROW()-1,19)+1,MOD(ROW()-2,19)+1),NA())</f>
        <v/>
      </c>
      <c r="DM222" s="4" t="e">
        <f t="shared" si="30"/>
        <v>#N/A</v>
      </c>
      <c r="DN222" t="e">
        <f t="shared" si="31"/>
        <v>#N/A</v>
      </c>
      <c r="DO222" t="e">
        <f t="shared" si="32"/>
        <v>#N/A</v>
      </c>
      <c r="DQ222" s="4"/>
    </row>
    <row r="223" spans="7:121" x14ac:dyDescent="0.25">
      <c r="G223"/>
      <c r="DI223" s="4">
        <f>INDEX(Sheet2!A:A,QUOTIENT(ROW()-1,19)+2)</f>
        <v>41080</v>
      </c>
      <c r="DJ223" s="4">
        <f>INDEX(Sheet2!C:C,QUOTIENT(ROW()-1,19)+2)</f>
        <v>42004</v>
      </c>
      <c r="DK223" s="4" t="e">
        <f>INDEX(Sheet2!$AA$2:$AS$228,QUOTIENT(ROW()-1,19)+1,MOD(ROW()-2,19)+1)</f>
        <v>#N/A</v>
      </c>
      <c r="DL223" t="str">
        <f>IFERROR(INDEX(Sheet2!$AU$2:$BM$228,QUOTIENT(ROW()-1,19)+1,MOD(ROW()-2,19)+1),NA())</f>
        <v/>
      </c>
      <c r="DM223" s="4" t="e">
        <f t="shared" si="30"/>
        <v>#N/A</v>
      </c>
      <c r="DN223" t="e">
        <f t="shared" si="31"/>
        <v>#N/A</v>
      </c>
      <c r="DO223" t="e">
        <f t="shared" si="32"/>
        <v>#N/A</v>
      </c>
      <c r="DQ223" s="4"/>
    </row>
    <row r="224" spans="7:121" x14ac:dyDescent="0.25">
      <c r="G224"/>
      <c r="DI224" s="4">
        <f>INDEX(Sheet2!A:A,QUOTIENT(ROW()-1,19)+2)</f>
        <v>41080</v>
      </c>
      <c r="DJ224" s="4">
        <f>INDEX(Sheet2!C:C,QUOTIENT(ROW()-1,19)+2)</f>
        <v>42004</v>
      </c>
      <c r="DK224" s="4" t="e">
        <f>INDEX(Sheet2!$AA$2:$AS$228,QUOTIENT(ROW()-1,19)+1,MOD(ROW()-2,19)+1)</f>
        <v>#N/A</v>
      </c>
      <c r="DL224" t="str">
        <f>IFERROR(INDEX(Sheet2!$AU$2:$BM$228,QUOTIENT(ROW()-1,19)+1,MOD(ROW()-2,19)+1),NA())</f>
        <v/>
      </c>
      <c r="DM224" s="4" t="e">
        <f t="shared" si="30"/>
        <v>#N/A</v>
      </c>
      <c r="DN224" t="e">
        <f t="shared" si="31"/>
        <v>#N/A</v>
      </c>
      <c r="DO224" t="e">
        <f t="shared" si="32"/>
        <v>#N/A</v>
      </c>
      <c r="DQ224" s="4"/>
    </row>
    <row r="225" spans="7:121" x14ac:dyDescent="0.25">
      <c r="G225"/>
      <c r="DI225" s="4">
        <f>INDEX(Sheet2!A:A,QUOTIENT(ROW()-1,19)+2)</f>
        <v>41080</v>
      </c>
      <c r="DJ225" s="4">
        <f>INDEX(Sheet2!C:C,QUOTIENT(ROW()-1,19)+2)</f>
        <v>42004</v>
      </c>
      <c r="DK225" s="4" t="e">
        <f>INDEX(Sheet2!$AA$2:$AS$228,QUOTIENT(ROW()-1,19)+1,MOD(ROW()-2,19)+1)</f>
        <v>#N/A</v>
      </c>
      <c r="DL225" t="str">
        <f>IFERROR(INDEX(Sheet2!$AU$2:$BM$228,QUOTIENT(ROW()-1,19)+1,MOD(ROW()-2,19)+1),NA())</f>
        <v/>
      </c>
      <c r="DM225" s="4" t="e">
        <f t="shared" si="30"/>
        <v>#N/A</v>
      </c>
      <c r="DN225" t="e">
        <f t="shared" si="31"/>
        <v>#N/A</v>
      </c>
      <c r="DO225" t="e">
        <f t="shared" si="32"/>
        <v>#N/A</v>
      </c>
      <c r="DQ225" s="4"/>
    </row>
    <row r="226" spans="7:121" x14ac:dyDescent="0.25">
      <c r="G226"/>
      <c r="DI226" s="4">
        <f>INDEX(Sheet2!A:A,QUOTIENT(ROW()-1,19)+2)</f>
        <v>41080</v>
      </c>
      <c r="DJ226" s="4">
        <f>INDEX(Sheet2!C:C,QUOTIENT(ROW()-1,19)+2)</f>
        <v>42004</v>
      </c>
      <c r="DK226" s="4" t="e">
        <f>INDEX(Sheet2!$AA$2:$AS$228,QUOTIENT(ROW()-1,19)+1,MOD(ROW()-2,19)+1)</f>
        <v>#N/A</v>
      </c>
      <c r="DL226" t="str">
        <f>IFERROR(INDEX(Sheet2!$AU$2:$BM$228,QUOTIENT(ROW()-1,19)+1,MOD(ROW()-2,19)+1),NA())</f>
        <v/>
      </c>
      <c r="DM226" s="4" t="e">
        <f t="shared" si="30"/>
        <v>#N/A</v>
      </c>
      <c r="DN226" t="e">
        <f t="shared" si="31"/>
        <v>#N/A</v>
      </c>
      <c r="DO226" t="e">
        <f t="shared" si="32"/>
        <v>#N/A</v>
      </c>
      <c r="DQ226" s="4"/>
    </row>
    <row r="227" spans="7:121" x14ac:dyDescent="0.25">
      <c r="G227"/>
      <c r="DI227" s="4">
        <f>INDEX(Sheet2!A:A,QUOTIENT(ROW()-1,19)+2)</f>
        <v>41080</v>
      </c>
      <c r="DJ227" s="4">
        <f>INDEX(Sheet2!C:C,QUOTIENT(ROW()-1,19)+2)</f>
        <v>42004</v>
      </c>
      <c r="DK227" s="4" t="e">
        <f>INDEX(Sheet2!$AA$2:$AS$228,QUOTIENT(ROW()-1,19)+1,MOD(ROW()-2,19)+1)</f>
        <v>#N/A</v>
      </c>
      <c r="DL227" t="str">
        <f>IFERROR(INDEX(Sheet2!$AU$2:$BM$228,QUOTIENT(ROW()-1,19)+1,MOD(ROW()-2,19)+1),NA())</f>
        <v/>
      </c>
      <c r="DM227" s="4" t="e">
        <f t="shared" si="30"/>
        <v>#N/A</v>
      </c>
      <c r="DN227" t="e">
        <f t="shared" si="31"/>
        <v>#N/A</v>
      </c>
      <c r="DO227" t="e">
        <f t="shared" si="32"/>
        <v>#N/A</v>
      </c>
      <c r="DQ227" s="4"/>
    </row>
    <row r="228" spans="7:121" x14ac:dyDescent="0.25">
      <c r="G228"/>
      <c r="DI228" s="4">
        <f>INDEX(Sheet2!A:A,QUOTIENT(ROW()-1,19)+2)</f>
        <v>41080</v>
      </c>
      <c r="DJ228" s="4">
        <f>INDEX(Sheet2!C:C,QUOTIENT(ROW()-1,19)+2)</f>
        <v>42004</v>
      </c>
      <c r="DK228" s="4" t="e">
        <f>INDEX(Sheet2!$AA$2:$AS$228,QUOTIENT(ROW()-1,19)+1,MOD(ROW()-2,19)+1)</f>
        <v>#N/A</v>
      </c>
      <c r="DL228" t="str">
        <f>IFERROR(INDEX(Sheet2!$AU$2:$BM$228,QUOTIENT(ROW()-1,19)+1,MOD(ROW()-2,19)+1),NA())</f>
        <v/>
      </c>
      <c r="DM228" s="4" t="e">
        <f t="shared" si="30"/>
        <v>#N/A</v>
      </c>
      <c r="DN228" t="e">
        <f t="shared" si="31"/>
        <v>#N/A</v>
      </c>
      <c r="DO228" t="e">
        <f t="shared" si="32"/>
        <v>#N/A</v>
      </c>
      <c r="DQ228" s="4"/>
    </row>
    <row r="229" spans="7:121" x14ac:dyDescent="0.25">
      <c r="G229"/>
      <c r="DI229" s="4">
        <f>INDEX(Sheet2!A:A,QUOTIENT(ROW()-1,19)+2)</f>
        <v>41080</v>
      </c>
      <c r="DJ229" s="4">
        <f>INDEX(Sheet2!C:C,QUOTIENT(ROW()-1,19)+2)</f>
        <v>42004</v>
      </c>
      <c r="DK229" s="4" t="e">
        <f>INDEX(Sheet2!$AA$2:$AS$228,QUOTIENT(ROW()-1,19)+1,MOD(ROW()-2,19)+1)</f>
        <v>#N/A</v>
      </c>
      <c r="DL229" t="str">
        <f>IFERROR(INDEX(Sheet2!$AU$2:$BM$228,QUOTIENT(ROW()-1,19)+1,MOD(ROW()-2,19)+1),NA())</f>
        <v/>
      </c>
      <c r="DM229" s="4" t="e">
        <f t="shared" si="30"/>
        <v>#N/A</v>
      </c>
      <c r="DN229" t="e">
        <f t="shared" si="31"/>
        <v>#N/A</v>
      </c>
      <c r="DO229" t="e">
        <f t="shared" si="32"/>
        <v>#N/A</v>
      </c>
      <c r="DQ229" s="4"/>
    </row>
    <row r="230" spans="7:121" x14ac:dyDescent="0.25">
      <c r="G230"/>
      <c r="DI230" s="4">
        <f>INDEX(Sheet2!A:A,QUOTIENT(ROW()-1,19)+2)</f>
        <v>41080</v>
      </c>
      <c r="DJ230" s="4">
        <f>INDEX(Sheet2!C:C,QUOTIENT(ROW()-1,19)+2)</f>
        <v>42004</v>
      </c>
      <c r="DK230" s="4">
        <f>INDEX(Sheet2!$AA$2:$AS$228,QUOTIENT(ROW()-1,19)+1,MOD(ROW()-2,19)+1)</f>
        <v>41993.962500000001</v>
      </c>
      <c r="DL230">
        <f>IFERROR(INDEX(Sheet2!$AU$2:$BM$228,QUOTIENT(ROW()-1,19)+1,MOD(ROW()-2,19)+1),NA())</f>
        <v>1.5</v>
      </c>
      <c r="DM230" s="4" t="e">
        <f t="shared" si="30"/>
        <v>#N/A</v>
      </c>
      <c r="DN230" t="e">
        <f t="shared" si="31"/>
        <v>#N/A</v>
      </c>
      <c r="DO230" t="e">
        <f t="shared" si="32"/>
        <v>#N/A</v>
      </c>
      <c r="DQ230" s="4"/>
    </row>
    <row r="231" spans="7:121" x14ac:dyDescent="0.25">
      <c r="G231"/>
      <c r="DI231" s="4">
        <f>INDEX(Sheet2!A:A,QUOTIENT(ROW()-1,19)+2)</f>
        <v>41080</v>
      </c>
      <c r="DJ231" s="4">
        <f>INDEX(Sheet2!C:C,QUOTIENT(ROW()-1,19)+2)</f>
        <v>42004</v>
      </c>
      <c r="DK231" s="4">
        <f>INDEX(Sheet2!$AA$2:$AS$228,QUOTIENT(ROW()-1,19)+1,MOD(ROW()-2,19)+1)</f>
        <v>42014.037500000006</v>
      </c>
      <c r="DL231">
        <f>IFERROR(INDEX(Sheet2!$AU$2:$BM$228,QUOTIENT(ROW()-1,19)+1,MOD(ROW()-2,19)+1),NA())</f>
        <v>1.5</v>
      </c>
      <c r="DM231" s="4" t="e">
        <f t="shared" si="30"/>
        <v>#N/A</v>
      </c>
      <c r="DN231" t="e">
        <f t="shared" si="31"/>
        <v>#N/A</v>
      </c>
      <c r="DO231" t="e">
        <f t="shared" si="32"/>
        <v>#N/A</v>
      </c>
      <c r="DQ231" s="4"/>
    </row>
    <row r="232" spans="7:121" x14ac:dyDescent="0.25">
      <c r="G232"/>
      <c r="DI232" s="4">
        <f>INDEX(Sheet2!A:A,QUOTIENT(ROW()-1,19)+2)</f>
        <v>41080</v>
      </c>
      <c r="DJ232" s="4">
        <f>INDEX(Sheet2!C:C,QUOTIENT(ROW()-1,19)+2)</f>
        <v>42004</v>
      </c>
      <c r="DK232" s="4" t="e">
        <f>INDEX(Sheet2!$AA$2:$AS$228,QUOTIENT(ROW()-1,19)+1,MOD(ROW()-2,19)+1)</f>
        <v>#N/A</v>
      </c>
      <c r="DL232" t="str">
        <f>IFERROR(INDEX(Sheet2!$AU$2:$BM$228,QUOTIENT(ROW()-1,19)+1,MOD(ROW()-2,19)+1),NA())</f>
        <v/>
      </c>
      <c r="DM232" s="4" t="e">
        <f t="shared" si="30"/>
        <v>#N/A</v>
      </c>
      <c r="DN232" t="e">
        <f t="shared" si="31"/>
        <v>#N/A</v>
      </c>
      <c r="DO232" t="e">
        <f t="shared" si="32"/>
        <v>#N/A</v>
      </c>
      <c r="DQ232" s="4"/>
    </row>
    <row r="233" spans="7:121" x14ac:dyDescent="0.25">
      <c r="G233"/>
      <c r="DI233" s="4">
        <f>INDEX(Sheet2!A:A,QUOTIENT(ROW()-1,19)+2)</f>
        <v>41080</v>
      </c>
      <c r="DJ233" s="4">
        <f>INDEX(Sheet2!C:C,QUOTIENT(ROW()-1,19)+2)</f>
        <v>42004</v>
      </c>
      <c r="DK233" s="4" t="e">
        <f>INDEX(Sheet2!$AA$2:$AS$228,QUOTIENT(ROW()-1,19)+1,MOD(ROW()-2,19)+1)</f>
        <v>#N/A</v>
      </c>
      <c r="DL233" t="str">
        <f>IFERROR(INDEX(Sheet2!$AU$2:$BM$228,QUOTIENT(ROW()-1,19)+1,MOD(ROW()-2,19)+1),NA())</f>
        <v/>
      </c>
      <c r="DM233" s="4" t="e">
        <f t="shared" si="30"/>
        <v>#N/A</v>
      </c>
      <c r="DN233" t="e">
        <f t="shared" si="31"/>
        <v>#N/A</v>
      </c>
      <c r="DO233" t="e">
        <f t="shared" si="32"/>
        <v>#N/A</v>
      </c>
      <c r="DQ233" s="4"/>
    </row>
    <row r="234" spans="7:121" x14ac:dyDescent="0.25">
      <c r="G234"/>
      <c r="DI234" s="4">
        <f>INDEX(Sheet2!A:A,QUOTIENT(ROW()-1,19)+2)</f>
        <v>41080</v>
      </c>
      <c r="DJ234" s="4">
        <f>INDEX(Sheet2!C:C,QUOTIENT(ROW()-1,19)+2)</f>
        <v>42004</v>
      </c>
      <c r="DK234" s="4" t="e">
        <f>INDEX(Sheet2!$AA$2:$AS$228,QUOTIENT(ROW()-1,19)+1,MOD(ROW()-2,19)+1)</f>
        <v>#N/A</v>
      </c>
      <c r="DL234" t="str">
        <f>IFERROR(INDEX(Sheet2!$AU$2:$BM$228,QUOTIENT(ROW()-1,19)+1,MOD(ROW()-2,19)+1),NA())</f>
        <v/>
      </c>
      <c r="DM234" s="4" t="e">
        <f t="shared" si="30"/>
        <v>#N/A</v>
      </c>
      <c r="DN234" t="e">
        <f t="shared" si="31"/>
        <v>#N/A</v>
      </c>
      <c r="DO234" t="e">
        <f t="shared" si="32"/>
        <v>#N/A</v>
      </c>
      <c r="DQ234" s="4"/>
    </row>
    <row r="235" spans="7:121" x14ac:dyDescent="0.25">
      <c r="G235"/>
      <c r="DI235" s="4">
        <f>INDEX(Sheet2!A:A,QUOTIENT(ROW()-1,19)+2)</f>
        <v>41080</v>
      </c>
      <c r="DJ235" s="4">
        <f>INDEX(Sheet2!C:C,QUOTIENT(ROW()-1,19)+2)</f>
        <v>42004</v>
      </c>
      <c r="DK235" s="4" t="e">
        <f>INDEX(Sheet2!$AA$2:$AS$228,QUOTIENT(ROW()-1,19)+1,MOD(ROW()-2,19)+1)</f>
        <v>#N/A</v>
      </c>
      <c r="DL235" t="str">
        <f>IFERROR(INDEX(Sheet2!$AU$2:$BM$228,QUOTIENT(ROW()-1,19)+1,MOD(ROW()-2,19)+1),NA())</f>
        <v/>
      </c>
      <c r="DM235" s="4" t="e">
        <f t="shared" si="30"/>
        <v>#N/A</v>
      </c>
      <c r="DN235" t="e">
        <f t="shared" si="31"/>
        <v>#N/A</v>
      </c>
      <c r="DO235" t="e">
        <f t="shared" si="32"/>
        <v>#N/A</v>
      </c>
      <c r="DQ235" s="4"/>
    </row>
    <row r="236" spans="7:121" x14ac:dyDescent="0.25">
      <c r="G236"/>
      <c r="DI236" s="4">
        <f>INDEX(Sheet2!A:A,QUOTIENT(ROW()-1,19)+2)</f>
        <v>41080</v>
      </c>
      <c r="DJ236" s="4">
        <f>INDEX(Sheet2!C:C,QUOTIENT(ROW()-1,19)+2)</f>
        <v>42004</v>
      </c>
      <c r="DK236" s="4" t="e">
        <f>INDEX(Sheet2!$AA$2:$AS$228,QUOTIENT(ROW()-1,19)+1,MOD(ROW()-2,19)+1)</f>
        <v>#N/A</v>
      </c>
      <c r="DL236" t="str">
        <f>IFERROR(INDEX(Sheet2!$AU$2:$BM$228,QUOTIENT(ROW()-1,19)+1,MOD(ROW()-2,19)+1),NA())</f>
        <v/>
      </c>
      <c r="DM236" s="4" t="e">
        <f t="shared" si="30"/>
        <v>#N/A</v>
      </c>
      <c r="DN236" t="e">
        <f t="shared" si="31"/>
        <v>#N/A</v>
      </c>
      <c r="DO236" t="e">
        <f t="shared" si="32"/>
        <v>#N/A</v>
      </c>
      <c r="DQ236" s="4"/>
    </row>
    <row r="237" spans="7:121" x14ac:dyDescent="0.25">
      <c r="G237"/>
      <c r="DI237" s="4">
        <f>INDEX(Sheet2!A:A,QUOTIENT(ROW()-1,19)+2)</f>
        <v>41080</v>
      </c>
      <c r="DJ237" s="4">
        <f>INDEX(Sheet2!C:C,QUOTIENT(ROW()-1,19)+2)</f>
        <v>42004</v>
      </c>
      <c r="DK237" s="4" t="e">
        <f>INDEX(Sheet2!$AA$2:$AS$228,QUOTIENT(ROW()-1,19)+1,MOD(ROW()-2,19)+1)</f>
        <v>#N/A</v>
      </c>
      <c r="DL237" t="str">
        <f>IFERROR(INDEX(Sheet2!$AU$2:$BM$228,QUOTIENT(ROW()-1,19)+1,MOD(ROW()-2,19)+1),NA())</f>
        <v/>
      </c>
      <c r="DM237" s="4" t="e">
        <f t="shared" si="30"/>
        <v>#N/A</v>
      </c>
      <c r="DN237" t="e">
        <f t="shared" si="31"/>
        <v>#N/A</v>
      </c>
      <c r="DO237" t="e">
        <f t="shared" si="32"/>
        <v>#N/A</v>
      </c>
      <c r="DQ237" s="4"/>
    </row>
    <row r="238" spans="7:121" x14ac:dyDescent="0.25">
      <c r="G238"/>
      <c r="DI238" s="4">
        <f>INDEX(Sheet2!A:A,QUOTIENT(ROW()-1,19)+2)</f>
        <v>41080</v>
      </c>
      <c r="DJ238" s="4">
        <f>INDEX(Sheet2!C:C,QUOTIENT(ROW()-1,19)+2)</f>
        <v>42004</v>
      </c>
      <c r="DK238" s="4" t="e">
        <f>INDEX(Sheet2!$AA$2:$AS$228,QUOTIENT(ROW()-1,19)+1,MOD(ROW()-2,19)+1)</f>
        <v>#N/A</v>
      </c>
      <c r="DL238" t="str">
        <f>IFERROR(INDEX(Sheet2!$AU$2:$BM$228,QUOTIENT(ROW()-1,19)+1,MOD(ROW()-2,19)+1),NA())</f>
        <v/>
      </c>
      <c r="DM238" s="4" t="e">
        <f t="shared" si="30"/>
        <v>#N/A</v>
      </c>
      <c r="DN238" t="e">
        <f t="shared" si="31"/>
        <v>#N/A</v>
      </c>
      <c r="DO238" t="e">
        <f t="shared" si="32"/>
        <v>#N/A</v>
      </c>
      <c r="DQ238" s="4"/>
    </row>
    <row r="239" spans="7:121" x14ac:dyDescent="0.25">
      <c r="G239"/>
      <c r="DI239" s="4">
        <f>INDEX(Sheet2!A:A,QUOTIENT(ROW()-1,19)+2)</f>
        <v>41080</v>
      </c>
      <c r="DJ239" s="4">
        <f>INDEX(Sheet2!C:C,QUOTIENT(ROW()-1,19)+2)</f>
        <v>42004</v>
      </c>
      <c r="DK239" s="4" t="e">
        <f>INDEX(Sheet2!$AA$2:$AS$228,QUOTIENT(ROW()-1,19)+1,MOD(ROW()-2,19)+1)</f>
        <v>#N/A</v>
      </c>
      <c r="DL239" t="str">
        <f>IFERROR(INDEX(Sheet2!$AU$2:$BM$228,QUOTIENT(ROW()-1,19)+1,MOD(ROW()-2,19)+1),NA())</f>
        <v/>
      </c>
      <c r="DM239" s="4" t="e">
        <f t="shared" si="30"/>
        <v>#N/A</v>
      </c>
      <c r="DN239" t="e">
        <f t="shared" si="31"/>
        <v>#N/A</v>
      </c>
      <c r="DO239" t="e">
        <f t="shared" si="32"/>
        <v>#N/A</v>
      </c>
      <c r="DQ239" s="4"/>
    </row>
    <row r="240" spans="7:121" x14ac:dyDescent="0.25">
      <c r="G240"/>
      <c r="DI240" s="4">
        <f>INDEX(Sheet2!A:A,QUOTIENT(ROW()-1,19)+2)</f>
        <v>41080</v>
      </c>
      <c r="DJ240" s="4">
        <f>INDEX(Sheet2!C:C,QUOTIENT(ROW()-1,19)+2)</f>
        <v>42004</v>
      </c>
      <c r="DK240" s="4" t="e">
        <f>INDEX(Sheet2!$AA$2:$AS$228,QUOTIENT(ROW()-1,19)+1,MOD(ROW()-2,19)+1)</f>
        <v>#N/A</v>
      </c>
      <c r="DL240" t="str">
        <f>IFERROR(INDEX(Sheet2!$AU$2:$BM$228,QUOTIENT(ROW()-1,19)+1,MOD(ROW()-2,19)+1),NA())</f>
        <v/>
      </c>
      <c r="DM240" s="4" t="e">
        <f t="shared" si="30"/>
        <v>#N/A</v>
      </c>
      <c r="DN240" t="e">
        <f t="shared" si="31"/>
        <v>#N/A</v>
      </c>
      <c r="DO240" t="e">
        <f t="shared" si="32"/>
        <v>#N/A</v>
      </c>
      <c r="DQ240" s="4"/>
    </row>
    <row r="241" spans="7:121" x14ac:dyDescent="0.25">
      <c r="G241"/>
      <c r="DI241" s="4">
        <f>INDEX(Sheet2!A:A,QUOTIENT(ROW()-1,19)+2)</f>
        <v>41080</v>
      </c>
      <c r="DJ241" s="4">
        <f>INDEX(Sheet2!C:C,QUOTIENT(ROW()-1,19)+2)</f>
        <v>42004</v>
      </c>
      <c r="DK241" s="4" t="e">
        <f>INDEX(Sheet2!$AA$2:$AS$228,QUOTIENT(ROW()-1,19)+1,MOD(ROW()-2,19)+1)</f>
        <v>#N/A</v>
      </c>
      <c r="DL241" t="str">
        <f>IFERROR(INDEX(Sheet2!$AU$2:$BM$228,QUOTIENT(ROW()-1,19)+1,MOD(ROW()-2,19)+1),NA())</f>
        <v/>
      </c>
      <c r="DM241" s="4" t="e">
        <f t="shared" si="30"/>
        <v>#N/A</v>
      </c>
      <c r="DN241" t="e">
        <f t="shared" si="31"/>
        <v>#N/A</v>
      </c>
      <c r="DO241" t="e">
        <f t="shared" si="32"/>
        <v>#N/A</v>
      </c>
      <c r="DQ241" s="4"/>
    </row>
    <row r="242" spans="7:121" x14ac:dyDescent="0.25">
      <c r="G242"/>
      <c r="DI242" s="4">
        <f>INDEX(Sheet2!A:A,QUOTIENT(ROW()-1,19)+2)</f>
        <v>41080</v>
      </c>
      <c r="DJ242" s="4">
        <f>INDEX(Sheet2!C:C,QUOTIENT(ROW()-1,19)+2)</f>
        <v>42004</v>
      </c>
      <c r="DK242" s="4" t="e">
        <f>INDEX(Sheet2!$AA$2:$AS$228,QUOTIENT(ROW()-1,19)+1,MOD(ROW()-2,19)+1)</f>
        <v>#N/A</v>
      </c>
      <c r="DL242" t="str">
        <f>IFERROR(INDEX(Sheet2!$AU$2:$BM$228,QUOTIENT(ROW()-1,19)+1,MOD(ROW()-2,19)+1),NA())</f>
        <v/>
      </c>
      <c r="DM242" s="4" t="e">
        <f t="shared" si="30"/>
        <v>#N/A</v>
      </c>
      <c r="DN242" t="e">
        <f t="shared" si="31"/>
        <v>#N/A</v>
      </c>
      <c r="DO242" t="e">
        <f t="shared" si="32"/>
        <v>#N/A</v>
      </c>
      <c r="DQ242" s="4"/>
    </row>
    <row r="243" spans="7:121" x14ac:dyDescent="0.25">
      <c r="G243"/>
      <c r="DI243" s="4">
        <f>INDEX(Sheet2!A:A,QUOTIENT(ROW()-1,19)+2)</f>
        <v>41080</v>
      </c>
      <c r="DJ243" s="4">
        <f>INDEX(Sheet2!C:C,QUOTIENT(ROW()-1,19)+2)</f>
        <v>42004</v>
      </c>
      <c r="DK243" s="4" t="e">
        <f>INDEX(Sheet2!$AA$2:$AS$228,QUOTIENT(ROW()-1,19)+1,MOD(ROW()-2,19)+1)</f>
        <v>#N/A</v>
      </c>
      <c r="DL243" t="str">
        <f>IFERROR(INDEX(Sheet2!$AU$2:$BM$228,QUOTIENT(ROW()-1,19)+1,MOD(ROW()-2,19)+1),NA())</f>
        <v/>
      </c>
      <c r="DM243" s="4" t="e">
        <f t="shared" si="30"/>
        <v>#N/A</v>
      </c>
      <c r="DN243" t="e">
        <f t="shared" si="31"/>
        <v>#N/A</v>
      </c>
      <c r="DO243" t="e">
        <f t="shared" si="32"/>
        <v>#N/A</v>
      </c>
      <c r="DQ243" s="4"/>
    </row>
    <row r="244" spans="7:121" x14ac:dyDescent="0.25">
      <c r="G244"/>
      <c r="DI244" s="4">
        <f>INDEX(Sheet2!A:A,QUOTIENT(ROW()-1,19)+2)</f>
        <v>41080</v>
      </c>
      <c r="DJ244" s="4">
        <f>INDEX(Sheet2!C:C,QUOTIENT(ROW()-1,19)+2)</f>
        <v>42004</v>
      </c>
      <c r="DK244" s="4" t="e">
        <f>INDEX(Sheet2!$AA$2:$AS$228,QUOTIENT(ROW()-1,19)+1,MOD(ROW()-2,19)+1)</f>
        <v>#N/A</v>
      </c>
      <c r="DL244" t="str">
        <f>IFERROR(INDEX(Sheet2!$AU$2:$BM$228,QUOTIENT(ROW()-1,19)+1,MOD(ROW()-2,19)+1),NA())</f>
        <v/>
      </c>
      <c r="DM244" s="4" t="e">
        <f t="shared" si="30"/>
        <v>#N/A</v>
      </c>
      <c r="DN244" t="e">
        <f t="shared" si="31"/>
        <v>#N/A</v>
      </c>
      <c r="DO244" t="e">
        <f t="shared" si="32"/>
        <v>#N/A</v>
      </c>
      <c r="DQ244" s="4"/>
    </row>
    <row r="245" spans="7:121" x14ac:dyDescent="0.25">
      <c r="G245"/>
      <c r="DI245" s="4">
        <f>INDEX(Sheet2!A:A,QUOTIENT(ROW()-1,19)+2)</f>
        <v>41080</v>
      </c>
      <c r="DJ245" s="4">
        <f>INDEX(Sheet2!C:C,QUOTIENT(ROW()-1,19)+2)</f>
        <v>42004</v>
      </c>
      <c r="DK245" s="4" t="e">
        <f>INDEX(Sheet2!$AA$2:$AS$228,QUOTIENT(ROW()-1,19)+1,MOD(ROW()-2,19)+1)</f>
        <v>#N/A</v>
      </c>
      <c r="DL245" t="str">
        <f>IFERROR(INDEX(Sheet2!$AU$2:$BM$228,QUOTIENT(ROW()-1,19)+1,MOD(ROW()-2,19)+1),NA())</f>
        <v/>
      </c>
      <c r="DM245" s="4" t="e">
        <f t="shared" si="30"/>
        <v>#N/A</v>
      </c>
      <c r="DN245" t="e">
        <f t="shared" si="31"/>
        <v>#N/A</v>
      </c>
      <c r="DO245" t="e">
        <f t="shared" si="32"/>
        <v>#N/A</v>
      </c>
      <c r="DQ245" s="4"/>
    </row>
    <row r="246" spans="7:121" x14ac:dyDescent="0.25">
      <c r="G246"/>
      <c r="DI246" s="4">
        <f>INDEX(Sheet2!A:A,QUOTIENT(ROW()-1,19)+2)</f>
        <v>41080</v>
      </c>
      <c r="DJ246" s="4">
        <f>INDEX(Sheet2!C:C,QUOTIENT(ROW()-1,19)+2)</f>
        <v>42004</v>
      </c>
      <c r="DK246" s="4" t="e">
        <f>INDEX(Sheet2!$AA$2:$AS$228,QUOTIENT(ROW()-1,19)+1,MOD(ROW()-2,19)+1)</f>
        <v>#N/A</v>
      </c>
      <c r="DL246" t="str">
        <f>IFERROR(INDEX(Sheet2!$AU$2:$BM$228,QUOTIENT(ROW()-1,19)+1,MOD(ROW()-2,19)+1),NA())</f>
        <v/>
      </c>
      <c r="DM246" s="4" t="e">
        <f t="shared" si="30"/>
        <v>#N/A</v>
      </c>
      <c r="DN246" t="e">
        <f t="shared" si="31"/>
        <v>#N/A</v>
      </c>
      <c r="DO246" t="e">
        <f t="shared" si="32"/>
        <v>#N/A</v>
      </c>
      <c r="DQ246" s="4"/>
    </row>
    <row r="247" spans="7:121" x14ac:dyDescent="0.25">
      <c r="G247"/>
      <c r="DI247" s="4">
        <f>INDEX(Sheet2!A:A,QUOTIENT(ROW()-1,19)+2)</f>
        <v>41080</v>
      </c>
      <c r="DJ247" s="4">
        <f>INDEX(Sheet2!C:C,QUOTIENT(ROW()-1,19)+2)</f>
        <v>42004</v>
      </c>
      <c r="DK247" s="4" t="e">
        <f>INDEX(Sheet2!$AA$2:$AS$228,QUOTIENT(ROW()-1,19)+1,MOD(ROW()-2,19)+1)</f>
        <v>#N/A</v>
      </c>
      <c r="DL247" t="str">
        <f>IFERROR(INDEX(Sheet2!$AU$2:$BM$228,QUOTIENT(ROW()-1,19)+1,MOD(ROW()-2,19)+1),NA())</f>
        <v/>
      </c>
      <c r="DM247" s="4" t="e">
        <f t="shared" si="30"/>
        <v>#N/A</v>
      </c>
      <c r="DN247" t="e">
        <f t="shared" si="31"/>
        <v>#N/A</v>
      </c>
      <c r="DO247" t="e">
        <f t="shared" si="32"/>
        <v>#N/A</v>
      </c>
      <c r="DQ247" s="4"/>
    </row>
    <row r="248" spans="7:121" x14ac:dyDescent="0.25">
      <c r="G248"/>
      <c r="DI248" s="4">
        <f>INDEX(Sheet2!A:A,QUOTIENT(ROW()-1,19)+2)</f>
        <v>41080</v>
      </c>
      <c r="DJ248" s="4">
        <f>INDEX(Sheet2!C:C,QUOTIENT(ROW()-1,19)+2)</f>
        <v>42004</v>
      </c>
      <c r="DK248" s="4" t="e">
        <f>INDEX(Sheet2!$AA$2:$AS$228,QUOTIENT(ROW()-1,19)+1,MOD(ROW()-2,19)+1)</f>
        <v>#N/A</v>
      </c>
      <c r="DL248" t="str">
        <f>IFERROR(INDEX(Sheet2!$AU$2:$BM$228,QUOTIENT(ROW()-1,19)+1,MOD(ROW()-2,19)+1),NA())</f>
        <v/>
      </c>
      <c r="DM248" s="4" t="e">
        <f t="shared" si="30"/>
        <v>#N/A</v>
      </c>
      <c r="DN248" t="e">
        <f t="shared" si="31"/>
        <v>#N/A</v>
      </c>
      <c r="DO248" t="e">
        <f t="shared" si="32"/>
        <v>#N/A</v>
      </c>
      <c r="DQ248" s="4"/>
    </row>
    <row r="249" spans="7:121" x14ac:dyDescent="0.25">
      <c r="G249"/>
      <c r="DI249" s="4">
        <f>INDEX(Sheet2!A:A,QUOTIENT(ROW()-1,19)+2)</f>
        <v>41080</v>
      </c>
      <c r="DJ249" s="4">
        <f>INDEX(Sheet2!C:C,QUOTIENT(ROW()-1,19)+2)</f>
        <v>42004</v>
      </c>
      <c r="DK249" s="4">
        <f>INDEX(Sheet2!$AA$2:$AS$228,QUOTIENT(ROW()-1,19)+1,MOD(ROW()-2,19)+1)</f>
        <v>41993.962500000001</v>
      </c>
      <c r="DL249">
        <f>IFERROR(INDEX(Sheet2!$AU$2:$BM$228,QUOTIENT(ROW()-1,19)+1,MOD(ROW()-2,19)+1),NA())</f>
        <v>1.75</v>
      </c>
      <c r="DM249" s="4" t="e">
        <f t="shared" si="30"/>
        <v>#N/A</v>
      </c>
      <c r="DN249" t="e">
        <f t="shared" si="31"/>
        <v>#N/A</v>
      </c>
      <c r="DO249" t="e">
        <f t="shared" si="32"/>
        <v>#N/A</v>
      </c>
      <c r="DQ249" s="4"/>
    </row>
    <row r="250" spans="7:121" x14ac:dyDescent="0.25">
      <c r="G250"/>
      <c r="DI250" s="4">
        <f>INDEX(Sheet2!A:A,QUOTIENT(ROW()-1,19)+2)</f>
        <v>41080</v>
      </c>
      <c r="DJ250" s="4">
        <f>INDEX(Sheet2!C:C,QUOTIENT(ROW()-1,19)+2)</f>
        <v>42004</v>
      </c>
      <c r="DK250" s="4">
        <f>INDEX(Sheet2!$AA$2:$AS$228,QUOTIENT(ROW()-1,19)+1,MOD(ROW()-2,19)+1)</f>
        <v>42014.037500000006</v>
      </c>
      <c r="DL250">
        <f>IFERROR(INDEX(Sheet2!$AU$2:$BM$228,QUOTIENT(ROW()-1,19)+1,MOD(ROW()-2,19)+1),NA())</f>
        <v>1.75</v>
      </c>
      <c r="DM250" s="4" t="e">
        <f t="shared" si="30"/>
        <v>#N/A</v>
      </c>
      <c r="DN250" t="e">
        <f t="shared" si="31"/>
        <v>#N/A</v>
      </c>
      <c r="DO250" t="e">
        <f t="shared" si="32"/>
        <v>#N/A</v>
      </c>
      <c r="DQ250" s="4"/>
    </row>
    <row r="251" spans="7:121" x14ac:dyDescent="0.25">
      <c r="G251"/>
      <c r="DI251" s="4">
        <f>INDEX(Sheet2!A:A,QUOTIENT(ROW()-1,19)+2)</f>
        <v>41080</v>
      </c>
      <c r="DJ251" s="4">
        <f>INDEX(Sheet2!C:C,QUOTIENT(ROW()-1,19)+2)</f>
        <v>42004</v>
      </c>
      <c r="DK251" s="4" t="e">
        <f>INDEX(Sheet2!$AA$2:$AS$228,QUOTIENT(ROW()-1,19)+1,MOD(ROW()-2,19)+1)</f>
        <v>#N/A</v>
      </c>
      <c r="DL251" t="str">
        <f>IFERROR(INDEX(Sheet2!$AU$2:$BM$228,QUOTIENT(ROW()-1,19)+1,MOD(ROW()-2,19)+1),NA())</f>
        <v/>
      </c>
      <c r="DM251" s="4" t="e">
        <f t="shared" si="30"/>
        <v>#N/A</v>
      </c>
      <c r="DN251" t="e">
        <f t="shared" si="31"/>
        <v>#N/A</v>
      </c>
      <c r="DO251" t="e">
        <f t="shared" si="32"/>
        <v>#N/A</v>
      </c>
      <c r="DQ251" s="4"/>
    </row>
    <row r="252" spans="7:121" x14ac:dyDescent="0.25">
      <c r="G252"/>
      <c r="DI252" s="4">
        <f>INDEX(Sheet2!A:A,QUOTIENT(ROW()-1,19)+2)</f>
        <v>41080</v>
      </c>
      <c r="DJ252" s="4">
        <f>INDEX(Sheet2!C:C,QUOTIENT(ROW()-1,19)+2)</f>
        <v>42004</v>
      </c>
      <c r="DK252" s="4" t="e">
        <f>INDEX(Sheet2!$AA$2:$AS$228,QUOTIENT(ROW()-1,19)+1,MOD(ROW()-2,19)+1)</f>
        <v>#N/A</v>
      </c>
      <c r="DL252" t="str">
        <f>IFERROR(INDEX(Sheet2!$AU$2:$BM$228,QUOTIENT(ROW()-1,19)+1,MOD(ROW()-2,19)+1),NA())</f>
        <v/>
      </c>
      <c r="DM252" s="4" t="e">
        <f t="shared" si="30"/>
        <v>#N/A</v>
      </c>
      <c r="DN252" t="e">
        <f t="shared" si="31"/>
        <v>#N/A</v>
      </c>
      <c r="DO252" t="e">
        <f t="shared" si="32"/>
        <v>#N/A</v>
      </c>
      <c r="DQ252" s="4"/>
    </row>
    <row r="253" spans="7:121" x14ac:dyDescent="0.25">
      <c r="G253"/>
      <c r="DI253" s="4">
        <f>INDEX(Sheet2!A:A,QUOTIENT(ROW()-1,19)+2)</f>
        <v>41080</v>
      </c>
      <c r="DJ253" s="4">
        <f>INDEX(Sheet2!C:C,QUOTIENT(ROW()-1,19)+2)</f>
        <v>42004</v>
      </c>
      <c r="DK253" s="4" t="e">
        <f>INDEX(Sheet2!$AA$2:$AS$228,QUOTIENT(ROW()-1,19)+1,MOD(ROW()-2,19)+1)</f>
        <v>#N/A</v>
      </c>
      <c r="DL253" t="str">
        <f>IFERROR(INDEX(Sheet2!$AU$2:$BM$228,QUOTIENT(ROW()-1,19)+1,MOD(ROW()-2,19)+1),NA())</f>
        <v/>
      </c>
      <c r="DM253" s="4" t="e">
        <f t="shared" si="30"/>
        <v>#N/A</v>
      </c>
      <c r="DN253" t="e">
        <f t="shared" si="31"/>
        <v>#N/A</v>
      </c>
      <c r="DO253" t="e">
        <f t="shared" si="32"/>
        <v>#N/A</v>
      </c>
      <c r="DQ253" s="4"/>
    </row>
    <row r="254" spans="7:121" x14ac:dyDescent="0.25">
      <c r="G254"/>
      <c r="DI254" s="4">
        <f>INDEX(Sheet2!A:A,QUOTIENT(ROW()-1,19)+2)</f>
        <v>41080</v>
      </c>
      <c r="DJ254" s="4">
        <f>INDEX(Sheet2!C:C,QUOTIENT(ROW()-1,19)+2)</f>
        <v>42004</v>
      </c>
      <c r="DK254" s="4" t="e">
        <f>INDEX(Sheet2!$AA$2:$AS$228,QUOTIENT(ROW()-1,19)+1,MOD(ROW()-2,19)+1)</f>
        <v>#N/A</v>
      </c>
      <c r="DL254" t="str">
        <f>IFERROR(INDEX(Sheet2!$AU$2:$BM$228,QUOTIENT(ROW()-1,19)+1,MOD(ROW()-2,19)+1),NA())</f>
        <v/>
      </c>
      <c r="DM254" s="4" t="e">
        <f t="shared" si="30"/>
        <v>#N/A</v>
      </c>
      <c r="DN254" t="e">
        <f t="shared" si="31"/>
        <v>#N/A</v>
      </c>
      <c r="DO254" t="e">
        <f t="shared" si="32"/>
        <v>#N/A</v>
      </c>
      <c r="DQ254" s="4"/>
    </row>
    <row r="255" spans="7:121" x14ac:dyDescent="0.25">
      <c r="G255"/>
      <c r="DI255" s="4">
        <f>INDEX(Sheet2!A:A,QUOTIENT(ROW()-1,19)+2)</f>
        <v>41080</v>
      </c>
      <c r="DJ255" s="4">
        <f>INDEX(Sheet2!C:C,QUOTIENT(ROW()-1,19)+2)</f>
        <v>42004</v>
      </c>
      <c r="DK255" s="4" t="e">
        <f>INDEX(Sheet2!$AA$2:$AS$228,QUOTIENT(ROW()-1,19)+1,MOD(ROW()-2,19)+1)</f>
        <v>#N/A</v>
      </c>
      <c r="DL255" t="str">
        <f>IFERROR(INDEX(Sheet2!$AU$2:$BM$228,QUOTIENT(ROW()-1,19)+1,MOD(ROW()-2,19)+1),NA())</f>
        <v/>
      </c>
      <c r="DM255" s="4" t="e">
        <f t="shared" si="30"/>
        <v>#N/A</v>
      </c>
      <c r="DN255" t="e">
        <f t="shared" si="31"/>
        <v>#N/A</v>
      </c>
      <c r="DO255" t="e">
        <f t="shared" si="32"/>
        <v>#N/A</v>
      </c>
      <c r="DQ255" s="4"/>
    </row>
    <row r="256" spans="7:121" x14ac:dyDescent="0.25">
      <c r="G256"/>
      <c r="DI256" s="4">
        <f>INDEX(Sheet2!A:A,QUOTIENT(ROW()-1,19)+2)</f>
        <v>41080</v>
      </c>
      <c r="DJ256" s="4">
        <f>INDEX(Sheet2!C:C,QUOTIENT(ROW()-1,19)+2)</f>
        <v>42004</v>
      </c>
      <c r="DK256" s="4" t="e">
        <f>INDEX(Sheet2!$AA$2:$AS$228,QUOTIENT(ROW()-1,19)+1,MOD(ROW()-2,19)+1)</f>
        <v>#N/A</v>
      </c>
      <c r="DL256" t="str">
        <f>IFERROR(INDEX(Sheet2!$AU$2:$BM$228,QUOTIENT(ROW()-1,19)+1,MOD(ROW()-2,19)+1),NA())</f>
        <v/>
      </c>
      <c r="DM256" s="4" t="e">
        <f t="shared" si="30"/>
        <v>#N/A</v>
      </c>
      <c r="DN256" t="e">
        <f t="shared" si="31"/>
        <v>#N/A</v>
      </c>
      <c r="DO256" t="e">
        <f t="shared" si="32"/>
        <v>#N/A</v>
      </c>
      <c r="DQ256" s="4"/>
    </row>
    <row r="257" spans="7:121" x14ac:dyDescent="0.25">
      <c r="G257"/>
      <c r="DI257" s="4">
        <f>INDEX(Sheet2!A:A,QUOTIENT(ROW()-1,19)+2)</f>
        <v>41080</v>
      </c>
      <c r="DJ257" s="4">
        <f>INDEX(Sheet2!C:C,QUOTIENT(ROW()-1,19)+2)</f>
        <v>42004</v>
      </c>
      <c r="DK257" s="4" t="e">
        <f>INDEX(Sheet2!$AA$2:$AS$228,QUOTIENT(ROW()-1,19)+1,MOD(ROW()-2,19)+1)</f>
        <v>#N/A</v>
      </c>
      <c r="DL257" t="str">
        <f>IFERROR(INDEX(Sheet2!$AU$2:$BM$228,QUOTIENT(ROW()-1,19)+1,MOD(ROW()-2,19)+1),NA())</f>
        <v/>
      </c>
      <c r="DM257" s="4" t="e">
        <f t="shared" si="30"/>
        <v>#N/A</v>
      </c>
      <c r="DN257" t="e">
        <f t="shared" si="31"/>
        <v>#N/A</v>
      </c>
      <c r="DO257" t="e">
        <f t="shared" si="32"/>
        <v>#N/A</v>
      </c>
      <c r="DQ257" s="4"/>
    </row>
    <row r="258" spans="7:121" x14ac:dyDescent="0.25">
      <c r="G258"/>
      <c r="DI258" s="4">
        <f>INDEX(Sheet2!A:A,QUOTIENT(ROW()-1,19)+2)</f>
        <v>41080</v>
      </c>
      <c r="DJ258" s="4">
        <f>INDEX(Sheet2!C:C,QUOTIENT(ROW()-1,19)+2)</f>
        <v>42004</v>
      </c>
      <c r="DK258" s="4" t="e">
        <f>INDEX(Sheet2!$AA$2:$AS$228,QUOTIENT(ROW()-1,19)+1,MOD(ROW()-2,19)+1)</f>
        <v>#N/A</v>
      </c>
      <c r="DL258" t="str">
        <f>IFERROR(INDEX(Sheet2!$AU$2:$BM$228,QUOTIENT(ROW()-1,19)+1,MOD(ROW()-2,19)+1),NA())</f>
        <v/>
      </c>
      <c r="DM258" s="4" t="e">
        <f t="shared" ref="DM258:DM321" si="33">+IF($C$2=$DI258,DK258,NA())</f>
        <v>#N/A</v>
      </c>
      <c r="DN258" t="e">
        <f t="shared" ref="DN258:DN321" si="34">+IF($C$2=$DI258,DL258,NA())</f>
        <v>#N/A</v>
      </c>
      <c r="DO258" t="e">
        <f t="shared" si="32"/>
        <v>#N/A</v>
      </c>
      <c r="DQ258" s="4"/>
    </row>
    <row r="259" spans="7:121" x14ac:dyDescent="0.25">
      <c r="G259"/>
      <c r="DI259" s="4">
        <f>INDEX(Sheet2!A:A,QUOTIENT(ROW()-1,19)+2)</f>
        <v>41080</v>
      </c>
      <c r="DJ259" s="4">
        <f>INDEX(Sheet2!C:C,QUOTIENT(ROW()-1,19)+2)</f>
        <v>42004</v>
      </c>
      <c r="DK259" s="4" t="e">
        <f>INDEX(Sheet2!$AA$2:$AS$228,QUOTIENT(ROW()-1,19)+1,MOD(ROW()-2,19)+1)</f>
        <v>#N/A</v>
      </c>
      <c r="DL259" t="str">
        <f>IFERROR(INDEX(Sheet2!$AU$2:$BM$228,QUOTIENT(ROW()-1,19)+1,MOD(ROW()-2,19)+1),NA())</f>
        <v/>
      </c>
      <c r="DM259" s="4" t="e">
        <f t="shared" si="33"/>
        <v>#N/A</v>
      </c>
      <c r="DN259" t="e">
        <f t="shared" si="34"/>
        <v>#N/A</v>
      </c>
      <c r="DO259" t="e">
        <f t="shared" ref="DO259:DO322" si="35">IF(DN259="",NA(),DN259)</f>
        <v>#N/A</v>
      </c>
      <c r="DQ259" s="4"/>
    </row>
    <row r="260" spans="7:121" x14ac:dyDescent="0.25">
      <c r="G260"/>
      <c r="DI260" s="4">
        <f>INDEX(Sheet2!A:A,QUOTIENT(ROW()-1,19)+2)</f>
        <v>41080</v>
      </c>
      <c r="DJ260" s="4">
        <f>INDEX(Sheet2!C:C,QUOTIENT(ROW()-1,19)+2)</f>
        <v>42004</v>
      </c>
      <c r="DK260" s="4" t="e">
        <f>INDEX(Sheet2!$AA$2:$AS$228,QUOTIENT(ROW()-1,19)+1,MOD(ROW()-2,19)+1)</f>
        <v>#N/A</v>
      </c>
      <c r="DL260" t="str">
        <f>IFERROR(INDEX(Sheet2!$AU$2:$BM$228,QUOTIENT(ROW()-1,19)+1,MOD(ROW()-2,19)+1),NA())</f>
        <v/>
      </c>
      <c r="DM260" s="4" t="e">
        <f t="shared" si="33"/>
        <v>#N/A</v>
      </c>
      <c r="DN260" t="e">
        <f t="shared" si="34"/>
        <v>#N/A</v>
      </c>
      <c r="DO260" t="e">
        <f t="shared" si="35"/>
        <v>#N/A</v>
      </c>
      <c r="DQ260" s="4"/>
    </row>
    <row r="261" spans="7:121" x14ac:dyDescent="0.25">
      <c r="G261"/>
      <c r="DI261" s="4">
        <f>INDEX(Sheet2!A:A,QUOTIENT(ROW()-1,19)+2)</f>
        <v>41080</v>
      </c>
      <c r="DJ261" s="4">
        <f>INDEX(Sheet2!C:C,QUOTIENT(ROW()-1,19)+2)</f>
        <v>42004</v>
      </c>
      <c r="DK261" s="4" t="e">
        <f>INDEX(Sheet2!$AA$2:$AS$228,QUOTIENT(ROW()-1,19)+1,MOD(ROW()-2,19)+1)</f>
        <v>#N/A</v>
      </c>
      <c r="DL261" t="str">
        <f>IFERROR(INDEX(Sheet2!$AU$2:$BM$228,QUOTIENT(ROW()-1,19)+1,MOD(ROW()-2,19)+1),NA())</f>
        <v/>
      </c>
      <c r="DM261" s="4" t="e">
        <f t="shared" si="33"/>
        <v>#N/A</v>
      </c>
      <c r="DN261" t="e">
        <f t="shared" si="34"/>
        <v>#N/A</v>
      </c>
      <c r="DO261" t="e">
        <f t="shared" si="35"/>
        <v>#N/A</v>
      </c>
      <c r="DQ261" s="4"/>
    </row>
    <row r="262" spans="7:121" x14ac:dyDescent="0.25">
      <c r="G262"/>
      <c r="DI262" s="4">
        <f>INDEX(Sheet2!A:A,QUOTIENT(ROW()-1,19)+2)</f>
        <v>41080</v>
      </c>
      <c r="DJ262" s="4">
        <f>INDEX(Sheet2!C:C,QUOTIENT(ROW()-1,19)+2)</f>
        <v>42004</v>
      </c>
      <c r="DK262" s="4" t="e">
        <f>INDEX(Sheet2!$AA$2:$AS$228,QUOTIENT(ROW()-1,19)+1,MOD(ROW()-2,19)+1)</f>
        <v>#N/A</v>
      </c>
      <c r="DL262" t="str">
        <f>IFERROR(INDEX(Sheet2!$AU$2:$BM$228,QUOTIENT(ROW()-1,19)+1,MOD(ROW()-2,19)+1),NA())</f>
        <v/>
      </c>
      <c r="DM262" s="4" t="e">
        <f t="shared" si="33"/>
        <v>#N/A</v>
      </c>
      <c r="DN262" t="e">
        <f t="shared" si="34"/>
        <v>#N/A</v>
      </c>
      <c r="DO262" t="e">
        <f t="shared" si="35"/>
        <v>#N/A</v>
      </c>
    </row>
    <row r="263" spans="7:121" x14ac:dyDescent="0.25">
      <c r="G263"/>
      <c r="DI263" s="4">
        <f>INDEX(Sheet2!A:A,QUOTIENT(ROW()-1,19)+2)</f>
        <v>41080</v>
      </c>
      <c r="DJ263" s="4">
        <f>INDEX(Sheet2!C:C,QUOTIENT(ROW()-1,19)+2)</f>
        <v>42004</v>
      </c>
      <c r="DK263" s="4" t="e">
        <f>INDEX(Sheet2!$AA$2:$AS$228,QUOTIENT(ROW()-1,19)+1,MOD(ROW()-2,19)+1)</f>
        <v>#N/A</v>
      </c>
      <c r="DL263" t="str">
        <f>IFERROR(INDEX(Sheet2!$AU$2:$BM$228,QUOTIENT(ROW()-1,19)+1,MOD(ROW()-2,19)+1),NA())</f>
        <v/>
      </c>
      <c r="DM263" s="4" t="e">
        <f t="shared" si="33"/>
        <v>#N/A</v>
      </c>
      <c r="DN263" t="e">
        <f t="shared" si="34"/>
        <v>#N/A</v>
      </c>
      <c r="DO263" t="e">
        <f t="shared" si="35"/>
        <v>#N/A</v>
      </c>
    </row>
    <row r="264" spans="7:121" x14ac:dyDescent="0.25">
      <c r="G264"/>
      <c r="DI264" s="4">
        <f>INDEX(Sheet2!A:A,QUOTIENT(ROW()-1,19)+2)</f>
        <v>41080</v>
      </c>
      <c r="DJ264" s="4">
        <f>INDEX(Sheet2!C:C,QUOTIENT(ROW()-1,19)+2)</f>
        <v>42004</v>
      </c>
      <c r="DK264" s="4" t="e">
        <f>INDEX(Sheet2!$AA$2:$AS$228,QUOTIENT(ROW()-1,19)+1,MOD(ROW()-2,19)+1)</f>
        <v>#N/A</v>
      </c>
      <c r="DL264" t="str">
        <f>IFERROR(INDEX(Sheet2!$AU$2:$BM$228,QUOTIENT(ROW()-1,19)+1,MOD(ROW()-2,19)+1),NA())</f>
        <v/>
      </c>
      <c r="DM264" s="4" t="e">
        <f t="shared" si="33"/>
        <v>#N/A</v>
      </c>
      <c r="DN264" t="e">
        <f t="shared" si="34"/>
        <v>#N/A</v>
      </c>
      <c r="DO264" t="e">
        <f t="shared" si="35"/>
        <v>#N/A</v>
      </c>
    </row>
    <row r="265" spans="7:121" x14ac:dyDescent="0.25">
      <c r="G265"/>
      <c r="DI265" s="4">
        <f>INDEX(Sheet2!A:A,QUOTIENT(ROW()-1,19)+2)</f>
        <v>41080</v>
      </c>
      <c r="DJ265" s="4">
        <f>INDEX(Sheet2!C:C,QUOTIENT(ROW()-1,19)+2)</f>
        <v>42004</v>
      </c>
      <c r="DK265" s="4" t="e">
        <f>INDEX(Sheet2!$AA$2:$AS$228,QUOTIENT(ROW()-1,19)+1,MOD(ROW()-2,19)+1)</f>
        <v>#N/A</v>
      </c>
      <c r="DL265" t="str">
        <f>IFERROR(INDEX(Sheet2!$AU$2:$BM$228,QUOTIENT(ROW()-1,19)+1,MOD(ROW()-2,19)+1),NA())</f>
        <v/>
      </c>
      <c r="DM265" s="4" t="e">
        <f t="shared" si="33"/>
        <v>#N/A</v>
      </c>
      <c r="DN265" t="e">
        <f t="shared" si="34"/>
        <v>#N/A</v>
      </c>
      <c r="DO265" t="e">
        <f t="shared" si="35"/>
        <v>#N/A</v>
      </c>
    </row>
    <row r="266" spans="7:121" x14ac:dyDescent="0.25">
      <c r="G266"/>
      <c r="DI266" s="4">
        <f>INDEX(Sheet2!A:A,QUOTIENT(ROW()-1,19)+2)</f>
        <v>41080</v>
      </c>
      <c r="DJ266" s="4">
        <f>INDEX(Sheet2!C:C,QUOTIENT(ROW()-1,19)+2)</f>
        <v>42004</v>
      </c>
      <c r="DK266" s="4" t="e">
        <f>INDEX(Sheet2!$AA$2:$AS$228,QUOTIENT(ROW()-1,19)+1,MOD(ROW()-2,19)+1)</f>
        <v>#N/A</v>
      </c>
      <c r="DL266" t="str">
        <f>IFERROR(INDEX(Sheet2!$AU$2:$BM$228,QUOTIENT(ROW()-1,19)+1,MOD(ROW()-2,19)+1),NA())</f>
        <v/>
      </c>
      <c r="DM266" s="4" t="e">
        <f t="shared" si="33"/>
        <v>#N/A</v>
      </c>
      <c r="DN266" t="e">
        <f t="shared" si="34"/>
        <v>#N/A</v>
      </c>
      <c r="DO266" t="e">
        <f t="shared" si="35"/>
        <v>#N/A</v>
      </c>
    </row>
    <row r="267" spans="7:121" x14ac:dyDescent="0.25">
      <c r="G267"/>
      <c r="DI267" s="4">
        <f>INDEX(Sheet2!A:A,QUOTIENT(ROW()-1,19)+2)</f>
        <v>41080</v>
      </c>
      <c r="DJ267" s="4">
        <f>INDEX(Sheet2!C:C,QUOTIENT(ROW()-1,19)+2)</f>
        <v>42004</v>
      </c>
      <c r="DK267" s="4" t="e">
        <f>INDEX(Sheet2!$AA$2:$AS$228,QUOTIENT(ROW()-1,19)+1,MOD(ROW()-2,19)+1)</f>
        <v>#N/A</v>
      </c>
      <c r="DL267" t="str">
        <f>IFERROR(INDEX(Sheet2!$AU$2:$BM$228,QUOTIENT(ROW()-1,19)+1,MOD(ROW()-2,19)+1),NA())</f>
        <v/>
      </c>
      <c r="DM267" s="4" t="e">
        <f t="shared" si="33"/>
        <v>#N/A</v>
      </c>
      <c r="DN267" t="e">
        <f t="shared" si="34"/>
        <v>#N/A</v>
      </c>
      <c r="DO267" t="e">
        <f t="shared" si="35"/>
        <v>#N/A</v>
      </c>
    </row>
    <row r="268" spans="7:121" x14ac:dyDescent="0.25">
      <c r="G268"/>
      <c r="DI268" s="4">
        <f>INDEX(Sheet2!A:A,QUOTIENT(ROW()-1,19)+2)</f>
        <v>41080</v>
      </c>
      <c r="DJ268" s="4">
        <f>INDEX(Sheet2!C:C,QUOTIENT(ROW()-1,19)+2)</f>
        <v>42004</v>
      </c>
      <c r="DK268" s="4">
        <f>INDEX(Sheet2!$AA$2:$AS$228,QUOTIENT(ROW()-1,19)+1,MOD(ROW()-2,19)+1)</f>
        <v>42004</v>
      </c>
      <c r="DL268">
        <f>IFERROR(INDEX(Sheet2!$AU$2:$BM$228,QUOTIENT(ROW()-1,19)+1,MOD(ROW()-2,19)+1),NA())</f>
        <v>2</v>
      </c>
      <c r="DM268" s="4" t="e">
        <f t="shared" si="33"/>
        <v>#N/A</v>
      </c>
      <c r="DN268" t="e">
        <f t="shared" si="34"/>
        <v>#N/A</v>
      </c>
      <c r="DO268" t="e">
        <f t="shared" si="35"/>
        <v>#N/A</v>
      </c>
    </row>
    <row r="269" spans="7:121" x14ac:dyDescent="0.25">
      <c r="G269"/>
      <c r="DI269" s="4">
        <f>INDEX(Sheet2!A:A,QUOTIENT(ROW()-1,19)+2)</f>
        <v>41080</v>
      </c>
      <c r="DJ269" s="4">
        <f>INDEX(Sheet2!C:C,QUOTIENT(ROW()-1,19)+2)</f>
        <v>42004</v>
      </c>
      <c r="DK269" s="4" t="e">
        <f>INDEX(Sheet2!$AA$2:$AS$228,QUOTIENT(ROW()-1,19)+1,MOD(ROW()-2,19)+1)</f>
        <v>#N/A</v>
      </c>
      <c r="DL269" t="str">
        <f>IFERROR(INDEX(Sheet2!$AU$2:$BM$228,QUOTIENT(ROW()-1,19)+1,MOD(ROW()-2,19)+1),NA())</f>
        <v/>
      </c>
      <c r="DM269" s="4" t="e">
        <f t="shared" si="33"/>
        <v>#N/A</v>
      </c>
      <c r="DN269" t="e">
        <f t="shared" si="34"/>
        <v>#N/A</v>
      </c>
      <c r="DO269" t="e">
        <f t="shared" si="35"/>
        <v>#N/A</v>
      </c>
    </row>
    <row r="270" spans="7:121" x14ac:dyDescent="0.25">
      <c r="G270"/>
      <c r="DI270" s="4">
        <f>INDEX(Sheet2!A:A,QUOTIENT(ROW()-1,19)+2)</f>
        <v>41080</v>
      </c>
      <c r="DJ270" s="4">
        <f>INDEX(Sheet2!C:C,QUOTIENT(ROW()-1,19)+2)</f>
        <v>42004</v>
      </c>
      <c r="DK270" s="4" t="e">
        <f>INDEX(Sheet2!$AA$2:$AS$228,QUOTIENT(ROW()-1,19)+1,MOD(ROW()-2,19)+1)</f>
        <v>#N/A</v>
      </c>
      <c r="DL270" t="str">
        <f>IFERROR(INDEX(Sheet2!$AU$2:$BM$228,QUOTIENT(ROW()-1,19)+1,MOD(ROW()-2,19)+1),NA())</f>
        <v/>
      </c>
      <c r="DM270" s="4" t="e">
        <f t="shared" si="33"/>
        <v>#N/A</v>
      </c>
      <c r="DN270" t="e">
        <f t="shared" si="34"/>
        <v>#N/A</v>
      </c>
      <c r="DO270" t="e">
        <f t="shared" si="35"/>
        <v>#N/A</v>
      </c>
    </row>
    <row r="271" spans="7:121" x14ac:dyDescent="0.25">
      <c r="G271"/>
      <c r="DI271" s="4">
        <f>INDEX(Sheet2!A:A,QUOTIENT(ROW()-1,19)+2)</f>
        <v>41080</v>
      </c>
      <c r="DJ271" s="4">
        <f>INDEX(Sheet2!C:C,QUOTIENT(ROW()-1,19)+2)</f>
        <v>42004</v>
      </c>
      <c r="DK271" s="4" t="e">
        <f>INDEX(Sheet2!$AA$2:$AS$228,QUOTIENT(ROW()-1,19)+1,MOD(ROW()-2,19)+1)</f>
        <v>#N/A</v>
      </c>
      <c r="DL271" t="str">
        <f>IFERROR(INDEX(Sheet2!$AU$2:$BM$228,QUOTIENT(ROW()-1,19)+1,MOD(ROW()-2,19)+1),NA())</f>
        <v/>
      </c>
      <c r="DM271" s="4" t="e">
        <f t="shared" si="33"/>
        <v>#N/A</v>
      </c>
      <c r="DN271" t="e">
        <f t="shared" si="34"/>
        <v>#N/A</v>
      </c>
      <c r="DO271" t="e">
        <f t="shared" si="35"/>
        <v>#N/A</v>
      </c>
    </row>
    <row r="272" spans="7:121" x14ac:dyDescent="0.25">
      <c r="G272"/>
      <c r="DI272" s="4">
        <f>INDEX(Sheet2!A:A,QUOTIENT(ROW()-1,19)+2)</f>
        <v>41080</v>
      </c>
      <c r="DJ272" s="4">
        <f>INDEX(Sheet2!C:C,QUOTIENT(ROW()-1,19)+2)</f>
        <v>42004</v>
      </c>
      <c r="DK272" s="4" t="e">
        <f>INDEX(Sheet2!$AA$2:$AS$228,QUOTIENT(ROW()-1,19)+1,MOD(ROW()-2,19)+1)</f>
        <v>#N/A</v>
      </c>
      <c r="DL272" t="str">
        <f>IFERROR(INDEX(Sheet2!$AU$2:$BM$228,QUOTIENT(ROW()-1,19)+1,MOD(ROW()-2,19)+1),NA())</f>
        <v/>
      </c>
      <c r="DM272" s="4" t="e">
        <f t="shared" si="33"/>
        <v>#N/A</v>
      </c>
      <c r="DN272" t="e">
        <f t="shared" si="34"/>
        <v>#N/A</v>
      </c>
      <c r="DO272" t="e">
        <f t="shared" si="35"/>
        <v>#N/A</v>
      </c>
    </row>
    <row r="273" spans="7:119" x14ac:dyDescent="0.25">
      <c r="G273"/>
      <c r="DI273" s="4">
        <f>INDEX(Sheet2!A:A,QUOTIENT(ROW()-1,19)+2)</f>
        <v>41080</v>
      </c>
      <c r="DJ273" s="4">
        <f>INDEX(Sheet2!C:C,QUOTIENT(ROW()-1,19)+2)</f>
        <v>42004</v>
      </c>
      <c r="DK273" s="4" t="e">
        <f>INDEX(Sheet2!$AA$2:$AS$228,QUOTIENT(ROW()-1,19)+1,MOD(ROW()-2,19)+1)</f>
        <v>#N/A</v>
      </c>
      <c r="DL273" t="str">
        <f>IFERROR(INDEX(Sheet2!$AU$2:$BM$228,QUOTIENT(ROW()-1,19)+1,MOD(ROW()-2,19)+1),NA())</f>
        <v/>
      </c>
      <c r="DM273" s="4" t="e">
        <f t="shared" si="33"/>
        <v>#N/A</v>
      </c>
      <c r="DN273" t="e">
        <f t="shared" si="34"/>
        <v>#N/A</v>
      </c>
      <c r="DO273" t="e">
        <f t="shared" si="35"/>
        <v>#N/A</v>
      </c>
    </row>
    <row r="274" spans="7:119" x14ac:dyDescent="0.25">
      <c r="G274"/>
      <c r="DI274" s="4">
        <f>INDEX(Sheet2!A:A,QUOTIENT(ROW()-1,19)+2)</f>
        <v>41080</v>
      </c>
      <c r="DJ274" s="4">
        <f>INDEX(Sheet2!C:C,QUOTIENT(ROW()-1,19)+2)</f>
        <v>42004</v>
      </c>
      <c r="DK274" s="4" t="e">
        <f>INDEX(Sheet2!$AA$2:$AS$228,QUOTIENT(ROW()-1,19)+1,MOD(ROW()-2,19)+1)</f>
        <v>#N/A</v>
      </c>
      <c r="DL274" t="str">
        <f>IFERROR(INDEX(Sheet2!$AU$2:$BM$228,QUOTIENT(ROW()-1,19)+1,MOD(ROW()-2,19)+1),NA())</f>
        <v/>
      </c>
      <c r="DM274" s="4" t="e">
        <f t="shared" si="33"/>
        <v>#N/A</v>
      </c>
      <c r="DN274" t="e">
        <f t="shared" si="34"/>
        <v>#N/A</v>
      </c>
      <c r="DO274" t="e">
        <f t="shared" si="35"/>
        <v>#N/A</v>
      </c>
    </row>
    <row r="275" spans="7:119" x14ac:dyDescent="0.25">
      <c r="G275"/>
      <c r="DI275" s="4">
        <f>INDEX(Sheet2!A:A,QUOTIENT(ROW()-1,19)+2)</f>
        <v>41080</v>
      </c>
      <c r="DJ275" s="4">
        <f>INDEX(Sheet2!C:C,QUOTIENT(ROW()-1,19)+2)</f>
        <v>42004</v>
      </c>
      <c r="DK275" s="4" t="e">
        <f>INDEX(Sheet2!$AA$2:$AS$228,QUOTIENT(ROW()-1,19)+1,MOD(ROW()-2,19)+1)</f>
        <v>#N/A</v>
      </c>
      <c r="DL275" t="str">
        <f>IFERROR(INDEX(Sheet2!$AU$2:$BM$228,QUOTIENT(ROW()-1,19)+1,MOD(ROW()-2,19)+1),NA())</f>
        <v/>
      </c>
      <c r="DM275" s="4" t="e">
        <f t="shared" si="33"/>
        <v>#N/A</v>
      </c>
      <c r="DN275" t="e">
        <f t="shared" si="34"/>
        <v>#N/A</v>
      </c>
      <c r="DO275" t="e">
        <f t="shared" si="35"/>
        <v>#N/A</v>
      </c>
    </row>
    <row r="276" spans="7:119" x14ac:dyDescent="0.25">
      <c r="G276"/>
      <c r="DI276" s="4">
        <f>INDEX(Sheet2!A:A,QUOTIENT(ROW()-1,19)+2)</f>
        <v>41080</v>
      </c>
      <c r="DJ276" s="4">
        <f>INDEX(Sheet2!C:C,QUOTIENT(ROW()-1,19)+2)</f>
        <v>42004</v>
      </c>
      <c r="DK276" s="4" t="e">
        <f>INDEX(Sheet2!$AA$2:$AS$228,QUOTIENT(ROW()-1,19)+1,MOD(ROW()-2,19)+1)</f>
        <v>#N/A</v>
      </c>
      <c r="DL276" t="str">
        <f>IFERROR(INDEX(Sheet2!$AU$2:$BM$228,QUOTIENT(ROW()-1,19)+1,MOD(ROW()-2,19)+1),NA())</f>
        <v/>
      </c>
      <c r="DM276" s="4" t="e">
        <f t="shared" si="33"/>
        <v>#N/A</v>
      </c>
      <c r="DN276" t="e">
        <f t="shared" si="34"/>
        <v>#N/A</v>
      </c>
      <c r="DO276" t="e">
        <f t="shared" si="35"/>
        <v>#N/A</v>
      </c>
    </row>
    <row r="277" spans="7:119" x14ac:dyDescent="0.25">
      <c r="G277"/>
      <c r="DI277" s="4">
        <f>INDEX(Sheet2!A:A,QUOTIENT(ROW()-1,19)+2)</f>
        <v>41080</v>
      </c>
      <c r="DJ277" s="4">
        <f>INDEX(Sheet2!C:C,QUOTIENT(ROW()-1,19)+2)</f>
        <v>42004</v>
      </c>
      <c r="DK277" s="4" t="e">
        <f>INDEX(Sheet2!$AA$2:$AS$228,QUOTIENT(ROW()-1,19)+1,MOD(ROW()-2,19)+1)</f>
        <v>#N/A</v>
      </c>
      <c r="DL277" t="str">
        <f>IFERROR(INDEX(Sheet2!$AU$2:$BM$228,QUOTIENT(ROW()-1,19)+1,MOD(ROW()-2,19)+1),NA())</f>
        <v/>
      </c>
      <c r="DM277" s="4" t="e">
        <f t="shared" si="33"/>
        <v>#N/A</v>
      </c>
      <c r="DN277" t="e">
        <f t="shared" si="34"/>
        <v>#N/A</v>
      </c>
      <c r="DO277" t="e">
        <f t="shared" si="35"/>
        <v>#N/A</v>
      </c>
    </row>
    <row r="278" spans="7:119" x14ac:dyDescent="0.25">
      <c r="G278"/>
      <c r="DI278" s="4">
        <f>INDEX(Sheet2!A:A,QUOTIENT(ROW()-1,19)+2)</f>
        <v>41080</v>
      </c>
      <c r="DJ278" s="4">
        <f>INDEX(Sheet2!C:C,QUOTIENT(ROW()-1,19)+2)</f>
        <v>42004</v>
      </c>
      <c r="DK278" s="4" t="e">
        <f>INDEX(Sheet2!$AA$2:$AS$228,QUOTIENT(ROW()-1,19)+1,MOD(ROW()-2,19)+1)</f>
        <v>#N/A</v>
      </c>
      <c r="DL278" t="str">
        <f>IFERROR(INDEX(Sheet2!$AU$2:$BM$228,QUOTIENT(ROW()-1,19)+1,MOD(ROW()-2,19)+1),NA())</f>
        <v/>
      </c>
      <c r="DM278" s="4" t="e">
        <f t="shared" si="33"/>
        <v>#N/A</v>
      </c>
      <c r="DN278" t="e">
        <f t="shared" si="34"/>
        <v>#N/A</v>
      </c>
      <c r="DO278" t="e">
        <f t="shared" si="35"/>
        <v>#N/A</v>
      </c>
    </row>
    <row r="279" spans="7:119" x14ac:dyDescent="0.25">
      <c r="G279"/>
      <c r="DI279" s="4">
        <f>INDEX(Sheet2!A:A,QUOTIENT(ROW()-1,19)+2)</f>
        <v>41080</v>
      </c>
      <c r="DJ279" s="4">
        <f>INDEX(Sheet2!C:C,QUOTIENT(ROW()-1,19)+2)</f>
        <v>42004</v>
      </c>
      <c r="DK279" s="4" t="e">
        <f>INDEX(Sheet2!$AA$2:$AS$228,QUOTIENT(ROW()-1,19)+1,MOD(ROW()-2,19)+1)</f>
        <v>#N/A</v>
      </c>
      <c r="DL279" t="str">
        <f>IFERROR(INDEX(Sheet2!$AU$2:$BM$228,QUOTIENT(ROW()-1,19)+1,MOD(ROW()-2,19)+1),NA())</f>
        <v/>
      </c>
      <c r="DM279" s="4" t="e">
        <f t="shared" si="33"/>
        <v>#N/A</v>
      </c>
      <c r="DN279" t="e">
        <f t="shared" si="34"/>
        <v>#N/A</v>
      </c>
      <c r="DO279" t="e">
        <f t="shared" si="35"/>
        <v>#N/A</v>
      </c>
    </row>
    <row r="280" spans="7:119" x14ac:dyDescent="0.25">
      <c r="G280"/>
      <c r="DI280" s="4">
        <f>INDEX(Sheet2!A:A,QUOTIENT(ROW()-1,19)+2)</f>
        <v>41080</v>
      </c>
      <c r="DJ280" s="4">
        <f>INDEX(Sheet2!C:C,QUOTIENT(ROW()-1,19)+2)</f>
        <v>42004</v>
      </c>
      <c r="DK280" s="4" t="e">
        <f>INDEX(Sheet2!$AA$2:$AS$228,QUOTIENT(ROW()-1,19)+1,MOD(ROW()-2,19)+1)</f>
        <v>#N/A</v>
      </c>
      <c r="DL280" t="str">
        <f>IFERROR(INDEX(Sheet2!$AU$2:$BM$228,QUOTIENT(ROW()-1,19)+1,MOD(ROW()-2,19)+1),NA())</f>
        <v/>
      </c>
      <c r="DM280" s="4" t="e">
        <f t="shared" si="33"/>
        <v>#N/A</v>
      </c>
      <c r="DN280" t="e">
        <f t="shared" si="34"/>
        <v>#N/A</v>
      </c>
      <c r="DO280" t="e">
        <f t="shared" si="35"/>
        <v>#N/A</v>
      </c>
    </row>
    <row r="281" spans="7:119" x14ac:dyDescent="0.25">
      <c r="G281"/>
      <c r="DI281" s="4">
        <f>INDEX(Sheet2!A:A,QUOTIENT(ROW()-1,19)+2)</f>
        <v>41080</v>
      </c>
      <c r="DJ281" s="4">
        <f>INDEX(Sheet2!C:C,QUOTIENT(ROW()-1,19)+2)</f>
        <v>42004</v>
      </c>
      <c r="DK281" s="4" t="e">
        <f>INDEX(Sheet2!$AA$2:$AS$228,QUOTIENT(ROW()-1,19)+1,MOD(ROW()-2,19)+1)</f>
        <v>#N/A</v>
      </c>
      <c r="DL281" t="str">
        <f>IFERROR(INDEX(Sheet2!$AU$2:$BM$228,QUOTIENT(ROW()-1,19)+1,MOD(ROW()-2,19)+1),NA())</f>
        <v/>
      </c>
      <c r="DM281" s="4" t="e">
        <f t="shared" si="33"/>
        <v>#N/A</v>
      </c>
      <c r="DN281" t="e">
        <f t="shared" si="34"/>
        <v>#N/A</v>
      </c>
      <c r="DO281" t="e">
        <f t="shared" si="35"/>
        <v>#N/A</v>
      </c>
    </row>
    <row r="282" spans="7:119" x14ac:dyDescent="0.25">
      <c r="G282"/>
      <c r="DI282" s="4">
        <f>INDEX(Sheet2!A:A,QUOTIENT(ROW()-1,19)+2)</f>
        <v>41080</v>
      </c>
      <c r="DJ282" s="4">
        <f>INDEX(Sheet2!C:C,QUOTIENT(ROW()-1,19)+2)</f>
        <v>42004</v>
      </c>
      <c r="DK282" s="4" t="e">
        <f>INDEX(Sheet2!$AA$2:$AS$228,QUOTIENT(ROW()-1,19)+1,MOD(ROW()-2,19)+1)</f>
        <v>#N/A</v>
      </c>
      <c r="DL282" t="str">
        <f>IFERROR(INDEX(Sheet2!$AU$2:$BM$228,QUOTIENT(ROW()-1,19)+1,MOD(ROW()-2,19)+1),NA())</f>
        <v/>
      </c>
      <c r="DM282" s="4" t="e">
        <f t="shared" si="33"/>
        <v>#N/A</v>
      </c>
      <c r="DN282" t="e">
        <f t="shared" si="34"/>
        <v>#N/A</v>
      </c>
      <c r="DO282" t="e">
        <f t="shared" si="35"/>
        <v>#N/A</v>
      </c>
    </row>
    <row r="283" spans="7:119" x14ac:dyDescent="0.25">
      <c r="G283"/>
      <c r="DI283" s="4">
        <f>INDEX(Sheet2!A:A,QUOTIENT(ROW()-1,19)+2)</f>
        <v>41080</v>
      </c>
      <c r="DJ283" s="4">
        <f>INDEX(Sheet2!C:C,QUOTIENT(ROW()-1,19)+2)</f>
        <v>42004</v>
      </c>
      <c r="DK283" s="4" t="e">
        <f>INDEX(Sheet2!$AA$2:$AS$228,QUOTIENT(ROW()-1,19)+1,MOD(ROW()-2,19)+1)</f>
        <v>#N/A</v>
      </c>
      <c r="DL283" t="str">
        <f>IFERROR(INDEX(Sheet2!$AU$2:$BM$228,QUOTIENT(ROW()-1,19)+1,MOD(ROW()-2,19)+1),NA())</f>
        <v/>
      </c>
      <c r="DM283" s="4" t="e">
        <f t="shared" si="33"/>
        <v>#N/A</v>
      </c>
      <c r="DN283" t="e">
        <f t="shared" si="34"/>
        <v>#N/A</v>
      </c>
      <c r="DO283" t="e">
        <f t="shared" si="35"/>
        <v>#N/A</v>
      </c>
    </row>
    <row r="284" spans="7:119" x14ac:dyDescent="0.25">
      <c r="G284"/>
      <c r="DI284" s="4">
        <f>INDEX(Sheet2!A:A,QUOTIENT(ROW()-1,19)+2)</f>
        <v>41080</v>
      </c>
      <c r="DJ284" s="4">
        <f>INDEX(Sheet2!C:C,QUOTIENT(ROW()-1,19)+2)</f>
        <v>42004</v>
      </c>
      <c r="DK284" s="4" t="e">
        <f>INDEX(Sheet2!$AA$2:$AS$228,QUOTIENT(ROW()-1,19)+1,MOD(ROW()-2,19)+1)</f>
        <v>#N/A</v>
      </c>
      <c r="DL284" t="str">
        <f>IFERROR(INDEX(Sheet2!$AU$2:$BM$228,QUOTIENT(ROW()-1,19)+1,MOD(ROW()-2,19)+1),NA())</f>
        <v/>
      </c>
      <c r="DM284" s="4" t="e">
        <f t="shared" si="33"/>
        <v>#N/A</v>
      </c>
      <c r="DN284" t="e">
        <f t="shared" si="34"/>
        <v>#N/A</v>
      </c>
      <c r="DO284" t="e">
        <f t="shared" si="35"/>
        <v>#N/A</v>
      </c>
    </row>
    <row r="285" spans="7:119" x14ac:dyDescent="0.25">
      <c r="G285"/>
      <c r="DI285" s="4">
        <f>INDEX(Sheet2!A:A,QUOTIENT(ROW()-1,19)+2)</f>
        <v>41080</v>
      </c>
      <c r="DJ285" s="4">
        <f>INDEX(Sheet2!C:C,QUOTIENT(ROW()-1,19)+2)</f>
        <v>42004</v>
      </c>
      <c r="DK285" s="4" t="e">
        <f>INDEX(Sheet2!$AA$2:$AS$228,QUOTIENT(ROW()-1,19)+1,MOD(ROW()-2,19)+1)</f>
        <v>#N/A</v>
      </c>
      <c r="DL285" t="str">
        <f>IFERROR(INDEX(Sheet2!$AU$2:$BM$228,QUOTIENT(ROW()-1,19)+1,MOD(ROW()-2,19)+1),NA())</f>
        <v/>
      </c>
      <c r="DM285" s="4" t="e">
        <f t="shared" si="33"/>
        <v>#N/A</v>
      </c>
      <c r="DN285" t="e">
        <f t="shared" si="34"/>
        <v>#N/A</v>
      </c>
      <c r="DO285" t="e">
        <f t="shared" si="35"/>
        <v>#N/A</v>
      </c>
    </row>
    <row r="286" spans="7:119" x14ac:dyDescent="0.25">
      <c r="G286"/>
      <c r="DI286" s="4">
        <f>INDEX(Sheet2!A:A,QUOTIENT(ROW()-1,19)+2)</f>
        <v>41080</v>
      </c>
      <c r="DJ286" s="4">
        <f>INDEX(Sheet2!C:C,QUOTIENT(ROW()-1,19)+2)</f>
        <v>42004</v>
      </c>
      <c r="DK286" s="4" t="e">
        <f>INDEX(Sheet2!$AA$2:$AS$228,QUOTIENT(ROW()-1,19)+1,MOD(ROW()-2,19)+1)</f>
        <v>#N/A</v>
      </c>
      <c r="DL286" t="str">
        <f>IFERROR(INDEX(Sheet2!$AU$2:$BM$228,QUOTIENT(ROW()-1,19)+1,MOD(ROW()-2,19)+1),NA())</f>
        <v/>
      </c>
      <c r="DM286" s="4" t="e">
        <f t="shared" si="33"/>
        <v>#N/A</v>
      </c>
      <c r="DN286" t="e">
        <f t="shared" si="34"/>
        <v>#N/A</v>
      </c>
      <c r="DO286" t="e">
        <f t="shared" si="35"/>
        <v>#N/A</v>
      </c>
    </row>
    <row r="287" spans="7:119" x14ac:dyDescent="0.25">
      <c r="G287"/>
      <c r="DI287" s="4">
        <f>INDEX(Sheet2!A:A,QUOTIENT(ROW()-1,19)+2)</f>
        <v>41080</v>
      </c>
      <c r="DJ287" s="4">
        <f>INDEX(Sheet2!C:C,QUOTIENT(ROW()-1,19)+2)</f>
        <v>42004</v>
      </c>
      <c r="DK287" s="4">
        <f>INDEX(Sheet2!$AA$2:$AS$228,QUOTIENT(ROW()-1,19)+1,MOD(ROW()-2,19)+1)</f>
        <v>42004</v>
      </c>
      <c r="DL287">
        <f>IFERROR(INDEX(Sheet2!$AU$2:$BM$228,QUOTIENT(ROW()-1,19)+1,MOD(ROW()-2,19)+1),NA())</f>
        <v>2.5</v>
      </c>
      <c r="DM287" s="4" t="e">
        <f t="shared" si="33"/>
        <v>#N/A</v>
      </c>
      <c r="DN287" t="e">
        <f t="shared" si="34"/>
        <v>#N/A</v>
      </c>
      <c r="DO287" t="e">
        <f t="shared" si="35"/>
        <v>#N/A</v>
      </c>
    </row>
    <row r="288" spans="7:119" x14ac:dyDescent="0.25">
      <c r="G288"/>
      <c r="DI288" s="4">
        <f>INDEX(Sheet2!A:A,QUOTIENT(ROW()-1,19)+2)</f>
        <v>41080</v>
      </c>
      <c r="DJ288" s="4">
        <f>INDEX(Sheet2!C:C,QUOTIENT(ROW()-1,19)+2)</f>
        <v>42004</v>
      </c>
      <c r="DK288" s="4" t="e">
        <f>INDEX(Sheet2!$AA$2:$AS$228,QUOTIENT(ROW()-1,19)+1,MOD(ROW()-2,19)+1)</f>
        <v>#N/A</v>
      </c>
      <c r="DL288" t="str">
        <f>IFERROR(INDEX(Sheet2!$AU$2:$BM$228,QUOTIENT(ROW()-1,19)+1,MOD(ROW()-2,19)+1),NA())</f>
        <v/>
      </c>
      <c r="DM288" s="4" t="e">
        <f t="shared" si="33"/>
        <v>#N/A</v>
      </c>
      <c r="DN288" t="e">
        <f t="shared" si="34"/>
        <v>#N/A</v>
      </c>
      <c r="DO288" t="e">
        <f t="shared" si="35"/>
        <v>#N/A</v>
      </c>
    </row>
    <row r="289" spans="7:119" x14ac:dyDescent="0.25">
      <c r="G289"/>
      <c r="DI289" s="4">
        <f>INDEX(Sheet2!A:A,QUOTIENT(ROW()-1,19)+2)</f>
        <v>41080</v>
      </c>
      <c r="DJ289" s="4">
        <f>INDEX(Sheet2!C:C,QUOTIENT(ROW()-1,19)+2)</f>
        <v>42004</v>
      </c>
      <c r="DK289" s="4" t="e">
        <f>INDEX(Sheet2!$AA$2:$AS$228,QUOTIENT(ROW()-1,19)+1,MOD(ROW()-2,19)+1)</f>
        <v>#N/A</v>
      </c>
      <c r="DL289" t="str">
        <f>IFERROR(INDEX(Sheet2!$AU$2:$BM$228,QUOTIENT(ROW()-1,19)+1,MOD(ROW()-2,19)+1),NA())</f>
        <v/>
      </c>
      <c r="DM289" s="4" t="e">
        <f t="shared" si="33"/>
        <v>#N/A</v>
      </c>
      <c r="DN289" t="e">
        <f t="shared" si="34"/>
        <v>#N/A</v>
      </c>
      <c r="DO289" t="e">
        <f t="shared" si="35"/>
        <v>#N/A</v>
      </c>
    </row>
    <row r="290" spans="7:119" x14ac:dyDescent="0.25">
      <c r="G290"/>
      <c r="DI290" s="4">
        <f>INDEX(Sheet2!A:A,QUOTIENT(ROW()-1,19)+2)</f>
        <v>41080</v>
      </c>
      <c r="DJ290" s="4">
        <f>INDEX(Sheet2!C:C,QUOTIENT(ROW()-1,19)+2)</f>
        <v>42004</v>
      </c>
      <c r="DK290" s="4" t="e">
        <f>INDEX(Sheet2!$AA$2:$AS$228,QUOTIENT(ROW()-1,19)+1,MOD(ROW()-2,19)+1)</f>
        <v>#N/A</v>
      </c>
      <c r="DL290" t="str">
        <f>IFERROR(INDEX(Sheet2!$AU$2:$BM$228,QUOTIENT(ROW()-1,19)+1,MOD(ROW()-2,19)+1),NA())</f>
        <v/>
      </c>
      <c r="DM290" s="4" t="e">
        <f t="shared" si="33"/>
        <v>#N/A</v>
      </c>
      <c r="DN290" t="e">
        <f t="shared" si="34"/>
        <v>#N/A</v>
      </c>
      <c r="DO290" t="e">
        <f t="shared" si="35"/>
        <v>#N/A</v>
      </c>
    </row>
    <row r="291" spans="7:119" x14ac:dyDescent="0.25">
      <c r="G291"/>
      <c r="DI291" s="4">
        <f>INDEX(Sheet2!A:A,QUOTIENT(ROW()-1,19)+2)</f>
        <v>41080</v>
      </c>
      <c r="DJ291" s="4">
        <f>INDEX(Sheet2!C:C,QUOTIENT(ROW()-1,19)+2)</f>
        <v>42004</v>
      </c>
      <c r="DK291" s="4" t="e">
        <f>INDEX(Sheet2!$AA$2:$AS$228,QUOTIENT(ROW()-1,19)+1,MOD(ROW()-2,19)+1)</f>
        <v>#N/A</v>
      </c>
      <c r="DL291" t="str">
        <f>IFERROR(INDEX(Sheet2!$AU$2:$BM$228,QUOTIENT(ROW()-1,19)+1,MOD(ROW()-2,19)+1),NA())</f>
        <v/>
      </c>
      <c r="DM291" s="4" t="e">
        <f t="shared" si="33"/>
        <v>#N/A</v>
      </c>
      <c r="DN291" t="e">
        <f t="shared" si="34"/>
        <v>#N/A</v>
      </c>
      <c r="DO291" t="e">
        <f t="shared" si="35"/>
        <v>#N/A</v>
      </c>
    </row>
    <row r="292" spans="7:119" x14ac:dyDescent="0.25">
      <c r="G292"/>
      <c r="DI292" s="4">
        <f>INDEX(Sheet2!A:A,QUOTIENT(ROW()-1,19)+2)</f>
        <v>41080</v>
      </c>
      <c r="DJ292" s="4">
        <f>INDEX(Sheet2!C:C,QUOTIENT(ROW()-1,19)+2)</f>
        <v>42004</v>
      </c>
      <c r="DK292" s="4" t="e">
        <f>INDEX(Sheet2!$AA$2:$AS$228,QUOTIENT(ROW()-1,19)+1,MOD(ROW()-2,19)+1)</f>
        <v>#N/A</v>
      </c>
      <c r="DL292" t="str">
        <f>IFERROR(INDEX(Sheet2!$AU$2:$BM$228,QUOTIENT(ROW()-1,19)+1,MOD(ROW()-2,19)+1),NA())</f>
        <v/>
      </c>
      <c r="DM292" s="4" t="e">
        <f t="shared" si="33"/>
        <v>#N/A</v>
      </c>
      <c r="DN292" t="e">
        <f t="shared" si="34"/>
        <v>#N/A</v>
      </c>
      <c r="DO292" t="e">
        <f t="shared" si="35"/>
        <v>#N/A</v>
      </c>
    </row>
    <row r="293" spans="7:119" x14ac:dyDescent="0.25">
      <c r="G293"/>
      <c r="DI293" s="4">
        <f>INDEX(Sheet2!A:A,QUOTIENT(ROW()-1,19)+2)</f>
        <v>41080</v>
      </c>
      <c r="DJ293" s="4">
        <f>INDEX(Sheet2!C:C,QUOTIENT(ROW()-1,19)+2)</f>
        <v>42004</v>
      </c>
      <c r="DK293" s="4" t="e">
        <f>INDEX(Sheet2!$AA$2:$AS$228,QUOTIENT(ROW()-1,19)+1,MOD(ROW()-2,19)+1)</f>
        <v>#N/A</v>
      </c>
      <c r="DL293" t="str">
        <f>IFERROR(INDEX(Sheet2!$AU$2:$BM$228,QUOTIENT(ROW()-1,19)+1,MOD(ROW()-2,19)+1),NA())</f>
        <v/>
      </c>
      <c r="DM293" s="4" t="e">
        <f t="shared" si="33"/>
        <v>#N/A</v>
      </c>
      <c r="DN293" t="e">
        <f t="shared" si="34"/>
        <v>#N/A</v>
      </c>
      <c r="DO293" t="e">
        <f t="shared" si="35"/>
        <v>#N/A</v>
      </c>
    </row>
    <row r="294" spans="7:119" x14ac:dyDescent="0.25">
      <c r="G294"/>
      <c r="DI294" s="4">
        <f>INDEX(Sheet2!A:A,QUOTIENT(ROW()-1,19)+2)</f>
        <v>41080</v>
      </c>
      <c r="DJ294" s="4">
        <f>INDEX(Sheet2!C:C,QUOTIENT(ROW()-1,19)+2)</f>
        <v>42004</v>
      </c>
      <c r="DK294" s="4" t="e">
        <f>INDEX(Sheet2!$AA$2:$AS$228,QUOTIENT(ROW()-1,19)+1,MOD(ROW()-2,19)+1)</f>
        <v>#N/A</v>
      </c>
      <c r="DL294" t="str">
        <f>IFERROR(INDEX(Sheet2!$AU$2:$BM$228,QUOTIENT(ROW()-1,19)+1,MOD(ROW()-2,19)+1),NA())</f>
        <v/>
      </c>
      <c r="DM294" s="4" t="e">
        <f t="shared" si="33"/>
        <v>#N/A</v>
      </c>
      <c r="DN294" t="e">
        <f t="shared" si="34"/>
        <v>#N/A</v>
      </c>
      <c r="DO294" t="e">
        <f t="shared" si="35"/>
        <v>#N/A</v>
      </c>
    </row>
    <row r="295" spans="7:119" x14ac:dyDescent="0.25">
      <c r="G295"/>
      <c r="DI295" s="4">
        <f>INDEX(Sheet2!A:A,QUOTIENT(ROW()-1,19)+2)</f>
        <v>41080</v>
      </c>
      <c r="DJ295" s="4">
        <f>INDEX(Sheet2!C:C,QUOTIENT(ROW()-1,19)+2)</f>
        <v>42004</v>
      </c>
      <c r="DK295" s="4" t="e">
        <f>INDEX(Sheet2!$AA$2:$AS$228,QUOTIENT(ROW()-1,19)+1,MOD(ROW()-2,19)+1)</f>
        <v>#N/A</v>
      </c>
      <c r="DL295" t="str">
        <f>IFERROR(INDEX(Sheet2!$AU$2:$BM$228,QUOTIENT(ROW()-1,19)+1,MOD(ROW()-2,19)+1),NA())</f>
        <v/>
      </c>
      <c r="DM295" s="4" t="e">
        <f t="shared" si="33"/>
        <v>#N/A</v>
      </c>
      <c r="DN295" t="e">
        <f t="shared" si="34"/>
        <v>#N/A</v>
      </c>
      <c r="DO295" t="e">
        <f t="shared" si="35"/>
        <v>#N/A</v>
      </c>
    </row>
    <row r="296" spans="7:119" x14ac:dyDescent="0.25">
      <c r="G296"/>
      <c r="DI296" s="4">
        <f>INDEX(Sheet2!A:A,QUOTIENT(ROW()-1,19)+2)</f>
        <v>41080</v>
      </c>
      <c r="DJ296" s="4">
        <f>INDEX(Sheet2!C:C,QUOTIENT(ROW()-1,19)+2)</f>
        <v>42004</v>
      </c>
      <c r="DK296" s="4" t="e">
        <f>INDEX(Sheet2!$AA$2:$AS$228,QUOTIENT(ROW()-1,19)+1,MOD(ROW()-2,19)+1)</f>
        <v>#N/A</v>
      </c>
      <c r="DL296" t="str">
        <f>IFERROR(INDEX(Sheet2!$AU$2:$BM$228,QUOTIENT(ROW()-1,19)+1,MOD(ROW()-2,19)+1),NA())</f>
        <v/>
      </c>
      <c r="DM296" s="4" t="e">
        <f t="shared" si="33"/>
        <v>#N/A</v>
      </c>
      <c r="DN296" t="e">
        <f t="shared" si="34"/>
        <v>#N/A</v>
      </c>
      <c r="DO296" t="e">
        <f t="shared" si="35"/>
        <v>#N/A</v>
      </c>
    </row>
    <row r="297" spans="7:119" x14ac:dyDescent="0.25">
      <c r="G297"/>
      <c r="DI297" s="4">
        <f>INDEX(Sheet2!A:A,QUOTIENT(ROW()-1,19)+2)</f>
        <v>41080</v>
      </c>
      <c r="DJ297" s="4">
        <f>INDEX(Sheet2!C:C,QUOTIENT(ROW()-1,19)+2)</f>
        <v>42004</v>
      </c>
      <c r="DK297" s="4" t="e">
        <f>INDEX(Sheet2!$AA$2:$AS$228,QUOTIENT(ROW()-1,19)+1,MOD(ROW()-2,19)+1)</f>
        <v>#N/A</v>
      </c>
      <c r="DL297" t="str">
        <f>IFERROR(INDEX(Sheet2!$AU$2:$BM$228,QUOTIENT(ROW()-1,19)+1,MOD(ROW()-2,19)+1),NA())</f>
        <v/>
      </c>
      <c r="DM297" s="4" t="e">
        <f t="shared" si="33"/>
        <v>#N/A</v>
      </c>
      <c r="DN297" t="e">
        <f t="shared" si="34"/>
        <v>#N/A</v>
      </c>
      <c r="DO297" t="e">
        <f t="shared" si="35"/>
        <v>#N/A</v>
      </c>
    </row>
    <row r="298" spans="7:119" x14ac:dyDescent="0.25">
      <c r="G298"/>
      <c r="DI298" s="4">
        <f>INDEX(Sheet2!A:A,QUOTIENT(ROW()-1,19)+2)</f>
        <v>41080</v>
      </c>
      <c r="DJ298" s="4">
        <f>INDEX(Sheet2!C:C,QUOTIENT(ROW()-1,19)+2)</f>
        <v>42004</v>
      </c>
      <c r="DK298" s="4" t="e">
        <f>INDEX(Sheet2!$AA$2:$AS$228,QUOTIENT(ROW()-1,19)+1,MOD(ROW()-2,19)+1)</f>
        <v>#N/A</v>
      </c>
      <c r="DL298" t="str">
        <f>IFERROR(INDEX(Sheet2!$AU$2:$BM$228,QUOTIENT(ROW()-1,19)+1,MOD(ROW()-2,19)+1),NA())</f>
        <v/>
      </c>
      <c r="DM298" s="4" t="e">
        <f t="shared" si="33"/>
        <v>#N/A</v>
      </c>
      <c r="DN298" t="e">
        <f t="shared" si="34"/>
        <v>#N/A</v>
      </c>
      <c r="DO298" t="e">
        <f t="shared" si="35"/>
        <v>#N/A</v>
      </c>
    </row>
    <row r="299" spans="7:119" x14ac:dyDescent="0.25">
      <c r="G299"/>
      <c r="DI299" s="4">
        <f>INDEX(Sheet2!A:A,QUOTIENT(ROW()-1,19)+2)</f>
        <v>41080</v>
      </c>
      <c r="DJ299" s="4">
        <f>INDEX(Sheet2!C:C,QUOTIENT(ROW()-1,19)+2)</f>
        <v>42004</v>
      </c>
      <c r="DK299" s="4" t="e">
        <f>INDEX(Sheet2!$AA$2:$AS$228,QUOTIENT(ROW()-1,19)+1,MOD(ROW()-2,19)+1)</f>
        <v>#N/A</v>
      </c>
      <c r="DL299" t="str">
        <f>IFERROR(INDEX(Sheet2!$AU$2:$BM$228,QUOTIENT(ROW()-1,19)+1,MOD(ROW()-2,19)+1),NA())</f>
        <v/>
      </c>
      <c r="DM299" s="4" t="e">
        <f t="shared" si="33"/>
        <v>#N/A</v>
      </c>
      <c r="DN299" t="e">
        <f t="shared" si="34"/>
        <v>#N/A</v>
      </c>
      <c r="DO299" t="e">
        <f t="shared" si="35"/>
        <v>#N/A</v>
      </c>
    </row>
    <row r="300" spans="7:119" x14ac:dyDescent="0.25">
      <c r="G300"/>
      <c r="DI300" s="4">
        <f>INDEX(Sheet2!A:A,QUOTIENT(ROW()-1,19)+2)</f>
        <v>41080</v>
      </c>
      <c r="DJ300" s="4">
        <f>INDEX(Sheet2!C:C,QUOTIENT(ROW()-1,19)+2)</f>
        <v>42004</v>
      </c>
      <c r="DK300" s="4" t="e">
        <f>INDEX(Sheet2!$AA$2:$AS$228,QUOTIENT(ROW()-1,19)+1,MOD(ROW()-2,19)+1)</f>
        <v>#N/A</v>
      </c>
      <c r="DL300" t="str">
        <f>IFERROR(INDEX(Sheet2!$AU$2:$BM$228,QUOTIENT(ROW()-1,19)+1,MOD(ROW()-2,19)+1),NA())</f>
        <v/>
      </c>
      <c r="DM300" s="4" t="e">
        <f t="shared" si="33"/>
        <v>#N/A</v>
      </c>
      <c r="DN300" t="e">
        <f t="shared" si="34"/>
        <v>#N/A</v>
      </c>
      <c r="DO300" t="e">
        <f t="shared" si="35"/>
        <v>#N/A</v>
      </c>
    </row>
    <row r="301" spans="7:119" x14ac:dyDescent="0.25">
      <c r="G301"/>
      <c r="DI301" s="4">
        <f>INDEX(Sheet2!A:A,QUOTIENT(ROW()-1,19)+2)</f>
        <v>41080</v>
      </c>
      <c r="DJ301" s="4">
        <f>INDEX(Sheet2!C:C,QUOTIENT(ROW()-1,19)+2)</f>
        <v>42004</v>
      </c>
      <c r="DK301" s="4" t="e">
        <f>INDEX(Sheet2!$AA$2:$AS$228,QUOTIENT(ROW()-1,19)+1,MOD(ROW()-2,19)+1)</f>
        <v>#N/A</v>
      </c>
      <c r="DL301" t="str">
        <f>IFERROR(INDEX(Sheet2!$AU$2:$BM$228,QUOTIENT(ROW()-1,19)+1,MOD(ROW()-2,19)+1),NA())</f>
        <v/>
      </c>
      <c r="DM301" s="4" t="e">
        <f t="shared" si="33"/>
        <v>#N/A</v>
      </c>
      <c r="DN301" t="e">
        <f t="shared" si="34"/>
        <v>#N/A</v>
      </c>
      <c r="DO301" t="e">
        <f t="shared" si="35"/>
        <v>#N/A</v>
      </c>
    </row>
    <row r="302" spans="7:119" x14ac:dyDescent="0.25">
      <c r="G302"/>
      <c r="DI302" s="4">
        <f>INDEX(Sheet2!A:A,QUOTIENT(ROW()-1,19)+2)</f>
        <v>41080</v>
      </c>
      <c r="DJ302" s="4">
        <f>INDEX(Sheet2!C:C,QUOTIENT(ROW()-1,19)+2)</f>
        <v>42004</v>
      </c>
      <c r="DK302" s="4" t="e">
        <f>INDEX(Sheet2!$AA$2:$AS$228,QUOTIENT(ROW()-1,19)+1,MOD(ROW()-2,19)+1)</f>
        <v>#N/A</v>
      </c>
      <c r="DL302" t="str">
        <f>IFERROR(INDEX(Sheet2!$AU$2:$BM$228,QUOTIENT(ROW()-1,19)+1,MOD(ROW()-2,19)+1),NA())</f>
        <v/>
      </c>
      <c r="DM302" s="4" t="e">
        <f t="shared" si="33"/>
        <v>#N/A</v>
      </c>
      <c r="DN302" t="e">
        <f t="shared" si="34"/>
        <v>#N/A</v>
      </c>
      <c r="DO302" t="e">
        <f t="shared" si="35"/>
        <v>#N/A</v>
      </c>
    </row>
    <row r="303" spans="7:119" x14ac:dyDescent="0.25">
      <c r="G303"/>
      <c r="DI303" s="4">
        <f>INDEX(Sheet2!A:A,QUOTIENT(ROW()-1,19)+2)</f>
        <v>41080</v>
      </c>
      <c r="DJ303" s="4">
        <f>INDEX(Sheet2!C:C,QUOTIENT(ROW()-1,19)+2)</f>
        <v>42004</v>
      </c>
      <c r="DK303" s="4" t="e">
        <f>INDEX(Sheet2!$AA$2:$AS$228,QUOTIENT(ROW()-1,19)+1,MOD(ROW()-2,19)+1)</f>
        <v>#N/A</v>
      </c>
      <c r="DL303" t="str">
        <f>IFERROR(INDEX(Sheet2!$AU$2:$BM$228,QUOTIENT(ROW()-1,19)+1,MOD(ROW()-2,19)+1),NA())</f>
        <v/>
      </c>
      <c r="DM303" s="4" t="e">
        <f t="shared" si="33"/>
        <v>#N/A</v>
      </c>
      <c r="DN303" t="e">
        <f t="shared" si="34"/>
        <v>#N/A</v>
      </c>
      <c r="DO303" t="e">
        <f t="shared" si="35"/>
        <v>#N/A</v>
      </c>
    </row>
    <row r="304" spans="7:119" x14ac:dyDescent="0.25">
      <c r="G304"/>
      <c r="DI304" s="4">
        <f>INDEX(Sheet2!A:A,QUOTIENT(ROW()-1,19)+2)</f>
        <v>41080</v>
      </c>
      <c r="DJ304" s="4">
        <f>INDEX(Sheet2!C:C,QUOTIENT(ROW()-1,19)+2)</f>
        <v>42004</v>
      </c>
      <c r="DK304" s="4" t="e">
        <f>INDEX(Sheet2!$AA$2:$AS$228,QUOTIENT(ROW()-1,19)+1,MOD(ROW()-2,19)+1)</f>
        <v>#N/A</v>
      </c>
      <c r="DL304" t="str">
        <f>IFERROR(INDEX(Sheet2!$AU$2:$BM$228,QUOTIENT(ROW()-1,19)+1,MOD(ROW()-2,19)+1),NA())</f>
        <v/>
      </c>
      <c r="DM304" s="4" t="e">
        <f t="shared" si="33"/>
        <v>#N/A</v>
      </c>
      <c r="DN304" t="e">
        <f t="shared" si="34"/>
        <v>#N/A</v>
      </c>
      <c r="DO304" t="e">
        <f t="shared" si="35"/>
        <v>#N/A</v>
      </c>
    </row>
    <row r="305" spans="7:119" x14ac:dyDescent="0.25">
      <c r="G305"/>
      <c r="DI305" s="4">
        <f>INDEX(Sheet2!A:A,QUOTIENT(ROW()-1,19)+2)</f>
        <v>41080</v>
      </c>
      <c r="DJ305" s="4">
        <f>INDEX(Sheet2!C:C,QUOTIENT(ROW()-1,19)+2)</f>
        <v>42004</v>
      </c>
      <c r="DK305" s="4" t="e">
        <f>INDEX(Sheet2!$AA$2:$AS$228,QUOTIENT(ROW()-1,19)+1,MOD(ROW()-2,19)+1)</f>
        <v>#N/A</v>
      </c>
      <c r="DL305" t="str">
        <f>IFERROR(INDEX(Sheet2!$AU$2:$BM$228,QUOTIENT(ROW()-1,19)+1,MOD(ROW()-2,19)+1),NA())</f>
        <v/>
      </c>
      <c r="DM305" s="4" t="e">
        <f t="shared" si="33"/>
        <v>#N/A</v>
      </c>
      <c r="DN305" t="e">
        <f t="shared" si="34"/>
        <v>#N/A</v>
      </c>
      <c r="DO305" t="e">
        <f t="shared" si="35"/>
        <v>#N/A</v>
      </c>
    </row>
    <row r="306" spans="7:119" x14ac:dyDescent="0.25">
      <c r="G306"/>
      <c r="DI306" s="4">
        <f>INDEX(Sheet2!A:A,QUOTIENT(ROW()-1,19)+2)</f>
        <v>41080</v>
      </c>
      <c r="DJ306" s="4">
        <f>INDEX(Sheet2!C:C,QUOTIENT(ROW()-1,19)+2)</f>
        <v>42004</v>
      </c>
      <c r="DK306" s="4">
        <f>INDEX(Sheet2!$AA$2:$AS$228,QUOTIENT(ROW()-1,19)+1,MOD(ROW()-2,19)+1)</f>
        <v>42004</v>
      </c>
      <c r="DL306">
        <f>IFERROR(INDEX(Sheet2!$AU$2:$BM$228,QUOTIENT(ROW()-1,19)+1,MOD(ROW()-2,19)+1),NA())</f>
        <v>2.75</v>
      </c>
      <c r="DM306" s="4" t="e">
        <f t="shared" si="33"/>
        <v>#N/A</v>
      </c>
      <c r="DN306" t="e">
        <f t="shared" si="34"/>
        <v>#N/A</v>
      </c>
      <c r="DO306" t="e">
        <f t="shared" si="35"/>
        <v>#N/A</v>
      </c>
    </row>
    <row r="307" spans="7:119" x14ac:dyDescent="0.25">
      <c r="G307"/>
      <c r="DI307" s="4">
        <f>INDEX(Sheet2!A:A,QUOTIENT(ROW()-1,19)+2)</f>
        <v>41080</v>
      </c>
      <c r="DJ307" s="4">
        <f>INDEX(Sheet2!C:C,QUOTIENT(ROW()-1,19)+2)</f>
        <v>42004</v>
      </c>
      <c r="DK307" s="4" t="e">
        <f>INDEX(Sheet2!$AA$2:$AS$228,QUOTIENT(ROW()-1,19)+1,MOD(ROW()-2,19)+1)</f>
        <v>#N/A</v>
      </c>
      <c r="DL307" t="str">
        <f>IFERROR(INDEX(Sheet2!$AU$2:$BM$228,QUOTIENT(ROW()-1,19)+1,MOD(ROW()-2,19)+1),NA())</f>
        <v/>
      </c>
      <c r="DM307" s="4" t="e">
        <f t="shared" si="33"/>
        <v>#N/A</v>
      </c>
      <c r="DN307" t="e">
        <f t="shared" si="34"/>
        <v>#N/A</v>
      </c>
      <c r="DO307" t="e">
        <f t="shared" si="35"/>
        <v>#N/A</v>
      </c>
    </row>
    <row r="308" spans="7:119" x14ac:dyDescent="0.25">
      <c r="G308"/>
      <c r="DI308" s="4">
        <f>INDEX(Sheet2!A:A,QUOTIENT(ROW()-1,19)+2)</f>
        <v>41080</v>
      </c>
      <c r="DJ308" s="4">
        <f>INDEX(Sheet2!C:C,QUOTIENT(ROW()-1,19)+2)</f>
        <v>42004</v>
      </c>
      <c r="DK308" s="4" t="e">
        <f>INDEX(Sheet2!$AA$2:$AS$228,QUOTIENT(ROW()-1,19)+1,MOD(ROW()-2,19)+1)</f>
        <v>#N/A</v>
      </c>
      <c r="DL308" t="str">
        <f>IFERROR(INDEX(Sheet2!$AU$2:$BM$228,QUOTIENT(ROW()-1,19)+1,MOD(ROW()-2,19)+1),NA())</f>
        <v/>
      </c>
      <c r="DM308" s="4" t="e">
        <f t="shared" si="33"/>
        <v>#N/A</v>
      </c>
      <c r="DN308" t="e">
        <f t="shared" si="34"/>
        <v>#N/A</v>
      </c>
      <c r="DO308" t="e">
        <f t="shared" si="35"/>
        <v>#N/A</v>
      </c>
    </row>
    <row r="309" spans="7:119" x14ac:dyDescent="0.25">
      <c r="G309"/>
      <c r="DI309" s="4">
        <f>INDEX(Sheet2!A:A,QUOTIENT(ROW()-1,19)+2)</f>
        <v>41080</v>
      </c>
      <c r="DJ309" s="4">
        <f>INDEX(Sheet2!C:C,QUOTIENT(ROW()-1,19)+2)</f>
        <v>42004</v>
      </c>
      <c r="DK309" s="4" t="e">
        <f>INDEX(Sheet2!$AA$2:$AS$228,QUOTIENT(ROW()-1,19)+1,MOD(ROW()-2,19)+1)</f>
        <v>#N/A</v>
      </c>
      <c r="DL309" t="str">
        <f>IFERROR(INDEX(Sheet2!$AU$2:$BM$228,QUOTIENT(ROW()-1,19)+1,MOD(ROW()-2,19)+1),NA())</f>
        <v/>
      </c>
      <c r="DM309" s="4" t="e">
        <f t="shared" si="33"/>
        <v>#N/A</v>
      </c>
      <c r="DN309" t="e">
        <f t="shared" si="34"/>
        <v>#N/A</v>
      </c>
      <c r="DO309" t="e">
        <f t="shared" si="35"/>
        <v>#N/A</v>
      </c>
    </row>
    <row r="310" spans="7:119" x14ac:dyDescent="0.25">
      <c r="G310"/>
      <c r="DI310" s="4">
        <f>INDEX(Sheet2!A:A,QUOTIENT(ROW()-1,19)+2)</f>
        <v>41080</v>
      </c>
      <c r="DJ310" s="4">
        <f>INDEX(Sheet2!C:C,QUOTIENT(ROW()-1,19)+2)</f>
        <v>42004</v>
      </c>
      <c r="DK310" s="4" t="e">
        <f>INDEX(Sheet2!$AA$2:$AS$228,QUOTIENT(ROW()-1,19)+1,MOD(ROW()-2,19)+1)</f>
        <v>#N/A</v>
      </c>
      <c r="DL310" t="str">
        <f>IFERROR(INDEX(Sheet2!$AU$2:$BM$228,QUOTIENT(ROW()-1,19)+1,MOD(ROW()-2,19)+1),NA())</f>
        <v/>
      </c>
      <c r="DM310" s="4" t="e">
        <f t="shared" si="33"/>
        <v>#N/A</v>
      </c>
      <c r="DN310" t="e">
        <f t="shared" si="34"/>
        <v>#N/A</v>
      </c>
      <c r="DO310" t="e">
        <f t="shared" si="35"/>
        <v>#N/A</v>
      </c>
    </row>
    <row r="311" spans="7:119" x14ac:dyDescent="0.25">
      <c r="G311"/>
      <c r="DI311" s="4">
        <f>INDEX(Sheet2!A:A,QUOTIENT(ROW()-1,19)+2)</f>
        <v>41080</v>
      </c>
      <c r="DJ311" s="4">
        <f>INDEX(Sheet2!C:C,QUOTIENT(ROW()-1,19)+2)</f>
        <v>42004</v>
      </c>
      <c r="DK311" s="4" t="e">
        <f>INDEX(Sheet2!$AA$2:$AS$228,QUOTIENT(ROW()-1,19)+1,MOD(ROW()-2,19)+1)</f>
        <v>#N/A</v>
      </c>
      <c r="DL311" t="str">
        <f>IFERROR(INDEX(Sheet2!$AU$2:$BM$228,QUOTIENT(ROW()-1,19)+1,MOD(ROW()-2,19)+1),NA())</f>
        <v/>
      </c>
      <c r="DM311" s="4" t="e">
        <f t="shared" si="33"/>
        <v>#N/A</v>
      </c>
      <c r="DN311" t="e">
        <f t="shared" si="34"/>
        <v>#N/A</v>
      </c>
      <c r="DO311" t="e">
        <f t="shared" si="35"/>
        <v>#N/A</v>
      </c>
    </row>
    <row r="312" spans="7:119" x14ac:dyDescent="0.25">
      <c r="G312"/>
      <c r="DI312" s="4">
        <f>INDEX(Sheet2!A:A,QUOTIENT(ROW()-1,19)+2)</f>
        <v>41080</v>
      </c>
      <c r="DJ312" s="4">
        <f>INDEX(Sheet2!C:C,QUOTIENT(ROW()-1,19)+2)</f>
        <v>42004</v>
      </c>
      <c r="DK312" s="4" t="e">
        <f>INDEX(Sheet2!$AA$2:$AS$228,QUOTIENT(ROW()-1,19)+1,MOD(ROW()-2,19)+1)</f>
        <v>#N/A</v>
      </c>
      <c r="DL312" t="str">
        <f>IFERROR(INDEX(Sheet2!$AU$2:$BM$228,QUOTIENT(ROW()-1,19)+1,MOD(ROW()-2,19)+1),NA())</f>
        <v/>
      </c>
      <c r="DM312" s="4" t="e">
        <f t="shared" si="33"/>
        <v>#N/A</v>
      </c>
      <c r="DN312" t="e">
        <f t="shared" si="34"/>
        <v>#N/A</v>
      </c>
      <c r="DO312" t="e">
        <f t="shared" si="35"/>
        <v>#N/A</v>
      </c>
    </row>
    <row r="313" spans="7:119" x14ac:dyDescent="0.25">
      <c r="G313"/>
      <c r="DI313" s="4">
        <f>INDEX(Sheet2!A:A,QUOTIENT(ROW()-1,19)+2)</f>
        <v>41080</v>
      </c>
      <c r="DJ313" s="4">
        <f>INDEX(Sheet2!C:C,QUOTIENT(ROW()-1,19)+2)</f>
        <v>42004</v>
      </c>
      <c r="DK313" s="4" t="e">
        <f>INDEX(Sheet2!$AA$2:$AS$228,QUOTIENT(ROW()-1,19)+1,MOD(ROW()-2,19)+1)</f>
        <v>#N/A</v>
      </c>
      <c r="DL313" t="str">
        <f>IFERROR(INDEX(Sheet2!$AU$2:$BM$228,QUOTIENT(ROW()-1,19)+1,MOD(ROW()-2,19)+1),NA())</f>
        <v/>
      </c>
      <c r="DM313" s="4" t="e">
        <f t="shared" si="33"/>
        <v>#N/A</v>
      </c>
      <c r="DN313" t="e">
        <f t="shared" si="34"/>
        <v>#N/A</v>
      </c>
      <c r="DO313" t="e">
        <f t="shared" si="35"/>
        <v>#N/A</v>
      </c>
    </row>
    <row r="314" spans="7:119" x14ac:dyDescent="0.25">
      <c r="G314"/>
      <c r="DI314" s="4">
        <f>INDEX(Sheet2!A:A,QUOTIENT(ROW()-1,19)+2)</f>
        <v>41080</v>
      </c>
      <c r="DJ314" s="4">
        <f>INDEX(Sheet2!C:C,QUOTIENT(ROW()-1,19)+2)</f>
        <v>42004</v>
      </c>
      <c r="DK314" s="4" t="e">
        <f>INDEX(Sheet2!$AA$2:$AS$228,QUOTIENT(ROW()-1,19)+1,MOD(ROW()-2,19)+1)</f>
        <v>#N/A</v>
      </c>
      <c r="DL314" t="str">
        <f>IFERROR(INDEX(Sheet2!$AU$2:$BM$228,QUOTIENT(ROW()-1,19)+1,MOD(ROW()-2,19)+1),NA())</f>
        <v/>
      </c>
      <c r="DM314" s="4" t="e">
        <f t="shared" si="33"/>
        <v>#N/A</v>
      </c>
      <c r="DN314" t="e">
        <f t="shared" si="34"/>
        <v>#N/A</v>
      </c>
      <c r="DO314" t="e">
        <f t="shared" si="35"/>
        <v>#N/A</v>
      </c>
    </row>
    <row r="315" spans="7:119" x14ac:dyDescent="0.25">
      <c r="G315"/>
      <c r="DI315" s="4">
        <f>INDEX(Sheet2!A:A,QUOTIENT(ROW()-1,19)+2)</f>
        <v>41080</v>
      </c>
      <c r="DJ315" s="4">
        <f>INDEX(Sheet2!C:C,QUOTIENT(ROW()-1,19)+2)</f>
        <v>42004</v>
      </c>
      <c r="DK315" s="4" t="e">
        <f>INDEX(Sheet2!$AA$2:$AS$228,QUOTIENT(ROW()-1,19)+1,MOD(ROW()-2,19)+1)</f>
        <v>#N/A</v>
      </c>
      <c r="DL315" t="str">
        <f>IFERROR(INDEX(Sheet2!$AU$2:$BM$228,QUOTIENT(ROW()-1,19)+1,MOD(ROW()-2,19)+1),NA())</f>
        <v/>
      </c>
      <c r="DM315" s="4" t="e">
        <f t="shared" si="33"/>
        <v>#N/A</v>
      </c>
      <c r="DN315" t="e">
        <f t="shared" si="34"/>
        <v>#N/A</v>
      </c>
      <c r="DO315" t="e">
        <f t="shared" si="35"/>
        <v>#N/A</v>
      </c>
    </row>
    <row r="316" spans="7:119" x14ac:dyDescent="0.25">
      <c r="G316"/>
      <c r="DI316" s="4">
        <f>INDEX(Sheet2!A:A,QUOTIENT(ROW()-1,19)+2)</f>
        <v>41080</v>
      </c>
      <c r="DJ316" s="4">
        <f>INDEX(Sheet2!C:C,QUOTIENT(ROW()-1,19)+2)</f>
        <v>42004</v>
      </c>
      <c r="DK316" s="4" t="e">
        <f>INDEX(Sheet2!$AA$2:$AS$228,QUOTIENT(ROW()-1,19)+1,MOD(ROW()-2,19)+1)</f>
        <v>#N/A</v>
      </c>
      <c r="DL316" t="str">
        <f>IFERROR(INDEX(Sheet2!$AU$2:$BM$228,QUOTIENT(ROW()-1,19)+1,MOD(ROW()-2,19)+1),NA())</f>
        <v/>
      </c>
      <c r="DM316" s="4" t="e">
        <f t="shared" si="33"/>
        <v>#N/A</v>
      </c>
      <c r="DN316" t="e">
        <f t="shared" si="34"/>
        <v>#N/A</v>
      </c>
      <c r="DO316" t="e">
        <f t="shared" si="35"/>
        <v>#N/A</v>
      </c>
    </row>
    <row r="317" spans="7:119" x14ac:dyDescent="0.25">
      <c r="G317"/>
      <c r="DI317" s="4">
        <f>INDEX(Sheet2!A:A,QUOTIENT(ROW()-1,19)+2)</f>
        <v>41080</v>
      </c>
      <c r="DJ317" s="4">
        <f>INDEX(Sheet2!C:C,QUOTIENT(ROW()-1,19)+2)</f>
        <v>42004</v>
      </c>
      <c r="DK317" s="4" t="e">
        <f>INDEX(Sheet2!$AA$2:$AS$228,QUOTIENT(ROW()-1,19)+1,MOD(ROW()-2,19)+1)</f>
        <v>#N/A</v>
      </c>
      <c r="DL317" t="str">
        <f>IFERROR(INDEX(Sheet2!$AU$2:$BM$228,QUOTIENT(ROW()-1,19)+1,MOD(ROW()-2,19)+1),NA())</f>
        <v/>
      </c>
      <c r="DM317" s="4" t="e">
        <f t="shared" si="33"/>
        <v>#N/A</v>
      </c>
      <c r="DN317" t="e">
        <f t="shared" si="34"/>
        <v>#N/A</v>
      </c>
      <c r="DO317" t="e">
        <f t="shared" si="35"/>
        <v>#N/A</v>
      </c>
    </row>
    <row r="318" spans="7:119" x14ac:dyDescent="0.25">
      <c r="G318"/>
      <c r="DI318" s="4">
        <f>INDEX(Sheet2!A:A,QUOTIENT(ROW()-1,19)+2)</f>
        <v>41080</v>
      </c>
      <c r="DJ318" s="4">
        <f>INDEX(Sheet2!C:C,QUOTIENT(ROW()-1,19)+2)</f>
        <v>42004</v>
      </c>
      <c r="DK318" s="4" t="e">
        <f>INDEX(Sheet2!$AA$2:$AS$228,QUOTIENT(ROW()-1,19)+1,MOD(ROW()-2,19)+1)</f>
        <v>#N/A</v>
      </c>
      <c r="DL318" t="str">
        <f>IFERROR(INDEX(Sheet2!$AU$2:$BM$228,QUOTIENT(ROW()-1,19)+1,MOD(ROW()-2,19)+1),NA())</f>
        <v/>
      </c>
      <c r="DM318" s="4" t="e">
        <f t="shared" si="33"/>
        <v>#N/A</v>
      </c>
      <c r="DN318" t="e">
        <f t="shared" si="34"/>
        <v>#N/A</v>
      </c>
      <c r="DO318" t="e">
        <f t="shared" si="35"/>
        <v>#N/A</v>
      </c>
    </row>
    <row r="319" spans="7:119" x14ac:dyDescent="0.25">
      <c r="G319"/>
      <c r="DI319" s="4">
        <f>INDEX(Sheet2!A:A,QUOTIENT(ROW()-1,19)+2)</f>
        <v>41080</v>
      </c>
      <c r="DJ319" s="4">
        <f>INDEX(Sheet2!C:C,QUOTIENT(ROW()-1,19)+2)</f>
        <v>42004</v>
      </c>
      <c r="DK319" s="4" t="e">
        <f>INDEX(Sheet2!$AA$2:$AS$228,QUOTIENT(ROW()-1,19)+1,MOD(ROW()-2,19)+1)</f>
        <v>#N/A</v>
      </c>
      <c r="DL319" t="str">
        <f>IFERROR(INDEX(Sheet2!$AU$2:$BM$228,QUOTIENT(ROW()-1,19)+1,MOD(ROW()-2,19)+1),NA())</f>
        <v/>
      </c>
      <c r="DM319" s="4" t="e">
        <f t="shared" si="33"/>
        <v>#N/A</v>
      </c>
      <c r="DN319" t="e">
        <f t="shared" si="34"/>
        <v>#N/A</v>
      </c>
      <c r="DO319" t="e">
        <f t="shared" si="35"/>
        <v>#N/A</v>
      </c>
    </row>
    <row r="320" spans="7:119" x14ac:dyDescent="0.25">
      <c r="G320"/>
      <c r="DI320" s="4">
        <f>INDEX(Sheet2!A:A,QUOTIENT(ROW()-1,19)+2)</f>
        <v>41080</v>
      </c>
      <c r="DJ320" s="4">
        <f>INDEX(Sheet2!C:C,QUOTIENT(ROW()-1,19)+2)</f>
        <v>42004</v>
      </c>
      <c r="DK320" s="4" t="e">
        <f>INDEX(Sheet2!$AA$2:$AS$228,QUOTIENT(ROW()-1,19)+1,MOD(ROW()-2,19)+1)</f>
        <v>#N/A</v>
      </c>
      <c r="DL320" t="str">
        <f>IFERROR(INDEX(Sheet2!$AU$2:$BM$228,QUOTIENT(ROW()-1,19)+1,MOD(ROW()-2,19)+1),NA())</f>
        <v/>
      </c>
      <c r="DM320" s="4" t="e">
        <f t="shared" si="33"/>
        <v>#N/A</v>
      </c>
      <c r="DN320" t="e">
        <f t="shared" si="34"/>
        <v>#N/A</v>
      </c>
      <c r="DO320" t="e">
        <f t="shared" si="35"/>
        <v>#N/A</v>
      </c>
    </row>
    <row r="321" spans="7:119" x14ac:dyDescent="0.25">
      <c r="G321"/>
      <c r="DI321" s="4">
        <f>INDEX(Sheet2!A:A,QUOTIENT(ROW()-1,19)+2)</f>
        <v>41080</v>
      </c>
      <c r="DJ321" s="4">
        <f>INDEX(Sheet2!C:C,QUOTIENT(ROW()-1,19)+2)</f>
        <v>42004</v>
      </c>
      <c r="DK321" s="4" t="e">
        <f>INDEX(Sheet2!$AA$2:$AS$228,QUOTIENT(ROW()-1,19)+1,MOD(ROW()-2,19)+1)</f>
        <v>#N/A</v>
      </c>
      <c r="DL321" t="str">
        <f>IFERROR(INDEX(Sheet2!$AU$2:$BM$228,QUOTIENT(ROW()-1,19)+1,MOD(ROW()-2,19)+1),NA())</f>
        <v/>
      </c>
      <c r="DM321" s="4" t="e">
        <f t="shared" si="33"/>
        <v>#N/A</v>
      </c>
      <c r="DN321" t="e">
        <f t="shared" si="34"/>
        <v>#N/A</v>
      </c>
      <c r="DO321" t="e">
        <f t="shared" si="35"/>
        <v>#N/A</v>
      </c>
    </row>
    <row r="322" spans="7:119" x14ac:dyDescent="0.25">
      <c r="G322"/>
      <c r="DI322" s="4">
        <f>INDEX(Sheet2!A:A,QUOTIENT(ROW()-1,19)+2)</f>
        <v>41080</v>
      </c>
      <c r="DJ322" s="4">
        <f>INDEX(Sheet2!C:C,QUOTIENT(ROW()-1,19)+2)</f>
        <v>42004</v>
      </c>
      <c r="DK322" s="4" t="e">
        <f>INDEX(Sheet2!$AA$2:$AS$228,QUOTIENT(ROW()-1,19)+1,MOD(ROW()-2,19)+1)</f>
        <v>#N/A</v>
      </c>
      <c r="DL322" t="str">
        <f>IFERROR(INDEX(Sheet2!$AU$2:$BM$228,QUOTIENT(ROW()-1,19)+1,MOD(ROW()-2,19)+1),NA())</f>
        <v/>
      </c>
      <c r="DM322" s="4" t="e">
        <f t="shared" ref="DM322:DM385" si="36">+IF($C$2=$DI322,DK322,NA())</f>
        <v>#N/A</v>
      </c>
      <c r="DN322" t="e">
        <f t="shared" ref="DN322:DN385" si="37">+IF($C$2=$DI322,DL322,NA())</f>
        <v>#N/A</v>
      </c>
      <c r="DO322" t="e">
        <f t="shared" si="35"/>
        <v>#N/A</v>
      </c>
    </row>
    <row r="323" spans="7:119" x14ac:dyDescent="0.25">
      <c r="G323"/>
      <c r="DI323" s="4">
        <f>INDEX(Sheet2!A:A,QUOTIENT(ROW()-1,19)+2)</f>
        <v>41080</v>
      </c>
      <c r="DJ323" s="4">
        <f>INDEX(Sheet2!C:C,QUOTIENT(ROW()-1,19)+2)</f>
        <v>42004</v>
      </c>
      <c r="DK323" s="4" t="e">
        <f>INDEX(Sheet2!$AA$2:$AS$228,QUOTIENT(ROW()-1,19)+1,MOD(ROW()-2,19)+1)</f>
        <v>#N/A</v>
      </c>
      <c r="DL323" t="str">
        <f>IFERROR(INDEX(Sheet2!$AU$2:$BM$228,QUOTIENT(ROW()-1,19)+1,MOD(ROW()-2,19)+1),NA())</f>
        <v/>
      </c>
      <c r="DM323" s="4" t="e">
        <f t="shared" si="36"/>
        <v>#N/A</v>
      </c>
      <c r="DN323" t="e">
        <f t="shared" si="37"/>
        <v>#N/A</v>
      </c>
      <c r="DO323" t="e">
        <f t="shared" ref="DO323:DO386" si="38">IF(DN323="",NA(),DN323)</f>
        <v>#N/A</v>
      </c>
    </row>
    <row r="324" spans="7:119" x14ac:dyDescent="0.25">
      <c r="G324"/>
      <c r="DI324" s="4">
        <f>INDEX(Sheet2!A:A,QUOTIENT(ROW()-1,19)+2)</f>
        <v>41080</v>
      </c>
      <c r="DJ324" s="4">
        <f>INDEX(Sheet2!C:C,QUOTIENT(ROW()-1,19)+2)</f>
        <v>42004</v>
      </c>
      <c r="DK324" s="4" t="e">
        <f>INDEX(Sheet2!$AA$2:$AS$228,QUOTIENT(ROW()-1,19)+1,MOD(ROW()-2,19)+1)</f>
        <v>#N/A</v>
      </c>
      <c r="DL324" t="str">
        <f>IFERROR(INDEX(Sheet2!$AU$2:$BM$228,QUOTIENT(ROW()-1,19)+1,MOD(ROW()-2,19)+1),NA())</f>
        <v/>
      </c>
      <c r="DM324" s="4" t="e">
        <f t="shared" si="36"/>
        <v>#N/A</v>
      </c>
      <c r="DN324" t="e">
        <f t="shared" si="37"/>
        <v>#N/A</v>
      </c>
      <c r="DO324" t="e">
        <f t="shared" si="38"/>
        <v>#N/A</v>
      </c>
    </row>
    <row r="325" spans="7:119" x14ac:dyDescent="0.25">
      <c r="G325"/>
      <c r="DI325" s="4">
        <f>INDEX(Sheet2!A:A,QUOTIENT(ROW()-1,19)+2)</f>
        <v>41080</v>
      </c>
      <c r="DJ325" s="4">
        <f>INDEX(Sheet2!C:C,QUOTIENT(ROW()-1,19)+2)</f>
        <v>42004</v>
      </c>
      <c r="DK325" s="4">
        <f>INDEX(Sheet2!$AA$2:$AS$228,QUOTIENT(ROW()-1,19)+1,MOD(ROW()-2,19)+1)</f>
        <v>42004</v>
      </c>
      <c r="DL325">
        <f>IFERROR(INDEX(Sheet2!$AU$2:$BM$228,QUOTIENT(ROW()-1,19)+1,MOD(ROW()-2,19)+1),NA())</f>
        <v>3</v>
      </c>
      <c r="DM325" s="4" t="e">
        <f t="shared" si="36"/>
        <v>#N/A</v>
      </c>
      <c r="DN325" t="e">
        <f t="shared" si="37"/>
        <v>#N/A</v>
      </c>
      <c r="DO325" t="e">
        <f t="shared" si="38"/>
        <v>#N/A</v>
      </c>
    </row>
    <row r="326" spans="7:119" x14ac:dyDescent="0.25">
      <c r="G326"/>
      <c r="DI326" s="4">
        <f>INDEX(Sheet2!A:A,QUOTIENT(ROW()-1,19)+2)</f>
        <v>41080</v>
      </c>
      <c r="DJ326" s="4">
        <f>INDEX(Sheet2!C:C,QUOTIENT(ROW()-1,19)+2)</f>
        <v>42004</v>
      </c>
      <c r="DK326" s="4" t="e">
        <f>INDEX(Sheet2!$AA$2:$AS$228,QUOTIENT(ROW()-1,19)+1,MOD(ROW()-2,19)+1)</f>
        <v>#N/A</v>
      </c>
      <c r="DL326" t="str">
        <f>IFERROR(INDEX(Sheet2!$AU$2:$BM$228,QUOTIENT(ROW()-1,19)+1,MOD(ROW()-2,19)+1),NA())</f>
        <v/>
      </c>
      <c r="DM326" s="4" t="e">
        <f t="shared" si="36"/>
        <v>#N/A</v>
      </c>
      <c r="DN326" t="e">
        <f t="shared" si="37"/>
        <v>#N/A</v>
      </c>
      <c r="DO326" t="e">
        <f t="shared" si="38"/>
        <v>#N/A</v>
      </c>
    </row>
    <row r="327" spans="7:119" x14ac:dyDescent="0.25">
      <c r="G327"/>
      <c r="DI327" s="4">
        <f>INDEX(Sheet2!A:A,QUOTIENT(ROW()-1,19)+2)</f>
        <v>41080</v>
      </c>
      <c r="DJ327" s="4">
        <f>INDEX(Sheet2!C:C,QUOTIENT(ROW()-1,19)+2)</f>
        <v>42004</v>
      </c>
      <c r="DK327" s="4" t="e">
        <f>INDEX(Sheet2!$AA$2:$AS$228,QUOTIENT(ROW()-1,19)+1,MOD(ROW()-2,19)+1)</f>
        <v>#N/A</v>
      </c>
      <c r="DL327" t="str">
        <f>IFERROR(INDEX(Sheet2!$AU$2:$BM$228,QUOTIENT(ROW()-1,19)+1,MOD(ROW()-2,19)+1),NA())</f>
        <v/>
      </c>
      <c r="DM327" s="4" t="e">
        <f t="shared" si="36"/>
        <v>#N/A</v>
      </c>
      <c r="DN327" t="e">
        <f t="shared" si="37"/>
        <v>#N/A</v>
      </c>
      <c r="DO327" t="e">
        <f t="shared" si="38"/>
        <v>#N/A</v>
      </c>
    </row>
    <row r="328" spans="7:119" x14ac:dyDescent="0.25">
      <c r="G328"/>
      <c r="DI328" s="4">
        <f>INDEX(Sheet2!A:A,QUOTIENT(ROW()-1,19)+2)</f>
        <v>41080</v>
      </c>
      <c r="DJ328" s="4">
        <f>INDEX(Sheet2!C:C,QUOTIENT(ROW()-1,19)+2)</f>
        <v>42004</v>
      </c>
      <c r="DK328" s="4" t="e">
        <f>INDEX(Sheet2!$AA$2:$AS$228,QUOTIENT(ROW()-1,19)+1,MOD(ROW()-2,19)+1)</f>
        <v>#N/A</v>
      </c>
      <c r="DL328" t="str">
        <f>IFERROR(INDEX(Sheet2!$AU$2:$BM$228,QUOTIENT(ROW()-1,19)+1,MOD(ROW()-2,19)+1),NA())</f>
        <v/>
      </c>
      <c r="DM328" s="4" t="e">
        <f t="shared" si="36"/>
        <v>#N/A</v>
      </c>
      <c r="DN328" t="e">
        <f t="shared" si="37"/>
        <v>#N/A</v>
      </c>
      <c r="DO328" t="e">
        <f t="shared" si="38"/>
        <v>#N/A</v>
      </c>
    </row>
    <row r="329" spans="7:119" x14ac:dyDescent="0.25">
      <c r="G329"/>
      <c r="DI329" s="4">
        <f>INDEX(Sheet2!A:A,QUOTIENT(ROW()-1,19)+2)</f>
        <v>41080</v>
      </c>
      <c r="DJ329" s="4">
        <f>INDEX(Sheet2!C:C,QUOTIENT(ROW()-1,19)+2)</f>
        <v>42004</v>
      </c>
      <c r="DK329" s="4" t="e">
        <f>INDEX(Sheet2!$AA$2:$AS$228,QUOTIENT(ROW()-1,19)+1,MOD(ROW()-2,19)+1)</f>
        <v>#N/A</v>
      </c>
      <c r="DL329" t="str">
        <f>IFERROR(INDEX(Sheet2!$AU$2:$BM$228,QUOTIENT(ROW()-1,19)+1,MOD(ROW()-2,19)+1),NA())</f>
        <v/>
      </c>
      <c r="DM329" s="4" t="e">
        <f t="shared" si="36"/>
        <v>#N/A</v>
      </c>
      <c r="DN329" t="e">
        <f t="shared" si="37"/>
        <v>#N/A</v>
      </c>
      <c r="DO329" t="e">
        <f t="shared" si="38"/>
        <v>#N/A</v>
      </c>
    </row>
    <row r="330" spans="7:119" x14ac:dyDescent="0.25">
      <c r="G330"/>
      <c r="DI330" s="4">
        <f>INDEX(Sheet2!A:A,QUOTIENT(ROW()-1,19)+2)</f>
        <v>41080</v>
      </c>
      <c r="DJ330" s="4">
        <f>INDEX(Sheet2!C:C,QUOTIENT(ROW()-1,19)+2)</f>
        <v>42004</v>
      </c>
      <c r="DK330" s="4" t="e">
        <f>INDEX(Sheet2!$AA$2:$AS$228,QUOTIENT(ROW()-1,19)+1,MOD(ROW()-2,19)+1)</f>
        <v>#N/A</v>
      </c>
      <c r="DL330" t="str">
        <f>IFERROR(INDEX(Sheet2!$AU$2:$BM$228,QUOTIENT(ROW()-1,19)+1,MOD(ROW()-2,19)+1),NA())</f>
        <v/>
      </c>
      <c r="DM330" s="4" t="e">
        <f t="shared" si="36"/>
        <v>#N/A</v>
      </c>
      <c r="DN330" t="e">
        <f t="shared" si="37"/>
        <v>#N/A</v>
      </c>
      <c r="DO330" t="e">
        <f t="shared" si="38"/>
        <v>#N/A</v>
      </c>
    </row>
    <row r="331" spans="7:119" x14ac:dyDescent="0.25">
      <c r="G331"/>
      <c r="DI331" s="4">
        <f>INDEX(Sheet2!A:A,QUOTIENT(ROW()-1,19)+2)</f>
        <v>41080</v>
      </c>
      <c r="DJ331" s="4">
        <f>INDEX(Sheet2!C:C,QUOTIENT(ROW()-1,19)+2)</f>
        <v>42004</v>
      </c>
      <c r="DK331" s="4" t="e">
        <f>INDEX(Sheet2!$AA$2:$AS$228,QUOTIENT(ROW()-1,19)+1,MOD(ROW()-2,19)+1)</f>
        <v>#N/A</v>
      </c>
      <c r="DL331" t="str">
        <f>IFERROR(INDEX(Sheet2!$AU$2:$BM$228,QUOTIENT(ROW()-1,19)+1,MOD(ROW()-2,19)+1),NA())</f>
        <v/>
      </c>
      <c r="DM331" s="4" t="e">
        <f t="shared" si="36"/>
        <v>#N/A</v>
      </c>
      <c r="DN331" t="e">
        <f t="shared" si="37"/>
        <v>#N/A</v>
      </c>
      <c r="DO331" t="e">
        <f t="shared" si="38"/>
        <v>#N/A</v>
      </c>
    </row>
    <row r="332" spans="7:119" x14ac:dyDescent="0.25">
      <c r="G332"/>
      <c r="DI332" s="4">
        <f>INDEX(Sheet2!A:A,QUOTIENT(ROW()-1,19)+2)</f>
        <v>41080</v>
      </c>
      <c r="DJ332" s="4">
        <f>INDEX(Sheet2!C:C,QUOTIENT(ROW()-1,19)+2)</f>
        <v>42004</v>
      </c>
      <c r="DK332" s="4" t="e">
        <f>INDEX(Sheet2!$AA$2:$AS$228,QUOTIENT(ROW()-1,19)+1,MOD(ROW()-2,19)+1)</f>
        <v>#N/A</v>
      </c>
      <c r="DL332" t="str">
        <f>IFERROR(INDEX(Sheet2!$AU$2:$BM$228,QUOTIENT(ROW()-1,19)+1,MOD(ROW()-2,19)+1),NA())</f>
        <v/>
      </c>
      <c r="DM332" s="4" t="e">
        <f t="shared" si="36"/>
        <v>#N/A</v>
      </c>
      <c r="DN332" t="e">
        <f t="shared" si="37"/>
        <v>#N/A</v>
      </c>
      <c r="DO332" t="e">
        <f t="shared" si="38"/>
        <v>#N/A</v>
      </c>
    </row>
    <row r="333" spans="7:119" x14ac:dyDescent="0.25">
      <c r="G333"/>
      <c r="DI333" s="4">
        <f>INDEX(Sheet2!A:A,QUOTIENT(ROW()-1,19)+2)</f>
        <v>41080</v>
      </c>
      <c r="DJ333" s="4">
        <f>INDEX(Sheet2!C:C,QUOTIENT(ROW()-1,19)+2)</f>
        <v>42004</v>
      </c>
      <c r="DK333" s="4" t="e">
        <f>INDEX(Sheet2!$AA$2:$AS$228,QUOTIENT(ROW()-1,19)+1,MOD(ROW()-2,19)+1)</f>
        <v>#N/A</v>
      </c>
      <c r="DL333" t="str">
        <f>IFERROR(INDEX(Sheet2!$AU$2:$BM$228,QUOTIENT(ROW()-1,19)+1,MOD(ROW()-2,19)+1),NA())</f>
        <v/>
      </c>
      <c r="DM333" s="4" t="e">
        <f t="shared" si="36"/>
        <v>#N/A</v>
      </c>
      <c r="DN333" t="e">
        <f t="shared" si="37"/>
        <v>#N/A</v>
      </c>
      <c r="DO333" t="e">
        <f t="shared" si="38"/>
        <v>#N/A</v>
      </c>
    </row>
    <row r="334" spans="7:119" x14ac:dyDescent="0.25">
      <c r="G334"/>
      <c r="DI334" s="4">
        <f>INDEX(Sheet2!A:A,QUOTIENT(ROW()-1,19)+2)</f>
        <v>41080</v>
      </c>
      <c r="DJ334" s="4">
        <f>INDEX(Sheet2!C:C,QUOTIENT(ROW()-1,19)+2)</f>
        <v>42004</v>
      </c>
      <c r="DK334" s="4" t="e">
        <f>INDEX(Sheet2!$AA$2:$AS$228,QUOTIENT(ROW()-1,19)+1,MOD(ROW()-2,19)+1)</f>
        <v>#N/A</v>
      </c>
      <c r="DL334" t="str">
        <f>IFERROR(INDEX(Sheet2!$AU$2:$BM$228,QUOTIENT(ROW()-1,19)+1,MOD(ROW()-2,19)+1),NA())</f>
        <v/>
      </c>
      <c r="DM334" s="4" t="e">
        <f t="shared" si="36"/>
        <v>#N/A</v>
      </c>
      <c r="DN334" t="e">
        <f t="shared" si="37"/>
        <v>#N/A</v>
      </c>
      <c r="DO334" t="e">
        <f t="shared" si="38"/>
        <v>#N/A</v>
      </c>
    </row>
    <row r="335" spans="7:119" x14ac:dyDescent="0.25">
      <c r="G335"/>
      <c r="DI335" s="4">
        <f>INDEX(Sheet2!A:A,QUOTIENT(ROW()-1,19)+2)</f>
        <v>41080</v>
      </c>
      <c r="DJ335" s="4">
        <f>INDEX(Sheet2!C:C,QUOTIENT(ROW()-1,19)+2)</f>
        <v>42004</v>
      </c>
      <c r="DK335" s="4" t="e">
        <f>INDEX(Sheet2!$AA$2:$AS$228,QUOTIENT(ROW()-1,19)+1,MOD(ROW()-2,19)+1)</f>
        <v>#N/A</v>
      </c>
      <c r="DL335" t="str">
        <f>IFERROR(INDEX(Sheet2!$AU$2:$BM$228,QUOTIENT(ROW()-1,19)+1,MOD(ROW()-2,19)+1),NA())</f>
        <v/>
      </c>
      <c r="DM335" s="4" t="e">
        <f t="shared" si="36"/>
        <v>#N/A</v>
      </c>
      <c r="DN335" t="e">
        <f t="shared" si="37"/>
        <v>#N/A</v>
      </c>
      <c r="DO335" t="e">
        <f t="shared" si="38"/>
        <v>#N/A</v>
      </c>
    </row>
    <row r="336" spans="7:119" x14ac:dyDescent="0.25">
      <c r="G336"/>
      <c r="DI336" s="4">
        <f>INDEX(Sheet2!A:A,QUOTIENT(ROW()-1,19)+2)</f>
        <v>41080</v>
      </c>
      <c r="DJ336" s="4">
        <f>INDEX(Sheet2!C:C,QUOTIENT(ROW()-1,19)+2)</f>
        <v>42004</v>
      </c>
      <c r="DK336" s="4" t="e">
        <f>INDEX(Sheet2!$AA$2:$AS$228,QUOTIENT(ROW()-1,19)+1,MOD(ROW()-2,19)+1)</f>
        <v>#N/A</v>
      </c>
      <c r="DL336" t="str">
        <f>IFERROR(INDEX(Sheet2!$AU$2:$BM$228,QUOTIENT(ROW()-1,19)+1,MOD(ROW()-2,19)+1),NA())</f>
        <v/>
      </c>
      <c r="DM336" s="4" t="e">
        <f t="shared" si="36"/>
        <v>#N/A</v>
      </c>
      <c r="DN336" t="e">
        <f t="shared" si="37"/>
        <v>#N/A</v>
      </c>
      <c r="DO336" t="e">
        <f t="shared" si="38"/>
        <v>#N/A</v>
      </c>
    </row>
    <row r="337" spans="7:119" x14ac:dyDescent="0.25">
      <c r="G337"/>
      <c r="DI337" s="4">
        <f>INDEX(Sheet2!A:A,QUOTIENT(ROW()-1,19)+2)</f>
        <v>41080</v>
      </c>
      <c r="DJ337" s="4">
        <f>INDEX(Sheet2!C:C,QUOTIENT(ROW()-1,19)+2)</f>
        <v>42004</v>
      </c>
      <c r="DK337" s="4" t="e">
        <f>INDEX(Sheet2!$AA$2:$AS$228,QUOTIENT(ROW()-1,19)+1,MOD(ROW()-2,19)+1)</f>
        <v>#N/A</v>
      </c>
      <c r="DL337" t="str">
        <f>IFERROR(INDEX(Sheet2!$AU$2:$BM$228,QUOTIENT(ROW()-1,19)+1,MOD(ROW()-2,19)+1),NA())</f>
        <v/>
      </c>
      <c r="DM337" s="4" t="e">
        <f t="shared" si="36"/>
        <v>#N/A</v>
      </c>
      <c r="DN337" t="e">
        <f t="shared" si="37"/>
        <v>#N/A</v>
      </c>
      <c r="DO337" t="e">
        <f t="shared" si="38"/>
        <v>#N/A</v>
      </c>
    </row>
    <row r="338" spans="7:119" x14ac:dyDescent="0.25">
      <c r="G338"/>
      <c r="DI338" s="4">
        <f>INDEX(Sheet2!A:A,QUOTIENT(ROW()-1,19)+2)</f>
        <v>41080</v>
      </c>
      <c r="DJ338" s="4">
        <f>INDEX(Sheet2!C:C,QUOTIENT(ROW()-1,19)+2)</f>
        <v>42004</v>
      </c>
      <c r="DK338" s="4" t="e">
        <f>INDEX(Sheet2!$AA$2:$AS$228,QUOTIENT(ROW()-1,19)+1,MOD(ROW()-2,19)+1)</f>
        <v>#N/A</v>
      </c>
      <c r="DL338" t="str">
        <f>IFERROR(INDEX(Sheet2!$AU$2:$BM$228,QUOTIENT(ROW()-1,19)+1,MOD(ROW()-2,19)+1),NA())</f>
        <v/>
      </c>
      <c r="DM338" s="4" t="e">
        <f t="shared" si="36"/>
        <v>#N/A</v>
      </c>
      <c r="DN338" t="e">
        <f t="shared" si="37"/>
        <v>#N/A</v>
      </c>
      <c r="DO338" t="e">
        <f t="shared" si="38"/>
        <v>#N/A</v>
      </c>
    </row>
    <row r="339" spans="7:119" x14ac:dyDescent="0.25">
      <c r="G339"/>
      <c r="DI339" s="4">
        <f>INDEX(Sheet2!A:A,QUOTIENT(ROW()-1,19)+2)</f>
        <v>41080</v>
      </c>
      <c r="DJ339" s="4">
        <f>INDEX(Sheet2!C:C,QUOTIENT(ROW()-1,19)+2)</f>
        <v>42004</v>
      </c>
      <c r="DK339" s="4" t="e">
        <f>INDEX(Sheet2!$AA$2:$AS$228,QUOTIENT(ROW()-1,19)+1,MOD(ROW()-2,19)+1)</f>
        <v>#N/A</v>
      </c>
      <c r="DL339" t="str">
        <f>IFERROR(INDEX(Sheet2!$AU$2:$BM$228,QUOTIENT(ROW()-1,19)+1,MOD(ROW()-2,19)+1),NA())</f>
        <v/>
      </c>
      <c r="DM339" s="4" t="e">
        <f t="shared" si="36"/>
        <v>#N/A</v>
      </c>
      <c r="DN339" t="e">
        <f t="shared" si="37"/>
        <v>#N/A</v>
      </c>
      <c r="DO339" t="e">
        <f t="shared" si="38"/>
        <v>#N/A</v>
      </c>
    </row>
    <row r="340" spans="7:119" x14ac:dyDescent="0.25">
      <c r="G340"/>
      <c r="DI340" s="4">
        <f>INDEX(Sheet2!A:A,QUOTIENT(ROW()-1,19)+2)</f>
        <v>41080</v>
      </c>
      <c r="DJ340" s="4">
        <f>INDEX(Sheet2!C:C,QUOTIENT(ROW()-1,19)+2)</f>
        <v>42004</v>
      </c>
      <c r="DK340" s="4" t="e">
        <f>INDEX(Sheet2!$AA$2:$AS$228,QUOTIENT(ROW()-1,19)+1,MOD(ROW()-2,19)+1)</f>
        <v>#N/A</v>
      </c>
      <c r="DL340" t="str">
        <f>IFERROR(INDEX(Sheet2!$AU$2:$BM$228,QUOTIENT(ROW()-1,19)+1,MOD(ROW()-2,19)+1),NA())</f>
        <v/>
      </c>
      <c r="DM340" s="4" t="e">
        <f t="shared" si="36"/>
        <v>#N/A</v>
      </c>
      <c r="DN340" t="e">
        <f t="shared" si="37"/>
        <v>#N/A</v>
      </c>
      <c r="DO340" t="e">
        <f t="shared" si="38"/>
        <v>#N/A</v>
      </c>
    </row>
    <row r="341" spans="7:119" x14ac:dyDescent="0.25">
      <c r="G341"/>
      <c r="DI341" s="4">
        <f>INDEX(Sheet2!A:A,QUOTIENT(ROW()-1,19)+2)</f>
        <v>41080</v>
      </c>
      <c r="DJ341" s="4">
        <f>INDEX(Sheet2!C:C,QUOTIENT(ROW()-1,19)+2)</f>
        <v>42004</v>
      </c>
      <c r="DK341" s="4" t="e">
        <f>INDEX(Sheet2!$AA$2:$AS$228,QUOTIENT(ROW()-1,19)+1,MOD(ROW()-2,19)+1)</f>
        <v>#N/A</v>
      </c>
      <c r="DL341" t="str">
        <f>IFERROR(INDEX(Sheet2!$AU$2:$BM$228,QUOTIENT(ROW()-1,19)+1,MOD(ROW()-2,19)+1),NA())</f>
        <v/>
      </c>
      <c r="DM341" s="4" t="e">
        <f t="shared" si="36"/>
        <v>#N/A</v>
      </c>
      <c r="DN341" t="e">
        <f t="shared" si="37"/>
        <v>#N/A</v>
      </c>
      <c r="DO341" t="e">
        <f t="shared" si="38"/>
        <v>#N/A</v>
      </c>
    </row>
    <row r="342" spans="7:119" x14ac:dyDescent="0.25">
      <c r="G342"/>
      <c r="DI342" s="4">
        <f>INDEX(Sheet2!A:A,QUOTIENT(ROW()-1,19)+2)</f>
        <v>41080</v>
      </c>
      <c r="DJ342" s="4">
        <f>INDEX(Sheet2!C:C,QUOTIENT(ROW()-1,19)+2)</f>
        <v>42004</v>
      </c>
      <c r="DK342" s="4" t="e">
        <f>INDEX(Sheet2!$AA$2:$AS$228,QUOTIENT(ROW()-1,19)+1,MOD(ROW()-2,19)+1)</f>
        <v>#N/A</v>
      </c>
      <c r="DL342" t="str">
        <f>IFERROR(INDEX(Sheet2!$AU$2:$BM$228,QUOTIENT(ROW()-1,19)+1,MOD(ROW()-2,19)+1),NA())</f>
        <v/>
      </c>
      <c r="DM342" s="4" t="e">
        <f t="shared" si="36"/>
        <v>#N/A</v>
      </c>
      <c r="DN342" t="e">
        <f t="shared" si="37"/>
        <v>#N/A</v>
      </c>
      <c r="DO342" t="e">
        <f t="shared" si="38"/>
        <v>#N/A</v>
      </c>
    </row>
    <row r="343" spans="7:119" x14ac:dyDescent="0.25">
      <c r="G343"/>
      <c r="DI343" s="4">
        <f>INDEX(Sheet2!A:A,QUOTIENT(ROW()-1,19)+2)</f>
        <v>41080</v>
      </c>
      <c r="DJ343" s="4">
        <f>INDEX(Sheet2!C:C,QUOTIENT(ROW()-1,19)+2)</f>
        <v>43100</v>
      </c>
      <c r="DK343" s="4" t="e">
        <f>INDEX(Sheet2!$AA$2:$AS$228,QUOTIENT(ROW()-1,19)+1,MOD(ROW()-2,19)+1)</f>
        <v>#N/A</v>
      </c>
      <c r="DL343" t="str">
        <f>IFERROR(INDEX(Sheet2!$AU$2:$BM$228,QUOTIENT(ROW()-1,19)+1,MOD(ROW()-2,19)+1),NA())</f>
        <v/>
      </c>
      <c r="DM343" s="4" t="e">
        <f t="shared" si="36"/>
        <v>#N/A</v>
      </c>
      <c r="DN343" t="e">
        <f t="shared" si="37"/>
        <v>#N/A</v>
      </c>
      <c r="DO343" t="e">
        <f t="shared" si="38"/>
        <v>#N/A</v>
      </c>
    </row>
    <row r="344" spans="7:119" x14ac:dyDescent="0.25">
      <c r="G344"/>
      <c r="DI344" s="4">
        <f>INDEX(Sheet2!A:A,QUOTIENT(ROW()-1,19)+2)</f>
        <v>41080</v>
      </c>
      <c r="DJ344" s="4">
        <f>INDEX(Sheet2!C:C,QUOTIENT(ROW()-1,19)+2)</f>
        <v>43100</v>
      </c>
      <c r="DK344" s="4">
        <f>INDEX(Sheet2!$AA$2:$AS$228,QUOTIENT(ROW()-1,19)+1,MOD(ROW()-2,19)+1)</f>
        <v>43100</v>
      </c>
      <c r="DL344">
        <f>IFERROR(INDEX(Sheet2!$AU$2:$BM$228,QUOTIENT(ROW()-1,19)+1,MOD(ROW()-2,19)+1),NA())</f>
        <v>3</v>
      </c>
      <c r="DM344" s="4" t="e">
        <f t="shared" si="36"/>
        <v>#N/A</v>
      </c>
      <c r="DN344" t="e">
        <f t="shared" si="37"/>
        <v>#N/A</v>
      </c>
      <c r="DO344" t="e">
        <f t="shared" si="38"/>
        <v>#N/A</v>
      </c>
    </row>
    <row r="345" spans="7:119" x14ac:dyDescent="0.25">
      <c r="G345"/>
      <c r="DI345" s="4">
        <f>INDEX(Sheet2!A:A,QUOTIENT(ROW()-1,19)+2)</f>
        <v>41080</v>
      </c>
      <c r="DJ345" s="4">
        <f>INDEX(Sheet2!C:C,QUOTIENT(ROW()-1,19)+2)</f>
        <v>43100</v>
      </c>
      <c r="DK345" s="4" t="e">
        <f>INDEX(Sheet2!$AA$2:$AS$228,QUOTIENT(ROW()-1,19)+1,MOD(ROW()-2,19)+1)</f>
        <v>#N/A</v>
      </c>
      <c r="DL345" t="str">
        <f>IFERROR(INDEX(Sheet2!$AU$2:$BM$228,QUOTIENT(ROW()-1,19)+1,MOD(ROW()-2,19)+1),NA())</f>
        <v/>
      </c>
      <c r="DM345" s="4" t="e">
        <f t="shared" si="36"/>
        <v>#N/A</v>
      </c>
      <c r="DN345" t="e">
        <f t="shared" si="37"/>
        <v>#N/A</v>
      </c>
      <c r="DO345" t="e">
        <f t="shared" si="38"/>
        <v>#N/A</v>
      </c>
    </row>
    <row r="346" spans="7:119" x14ac:dyDescent="0.25">
      <c r="G346"/>
      <c r="DI346" s="4">
        <f>INDEX(Sheet2!A:A,QUOTIENT(ROW()-1,19)+2)</f>
        <v>41080</v>
      </c>
      <c r="DJ346" s="4">
        <f>INDEX(Sheet2!C:C,QUOTIENT(ROW()-1,19)+2)</f>
        <v>43100</v>
      </c>
      <c r="DK346" s="4" t="e">
        <f>INDEX(Sheet2!$AA$2:$AS$228,QUOTIENT(ROW()-1,19)+1,MOD(ROW()-2,19)+1)</f>
        <v>#N/A</v>
      </c>
      <c r="DL346" t="str">
        <f>IFERROR(INDEX(Sheet2!$AU$2:$BM$228,QUOTIENT(ROW()-1,19)+1,MOD(ROW()-2,19)+1),NA())</f>
        <v/>
      </c>
      <c r="DM346" s="4" t="e">
        <f t="shared" si="36"/>
        <v>#N/A</v>
      </c>
      <c r="DN346" t="e">
        <f t="shared" si="37"/>
        <v>#N/A</v>
      </c>
      <c r="DO346" t="e">
        <f t="shared" si="38"/>
        <v>#N/A</v>
      </c>
    </row>
    <row r="347" spans="7:119" x14ac:dyDescent="0.25">
      <c r="G347"/>
      <c r="DI347" s="4">
        <f>INDEX(Sheet2!A:A,QUOTIENT(ROW()-1,19)+2)</f>
        <v>41080</v>
      </c>
      <c r="DJ347" s="4">
        <f>INDEX(Sheet2!C:C,QUOTIENT(ROW()-1,19)+2)</f>
        <v>43100</v>
      </c>
      <c r="DK347" s="4" t="e">
        <f>INDEX(Sheet2!$AA$2:$AS$228,QUOTIENT(ROW()-1,19)+1,MOD(ROW()-2,19)+1)</f>
        <v>#N/A</v>
      </c>
      <c r="DL347" t="str">
        <f>IFERROR(INDEX(Sheet2!$AU$2:$BM$228,QUOTIENT(ROW()-1,19)+1,MOD(ROW()-2,19)+1),NA())</f>
        <v/>
      </c>
      <c r="DM347" s="4" t="e">
        <f t="shared" si="36"/>
        <v>#N/A</v>
      </c>
      <c r="DN347" t="e">
        <f t="shared" si="37"/>
        <v>#N/A</v>
      </c>
      <c r="DO347" t="e">
        <f t="shared" si="38"/>
        <v>#N/A</v>
      </c>
    </row>
    <row r="348" spans="7:119" x14ac:dyDescent="0.25">
      <c r="G348"/>
      <c r="DI348" s="4">
        <f>INDEX(Sheet2!A:A,QUOTIENT(ROW()-1,19)+2)</f>
        <v>41080</v>
      </c>
      <c r="DJ348" s="4">
        <f>INDEX(Sheet2!C:C,QUOTIENT(ROW()-1,19)+2)</f>
        <v>43100</v>
      </c>
      <c r="DK348" s="4" t="e">
        <f>INDEX(Sheet2!$AA$2:$AS$228,QUOTIENT(ROW()-1,19)+1,MOD(ROW()-2,19)+1)</f>
        <v>#N/A</v>
      </c>
      <c r="DL348" t="str">
        <f>IFERROR(INDEX(Sheet2!$AU$2:$BM$228,QUOTIENT(ROW()-1,19)+1,MOD(ROW()-2,19)+1),NA())</f>
        <v/>
      </c>
      <c r="DM348" s="4" t="e">
        <f t="shared" si="36"/>
        <v>#N/A</v>
      </c>
      <c r="DN348" t="e">
        <f t="shared" si="37"/>
        <v>#N/A</v>
      </c>
      <c r="DO348" t="e">
        <f t="shared" si="38"/>
        <v>#N/A</v>
      </c>
    </row>
    <row r="349" spans="7:119" x14ac:dyDescent="0.25">
      <c r="G349"/>
      <c r="DI349" s="4">
        <f>INDEX(Sheet2!A:A,QUOTIENT(ROW()-1,19)+2)</f>
        <v>41080</v>
      </c>
      <c r="DJ349" s="4">
        <f>INDEX(Sheet2!C:C,QUOTIENT(ROW()-1,19)+2)</f>
        <v>43100</v>
      </c>
      <c r="DK349" s="4" t="e">
        <f>INDEX(Sheet2!$AA$2:$AS$228,QUOTIENT(ROW()-1,19)+1,MOD(ROW()-2,19)+1)</f>
        <v>#N/A</v>
      </c>
      <c r="DL349" t="str">
        <f>IFERROR(INDEX(Sheet2!$AU$2:$BM$228,QUOTIENT(ROW()-1,19)+1,MOD(ROW()-2,19)+1),NA())</f>
        <v/>
      </c>
      <c r="DM349" s="4" t="e">
        <f t="shared" si="36"/>
        <v>#N/A</v>
      </c>
      <c r="DN349" t="e">
        <f t="shared" si="37"/>
        <v>#N/A</v>
      </c>
      <c r="DO349" t="e">
        <f t="shared" si="38"/>
        <v>#N/A</v>
      </c>
    </row>
    <row r="350" spans="7:119" x14ac:dyDescent="0.25">
      <c r="G350"/>
      <c r="DI350" s="4">
        <f>INDEX(Sheet2!A:A,QUOTIENT(ROW()-1,19)+2)</f>
        <v>41080</v>
      </c>
      <c r="DJ350" s="4">
        <f>INDEX(Sheet2!C:C,QUOTIENT(ROW()-1,19)+2)</f>
        <v>43100</v>
      </c>
      <c r="DK350" s="4" t="e">
        <f>INDEX(Sheet2!$AA$2:$AS$228,QUOTIENT(ROW()-1,19)+1,MOD(ROW()-2,19)+1)</f>
        <v>#N/A</v>
      </c>
      <c r="DL350" t="str">
        <f>IFERROR(INDEX(Sheet2!$AU$2:$BM$228,QUOTIENT(ROW()-1,19)+1,MOD(ROW()-2,19)+1),NA())</f>
        <v/>
      </c>
      <c r="DM350" s="4" t="e">
        <f t="shared" si="36"/>
        <v>#N/A</v>
      </c>
      <c r="DN350" t="e">
        <f t="shared" si="37"/>
        <v>#N/A</v>
      </c>
      <c r="DO350" t="e">
        <f t="shared" si="38"/>
        <v>#N/A</v>
      </c>
    </row>
    <row r="351" spans="7:119" x14ac:dyDescent="0.25">
      <c r="G351"/>
      <c r="DI351" s="4">
        <f>INDEX(Sheet2!A:A,QUOTIENT(ROW()-1,19)+2)</f>
        <v>41080</v>
      </c>
      <c r="DJ351" s="4">
        <f>INDEX(Sheet2!C:C,QUOTIENT(ROW()-1,19)+2)</f>
        <v>43100</v>
      </c>
      <c r="DK351" s="4" t="e">
        <f>INDEX(Sheet2!$AA$2:$AS$228,QUOTIENT(ROW()-1,19)+1,MOD(ROW()-2,19)+1)</f>
        <v>#N/A</v>
      </c>
      <c r="DL351" t="str">
        <f>IFERROR(INDEX(Sheet2!$AU$2:$BM$228,QUOTIENT(ROW()-1,19)+1,MOD(ROW()-2,19)+1),NA())</f>
        <v/>
      </c>
      <c r="DM351" s="4" t="e">
        <f t="shared" si="36"/>
        <v>#N/A</v>
      </c>
      <c r="DN351" t="e">
        <f t="shared" si="37"/>
        <v>#N/A</v>
      </c>
      <c r="DO351" t="e">
        <f t="shared" si="38"/>
        <v>#N/A</v>
      </c>
    </row>
    <row r="352" spans="7:119" x14ac:dyDescent="0.25">
      <c r="G352"/>
      <c r="DI352" s="4">
        <f>INDEX(Sheet2!A:A,QUOTIENT(ROW()-1,19)+2)</f>
        <v>41080</v>
      </c>
      <c r="DJ352" s="4">
        <f>INDEX(Sheet2!C:C,QUOTIENT(ROW()-1,19)+2)</f>
        <v>43100</v>
      </c>
      <c r="DK352" s="4" t="e">
        <f>INDEX(Sheet2!$AA$2:$AS$228,QUOTIENT(ROW()-1,19)+1,MOD(ROW()-2,19)+1)</f>
        <v>#N/A</v>
      </c>
      <c r="DL352" t="str">
        <f>IFERROR(INDEX(Sheet2!$AU$2:$BM$228,QUOTIENT(ROW()-1,19)+1,MOD(ROW()-2,19)+1),NA())</f>
        <v/>
      </c>
      <c r="DM352" s="4" t="e">
        <f t="shared" si="36"/>
        <v>#N/A</v>
      </c>
      <c r="DN352" t="e">
        <f t="shared" si="37"/>
        <v>#N/A</v>
      </c>
      <c r="DO352" t="e">
        <f t="shared" si="38"/>
        <v>#N/A</v>
      </c>
    </row>
    <row r="353" spans="7:119" x14ac:dyDescent="0.25">
      <c r="G353"/>
      <c r="DI353" s="4">
        <f>INDEX(Sheet2!A:A,QUOTIENT(ROW()-1,19)+2)</f>
        <v>41080</v>
      </c>
      <c r="DJ353" s="4">
        <f>INDEX(Sheet2!C:C,QUOTIENT(ROW()-1,19)+2)</f>
        <v>43100</v>
      </c>
      <c r="DK353" s="4" t="e">
        <f>INDEX(Sheet2!$AA$2:$AS$228,QUOTIENT(ROW()-1,19)+1,MOD(ROW()-2,19)+1)</f>
        <v>#N/A</v>
      </c>
      <c r="DL353" t="str">
        <f>IFERROR(INDEX(Sheet2!$AU$2:$BM$228,QUOTIENT(ROW()-1,19)+1,MOD(ROW()-2,19)+1),NA())</f>
        <v/>
      </c>
      <c r="DM353" s="4" t="e">
        <f t="shared" si="36"/>
        <v>#N/A</v>
      </c>
      <c r="DN353" t="e">
        <f t="shared" si="37"/>
        <v>#N/A</v>
      </c>
      <c r="DO353" t="e">
        <f t="shared" si="38"/>
        <v>#N/A</v>
      </c>
    </row>
    <row r="354" spans="7:119" x14ac:dyDescent="0.25">
      <c r="G354"/>
      <c r="DI354" s="4">
        <f>INDEX(Sheet2!A:A,QUOTIENT(ROW()-1,19)+2)</f>
        <v>41080</v>
      </c>
      <c r="DJ354" s="4">
        <f>INDEX(Sheet2!C:C,QUOTIENT(ROW()-1,19)+2)</f>
        <v>43100</v>
      </c>
      <c r="DK354" s="4" t="e">
        <f>INDEX(Sheet2!$AA$2:$AS$228,QUOTIENT(ROW()-1,19)+1,MOD(ROW()-2,19)+1)</f>
        <v>#N/A</v>
      </c>
      <c r="DL354" t="str">
        <f>IFERROR(INDEX(Sheet2!$AU$2:$BM$228,QUOTIENT(ROW()-1,19)+1,MOD(ROW()-2,19)+1),NA())</f>
        <v/>
      </c>
      <c r="DM354" s="4" t="e">
        <f t="shared" si="36"/>
        <v>#N/A</v>
      </c>
      <c r="DN354" t="e">
        <f t="shared" si="37"/>
        <v>#N/A</v>
      </c>
      <c r="DO354" t="e">
        <f t="shared" si="38"/>
        <v>#N/A</v>
      </c>
    </row>
    <row r="355" spans="7:119" x14ac:dyDescent="0.25">
      <c r="G355"/>
      <c r="DI355" s="4">
        <f>INDEX(Sheet2!A:A,QUOTIENT(ROW()-1,19)+2)</f>
        <v>41080</v>
      </c>
      <c r="DJ355" s="4">
        <f>INDEX(Sheet2!C:C,QUOTIENT(ROW()-1,19)+2)</f>
        <v>43100</v>
      </c>
      <c r="DK355" s="4" t="e">
        <f>INDEX(Sheet2!$AA$2:$AS$228,QUOTIENT(ROW()-1,19)+1,MOD(ROW()-2,19)+1)</f>
        <v>#N/A</v>
      </c>
      <c r="DL355" t="str">
        <f>IFERROR(INDEX(Sheet2!$AU$2:$BM$228,QUOTIENT(ROW()-1,19)+1,MOD(ROW()-2,19)+1),NA())</f>
        <v/>
      </c>
      <c r="DM355" s="4" t="e">
        <f t="shared" si="36"/>
        <v>#N/A</v>
      </c>
      <c r="DN355" t="e">
        <f t="shared" si="37"/>
        <v>#N/A</v>
      </c>
      <c r="DO355" t="e">
        <f t="shared" si="38"/>
        <v>#N/A</v>
      </c>
    </row>
    <row r="356" spans="7:119" x14ac:dyDescent="0.25">
      <c r="G356"/>
      <c r="DI356" s="4">
        <f>INDEX(Sheet2!A:A,QUOTIENT(ROW()-1,19)+2)</f>
        <v>41080</v>
      </c>
      <c r="DJ356" s="4">
        <f>INDEX(Sheet2!C:C,QUOTIENT(ROW()-1,19)+2)</f>
        <v>43100</v>
      </c>
      <c r="DK356" s="4" t="e">
        <f>INDEX(Sheet2!$AA$2:$AS$228,QUOTIENT(ROW()-1,19)+1,MOD(ROW()-2,19)+1)</f>
        <v>#N/A</v>
      </c>
      <c r="DL356" t="str">
        <f>IFERROR(INDEX(Sheet2!$AU$2:$BM$228,QUOTIENT(ROW()-1,19)+1,MOD(ROW()-2,19)+1),NA())</f>
        <v/>
      </c>
      <c r="DM356" s="4" t="e">
        <f t="shared" si="36"/>
        <v>#N/A</v>
      </c>
      <c r="DN356" t="e">
        <f t="shared" si="37"/>
        <v>#N/A</v>
      </c>
      <c r="DO356" t="e">
        <f t="shared" si="38"/>
        <v>#N/A</v>
      </c>
    </row>
    <row r="357" spans="7:119" x14ac:dyDescent="0.25">
      <c r="G357"/>
      <c r="DI357" s="4">
        <f>INDEX(Sheet2!A:A,QUOTIENT(ROW()-1,19)+2)</f>
        <v>41080</v>
      </c>
      <c r="DJ357" s="4">
        <f>INDEX(Sheet2!C:C,QUOTIENT(ROW()-1,19)+2)</f>
        <v>43100</v>
      </c>
      <c r="DK357" s="4" t="e">
        <f>INDEX(Sheet2!$AA$2:$AS$228,QUOTIENT(ROW()-1,19)+1,MOD(ROW()-2,19)+1)</f>
        <v>#N/A</v>
      </c>
      <c r="DL357" t="str">
        <f>IFERROR(INDEX(Sheet2!$AU$2:$BM$228,QUOTIENT(ROW()-1,19)+1,MOD(ROW()-2,19)+1),NA())</f>
        <v/>
      </c>
      <c r="DM357" s="4" t="e">
        <f t="shared" si="36"/>
        <v>#N/A</v>
      </c>
      <c r="DN357" t="e">
        <f t="shared" si="37"/>
        <v>#N/A</v>
      </c>
      <c r="DO357" t="e">
        <f t="shared" si="38"/>
        <v>#N/A</v>
      </c>
    </row>
    <row r="358" spans="7:119" x14ac:dyDescent="0.25">
      <c r="G358"/>
      <c r="DI358" s="4">
        <f>INDEX(Sheet2!A:A,QUOTIENT(ROW()-1,19)+2)</f>
        <v>41080</v>
      </c>
      <c r="DJ358" s="4">
        <f>INDEX(Sheet2!C:C,QUOTIENT(ROW()-1,19)+2)</f>
        <v>43100</v>
      </c>
      <c r="DK358" s="4" t="e">
        <f>INDEX(Sheet2!$AA$2:$AS$228,QUOTIENT(ROW()-1,19)+1,MOD(ROW()-2,19)+1)</f>
        <v>#N/A</v>
      </c>
      <c r="DL358" t="str">
        <f>IFERROR(INDEX(Sheet2!$AU$2:$BM$228,QUOTIENT(ROW()-1,19)+1,MOD(ROW()-2,19)+1),NA())</f>
        <v/>
      </c>
      <c r="DM358" s="4" t="e">
        <f t="shared" si="36"/>
        <v>#N/A</v>
      </c>
      <c r="DN358" t="e">
        <f t="shared" si="37"/>
        <v>#N/A</v>
      </c>
      <c r="DO358" t="e">
        <f t="shared" si="38"/>
        <v>#N/A</v>
      </c>
    </row>
    <row r="359" spans="7:119" x14ac:dyDescent="0.25">
      <c r="G359"/>
      <c r="DI359" s="4">
        <f>INDEX(Sheet2!A:A,QUOTIENT(ROW()-1,19)+2)</f>
        <v>41080</v>
      </c>
      <c r="DJ359" s="4">
        <f>INDEX(Sheet2!C:C,QUOTIENT(ROW()-1,19)+2)</f>
        <v>43100</v>
      </c>
      <c r="DK359" s="4" t="e">
        <f>INDEX(Sheet2!$AA$2:$AS$228,QUOTIENT(ROW()-1,19)+1,MOD(ROW()-2,19)+1)</f>
        <v>#N/A</v>
      </c>
      <c r="DL359" t="str">
        <f>IFERROR(INDEX(Sheet2!$AU$2:$BM$228,QUOTIENT(ROW()-1,19)+1,MOD(ROW()-2,19)+1),NA())</f>
        <v/>
      </c>
      <c r="DM359" s="4" t="e">
        <f t="shared" si="36"/>
        <v>#N/A</v>
      </c>
      <c r="DN359" t="e">
        <f t="shared" si="37"/>
        <v>#N/A</v>
      </c>
      <c r="DO359" t="e">
        <f t="shared" si="38"/>
        <v>#N/A</v>
      </c>
    </row>
    <row r="360" spans="7:119" x14ac:dyDescent="0.25">
      <c r="G360"/>
      <c r="DI360" s="4">
        <f>INDEX(Sheet2!A:A,QUOTIENT(ROW()-1,19)+2)</f>
        <v>41080</v>
      </c>
      <c r="DJ360" s="4">
        <f>INDEX(Sheet2!C:C,QUOTIENT(ROW()-1,19)+2)</f>
        <v>43100</v>
      </c>
      <c r="DK360" s="4" t="e">
        <f>INDEX(Sheet2!$AA$2:$AS$228,QUOTIENT(ROW()-1,19)+1,MOD(ROW()-2,19)+1)</f>
        <v>#N/A</v>
      </c>
      <c r="DL360" t="str">
        <f>IFERROR(INDEX(Sheet2!$AU$2:$BM$228,QUOTIENT(ROW()-1,19)+1,MOD(ROW()-2,19)+1),NA())</f>
        <v/>
      </c>
      <c r="DM360" s="4" t="e">
        <f t="shared" si="36"/>
        <v>#N/A</v>
      </c>
      <c r="DN360" t="e">
        <f t="shared" si="37"/>
        <v>#N/A</v>
      </c>
      <c r="DO360" t="e">
        <f t="shared" si="38"/>
        <v>#N/A</v>
      </c>
    </row>
    <row r="361" spans="7:119" x14ac:dyDescent="0.25">
      <c r="G361"/>
      <c r="DI361" s="4">
        <f>INDEX(Sheet2!A:A,QUOTIENT(ROW()-1,19)+2)</f>
        <v>41080</v>
      </c>
      <c r="DJ361" s="4">
        <f>INDEX(Sheet2!C:C,QUOTIENT(ROW()-1,19)+2)</f>
        <v>43100</v>
      </c>
      <c r="DK361" s="4" t="e">
        <f>INDEX(Sheet2!$AA$2:$AS$228,QUOTIENT(ROW()-1,19)+1,MOD(ROW()-2,19)+1)</f>
        <v>#N/A</v>
      </c>
      <c r="DL361" t="str">
        <f>IFERROR(INDEX(Sheet2!$AU$2:$BM$228,QUOTIENT(ROW()-1,19)+1,MOD(ROW()-2,19)+1),NA())</f>
        <v/>
      </c>
      <c r="DM361" s="4" t="e">
        <f t="shared" si="36"/>
        <v>#N/A</v>
      </c>
      <c r="DN361" t="e">
        <f t="shared" si="37"/>
        <v>#N/A</v>
      </c>
      <c r="DO361" t="e">
        <f t="shared" si="38"/>
        <v>#N/A</v>
      </c>
    </row>
    <row r="362" spans="7:119" x14ac:dyDescent="0.25">
      <c r="G362"/>
      <c r="DI362" s="4">
        <f>INDEX(Sheet2!A:A,QUOTIENT(ROW()-1,19)+2)</f>
        <v>41080</v>
      </c>
      <c r="DJ362" s="4">
        <f>INDEX(Sheet2!C:C,QUOTIENT(ROW()-1,19)+2)</f>
        <v>43100</v>
      </c>
      <c r="DK362" s="4" t="e">
        <f>INDEX(Sheet2!$AA$2:$AS$228,QUOTIENT(ROW()-1,19)+1,MOD(ROW()-2,19)+1)</f>
        <v>#N/A</v>
      </c>
      <c r="DL362" t="str">
        <f>IFERROR(INDEX(Sheet2!$AU$2:$BM$228,QUOTIENT(ROW()-1,19)+1,MOD(ROW()-2,19)+1),NA())</f>
        <v/>
      </c>
      <c r="DM362" s="4" t="e">
        <f t="shared" si="36"/>
        <v>#N/A</v>
      </c>
      <c r="DN362" t="e">
        <f t="shared" si="37"/>
        <v>#N/A</v>
      </c>
      <c r="DO362" t="e">
        <f t="shared" si="38"/>
        <v>#N/A</v>
      </c>
    </row>
    <row r="363" spans="7:119" x14ac:dyDescent="0.25">
      <c r="G363"/>
      <c r="DI363" s="4">
        <f>INDEX(Sheet2!A:A,QUOTIENT(ROW()-1,19)+2)</f>
        <v>41080</v>
      </c>
      <c r="DJ363" s="4">
        <f>INDEX(Sheet2!C:C,QUOTIENT(ROW()-1,19)+2)</f>
        <v>43100</v>
      </c>
      <c r="DK363" s="4">
        <f>INDEX(Sheet2!$AA$2:$AS$228,QUOTIENT(ROW()-1,19)+1,MOD(ROW()-2,19)+1)</f>
        <v>43100</v>
      </c>
      <c r="DL363">
        <f>IFERROR(INDEX(Sheet2!$AU$2:$BM$228,QUOTIENT(ROW()-1,19)+1,MOD(ROW()-2,19)+1),NA())</f>
        <v>3.5</v>
      </c>
      <c r="DM363" s="4" t="e">
        <f t="shared" si="36"/>
        <v>#N/A</v>
      </c>
      <c r="DN363" t="e">
        <f t="shared" si="37"/>
        <v>#N/A</v>
      </c>
      <c r="DO363" t="e">
        <f t="shared" si="38"/>
        <v>#N/A</v>
      </c>
    </row>
    <row r="364" spans="7:119" x14ac:dyDescent="0.25">
      <c r="G364"/>
      <c r="DI364" s="4">
        <f>INDEX(Sheet2!A:A,QUOTIENT(ROW()-1,19)+2)</f>
        <v>41080</v>
      </c>
      <c r="DJ364" s="4">
        <f>INDEX(Sheet2!C:C,QUOTIENT(ROW()-1,19)+2)</f>
        <v>43100</v>
      </c>
      <c r="DK364" s="4" t="e">
        <f>INDEX(Sheet2!$AA$2:$AS$228,QUOTIENT(ROW()-1,19)+1,MOD(ROW()-2,19)+1)</f>
        <v>#N/A</v>
      </c>
      <c r="DL364" t="str">
        <f>IFERROR(INDEX(Sheet2!$AU$2:$BM$228,QUOTIENT(ROW()-1,19)+1,MOD(ROW()-2,19)+1),NA())</f>
        <v/>
      </c>
      <c r="DM364" s="4" t="e">
        <f t="shared" si="36"/>
        <v>#N/A</v>
      </c>
      <c r="DN364" t="e">
        <f t="shared" si="37"/>
        <v>#N/A</v>
      </c>
      <c r="DO364" t="e">
        <f t="shared" si="38"/>
        <v>#N/A</v>
      </c>
    </row>
    <row r="365" spans="7:119" x14ac:dyDescent="0.25">
      <c r="G365"/>
      <c r="DI365" s="4">
        <f>INDEX(Sheet2!A:A,QUOTIENT(ROW()-1,19)+2)</f>
        <v>41080</v>
      </c>
      <c r="DJ365" s="4">
        <f>INDEX(Sheet2!C:C,QUOTIENT(ROW()-1,19)+2)</f>
        <v>43100</v>
      </c>
      <c r="DK365" s="4" t="e">
        <f>INDEX(Sheet2!$AA$2:$AS$228,QUOTIENT(ROW()-1,19)+1,MOD(ROW()-2,19)+1)</f>
        <v>#N/A</v>
      </c>
      <c r="DL365" t="str">
        <f>IFERROR(INDEX(Sheet2!$AU$2:$BM$228,QUOTIENT(ROW()-1,19)+1,MOD(ROW()-2,19)+1),NA())</f>
        <v/>
      </c>
      <c r="DM365" s="4" t="e">
        <f t="shared" si="36"/>
        <v>#N/A</v>
      </c>
      <c r="DN365" t="e">
        <f t="shared" si="37"/>
        <v>#N/A</v>
      </c>
      <c r="DO365" t="e">
        <f t="shared" si="38"/>
        <v>#N/A</v>
      </c>
    </row>
    <row r="366" spans="7:119" x14ac:dyDescent="0.25">
      <c r="G366"/>
      <c r="DI366" s="4">
        <f>INDEX(Sheet2!A:A,QUOTIENT(ROW()-1,19)+2)</f>
        <v>41080</v>
      </c>
      <c r="DJ366" s="4">
        <f>INDEX(Sheet2!C:C,QUOTIENT(ROW()-1,19)+2)</f>
        <v>43100</v>
      </c>
      <c r="DK366" s="4" t="e">
        <f>INDEX(Sheet2!$AA$2:$AS$228,QUOTIENT(ROW()-1,19)+1,MOD(ROW()-2,19)+1)</f>
        <v>#N/A</v>
      </c>
      <c r="DL366" t="str">
        <f>IFERROR(INDEX(Sheet2!$AU$2:$BM$228,QUOTIENT(ROW()-1,19)+1,MOD(ROW()-2,19)+1),NA())</f>
        <v/>
      </c>
      <c r="DM366" s="4" t="e">
        <f t="shared" si="36"/>
        <v>#N/A</v>
      </c>
      <c r="DN366" t="e">
        <f t="shared" si="37"/>
        <v>#N/A</v>
      </c>
      <c r="DO366" t="e">
        <f t="shared" si="38"/>
        <v>#N/A</v>
      </c>
    </row>
    <row r="367" spans="7:119" x14ac:dyDescent="0.25">
      <c r="G367"/>
      <c r="DI367" s="4">
        <f>INDEX(Sheet2!A:A,QUOTIENT(ROW()-1,19)+2)</f>
        <v>41080</v>
      </c>
      <c r="DJ367" s="4">
        <f>INDEX(Sheet2!C:C,QUOTIENT(ROW()-1,19)+2)</f>
        <v>43100</v>
      </c>
      <c r="DK367" s="4" t="e">
        <f>INDEX(Sheet2!$AA$2:$AS$228,QUOTIENT(ROW()-1,19)+1,MOD(ROW()-2,19)+1)</f>
        <v>#N/A</v>
      </c>
      <c r="DL367" t="str">
        <f>IFERROR(INDEX(Sheet2!$AU$2:$BM$228,QUOTIENT(ROW()-1,19)+1,MOD(ROW()-2,19)+1),NA())</f>
        <v/>
      </c>
      <c r="DM367" s="4" t="e">
        <f t="shared" si="36"/>
        <v>#N/A</v>
      </c>
      <c r="DN367" t="e">
        <f t="shared" si="37"/>
        <v>#N/A</v>
      </c>
      <c r="DO367" t="e">
        <f t="shared" si="38"/>
        <v>#N/A</v>
      </c>
    </row>
    <row r="368" spans="7:119" x14ac:dyDescent="0.25">
      <c r="G368"/>
      <c r="DI368" s="4">
        <f>INDEX(Sheet2!A:A,QUOTIENT(ROW()-1,19)+2)</f>
        <v>41080</v>
      </c>
      <c r="DJ368" s="4">
        <f>INDEX(Sheet2!C:C,QUOTIENT(ROW()-1,19)+2)</f>
        <v>43100</v>
      </c>
      <c r="DK368" s="4" t="e">
        <f>INDEX(Sheet2!$AA$2:$AS$228,QUOTIENT(ROW()-1,19)+1,MOD(ROW()-2,19)+1)</f>
        <v>#N/A</v>
      </c>
      <c r="DL368" t="str">
        <f>IFERROR(INDEX(Sheet2!$AU$2:$BM$228,QUOTIENT(ROW()-1,19)+1,MOD(ROW()-2,19)+1),NA())</f>
        <v/>
      </c>
      <c r="DM368" s="4" t="e">
        <f t="shared" si="36"/>
        <v>#N/A</v>
      </c>
      <c r="DN368" t="e">
        <f t="shared" si="37"/>
        <v>#N/A</v>
      </c>
      <c r="DO368" t="e">
        <f t="shared" si="38"/>
        <v>#N/A</v>
      </c>
    </row>
    <row r="369" spans="7:119" x14ac:dyDescent="0.25">
      <c r="G369"/>
      <c r="DI369" s="4">
        <f>INDEX(Sheet2!A:A,QUOTIENT(ROW()-1,19)+2)</f>
        <v>41080</v>
      </c>
      <c r="DJ369" s="4">
        <f>INDEX(Sheet2!C:C,QUOTIENT(ROW()-1,19)+2)</f>
        <v>43100</v>
      </c>
      <c r="DK369" s="4" t="e">
        <f>INDEX(Sheet2!$AA$2:$AS$228,QUOTIENT(ROW()-1,19)+1,MOD(ROW()-2,19)+1)</f>
        <v>#N/A</v>
      </c>
      <c r="DL369" t="str">
        <f>IFERROR(INDEX(Sheet2!$AU$2:$BM$228,QUOTIENT(ROW()-1,19)+1,MOD(ROW()-2,19)+1),NA())</f>
        <v/>
      </c>
      <c r="DM369" s="4" t="e">
        <f t="shared" si="36"/>
        <v>#N/A</v>
      </c>
      <c r="DN369" t="e">
        <f t="shared" si="37"/>
        <v>#N/A</v>
      </c>
      <c r="DO369" t="e">
        <f t="shared" si="38"/>
        <v>#N/A</v>
      </c>
    </row>
    <row r="370" spans="7:119" x14ac:dyDescent="0.25">
      <c r="G370"/>
      <c r="DI370" s="4">
        <f>INDEX(Sheet2!A:A,QUOTIENT(ROW()-1,19)+2)</f>
        <v>41080</v>
      </c>
      <c r="DJ370" s="4">
        <f>INDEX(Sheet2!C:C,QUOTIENT(ROW()-1,19)+2)</f>
        <v>43100</v>
      </c>
      <c r="DK370" s="4" t="e">
        <f>INDEX(Sheet2!$AA$2:$AS$228,QUOTIENT(ROW()-1,19)+1,MOD(ROW()-2,19)+1)</f>
        <v>#N/A</v>
      </c>
      <c r="DL370" t="str">
        <f>IFERROR(INDEX(Sheet2!$AU$2:$BM$228,QUOTIENT(ROW()-1,19)+1,MOD(ROW()-2,19)+1),NA())</f>
        <v/>
      </c>
      <c r="DM370" s="4" t="e">
        <f t="shared" si="36"/>
        <v>#N/A</v>
      </c>
      <c r="DN370" t="e">
        <f t="shared" si="37"/>
        <v>#N/A</v>
      </c>
      <c r="DO370" t="e">
        <f t="shared" si="38"/>
        <v>#N/A</v>
      </c>
    </row>
    <row r="371" spans="7:119" x14ac:dyDescent="0.25">
      <c r="G371"/>
      <c r="DI371" s="4">
        <f>INDEX(Sheet2!A:A,QUOTIENT(ROW()-1,19)+2)</f>
        <v>41080</v>
      </c>
      <c r="DJ371" s="4">
        <f>INDEX(Sheet2!C:C,QUOTIENT(ROW()-1,19)+2)</f>
        <v>43100</v>
      </c>
      <c r="DK371" s="4" t="e">
        <f>INDEX(Sheet2!$AA$2:$AS$228,QUOTIENT(ROW()-1,19)+1,MOD(ROW()-2,19)+1)</f>
        <v>#N/A</v>
      </c>
      <c r="DL371" t="str">
        <f>IFERROR(INDEX(Sheet2!$AU$2:$BM$228,QUOTIENT(ROW()-1,19)+1,MOD(ROW()-2,19)+1),NA())</f>
        <v/>
      </c>
      <c r="DM371" s="4" t="e">
        <f t="shared" si="36"/>
        <v>#N/A</v>
      </c>
      <c r="DN371" t="e">
        <f t="shared" si="37"/>
        <v>#N/A</v>
      </c>
      <c r="DO371" t="e">
        <f t="shared" si="38"/>
        <v>#N/A</v>
      </c>
    </row>
    <row r="372" spans="7:119" x14ac:dyDescent="0.25">
      <c r="G372"/>
      <c r="DI372" s="4">
        <f>INDEX(Sheet2!A:A,QUOTIENT(ROW()-1,19)+2)</f>
        <v>41080</v>
      </c>
      <c r="DJ372" s="4">
        <f>INDEX(Sheet2!C:C,QUOTIENT(ROW()-1,19)+2)</f>
        <v>43100</v>
      </c>
      <c r="DK372" s="4" t="e">
        <f>INDEX(Sheet2!$AA$2:$AS$228,QUOTIENT(ROW()-1,19)+1,MOD(ROW()-2,19)+1)</f>
        <v>#N/A</v>
      </c>
      <c r="DL372" t="str">
        <f>IFERROR(INDEX(Sheet2!$AU$2:$BM$228,QUOTIENT(ROW()-1,19)+1,MOD(ROW()-2,19)+1),NA())</f>
        <v/>
      </c>
      <c r="DM372" s="4" t="e">
        <f t="shared" si="36"/>
        <v>#N/A</v>
      </c>
      <c r="DN372" t="e">
        <f t="shared" si="37"/>
        <v>#N/A</v>
      </c>
      <c r="DO372" t="e">
        <f t="shared" si="38"/>
        <v>#N/A</v>
      </c>
    </row>
    <row r="373" spans="7:119" x14ac:dyDescent="0.25">
      <c r="G373"/>
      <c r="DI373" s="4">
        <f>INDEX(Sheet2!A:A,QUOTIENT(ROW()-1,19)+2)</f>
        <v>41080</v>
      </c>
      <c r="DJ373" s="4">
        <f>INDEX(Sheet2!C:C,QUOTIENT(ROW()-1,19)+2)</f>
        <v>43100</v>
      </c>
      <c r="DK373" s="4" t="e">
        <f>INDEX(Sheet2!$AA$2:$AS$228,QUOTIENT(ROW()-1,19)+1,MOD(ROW()-2,19)+1)</f>
        <v>#N/A</v>
      </c>
      <c r="DL373" t="str">
        <f>IFERROR(INDEX(Sheet2!$AU$2:$BM$228,QUOTIENT(ROW()-1,19)+1,MOD(ROW()-2,19)+1),NA())</f>
        <v/>
      </c>
      <c r="DM373" s="4" t="e">
        <f t="shared" si="36"/>
        <v>#N/A</v>
      </c>
      <c r="DN373" t="e">
        <f t="shared" si="37"/>
        <v>#N/A</v>
      </c>
      <c r="DO373" t="e">
        <f t="shared" si="38"/>
        <v>#N/A</v>
      </c>
    </row>
    <row r="374" spans="7:119" x14ac:dyDescent="0.25">
      <c r="G374"/>
      <c r="DI374" s="4">
        <f>INDEX(Sheet2!A:A,QUOTIENT(ROW()-1,19)+2)</f>
        <v>41080</v>
      </c>
      <c r="DJ374" s="4">
        <f>INDEX(Sheet2!C:C,QUOTIENT(ROW()-1,19)+2)</f>
        <v>43100</v>
      </c>
      <c r="DK374" s="4" t="e">
        <f>INDEX(Sheet2!$AA$2:$AS$228,QUOTIENT(ROW()-1,19)+1,MOD(ROW()-2,19)+1)</f>
        <v>#N/A</v>
      </c>
      <c r="DL374" t="str">
        <f>IFERROR(INDEX(Sheet2!$AU$2:$BM$228,QUOTIENT(ROW()-1,19)+1,MOD(ROW()-2,19)+1),NA())</f>
        <v/>
      </c>
      <c r="DM374" s="4" t="e">
        <f t="shared" si="36"/>
        <v>#N/A</v>
      </c>
      <c r="DN374" t="e">
        <f t="shared" si="37"/>
        <v>#N/A</v>
      </c>
      <c r="DO374" t="e">
        <f t="shared" si="38"/>
        <v>#N/A</v>
      </c>
    </row>
    <row r="375" spans="7:119" x14ac:dyDescent="0.25">
      <c r="G375"/>
      <c r="DI375" s="4">
        <f>INDEX(Sheet2!A:A,QUOTIENT(ROW()-1,19)+2)</f>
        <v>41080</v>
      </c>
      <c r="DJ375" s="4">
        <f>INDEX(Sheet2!C:C,QUOTIENT(ROW()-1,19)+2)</f>
        <v>43100</v>
      </c>
      <c r="DK375" s="4" t="e">
        <f>INDEX(Sheet2!$AA$2:$AS$228,QUOTIENT(ROW()-1,19)+1,MOD(ROW()-2,19)+1)</f>
        <v>#N/A</v>
      </c>
      <c r="DL375" t="str">
        <f>IFERROR(INDEX(Sheet2!$AU$2:$BM$228,QUOTIENT(ROW()-1,19)+1,MOD(ROW()-2,19)+1),NA())</f>
        <v/>
      </c>
      <c r="DM375" s="4" t="e">
        <f t="shared" si="36"/>
        <v>#N/A</v>
      </c>
      <c r="DN375" t="e">
        <f t="shared" si="37"/>
        <v>#N/A</v>
      </c>
      <c r="DO375" t="e">
        <f t="shared" si="38"/>
        <v>#N/A</v>
      </c>
    </row>
    <row r="376" spans="7:119" x14ac:dyDescent="0.25">
      <c r="G376"/>
      <c r="DI376" s="4">
        <f>INDEX(Sheet2!A:A,QUOTIENT(ROW()-1,19)+2)</f>
        <v>41080</v>
      </c>
      <c r="DJ376" s="4">
        <f>INDEX(Sheet2!C:C,QUOTIENT(ROW()-1,19)+2)</f>
        <v>43100</v>
      </c>
      <c r="DK376" s="4" t="e">
        <f>INDEX(Sheet2!$AA$2:$AS$228,QUOTIENT(ROW()-1,19)+1,MOD(ROW()-2,19)+1)</f>
        <v>#N/A</v>
      </c>
      <c r="DL376" t="str">
        <f>IFERROR(INDEX(Sheet2!$AU$2:$BM$228,QUOTIENT(ROW()-1,19)+1,MOD(ROW()-2,19)+1),NA())</f>
        <v/>
      </c>
      <c r="DM376" s="4" t="e">
        <f t="shared" si="36"/>
        <v>#N/A</v>
      </c>
      <c r="DN376" t="e">
        <f t="shared" si="37"/>
        <v>#N/A</v>
      </c>
      <c r="DO376" t="e">
        <f t="shared" si="38"/>
        <v>#N/A</v>
      </c>
    </row>
    <row r="377" spans="7:119" x14ac:dyDescent="0.25">
      <c r="G377"/>
      <c r="DI377" s="4">
        <f>INDEX(Sheet2!A:A,QUOTIENT(ROW()-1,19)+2)</f>
        <v>41080</v>
      </c>
      <c r="DJ377" s="4">
        <f>INDEX(Sheet2!C:C,QUOTIENT(ROW()-1,19)+2)</f>
        <v>43100</v>
      </c>
      <c r="DK377" s="4" t="e">
        <f>INDEX(Sheet2!$AA$2:$AS$228,QUOTIENT(ROW()-1,19)+1,MOD(ROW()-2,19)+1)</f>
        <v>#N/A</v>
      </c>
      <c r="DL377" t="str">
        <f>IFERROR(INDEX(Sheet2!$AU$2:$BM$228,QUOTIENT(ROW()-1,19)+1,MOD(ROW()-2,19)+1),NA())</f>
        <v/>
      </c>
      <c r="DM377" s="4" t="e">
        <f t="shared" si="36"/>
        <v>#N/A</v>
      </c>
      <c r="DN377" t="e">
        <f t="shared" si="37"/>
        <v>#N/A</v>
      </c>
      <c r="DO377" t="e">
        <f t="shared" si="38"/>
        <v>#N/A</v>
      </c>
    </row>
    <row r="378" spans="7:119" x14ac:dyDescent="0.25">
      <c r="G378"/>
      <c r="DI378" s="4">
        <f>INDEX(Sheet2!A:A,QUOTIENT(ROW()-1,19)+2)</f>
        <v>41080</v>
      </c>
      <c r="DJ378" s="4">
        <f>INDEX(Sheet2!C:C,QUOTIENT(ROW()-1,19)+2)</f>
        <v>43100</v>
      </c>
      <c r="DK378" s="4" t="e">
        <f>INDEX(Sheet2!$AA$2:$AS$228,QUOTIENT(ROW()-1,19)+1,MOD(ROW()-2,19)+1)</f>
        <v>#N/A</v>
      </c>
      <c r="DL378" t="str">
        <f>IFERROR(INDEX(Sheet2!$AU$2:$BM$228,QUOTIENT(ROW()-1,19)+1,MOD(ROW()-2,19)+1),NA())</f>
        <v/>
      </c>
      <c r="DM378" s="4" t="e">
        <f t="shared" si="36"/>
        <v>#N/A</v>
      </c>
      <c r="DN378" t="e">
        <f t="shared" si="37"/>
        <v>#N/A</v>
      </c>
      <c r="DO378" t="e">
        <f t="shared" si="38"/>
        <v>#N/A</v>
      </c>
    </row>
    <row r="379" spans="7:119" x14ac:dyDescent="0.25">
      <c r="G379"/>
      <c r="DI379" s="4">
        <f>INDEX(Sheet2!A:A,QUOTIENT(ROW()-1,19)+2)</f>
        <v>41080</v>
      </c>
      <c r="DJ379" s="4">
        <f>INDEX(Sheet2!C:C,QUOTIENT(ROW()-1,19)+2)</f>
        <v>43100</v>
      </c>
      <c r="DK379" s="4" t="e">
        <f>INDEX(Sheet2!$AA$2:$AS$228,QUOTIENT(ROW()-1,19)+1,MOD(ROW()-2,19)+1)</f>
        <v>#N/A</v>
      </c>
      <c r="DL379" t="str">
        <f>IFERROR(INDEX(Sheet2!$AU$2:$BM$228,QUOTIENT(ROW()-1,19)+1,MOD(ROW()-2,19)+1),NA())</f>
        <v/>
      </c>
      <c r="DM379" s="4" t="e">
        <f t="shared" si="36"/>
        <v>#N/A</v>
      </c>
      <c r="DN379" t="e">
        <f t="shared" si="37"/>
        <v>#N/A</v>
      </c>
      <c r="DO379" t="e">
        <f t="shared" si="38"/>
        <v>#N/A</v>
      </c>
    </row>
    <row r="380" spans="7:119" x14ac:dyDescent="0.25">
      <c r="G380"/>
      <c r="DI380" s="4">
        <f>INDEX(Sheet2!A:A,QUOTIENT(ROW()-1,19)+2)</f>
        <v>41080</v>
      </c>
      <c r="DJ380" s="4">
        <f>INDEX(Sheet2!C:C,QUOTIENT(ROW()-1,19)+2)</f>
        <v>43100</v>
      </c>
      <c r="DK380" s="4" t="e">
        <f>INDEX(Sheet2!$AA$2:$AS$228,QUOTIENT(ROW()-1,19)+1,MOD(ROW()-2,19)+1)</f>
        <v>#N/A</v>
      </c>
      <c r="DL380" t="str">
        <f>IFERROR(INDEX(Sheet2!$AU$2:$BM$228,QUOTIENT(ROW()-1,19)+1,MOD(ROW()-2,19)+1),NA())</f>
        <v/>
      </c>
      <c r="DM380" s="4" t="e">
        <f t="shared" si="36"/>
        <v>#N/A</v>
      </c>
      <c r="DN380" t="e">
        <f t="shared" si="37"/>
        <v>#N/A</v>
      </c>
      <c r="DO380" t="e">
        <f t="shared" si="38"/>
        <v>#N/A</v>
      </c>
    </row>
    <row r="381" spans="7:119" x14ac:dyDescent="0.25">
      <c r="G381"/>
      <c r="DI381" s="4">
        <f>INDEX(Sheet2!A:A,QUOTIENT(ROW()-1,19)+2)</f>
        <v>41080</v>
      </c>
      <c r="DJ381" s="4">
        <f>INDEX(Sheet2!C:C,QUOTIENT(ROW()-1,19)+2)</f>
        <v>43100</v>
      </c>
      <c r="DK381" s="4" t="e">
        <f>INDEX(Sheet2!$AA$2:$AS$228,QUOTIENT(ROW()-1,19)+1,MOD(ROW()-2,19)+1)</f>
        <v>#N/A</v>
      </c>
      <c r="DL381" t="str">
        <f>IFERROR(INDEX(Sheet2!$AU$2:$BM$228,QUOTIENT(ROW()-1,19)+1,MOD(ROW()-2,19)+1),NA())</f>
        <v/>
      </c>
      <c r="DM381" s="4" t="e">
        <f t="shared" si="36"/>
        <v>#N/A</v>
      </c>
      <c r="DN381" t="e">
        <f t="shared" si="37"/>
        <v>#N/A</v>
      </c>
      <c r="DO381" t="e">
        <f t="shared" si="38"/>
        <v>#N/A</v>
      </c>
    </row>
    <row r="382" spans="7:119" x14ac:dyDescent="0.25">
      <c r="G382"/>
      <c r="DI382" s="4">
        <f>INDEX(Sheet2!A:A,QUOTIENT(ROW()-1,19)+2)</f>
        <v>41080</v>
      </c>
      <c r="DJ382" s="4">
        <f>INDEX(Sheet2!C:C,QUOTIENT(ROW()-1,19)+2)</f>
        <v>43100</v>
      </c>
      <c r="DK382" s="4">
        <f>INDEX(Sheet2!$AA$2:$AS$228,QUOTIENT(ROW()-1,19)+1,MOD(ROW()-2,19)+1)</f>
        <v>43100</v>
      </c>
      <c r="DL382">
        <f>IFERROR(INDEX(Sheet2!$AU$2:$BM$228,QUOTIENT(ROW()-1,19)+1,MOD(ROW()-2,19)+1),NA())</f>
        <v>3.75</v>
      </c>
      <c r="DM382" s="4" t="e">
        <f t="shared" si="36"/>
        <v>#N/A</v>
      </c>
      <c r="DN382" t="e">
        <f t="shared" si="37"/>
        <v>#N/A</v>
      </c>
      <c r="DO382" t="e">
        <f t="shared" si="38"/>
        <v>#N/A</v>
      </c>
    </row>
    <row r="383" spans="7:119" x14ac:dyDescent="0.25">
      <c r="G383"/>
      <c r="DI383" s="4">
        <f>INDEX(Sheet2!A:A,QUOTIENT(ROW()-1,19)+2)</f>
        <v>41080</v>
      </c>
      <c r="DJ383" s="4">
        <f>INDEX(Sheet2!C:C,QUOTIENT(ROW()-1,19)+2)</f>
        <v>43100</v>
      </c>
      <c r="DK383" s="4" t="e">
        <f>INDEX(Sheet2!$AA$2:$AS$228,QUOTIENT(ROW()-1,19)+1,MOD(ROW()-2,19)+1)</f>
        <v>#N/A</v>
      </c>
      <c r="DL383" t="str">
        <f>IFERROR(INDEX(Sheet2!$AU$2:$BM$228,QUOTIENT(ROW()-1,19)+1,MOD(ROW()-2,19)+1),NA())</f>
        <v/>
      </c>
      <c r="DM383" s="4" t="e">
        <f t="shared" si="36"/>
        <v>#N/A</v>
      </c>
      <c r="DN383" t="e">
        <f t="shared" si="37"/>
        <v>#N/A</v>
      </c>
      <c r="DO383" t="e">
        <f t="shared" si="38"/>
        <v>#N/A</v>
      </c>
    </row>
    <row r="384" spans="7:119" x14ac:dyDescent="0.25">
      <c r="G384"/>
      <c r="DI384" s="4">
        <f>INDEX(Sheet2!A:A,QUOTIENT(ROW()-1,19)+2)</f>
        <v>41080</v>
      </c>
      <c r="DJ384" s="4">
        <f>INDEX(Sheet2!C:C,QUOTIENT(ROW()-1,19)+2)</f>
        <v>43100</v>
      </c>
      <c r="DK384" s="4" t="e">
        <f>INDEX(Sheet2!$AA$2:$AS$228,QUOTIENT(ROW()-1,19)+1,MOD(ROW()-2,19)+1)</f>
        <v>#N/A</v>
      </c>
      <c r="DL384" t="str">
        <f>IFERROR(INDEX(Sheet2!$AU$2:$BM$228,QUOTIENT(ROW()-1,19)+1,MOD(ROW()-2,19)+1),NA())</f>
        <v/>
      </c>
      <c r="DM384" s="4" t="e">
        <f t="shared" si="36"/>
        <v>#N/A</v>
      </c>
      <c r="DN384" t="e">
        <f t="shared" si="37"/>
        <v>#N/A</v>
      </c>
      <c r="DO384" t="e">
        <f t="shared" si="38"/>
        <v>#N/A</v>
      </c>
    </row>
    <row r="385" spans="7:119" x14ac:dyDescent="0.25">
      <c r="G385"/>
      <c r="DI385" s="4">
        <f>INDEX(Sheet2!A:A,QUOTIENT(ROW()-1,19)+2)</f>
        <v>41080</v>
      </c>
      <c r="DJ385" s="4">
        <f>INDEX(Sheet2!C:C,QUOTIENT(ROW()-1,19)+2)</f>
        <v>43100</v>
      </c>
      <c r="DK385" s="4" t="e">
        <f>INDEX(Sheet2!$AA$2:$AS$228,QUOTIENT(ROW()-1,19)+1,MOD(ROW()-2,19)+1)</f>
        <v>#N/A</v>
      </c>
      <c r="DL385" t="str">
        <f>IFERROR(INDEX(Sheet2!$AU$2:$BM$228,QUOTIENT(ROW()-1,19)+1,MOD(ROW()-2,19)+1),NA())</f>
        <v/>
      </c>
      <c r="DM385" s="4" t="e">
        <f t="shared" si="36"/>
        <v>#N/A</v>
      </c>
      <c r="DN385" t="e">
        <f t="shared" si="37"/>
        <v>#N/A</v>
      </c>
      <c r="DO385" t="e">
        <f t="shared" si="38"/>
        <v>#N/A</v>
      </c>
    </row>
    <row r="386" spans="7:119" x14ac:dyDescent="0.25">
      <c r="G386"/>
      <c r="DI386" s="4">
        <f>INDEX(Sheet2!A:A,QUOTIENT(ROW()-1,19)+2)</f>
        <v>41080</v>
      </c>
      <c r="DJ386" s="4">
        <f>INDEX(Sheet2!C:C,QUOTIENT(ROW()-1,19)+2)</f>
        <v>43100</v>
      </c>
      <c r="DK386" s="4" t="e">
        <f>INDEX(Sheet2!$AA$2:$AS$228,QUOTIENT(ROW()-1,19)+1,MOD(ROW()-2,19)+1)</f>
        <v>#N/A</v>
      </c>
      <c r="DL386" t="str">
        <f>IFERROR(INDEX(Sheet2!$AU$2:$BM$228,QUOTIENT(ROW()-1,19)+1,MOD(ROW()-2,19)+1),NA())</f>
        <v/>
      </c>
      <c r="DM386" s="4" t="e">
        <f t="shared" ref="DM386:DM449" si="39">+IF($C$2=$DI386,DK386,NA())</f>
        <v>#N/A</v>
      </c>
      <c r="DN386" t="e">
        <f t="shared" ref="DN386:DN449" si="40">+IF($C$2=$DI386,DL386,NA())</f>
        <v>#N/A</v>
      </c>
      <c r="DO386" t="e">
        <f t="shared" si="38"/>
        <v>#N/A</v>
      </c>
    </row>
    <row r="387" spans="7:119" x14ac:dyDescent="0.25">
      <c r="G387"/>
      <c r="DI387" s="4">
        <f>INDEX(Sheet2!A:A,QUOTIENT(ROW()-1,19)+2)</f>
        <v>41080</v>
      </c>
      <c r="DJ387" s="4">
        <f>INDEX(Sheet2!C:C,QUOTIENT(ROW()-1,19)+2)</f>
        <v>43100</v>
      </c>
      <c r="DK387" s="4" t="e">
        <f>INDEX(Sheet2!$AA$2:$AS$228,QUOTIENT(ROW()-1,19)+1,MOD(ROW()-2,19)+1)</f>
        <v>#N/A</v>
      </c>
      <c r="DL387" t="str">
        <f>IFERROR(INDEX(Sheet2!$AU$2:$BM$228,QUOTIENT(ROW()-1,19)+1,MOD(ROW()-2,19)+1),NA())</f>
        <v/>
      </c>
      <c r="DM387" s="4" t="e">
        <f t="shared" si="39"/>
        <v>#N/A</v>
      </c>
      <c r="DN387" t="e">
        <f t="shared" si="40"/>
        <v>#N/A</v>
      </c>
      <c r="DO387" t="e">
        <f t="shared" ref="DO387:DO450" si="41">IF(DN387="",NA(),DN387)</f>
        <v>#N/A</v>
      </c>
    </row>
    <row r="388" spans="7:119" x14ac:dyDescent="0.25">
      <c r="G388"/>
      <c r="DI388" s="4">
        <f>INDEX(Sheet2!A:A,QUOTIENT(ROW()-1,19)+2)</f>
        <v>41080</v>
      </c>
      <c r="DJ388" s="4">
        <f>INDEX(Sheet2!C:C,QUOTIENT(ROW()-1,19)+2)</f>
        <v>43100</v>
      </c>
      <c r="DK388" s="4" t="e">
        <f>INDEX(Sheet2!$AA$2:$AS$228,QUOTIENT(ROW()-1,19)+1,MOD(ROW()-2,19)+1)</f>
        <v>#N/A</v>
      </c>
      <c r="DL388" t="str">
        <f>IFERROR(INDEX(Sheet2!$AU$2:$BM$228,QUOTIENT(ROW()-1,19)+1,MOD(ROW()-2,19)+1),NA())</f>
        <v/>
      </c>
      <c r="DM388" s="4" t="e">
        <f t="shared" si="39"/>
        <v>#N/A</v>
      </c>
      <c r="DN388" t="e">
        <f t="shared" si="40"/>
        <v>#N/A</v>
      </c>
      <c r="DO388" t="e">
        <f t="shared" si="41"/>
        <v>#N/A</v>
      </c>
    </row>
    <row r="389" spans="7:119" x14ac:dyDescent="0.25">
      <c r="G389"/>
      <c r="DI389" s="4">
        <f>INDEX(Sheet2!A:A,QUOTIENT(ROW()-1,19)+2)</f>
        <v>41080</v>
      </c>
      <c r="DJ389" s="4">
        <f>INDEX(Sheet2!C:C,QUOTIENT(ROW()-1,19)+2)</f>
        <v>43100</v>
      </c>
      <c r="DK389" s="4" t="e">
        <f>INDEX(Sheet2!$AA$2:$AS$228,QUOTIENT(ROW()-1,19)+1,MOD(ROW()-2,19)+1)</f>
        <v>#N/A</v>
      </c>
      <c r="DL389" t="str">
        <f>IFERROR(INDEX(Sheet2!$AU$2:$BM$228,QUOTIENT(ROW()-1,19)+1,MOD(ROW()-2,19)+1),NA())</f>
        <v/>
      </c>
      <c r="DM389" s="4" t="e">
        <f t="shared" si="39"/>
        <v>#N/A</v>
      </c>
      <c r="DN389" t="e">
        <f t="shared" si="40"/>
        <v>#N/A</v>
      </c>
      <c r="DO389" t="e">
        <f t="shared" si="41"/>
        <v>#N/A</v>
      </c>
    </row>
    <row r="390" spans="7:119" x14ac:dyDescent="0.25">
      <c r="G390"/>
      <c r="DI390" s="4">
        <f>INDEX(Sheet2!A:A,QUOTIENT(ROW()-1,19)+2)</f>
        <v>41080</v>
      </c>
      <c r="DJ390" s="4">
        <f>INDEX(Sheet2!C:C,QUOTIENT(ROW()-1,19)+2)</f>
        <v>43100</v>
      </c>
      <c r="DK390" s="4" t="e">
        <f>INDEX(Sheet2!$AA$2:$AS$228,QUOTIENT(ROW()-1,19)+1,MOD(ROW()-2,19)+1)</f>
        <v>#N/A</v>
      </c>
      <c r="DL390" t="str">
        <f>IFERROR(INDEX(Sheet2!$AU$2:$BM$228,QUOTIENT(ROW()-1,19)+1,MOD(ROW()-2,19)+1),NA())</f>
        <v/>
      </c>
      <c r="DM390" s="4" t="e">
        <f t="shared" si="39"/>
        <v>#N/A</v>
      </c>
      <c r="DN390" t="e">
        <f t="shared" si="40"/>
        <v>#N/A</v>
      </c>
      <c r="DO390" t="e">
        <f t="shared" si="41"/>
        <v>#N/A</v>
      </c>
    </row>
    <row r="391" spans="7:119" x14ac:dyDescent="0.25">
      <c r="G391"/>
      <c r="DI391" s="4">
        <f>INDEX(Sheet2!A:A,QUOTIENT(ROW()-1,19)+2)</f>
        <v>41080</v>
      </c>
      <c r="DJ391" s="4">
        <f>INDEX(Sheet2!C:C,QUOTIENT(ROW()-1,19)+2)</f>
        <v>43100</v>
      </c>
      <c r="DK391" s="4" t="e">
        <f>INDEX(Sheet2!$AA$2:$AS$228,QUOTIENT(ROW()-1,19)+1,MOD(ROW()-2,19)+1)</f>
        <v>#N/A</v>
      </c>
      <c r="DL391" t="str">
        <f>IFERROR(INDEX(Sheet2!$AU$2:$BM$228,QUOTIENT(ROW()-1,19)+1,MOD(ROW()-2,19)+1),NA())</f>
        <v/>
      </c>
      <c r="DM391" s="4" t="e">
        <f t="shared" si="39"/>
        <v>#N/A</v>
      </c>
      <c r="DN391" t="e">
        <f t="shared" si="40"/>
        <v>#N/A</v>
      </c>
      <c r="DO391" t="e">
        <f t="shared" si="41"/>
        <v>#N/A</v>
      </c>
    </row>
    <row r="392" spans="7:119" x14ac:dyDescent="0.25">
      <c r="G392"/>
      <c r="DI392" s="4">
        <f>INDEX(Sheet2!A:A,QUOTIENT(ROW()-1,19)+2)</f>
        <v>41080</v>
      </c>
      <c r="DJ392" s="4">
        <f>INDEX(Sheet2!C:C,QUOTIENT(ROW()-1,19)+2)</f>
        <v>43100</v>
      </c>
      <c r="DK392" s="4" t="e">
        <f>INDEX(Sheet2!$AA$2:$AS$228,QUOTIENT(ROW()-1,19)+1,MOD(ROW()-2,19)+1)</f>
        <v>#N/A</v>
      </c>
      <c r="DL392" t="str">
        <f>IFERROR(INDEX(Sheet2!$AU$2:$BM$228,QUOTIENT(ROW()-1,19)+1,MOD(ROW()-2,19)+1),NA())</f>
        <v/>
      </c>
      <c r="DM392" s="4" t="e">
        <f t="shared" si="39"/>
        <v>#N/A</v>
      </c>
      <c r="DN392" t="e">
        <f t="shared" si="40"/>
        <v>#N/A</v>
      </c>
      <c r="DO392" t="e">
        <f t="shared" si="41"/>
        <v>#N/A</v>
      </c>
    </row>
    <row r="393" spans="7:119" x14ac:dyDescent="0.25">
      <c r="G393"/>
      <c r="DI393" s="4">
        <f>INDEX(Sheet2!A:A,QUOTIENT(ROW()-1,19)+2)</f>
        <v>41080</v>
      </c>
      <c r="DJ393" s="4">
        <f>INDEX(Sheet2!C:C,QUOTIENT(ROW()-1,19)+2)</f>
        <v>43100</v>
      </c>
      <c r="DK393" s="4" t="e">
        <f>INDEX(Sheet2!$AA$2:$AS$228,QUOTIENT(ROW()-1,19)+1,MOD(ROW()-2,19)+1)</f>
        <v>#N/A</v>
      </c>
      <c r="DL393" t="str">
        <f>IFERROR(INDEX(Sheet2!$AU$2:$BM$228,QUOTIENT(ROW()-1,19)+1,MOD(ROW()-2,19)+1),NA())</f>
        <v/>
      </c>
      <c r="DM393" s="4" t="e">
        <f t="shared" si="39"/>
        <v>#N/A</v>
      </c>
      <c r="DN393" t="e">
        <f t="shared" si="40"/>
        <v>#N/A</v>
      </c>
      <c r="DO393" t="e">
        <f t="shared" si="41"/>
        <v>#N/A</v>
      </c>
    </row>
    <row r="394" spans="7:119" x14ac:dyDescent="0.25">
      <c r="G394"/>
      <c r="DI394" s="4">
        <f>INDEX(Sheet2!A:A,QUOTIENT(ROW()-1,19)+2)</f>
        <v>41080</v>
      </c>
      <c r="DJ394" s="4">
        <f>INDEX(Sheet2!C:C,QUOTIENT(ROW()-1,19)+2)</f>
        <v>43100</v>
      </c>
      <c r="DK394" s="4" t="e">
        <f>INDEX(Sheet2!$AA$2:$AS$228,QUOTIENT(ROW()-1,19)+1,MOD(ROW()-2,19)+1)</f>
        <v>#N/A</v>
      </c>
      <c r="DL394" t="str">
        <f>IFERROR(INDEX(Sheet2!$AU$2:$BM$228,QUOTIENT(ROW()-1,19)+1,MOD(ROW()-2,19)+1),NA())</f>
        <v/>
      </c>
      <c r="DM394" s="4" t="e">
        <f t="shared" si="39"/>
        <v>#N/A</v>
      </c>
      <c r="DN394" t="e">
        <f t="shared" si="40"/>
        <v>#N/A</v>
      </c>
      <c r="DO394" t="e">
        <f t="shared" si="41"/>
        <v>#N/A</v>
      </c>
    </row>
    <row r="395" spans="7:119" x14ac:dyDescent="0.25">
      <c r="G395"/>
      <c r="DI395" s="4">
        <f>INDEX(Sheet2!A:A,QUOTIENT(ROW()-1,19)+2)</f>
        <v>41080</v>
      </c>
      <c r="DJ395" s="4">
        <f>INDEX(Sheet2!C:C,QUOTIENT(ROW()-1,19)+2)</f>
        <v>43100</v>
      </c>
      <c r="DK395" s="4" t="e">
        <f>INDEX(Sheet2!$AA$2:$AS$228,QUOTIENT(ROW()-1,19)+1,MOD(ROW()-2,19)+1)</f>
        <v>#N/A</v>
      </c>
      <c r="DL395" t="str">
        <f>IFERROR(INDEX(Sheet2!$AU$2:$BM$228,QUOTIENT(ROW()-1,19)+1,MOD(ROW()-2,19)+1),NA())</f>
        <v/>
      </c>
      <c r="DM395" s="4" t="e">
        <f t="shared" si="39"/>
        <v>#N/A</v>
      </c>
      <c r="DN395" t="e">
        <f t="shared" si="40"/>
        <v>#N/A</v>
      </c>
      <c r="DO395" t="e">
        <f t="shared" si="41"/>
        <v>#N/A</v>
      </c>
    </row>
    <row r="396" spans="7:119" x14ac:dyDescent="0.25">
      <c r="G396"/>
      <c r="DI396" s="4">
        <f>INDEX(Sheet2!A:A,QUOTIENT(ROW()-1,19)+2)</f>
        <v>41080</v>
      </c>
      <c r="DJ396" s="4">
        <f>INDEX(Sheet2!C:C,QUOTIENT(ROW()-1,19)+2)</f>
        <v>43100</v>
      </c>
      <c r="DK396" s="4" t="e">
        <f>INDEX(Sheet2!$AA$2:$AS$228,QUOTIENT(ROW()-1,19)+1,MOD(ROW()-2,19)+1)</f>
        <v>#N/A</v>
      </c>
      <c r="DL396" t="str">
        <f>IFERROR(INDEX(Sheet2!$AU$2:$BM$228,QUOTIENT(ROW()-1,19)+1,MOD(ROW()-2,19)+1),NA())</f>
        <v/>
      </c>
      <c r="DM396" s="4" t="e">
        <f t="shared" si="39"/>
        <v>#N/A</v>
      </c>
      <c r="DN396" t="e">
        <f t="shared" si="40"/>
        <v>#N/A</v>
      </c>
      <c r="DO396" t="e">
        <f t="shared" si="41"/>
        <v>#N/A</v>
      </c>
    </row>
    <row r="397" spans="7:119" x14ac:dyDescent="0.25">
      <c r="G397"/>
      <c r="DI397" s="4">
        <f>INDEX(Sheet2!A:A,QUOTIENT(ROW()-1,19)+2)</f>
        <v>41080</v>
      </c>
      <c r="DJ397" s="4">
        <f>INDEX(Sheet2!C:C,QUOTIENT(ROW()-1,19)+2)</f>
        <v>43100</v>
      </c>
      <c r="DK397" s="4" t="e">
        <f>INDEX(Sheet2!$AA$2:$AS$228,QUOTIENT(ROW()-1,19)+1,MOD(ROW()-2,19)+1)</f>
        <v>#N/A</v>
      </c>
      <c r="DL397" t="str">
        <f>IFERROR(INDEX(Sheet2!$AU$2:$BM$228,QUOTIENT(ROW()-1,19)+1,MOD(ROW()-2,19)+1),NA())</f>
        <v/>
      </c>
      <c r="DM397" s="4" t="e">
        <f t="shared" si="39"/>
        <v>#N/A</v>
      </c>
      <c r="DN397" t="e">
        <f t="shared" si="40"/>
        <v>#N/A</v>
      </c>
      <c r="DO397" t="e">
        <f t="shared" si="41"/>
        <v>#N/A</v>
      </c>
    </row>
    <row r="398" spans="7:119" x14ac:dyDescent="0.25">
      <c r="G398"/>
      <c r="DI398" s="4">
        <f>INDEX(Sheet2!A:A,QUOTIENT(ROW()-1,19)+2)</f>
        <v>41080</v>
      </c>
      <c r="DJ398" s="4">
        <f>INDEX(Sheet2!C:C,QUOTIENT(ROW()-1,19)+2)</f>
        <v>43100</v>
      </c>
      <c r="DK398" s="4" t="e">
        <f>INDEX(Sheet2!$AA$2:$AS$228,QUOTIENT(ROW()-1,19)+1,MOD(ROW()-2,19)+1)</f>
        <v>#N/A</v>
      </c>
      <c r="DL398" t="str">
        <f>IFERROR(INDEX(Sheet2!$AU$2:$BM$228,QUOTIENT(ROW()-1,19)+1,MOD(ROW()-2,19)+1),NA())</f>
        <v/>
      </c>
      <c r="DM398" s="4" t="e">
        <f t="shared" si="39"/>
        <v>#N/A</v>
      </c>
      <c r="DN398" t="e">
        <f t="shared" si="40"/>
        <v>#N/A</v>
      </c>
      <c r="DO398" t="e">
        <f t="shared" si="41"/>
        <v>#N/A</v>
      </c>
    </row>
    <row r="399" spans="7:119" x14ac:dyDescent="0.25">
      <c r="G399"/>
      <c r="DI399" s="4">
        <f>INDEX(Sheet2!A:A,QUOTIENT(ROW()-1,19)+2)</f>
        <v>41080</v>
      </c>
      <c r="DJ399" s="4">
        <f>INDEX(Sheet2!C:C,QUOTIENT(ROW()-1,19)+2)</f>
        <v>43100</v>
      </c>
      <c r="DK399" s="4" t="e">
        <f>INDEX(Sheet2!$AA$2:$AS$228,QUOTIENT(ROW()-1,19)+1,MOD(ROW()-2,19)+1)</f>
        <v>#N/A</v>
      </c>
      <c r="DL399" t="str">
        <f>IFERROR(INDEX(Sheet2!$AU$2:$BM$228,QUOTIENT(ROW()-1,19)+1,MOD(ROW()-2,19)+1),NA())</f>
        <v/>
      </c>
      <c r="DM399" s="4" t="e">
        <f t="shared" si="39"/>
        <v>#N/A</v>
      </c>
      <c r="DN399" t="e">
        <f t="shared" si="40"/>
        <v>#N/A</v>
      </c>
      <c r="DO399" t="e">
        <f t="shared" si="41"/>
        <v>#N/A</v>
      </c>
    </row>
    <row r="400" spans="7:119" x14ac:dyDescent="0.25">
      <c r="G400"/>
      <c r="DI400" s="4">
        <f>INDEX(Sheet2!A:A,QUOTIENT(ROW()-1,19)+2)</f>
        <v>41080</v>
      </c>
      <c r="DJ400" s="4">
        <f>INDEX(Sheet2!C:C,QUOTIENT(ROW()-1,19)+2)</f>
        <v>43100</v>
      </c>
      <c r="DK400" s="4" t="e">
        <f>INDEX(Sheet2!$AA$2:$AS$228,QUOTIENT(ROW()-1,19)+1,MOD(ROW()-2,19)+1)</f>
        <v>#N/A</v>
      </c>
      <c r="DL400" t="str">
        <f>IFERROR(INDEX(Sheet2!$AU$2:$BM$228,QUOTIENT(ROW()-1,19)+1,MOD(ROW()-2,19)+1),NA())</f>
        <v/>
      </c>
      <c r="DM400" s="4" t="e">
        <f t="shared" si="39"/>
        <v>#N/A</v>
      </c>
      <c r="DN400" t="e">
        <f t="shared" si="40"/>
        <v>#N/A</v>
      </c>
      <c r="DO400" t="e">
        <f t="shared" si="41"/>
        <v>#N/A</v>
      </c>
    </row>
    <row r="401" spans="7:119" x14ac:dyDescent="0.25">
      <c r="G401"/>
      <c r="DI401" s="4">
        <f>INDEX(Sheet2!A:A,QUOTIENT(ROW()-1,19)+2)</f>
        <v>41080</v>
      </c>
      <c r="DJ401" s="4">
        <f>INDEX(Sheet2!C:C,QUOTIENT(ROW()-1,19)+2)</f>
        <v>43100</v>
      </c>
      <c r="DK401" s="4">
        <f>INDEX(Sheet2!$AA$2:$AS$228,QUOTIENT(ROW()-1,19)+1,MOD(ROW()-2,19)+1)</f>
        <v>43049.8125</v>
      </c>
      <c r="DL401">
        <f>IFERROR(INDEX(Sheet2!$AU$2:$BM$228,QUOTIENT(ROW()-1,19)+1,MOD(ROW()-2,19)+1),NA())</f>
        <v>4</v>
      </c>
      <c r="DM401" s="4" t="e">
        <f t="shared" si="39"/>
        <v>#N/A</v>
      </c>
      <c r="DN401" t="e">
        <f t="shared" si="40"/>
        <v>#N/A</v>
      </c>
      <c r="DO401" t="e">
        <f t="shared" si="41"/>
        <v>#N/A</v>
      </c>
    </row>
    <row r="402" spans="7:119" x14ac:dyDescent="0.25">
      <c r="G402"/>
      <c r="DI402" s="4">
        <f>INDEX(Sheet2!A:A,QUOTIENT(ROW()-1,19)+2)</f>
        <v>41080</v>
      </c>
      <c r="DJ402" s="4">
        <f>INDEX(Sheet2!C:C,QUOTIENT(ROW()-1,19)+2)</f>
        <v>43100</v>
      </c>
      <c r="DK402" s="4">
        <f>INDEX(Sheet2!$AA$2:$AS$228,QUOTIENT(ROW()-1,19)+1,MOD(ROW()-2,19)+1)</f>
        <v>43069.887500000004</v>
      </c>
      <c r="DL402">
        <f>IFERROR(INDEX(Sheet2!$AU$2:$BM$228,QUOTIENT(ROW()-1,19)+1,MOD(ROW()-2,19)+1),NA())</f>
        <v>4</v>
      </c>
      <c r="DM402" s="4" t="e">
        <f t="shared" si="39"/>
        <v>#N/A</v>
      </c>
      <c r="DN402" t="e">
        <f t="shared" si="40"/>
        <v>#N/A</v>
      </c>
      <c r="DO402" t="e">
        <f t="shared" si="41"/>
        <v>#N/A</v>
      </c>
    </row>
    <row r="403" spans="7:119" x14ac:dyDescent="0.25">
      <c r="G403"/>
      <c r="DI403" s="4">
        <f>INDEX(Sheet2!A:A,QUOTIENT(ROW()-1,19)+2)</f>
        <v>41080</v>
      </c>
      <c r="DJ403" s="4">
        <f>INDEX(Sheet2!C:C,QUOTIENT(ROW()-1,19)+2)</f>
        <v>43100</v>
      </c>
      <c r="DK403" s="4">
        <f>INDEX(Sheet2!$AA$2:$AS$228,QUOTIENT(ROW()-1,19)+1,MOD(ROW()-2,19)+1)</f>
        <v>43089.962500000001</v>
      </c>
      <c r="DL403">
        <f>IFERROR(INDEX(Sheet2!$AU$2:$BM$228,QUOTIENT(ROW()-1,19)+1,MOD(ROW()-2,19)+1),NA())</f>
        <v>4</v>
      </c>
      <c r="DM403" s="4" t="e">
        <f t="shared" si="39"/>
        <v>#N/A</v>
      </c>
      <c r="DN403" t="e">
        <f t="shared" si="40"/>
        <v>#N/A</v>
      </c>
      <c r="DO403" t="e">
        <f t="shared" si="41"/>
        <v>#N/A</v>
      </c>
    </row>
    <row r="404" spans="7:119" x14ac:dyDescent="0.25">
      <c r="G404"/>
      <c r="DI404" s="4">
        <f>INDEX(Sheet2!A:A,QUOTIENT(ROW()-1,19)+2)</f>
        <v>41080</v>
      </c>
      <c r="DJ404" s="4">
        <f>INDEX(Sheet2!C:C,QUOTIENT(ROW()-1,19)+2)</f>
        <v>43100</v>
      </c>
      <c r="DK404" s="4">
        <f>INDEX(Sheet2!$AA$2:$AS$228,QUOTIENT(ROW()-1,19)+1,MOD(ROW()-2,19)+1)</f>
        <v>43110.037500000006</v>
      </c>
      <c r="DL404">
        <f>IFERROR(INDEX(Sheet2!$AU$2:$BM$228,QUOTIENT(ROW()-1,19)+1,MOD(ROW()-2,19)+1),NA())</f>
        <v>4</v>
      </c>
      <c r="DM404" s="4" t="e">
        <f t="shared" si="39"/>
        <v>#N/A</v>
      </c>
      <c r="DN404" t="e">
        <f t="shared" si="40"/>
        <v>#N/A</v>
      </c>
      <c r="DO404" t="e">
        <f t="shared" si="41"/>
        <v>#N/A</v>
      </c>
    </row>
    <row r="405" spans="7:119" x14ac:dyDescent="0.25">
      <c r="G405"/>
      <c r="DI405" s="4">
        <f>INDEX(Sheet2!A:A,QUOTIENT(ROW()-1,19)+2)</f>
        <v>41080</v>
      </c>
      <c r="DJ405" s="4">
        <f>INDEX(Sheet2!C:C,QUOTIENT(ROW()-1,19)+2)</f>
        <v>43100</v>
      </c>
      <c r="DK405" s="4">
        <f>INDEX(Sheet2!$AA$2:$AS$228,QUOTIENT(ROW()-1,19)+1,MOD(ROW()-2,19)+1)</f>
        <v>43130.112500000003</v>
      </c>
      <c r="DL405">
        <f>IFERROR(INDEX(Sheet2!$AU$2:$BM$228,QUOTIENT(ROW()-1,19)+1,MOD(ROW()-2,19)+1),NA())</f>
        <v>4</v>
      </c>
      <c r="DM405" s="4" t="e">
        <f t="shared" si="39"/>
        <v>#N/A</v>
      </c>
      <c r="DN405" t="e">
        <f t="shared" si="40"/>
        <v>#N/A</v>
      </c>
      <c r="DO405" t="e">
        <f t="shared" si="41"/>
        <v>#N/A</v>
      </c>
    </row>
    <row r="406" spans="7:119" x14ac:dyDescent="0.25">
      <c r="G406"/>
      <c r="DI406" s="4">
        <f>INDEX(Sheet2!A:A,QUOTIENT(ROW()-1,19)+2)</f>
        <v>41080</v>
      </c>
      <c r="DJ406" s="4">
        <f>INDEX(Sheet2!C:C,QUOTIENT(ROW()-1,19)+2)</f>
        <v>43100</v>
      </c>
      <c r="DK406" s="4">
        <f>INDEX(Sheet2!$AA$2:$AS$228,QUOTIENT(ROW()-1,19)+1,MOD(ROW()-2,19)+1)</f>
        <v>43150.1875</v>
      </c>
      <c r="DL406">
        <f>IFERROR(INDEX(Sheet2!$AU$2:$BM$228,QUOTIENT(ROW()-1,19)+1,MOD(ROW()-2,19)+1),NA())</f>
        <v>4</v>
      </c>
      <c r="DM406" s="4" t="e">
        <f t="shared" si="39"/>
        <v>#N/A</v>
      </c>
      <c r="DN406" t="e">
        <f t="shared" si="40"/>
        <v>#N/A</v>
      </c>
      <c r="DO406" t="e">
        <f t="shared" si="41"/>
        <v>#N/A</v>
      </c>
    </row>
    <row r="407" spans="7:119" x14ac:dyDescent="0.25">
      <c r="G407"/>
      <c r="DI407" s="4">
        <f>INDEX(Sheet2!A:A,QUOTIENT(ROW()-1,19)+2)</f>
        <v>41080</v>
      </c>
      <c r="DJ407" s="4">
        <f>INDEX(Sheet2!C:C,QUOTIENT(ROW()-1,19)+2)</f>
        <v>43100</v>
      </c>
      <c r="DK407" s="4" t="e">
        <f>INDEX(Sheet2!$AA$2:$AS$228,QUOTIENT(ROW()-1,19)+1,MOD(ROW()-2,19)+1)</f>
        <v>#N/A</v>
      </c>
      <c r="DL407" t="str">
        <f>IFERROR(INDEX(Sheet2!$AU$2:$BM$228,QUOTIENT(ROW()-1,19)+1,MOD(ROW()-2,19)+1),NA())</f>
        <v/>
      </c>
      <c r="DM407" s="4" t="e">
        <f t="shared" si="39"/>
        <v>#N/A</v>
      </c>
      <c r="DN407" t="e">
        <f t="shared" si="40"/>
        <v>#N/A</v>
      </c>
      <c r="DO407" t="e">
        <f t="shared" si="41"/>
        <v>#N/A</v>
      </c>
    </row>
    <row r="408" spans="7:119" x14ac:dyDescent="0.25">
      <c r="G408"/>
      <c r="DI408" s="4">
        <f>INDEX(Sheet2!A:A,QUOTIENT(ROW()-1,19)+2)</f>
        <v>41080</v>
      </c>
      <c r="DJ408" s="4">
        <f>INDEX(Sheet2!C:C,QUOTIENT(ROW()-1,19)+2)</f>
        <v>43100</v>
      </c>
      <c r="DK408" s="4" t="e">
        <f>INDEX(Sheet2!$AA$2:$AS$228,QUOTIENT(ROW()-1,19)+1,MOD(ROW()-2,19)+1)</f>
        <v>#N/A</v>
      </c>
      <c r="DL408" t="str">
        <f>IFERROR(INDEX(Sheet2!$AU$2:$BM$228,QUOTIENT(ROW()-1,19)+1,MOD(ROW()-2,19)+1),NA())</f>
        <v/>
      </c>
      <c r="DM408" s="4" t="e">
        <f t="shared" si="39"/>
        <v>#N/A</v>
      </c>
      <c r="DN408" t="e">
        <f t="shared" si="40"/>
        <v>#N/A</v>
      </c>
      <c r="DO408" t="e">
        <f t="shared" si="41"/>
        <v>#N/A</v>
      </c>
    </row>
    <row r="409" spans="7:119" x14ac:dyDescent="0.25">
      <c r="G409"/>
      <c r="DI409" s="4">
        <f>INDEX(Sheet2!A:A,QUOTIENT(ROW()-1,19)+2)</f>
        <v>41080</v>
      </c>
      <c r="DJ409" s="4">
        <f>INDEX(Sheet2!C:C,QUOTIENT(ROW()-1,19)+2)</f>
        <v>43100</v>
      </c>
      <c r="DK409" s="4" t="e">
        <f>INDEX(Sheet2!$AA$2:$AS$228,QUOTIENT(ROW()-1,19)+1,MOD(ROW()-2,19)+1)</f>
        <v>#N/A</v>
      </c>
      <c r="DL409" t="str">
        <f>IFERROR(INDEX(Sheet2!$AU$2:$BM$228,QUOTIENT(ROW()-1,19)+1,MOD(ROW()-2,19)+1),NA())</f>
        <v/>
      </c>
      <c r="DM409" s="4" t="e">
        <f t="shared" si="39"/>
        <v>#N/A</v>
      </c>
      <c r="DN409" t="e">
        <f t="shared" si="40"/>
        <v>#N/A</v>
      </c>
      <c r="DO409" t="e">
        <f t="shared" si="41"/>
        <v>#N/A</v>
      </c>
    </row>
    <row r="410" spans="7:119" x14ac:dyDescent="0.25">
      <c r="G410"/>
      <c r="DI410" s="4">
        <f>INDEX(Sheet2!A:A,QUOTIENT(ROW()-1,19)+2)</f>
        <v>41080</v>
      </c>
      <c r="DJ410" s="4">
        <f>INDEX(Sheet2!C:C,QUOTIENT(ROW()-1,19)+2)</f>
        <v>43100</v>
      </c>
      <c r="DK410" s="4" t="e">
        <f>INDEX(Sheet2!$AA$2:$AS$228,QUOTIENT(ROW()-1,19)+1,MOD(ROW()-2,19)+1)</f>
        <v>#N/A</v>
      </c>
      <c r="DL410" t="str">
        <f>IFERROR(INDEX(Sheet2!$AU$2:$BM$228,QUOTIENT(ROW()-1,19)+1,MOD(ROW()-2,19)+1),NA())</f>
        <v/>
      </c>
      <c r="DM410" s="4" t="e">
        <f t="shared" si="39"/>
        <v>#N/A</v>
      </c>
      <c r="DN410" t="e">
        <f t="shared" si="40"/>
        <v>#N/A</v>
      </c>
      <c r="DO410" t="e">
        <f t="shared" si="41"/>
        <v>#N/A</v>
      </c>
    </row>
    <row r="411" spans="7:119" x14ac:dyDescent="0.25">
      <c r="G411"/>
      <c r="DI411" s="4">
        <f>INDEX(Sheet2!A:A,QUOTIENT(ROW()-1,19)+2)</f>
        <v>41080</v>
      </c>
      <c r="DJ411" s="4">
        <f>INDEX(Sheet2!C:C,QUOTIENT(ROW()-1,19)+2)</f>
        <v>43100</v>
      </c>
      <c r="DK411" s="4" t="e">
        <f>INDEX(Sheet2!$AA$2:$AS$228,QUOTIENT(ROW()-1,19)+1,MOD(ROW()-2,19)+1)</f>
        <v>#N/A</v>
      </c>
      <c r="DL411" t="str">
        <f>IFERROR(INDEX(Sheet2!$AU$2:$BM$228,QUOTIENT(ROW()-1,19)+1,MOD(ROW()-2,19)+1),NA())</f>
        <v/>
      </c>
      <c r="DM411" s="4" t="e">
        <f t="shared" si="39"/>
        <v>#N/A</v>
      </c>
      <c r="DN411" t="e">
        <f t="shared" si="40"/>
        <v>#N/A</v>
      </c>
      <c r="DO411" t="e">
        <f t="shared" si="41"/>
        <v>#N/A</v>
      </c>
    </row>
    <row r="412" spans="7:119" x14ac:dyDescent="0.25">
      <c r="G412"/>
      <c r="DI412" s="4">
        <f>INDEX(Sheet2!A:A,QUOTIENT(ROW()-1,19)+2)</f>
        <v>41080</v>
      </c>
      <c r="DJ412" s="4">
        <f>INDEX(Sheet2!C:C,QUOTIENT(ROW()-1,19)+2)</f>
        <v>43100</v>
      </c>
      <c r="DK412" s="4" t="e">
        <f>INDEX(Sheet2!$AA$2:$AS$228,QUOTIENT(ROW()-1,19)+1,MOD(ROW()-2,19)+1)</f>
        <v>#N/A</v>
      </c>
      <c r="DL412" t="str">
        <f>IFERROR(INDEX(Sheet2!$AU$2:$BM$228,QUOTIENT(ROW()-1,19)+1,MOD(ROW()-2,19)+1),NA())</f>
        <v/>
      </c>
      <c r="DM412" s="4" t="e">
        <f t="shared" si="39"/>
        <v>#N/A</v>
      </c>
      <c r="DN412" t="e">
        <f t="shared" si="40"/>
        <v>#N/A</v>
      </c>
      <c r="DO412" t="e">
        <f t="shared" si="41"/>
        <v>#N/A</v>
      </c>
    </row>
    <row r="413" spans="7:119" x14ac:dyDescent="0.25">
      <c r="G413"/>
      <c r="DI413" s="4">
        <f>INDEX(Sheet2!A:A,QUOTIENT(ROW()-1,19)+2)</f>
        <v>41080</v>
      </c>
      <c r="DJ413" s="4">
        <f>INDEX(Sheet2!C:C,QUOTIENT(ROW()-1,19)+2)</f>
        <v>43100</v>
      </c>
      <c r="DK413" s="4" t="e">
        <f>INDEX(Sheet2!$AA$2:$AS$228,QUOTIENT(ROW()-1,19)+1,MOD(ROW()-2,19)+1)</f>
        <v>#N/A</v>
      </c>
      <c r="DL413" t="str">
        <f>IFERROR(INDEX(Sheet2!$AU$2:$BM$228,QUOTIENT(ROW()-1,19)+1,MOD(ROW()-2,19)+1),NA())</f>
        <v/>
      </c>
      <c r="DM413" s="4" t="e">
        <f t="shared" si="39"/>
        <v>#N/A</v>
      </c>
      <c r="DN413" t="e">
        <f t="shared" si="40"/>
        <v>#N/A</v>
      </c>
      <c r="DO413" t="e">
        <f t="shared" si="41"/>
        <v>#N/A</v>
      </c>
    </row>
    <row r="414" spans="7:119" x14ac:dyDescent="0.25">
      <c r="G414"/>
      <c r="DI414" s="4">
        <f>INDEX(Sheet2!A:A,QUOTIENT(ROW()-1,19)+2)</f>
        <v>41080</v>
      </c>
      <c r="DJ414" s="4">
        <f>INDEX(Sheet2!C:C,QUOTIENT(ROW()-1,19)+2)</f>
        <v>43100</v>
      </c>
      <c r="DK414" s="4" t="e">
        <f>INDEX(Sheet2!$AA$2:$AS$228,QUOTIENT(ROW()-1,19)+1,MOD(ROW()-2,19)+1)</f>
        <v>#N/A</v>
      </c>
      <c r="DL414" t="str">
        <f>IFERROR(INDEX(Sheet2!$AU$2:$BM$228,QUOTIENT(ROW()-1,19)+1,MOD(ROW()-2,19)+1),NA())</f>
        <v/>
      </c>
      <c r="DM414" s="4" t="e">
        <f t="shared" si="39"/>
        <v>#N/A</v>
      </c>
      <c r="DN414" t="e">
        <f t="shared" si="40"/>
        <v>#N/A</v>
      </c>
      <c r="DO414" t="e">
        <f t="shared" si="41"/>
        <v>#N/A</v>
      </c>
    </row>
    <row r="415" spans="7:119" x14ac:dyDescent="0.25">
      <c r="G415"/>
      <c r="DI415" s="4">
        <f>INDEX(Sheet2!A:A,QUOTIENT(ROW()-1,19)+2)</f>
        <v>41080</v>
      </c>
      <c r="DJ415" s="4">
        <f>INDEX(Sheet2!C:C,QUOTIENT(ROW()-1,19)+2)</f>
        <v>43100</v>
      </c>
      <c r="DK415" s="4" t="e">
        <f>INDEX(Sheet2!$AA$2:$AS$228,QUOTIENT(ROW()-1,19)+1,MOD(ROW()-2,19)+1)</f>
        <v>#N/A</v>
      </c>
      <c r="DL415" t="str">
        <f>IFERROR(INDEX(Sheet2!$AU$2:$BM$228,QUOTIENT(ROW()-1,19)+1,MOD(ROW()-2,19)+1),NA())</f>
        <v/>
      </c>
      <c r="DM415" s="4" t="e">
        <f t="shared" si="39"/>
        <v>#N/A</v>
      </c>
      <c r="DN415" t="e">
        <f t="shared" si="40"/>
        <v>#N/A</v>
      </c>
      <c r="DO415" t="e">
        <f t="shared" si="41"/>
        <v>#N/A</v>
      </c>
    </row>
    <row r="416" spans="7:119" x14ac:dyDescent="0.25">
      <c r="G416"/>
      <c r="DI416" s="4">
        <f>INDEX(Sheet2!A:A,QUOTIENT(ROW()-1,19)+2)</f>
        <v>41080</v>
      </c>
      <c r="DJ416" s="4">
        <f>INDEX(Sheet2!C:C,QUOTIENT(ROW()-1,19)+2)</f>
        <v>43100</v>
      </c>
      <c r="DK416" s="4" t="e">
        <f>INDEX(Sheet2!$AA$2:$AS$228,QUOTIENT(ROW()-1,19)+1,MOD(ROW()-2,19)+1)</f>
        <v>#N/A</v>
      </c>
      <c r="DL416" t="str">
        <f>IFERROR(INDEX(Sheet2!$AU$2:$BM$228,QUOTIENT(ROW()-1,19)+1,MOD(ROW()-2,19)+1),NA())</f>
        <v/>
      </c>
      <c r="DM416" s="4" t="e">
        <f t="shared" si="39"/>
        <v>#N/A</v>
      </c>
      <c r="DN416" t="e">
        <f t="shared" si="40"/>
        <v>#N/A</v>
      </c>
      <c r="DO416" t="e">
        <f t="shared" si="41"/>
        <v>#N/A</v>
      </c>
    </row>
    <row r="417" spans="7:119" x14ac:dyDescent="0.25">
      <c r="G417"/>
      <c r="DI417" s="4">
        <f>INDEX(Sheet2!A:A,QUOTIENT(ROW()-1,19)+2)</f>
        <v>41080</v>
      </c>
      <c r="DJ417" s="4">
        <f>INDEX(Sheet2!C:C,QUOTIENT(ROW()-1,19)+2)</f>
        <v>43100</v>
      </c>
      <c r="DK417" s="4" t="e">
        <f>INDEX(Sheet2!$AA$2:$AS$228,QUOTIENT(ROW()-1,19)+1,MOD(ROW()-2,19)+1)</f>
        <v>#N/A</v>
      </c>
      <c r="DL417" t="str">
        <f>IFERROR(INDEX(Sheet2!$AU$2:$BM$228,QUOTIENT(ROW()-1,19)+1,MOD(ROW()-2,19)+1),NA())</f>
        <v/>
      </c>
      <c r="DM417" s="4" t="e">
        <f t="shared" si="39"/>
        <v>#N/A</v>
      </c>
      <c r="DN417" t="e">
        <f t="shared" si="40"/>
        <v>#N/A</v>
      </c>
      <c r="DO417" t="e">
        <f t="shared" si="41"/>
        <v>#N/A</v>
      </c>
    </row>
    <row r="418" spans="7:119" x14ac:dyDescent="0.25">
      <c r="G418"/>
      <c r="DI418" s="4">
        <f>INDEX(Sheet2!A:A,QUOTIENT(ROW()-1,19)+2)</f>
        <v>41080</v>
      </c>
      <c r="DJ418" s="4">
        <f>INDEX(Sheet2!C:C,QUOTIENT(ROW()-1,19)+2)</f>
        <v>43100</v>
      </c>
      <c r="DK418" s="4" t="e">
        <f>INDEX(Sheet2!$AA$2:$AS$228,QUOTIENT(ROW()-1,19)+1,MOD(ROW()-2,19)+1)</f>
        <v>#N/A</v>
      </c>
      <c r="DL418" t="str">
        <f>IFERROR(INDEX(Sheet2!$AU$2:$BM$228,QUOTIENT(ROW()-1,19)+1,MOD(ROW()-2,19)+1),NA())</f>
        <v/>
      </c>
      <c r="DM418" s="4" t="e">
        <f t="shared" si="39"/>
        <v>#N/A</v>
      </c>
      <c r="DN418" t="e">
        <f t="shared" si="40"/>
        <v>#N/A</v>
      </c>
      <c r="DO418" t="e">
        <f t="shared" si="41"/>
        <v>#N/A</v>
      </c>
    </row>
    <row r="419" spans="7:119" x14ac:dyDescent="0.25">
      <c r="G419"/>
      <c r="DI419" s="4">
        <f>INDEX(Sheet2!A:A,QUOTIENT(ROW()-1,19)+2)</f>
        <v>41080</v>
      </c>
      <c r="DJ419" s="4">
        <f>INDEX(Sheet2!C:C,QUOTIENT(ROW()-1,19)+2)</f>
        <v>43100</v>
      </c>
      <c r="DK419" s="4" t="e">
        <f>INDEX(Sheet2!$AA$2:$AS$228,QUOTIENT(ROW()-1,19)+1,MOD(ROW()-2,19)+1)</f>
        <v>#N/A</v>
      </c>
      <c r="DL419" t="str">
        <f>IFERROR(INDEX(Sheet2!$AU$2:$BM$228,QUOTIENT(ROW()-1,19)+1,MOD(ROW()-2,19)+1),NA())</f>
        <v/>
      </c>
      <c r="DM419" s="4" t="e">
        <f t="shared" si="39"/>
        <v>#N/A</v>
      </c>
      <c r="DN419" t="e">
        <f t="shared" si="40"/>
        <v>#N/A</v>
      </c>
      <c r="DO419" t="e">
        <f t="shared" si="41"/>
        <v>#N/A</v>
      </c>
    </row>
    <row r="420" spans="7:119" x14ac:dyDescent="0.25">
      <c r="G420"/>
      <c r="DI420" s="4">
        <f>INDEX(Sheet2!A:A,QUOTIENT(ROW()-1,19)+2)</f>
        <v>41080</v>
      </c>
      <c r="DJ420" s="4">
        <f>INDEX(Sheet2!C:C,QUOTIENT(ROW()-1,19)+2)</f>
        <v>43100</v>
      </c>
      <c r="DK420" s="4">
        <f>INDEX(Sheet2!$AA$2:$AS$228,QUOTIENT(ROW()-1,19)+1,MOD(ROW()-2,19)+1)</f>
        <v>43059.85</v>
      </c>
      <c r="DL420">
        <f>IFERROR(INDEX(Sheet2!$AU$2:$BM$228,QUOTIENT(ROW()-1,19)+1,MOD(ROW()-2,19)+1),NA())</f>
        <v>4.25</v>
      </c>
      <c r="DM420" s="4" t="e">
        <f t="shared" si="39"/>
        <v>#N/A</v>
      </c>
      <c r="DN420" t="e">
        <f t="shared" si="40"/>
        <v>#N/A</v>
      </c>
      <c r="DO420" t="e">
        <f t="shared" si="41"/>
        <v>#N/A</v>
      </c>
    </row>
    <row r="421" spans="7:119" x14ac:dyDescent="0.25">
      <c r="G421"/>
      <c r="DI421" s="4">
        <f>INDEX(Sheet2!A:A,QUOTIENT(ROW()-1,19)+2)</f>
        <v>41080</v>
      </c>
      <c r="DJ421" s="4">
        <f>INDEX(Sheet2!C:C,QUOTIENT(ROW()-1,19)+2)</f>
        <v>43100</v>
      </c>
      <c r="DK421" s="4">
        <f>INDEX(Sheet2!$AA$2:$AS$228,QUOTIENT(ROW()-1,19)+1,MOD(ROW()-2,19)+1)</f>
        <v>43079.925000000003</v>
      </c>
      <c r="DL421">
        <f>IFERROR(INDEX(Sheet2!$AU$2:$BM$228,QUOTIENT(ROW()-1,19)+1,MOD(ROW()-2,19)+1),NA())</f>
        <v>4.25</v>
      </c>
      <c r="DM421" s="4" t="e">
        <f t="shared" si="39"/>
        <v>#N/A</v>
      </c>
      <c r="DN421" t="e">
        <f t="shared" si="40"/>
        <v>#N/A</v>
      </c>
      <c r="DO421" t="e">
        <f t="shared" si="41"/>
        <v>#N/A</v>
      </c>
    </row>
    <row r="422" spans="7:119" x14ac:dyDescent="0.25">
      <c r="G422"/>
      <c r="DI422" s="4">
        <f>INDEX(Sheet2!A:A,QUOTIENT(ROW()-1,19)+2)</f>
        <v>41080</v>
      </c>
      <c r="DJ422" s="4">
        <f>INDEX(Sheet2!C:C,QUOTIENT(ROW()-1,19)+2)</f>
        <v>43100</v>
      </c>
      <c r="DK422" s="4">
        <f>INDEX(Sheet2!$AA$2:$AS$228,QUOTIENT(ROW()-1,19)+1,MOD(ROW()-2,19)+1)</f>
        <v>43100</v>
      </c>
      <c r="DL422">
        <f>IFERROR(INDEX(Sheet2!$AU$2:$BM$228,QUOTIENT(ROW()-1,19)+1,MOD(ROW()-2,19)+1),NA())</f>
        <v>4.25</v>
      </c>
      <c r="DM422" s="4" t="e">
        <f t="shared" si="39"/>
        <v>#N/A</v>
      </c>
      <c r="DN422" t="e">
        <f t="shared" si="40"/>
        <v>#N/A</v>
      </c>
      <c r="DO422" t="e">
        <f t="shared" si="41"/>
        <v>#N/A</v>
      </c>
    </row>
    <row r="423" spans="7:119" x14ac:dyDescent="0.25">
      <c r="G423"/>
      <c r="DI423" s="4">
        <f>INDEX(Sheet2!A:A,QUOTIENT(ROW()-1,19)+2)</f>
        <v>41080</v>
      </c>
      <c r="DJ423" s="4">
        <f>INDEX(Sheet2!C:C,QUOTIENT(ROW()-1,19)+2)</f>
        <v>43100</v>
      </c>
      <c r="DK423" s="4">
        <f>INDEX(Sheet2!$AA$2:$AS$228,QUOTIENT(ROW()-1,19)+1,MOD(ROW()-2,19)+1)</f>
        <v>43120.075000000004</v>
      </c>
      <c r="DL423">
        <f>IFERROR(INDEX(Sheet2!$AU$2:$BM$228,QUOTIENT(ROW()-1,19)+1,MOD(ROW()-2,19)+1),NA())</f>
        <v>4.25</v>
      </c>
      <c r="DM423" s="4" t="e">
        <f t="shared" si="39"/>
        <v>#N/A</v>
      </c>
      <c r="DN423" t="e">
        <f t="shared" si="40"/>
        <v>#N/A</v>
      </c>
      <c r="DO423" t="e">
        <f t="shared" si="41"/>
        <v>#N/A</v>
      </c>
    </row>
    <row r="424" spans="7:119" x14ac:dyDescent="0.25">
      <c r="G424"/>
      <c r="DI424" s="4">
        <f>INDEX(Sheet2!A:A,QUOTIENT(ROW()-1,19)+2)</f>
        <v>41080</v>
      </c>
      <c r="DJ424" s="4">
        <f>INDEX(Sheet2!C:C,QUOTIENT(ROW()-1,19)+2)</f>
        <v>43100</v>
      </c>
      <c r="DK424" s="4">
        <f>INDEX(Sheet2!$AA$2:$AS$228,QUOTIENT(ROW()-1,19)+1,MOD(ROW()-2,19)+1)</f>
        <v>43140.15</v>
      </c>
      <c r="DL424">
        <f>IFERROR(INDEX(Sheet2!$AU$2:$BM$228,QUOTIENT(ROW()-1,19)+1,MOD(ROW()-2,19)+1),NA())</f>
        <v>4.25</v>
      </c>
      <c r="DM424" s="4" t="e">
        <f t="shared" si="39"/>
        <v>#N/A</v>
      </c>
      <c r="DN424" t="e">
        <f t="shared" si="40"/>
        <v>#N/A</v>
      </c>
      <c r="DO424" t="e">
        <f t="shared" si="41"/>
        <v>#N/A</v>
      </c>
    </row>
    <row r="425" spans="7:119" x14ac:dyDescent="0.25">
      <c r="G425"/>
      <c r="DI425" s="4">
        <f>INDEX(Sheet2!A:A,QUOTIENT(ROW()-1,19)+2)</f>
        <v>41080</v>
      </c>
      <c r="DJ425" s="4">
        <f>INDEX(Sheet2!C:C,QUOTIENT(ROW()-1,19)+2)</f>
        <v>43100</v>
      </c>
      <c r="DK425" s="4" t="e">
        <f>INDEX(Sheet2!$AA$2:$AS$228,QUOTIENT(ROW()-1,19)+1,MOD(ROW()-2,19)+1)</f>
        <v>#N/A</v>
      </c>
      <c r="DL425" t="str">
        <f>IFERROR(INDEX(Sheet2!$AU$2:$BM$228,QUOTIENT(ROW()-1,19)+1,MOD(ROW()-2,19)+1),NA())</f>
        <v/>
      </c>
      <c r="DM425" s="4" t="e">
        <f t="shared" si="39"/>
        <v>#N/A</v>
      </c>
      <c r="DN425" t="e">
        <f t="shared" si="40"/>
        <v>#N/A</v>
      </c>
      <c r="DO425" t="e">
        <f t="shared" si="41"/>
        <v>#N/A</v>
      </c>
    </row>
    <row r="426" spans="7:119" x14ac:dyDescent="0.25">
      <c r="G426"/>
      <c r="DI426" s="4">
        <f>INDEX(Sheet2!A:A,QUOTIENT(ROW()-1,19)+2)</f>
        <v>41080</v>
      </c>
      <c r="DJ426" s="4">
        <f>INDEX(Sheet2!C:C,QUOTIENT(ROW()-1,19)+2)</f>
        <v>43100</v>
      </c>
      <c r="DK426" s="4" t="e">
        <f>INDEX(Sheet2!$AA$2:$AS$228,QUOTIENT(ROW()-1,19)+1,MOD(ROW()-2,19)+1)</f>
        <v>#N/A</v>
      </c>
      <c r="DL426" t="str">
        <f>IFERROR(INDEX(Sheet2!$AU$2:$BM$228,QUOTIENT(ROW()-1,19)+1,MOD(ROW()-2,19)+1),NA())</f>
        <v/>
      </c>
      <c r="DM426" s="4" t="e">
        <f t="shared" si="39"/>
        <v>#N/A</v>
      </c>
      <c r="DN426" t="e">
        <f t="shared" si="40"/>
        <v>#N/A</v>
      </c>
      <c r="DO426" t="e">
        <f t="shared" si="41"/>
        <v>#N/A</v>
      </c>
    </row>
    <row r="427" spans="7:119" x14ac:dyDescent="0.25">
      <c r="G427"/>
      <c r="DI427" s="4">
        <f>INDEX(Sheet2!A:A,QUOTIENT(ROW()-1,19)+2)</f>
        <v>41080</v>
      </c>
      <c r="DJ427" s="4">
        <f>INDEX(Sheet2!C:C,QUOTIENT(ROW()-1,19)+2)</f>
        <v>43100</v>
      </c>
      <c r="DK427" s="4" t="e">
        <f>INDEX(Sheet2!$AA$2:$AS$228,QUOTIENT(ROW()-1,19)+1,MOD(ROW()-2,19)+1)</f>
        <v>#N/A</v>
      </c>
      <c r="DL427" t="str">
        <f>IFERROR(INDEX(Sheet2!$AU$2:$BM$228,QUOTIENT(ROW()-1,19)+1,MOD(ROW()-2,19)+1),NA())</f>
        <v/>
      </c>
      <c r="DM427" s="4" t="e">
        <f t="shared" si="39"/>
        <v>#N/A</v>
      </c>
      <c r="DN427" t="e">
        <f t="shared" si="40"/>
        <v>#N/A</v>
      </c>
      <c r="DO427" t="e">
        <f t="shared" si="41"/>
        <v>#N/A</v>
      </c>
    </row>
    <row r="428" spans="7:119" x14ac:dyDescent="0.25">
      <c r="G428"/>
      <c r="DI428" s="4">
        <f>INDEX(Sheet2!A:A,QUOTIENT(ROW()-1,19)+2)</f>
        <v>41080</v>
      </c>
      <c r="DJ428" s="4">
        <f>INDEX(Sheet2!C:C,QUOTIENT(ROW()-1,19)+2)</f>
        <v>43100</v>
      </c>
      <c r="DK428" s="4" t="e">
        <f>INDEX(Sheet2!$AA$2:$AS$228,QUOTIENT(ROW()-1,19)+1,MOD(ROW()-2,19)+1)</f>
        <v>#N/A</v>
      </c>
      <c r="DL428" t="str">
        <f>IFERROR(INDEX(Sheet2!$AU$2:$BM$228,QUOTIENT(ROW()-1,19)+1,MOD(ROW()-2,19)+1),NA())</f>
        <v/>
      </c>
      <c r="DM428" s="4" t="e">
        <f t="shared" si="39"/>
        <v>#N/A</v>
      </c>
      <c r="DN428" t="e">
        <f t="shared" si="40"/>
        <v>#N/A</v>
      </c>
      <c r="DO428" t="e">
        <f t="shared" si="41"/>
        <v>#N/A</v>
      </c>
    </row>
    <row r="429" spans="7:119" x14ac:dyDescent="0.25">
      <c r="G429"/>
      <c r="DI429" s="4">
        <f>INDEX(Sheet2!A:A,QUOTIENT(ROW()-1,19)+2)</f>
        <v>41080</v>
      </c>
      <c r="DJ429" s="4">
        <f>INDEX(Sheet2!C:C,QUOTIENT(ROW()-1,19)+2)</f>
        <v>43100</v>
      </c>
      <c r="DK429" s="4" t="e">
        <f>INDEX(Sheet2!$AA$2:$AS$228,QUOTIENT(ROW()-1,19)+1,MOD(ROW()-2,19)+1)</f>
        <v>#N/A</v>
      </c>
      <c r="DL429" t="str">
        <f>IFERROR(INDEX(Sheet2!$AU$2:$BM$228,QUOTIENT(ROW()-1,19)+1,MOD(ROW()-2,19)+1),NA())</f>
        <v/>
      </c>
      <c r="DM429" s="4" t="e">
        <f t="shared" si="39"/>
        <v>#N/A</v>
      </c>
      <c r="DN429" t="e">
        <f t="shared" si="40"/>
        <v>#N/A</v>
      </c>
      <c r="DO429" t="e">
        <f t="shared" si="41"/>
        <v>#N/A</v>
      </c>
    </row>
    <row r="430" spans="7:119" x14ac:dyDescent="0.25">
      <c r="G430"/>
      <c r="DI430" s="4">
        <f>INDEX(Sheet2!A:A,QUOTIENT(ROW()-1,19)+2)</f>
        <v>41080</v>
      </c>
      <c r="DJ430" s="4">
        <f>INDEX(Sheet2!C:C,QUOTIENT(ROW()-1,19)+2)</f>
        <v>43100</v>
      </c>
      <c r="DK430" s="4" t="e">
        <f>INDEX(Sheet2!$AA$2:$AS$228,QUOTIENT(ROW()-1,19)+1,MOD(ROW()-2,19)+1)</f>
        <v>#N/A</v>
      </c>
      <c r="DL430" t="str">
        <f>IFERROR(INDEX(Sheet2!$AU$2:$BM$228,QUOTIENT(ROW()-1,19)+1,MOD(ROW()-2,19)+1),NA())</f>
        <v/>
      </c>
      <c r="DM430" s="4" t="e">
        <f t="shared" si="39"/>
        <v>#N/A</v>
      </c>
      <c r="DN430" t="e">
        <f t="shared" si="40"/>
        <v>#N/A</v>
      </c>
      <c r="DO430" t="e">
        <f t="shared" si="41"/>
        <v>#N/A</v>
      </c>
    </row>
    <row r="431" spans="7:119" x14ac:dyDescent="0.25">
      <c r="G431"/>
      <c r="DI431" s="4">
        <f>INDEX(Sheet2!A:A,QUOTIENT(ROW()-1,19)+2)</f>
        <v>41080</v>
      </c>
      <c r="DJ431" s="4">
        <f>INDEX(Sheet2!C:C,QUOTIENT(ROW()-1,19)+2)</f>
        <v>43100</v>
      </c>
      <c r="DK431" s="4" t="e">
        <f>INDEX(Sheet2!$AA$2:$AS$228,QUOTIENT(ROW()-1,19)+1,MOD(ROW()-2,19)+1)</f>
        <v>#N/A</v>
      </c>
      <c r="DL431" t="str">
        <f>IFERROR(INDEX(Sheet2!$AU$2:$BM$228,QUOTIENT(ROW()-1,19)+1,MOD(ROW()-2,19)+1),NA())</f>
        <v/>
      </c>
      <c r="DM431" s="4" t="e">
        <f t="shared" si="39"/>
        <v>#N/A</v>
      </c>
      <c r="DN431" t="e">
        <f t="shared" si="40"/>
        <v>#N/A</v>
      </c>
      <c r="DO431" t="e">
        <f t="shared" si="41"/>
        <v>#N/A</v>
      </c>
    </row>
    <row r="432" spans="7:119" x14ac:dyDescent="0.25">
      <c r="G432"/>
      <c r="DI432" s="4">
        <f>INDEX(Sheet2!A:A,QUOTIENT(ROW()-1,19)+2)</f>
        <v>41080</v>
      </c>
      <c r="DJ432" s="4">
        <f>INDEX(Sheet2!C:C,QUOTIENT(ROW()-1,19)+2)</f>
        <v>43100</v>
      </c>
      <c r="DK432" s="4" t="e">
        <f>INDEX(Sheet2!$AA$2:$AS$228,QUOTIENT(ROW()-1,19)+1,MOD(ROW()-2,19)+1)</f>
        <v>#N/A</v>
      </c>
      <c r="DL432" t="str">
        <f>IFERROR(INDEX(Sheet2!$AU$2:$BM$228,QUOTIENT(ROW()-1,19)+1,MOD(ROW()-2,19)+1),NA())</f>
        <v/>
      </c>
      <c r="DM432" s="4" t="e">
        <f t="shared" si="39"/>
        <v>#N/A</v>
      </c>
      <c r="DN432" t="e">
        <f t="shared" si="40"/>
        <v>#N/A</v>
      </c>
      <c r="DO432" t="e">
        <f t="shared" si="41"/>
        <v>#N/A</v>
      </c>
    </row>
    <row r="433" spans="7:119" x14ac:dyDescent="0.25">
      <c r="G433"/>
      <c r="DI433" s="4">
        <f>INDEX(Sheet2!A:A,QUOTIENT(ROW()-1,19)+2)</f>
        <v>41080</v>
      </c>
      <c r="DJ433" s="4">
        <f>INDEX(Sheet2!C:C,QUOTIENT(ROW()-1,19)+2)</f>
        <v>43100</v>
      </c>
      <c r="DK433" s="4" t="e">
        <f>INDEX(Sheet2!$AA$2:$AS$228,QUOTIENT(ROW()-1,19)+1,MOD(ROW()-2,19)+1)</f>
        <v>#N/A</v>
      </c>
      <c r="DL433" t="str">
        <f>IFERROR(INDEX(Sheet2!$AU$2:$BM$228,QUOTIENT(ROW()-1,19)+1,MOD(ROW()-2,19)+1),NA())</f>
        <v/>
      </c>
      <c r="DM433" s="4" t="e">
        <f t="shared" si="39"/>
        <v>#N/A</v>
      </c>
      <c r="DN433" t="e">
        <f t="shared" si="40"/>
        <v>#N/A</v>
      </c>
      <c r="DO433" t="e">
        <f t="shared" si="41"/>
        <v>#N/A</v>
      </c>
    </row>
    <row r="434" spans="7:119" x14ac:dyDescent="0.25">
      <c r="G434"/>
      <c r="DI434" s="4">
        <f>INDEX(Sheet2!A:A,QUOTIENT(ROW()-1,19)+2)</f>
        <v>41080</v>
      </c>
      <c r="DJ434" s="4">
        <f>INDEX(Sheet2!C:C,QUOTIENT(ROW()-1,19)+2)</f>
        <v>43100</v>
      </c>
      <c r="DK434" s="4" t="e">
        <f>INDEX(Sheet2!$AA$2:$AS$228,QUOTIENT(ROW()-1,19)+1,MOD(ROW()-2,19)+1)</f>
        <v>#N/A</v>
      </c>
      <c r="DL434" t="str">
        <f>IFERROR(INDEX(Sheet2!$AU$2:$BM$228,QUOTIENT(ROW()-1,19)+1,MOD(ROW()-2,19)+1),NA())</f>
        <v/>
      </c>
      <c r="DM434" s="4" t="e">
        <f t="shared" si="39"/>
        <v>#N/A</v>
      </c>
      <c r="DN434" t="e">
        <f t="shared" si="40"/>
        <v>#N/A</v>
      </c>
      <c r="DO434" t="e">
        <f t="shared" si="41"/>
        <v>#N/A</v>
      </c>
    </row>
    <row r="435" spans="7:119" x14ac:dyDescent="0.25">
      <c r="G435"/>
      <c r="DI435" s="4">
        <f>INDEX(Sheet2!A:A,QUOTIENT(ROW()-1,19)+2)</f>
        <v>41080</v>
      </c>
      <c r="DJ435" s="4">
        <f>INDEX(Sheet2!C:C,QUOTIENT(ROW()-1,19)+2)</f>
        <v>43100</v>
      </c>
      <c r="DK435" s="4" t="e">
        <f>INDEX(Sheet2!$AA$2:$AS$228,QUOTIENT(ROW()-1,19)+1,MOD(ROW()-2,19)+1)</f>
        <v>#N/A</v>
      </c>
      <c r="DL435" t="str">
        <f>IFERROR(INDEX(Sheet2!$AU$2:$BM$228,QUOTIENT(ROW()-1,19)+1,MOD(ROW()-2,19)+1),NA())</f>
        <v/>
      </c>
      <c r="DM435" s="4" t="e">
        <f t="shared" si="39"/>
        <v>#N/A</v>
      </c>
      <c r="DN435" t="e">
        <f t="shared" si="40"/>
        <v>#N/A</v>
      </c>
      <c r="DO435" t="e">
        <f t="shared" si="41"/>
        <v>#N/A</v>
      </c>
    </row>
    <row r="436" spans="7:119" x14ac:dyDescent="0.25">
      <c r="G436"/>
      <c r="DI436" s="4">
        <f>INDEX(Sheet2!A:A,QUOTIENT(ROW()-1,19)+2)</f>
        <v>41080</v>
      </c>
      <c r="DJ436" s="4">
        <f>INDEX(Sheet2!C:C,QUOTIENT(ROW()-1,19)+2)</f>
        <v>43100</v>
      </c>
      <c r="DK436" s="4" t="e">
        <f>INDEX(Sheet2!$AA$2:$AS$228,QUOTIENT(ROW()-1,19)+1,MOD(ROW()-2,19)+1)</f>
        <v>#N/A</v>
      </c>
      <c r="DL436" t="str">
        <f>IFERROR(INDEX(Sheet2!$AU$2:$BM$228,QUOTIENT(ROW()-1,19)+1,MOD(ROW()-2,19)+1),NA())</f>
        <v/>
      </c>
      <c r="DM436" s="4" t="e">
        <f t="shared" si="39"/>
        <v>#N/A</v>
      </c>
      <c r="DN436" t="e">
        <f t="shared" si="40"/>
        <v>#N/A</v>
      </c>
      <c r="DO436" t="e">
        <f t="shared" si="41"/>
        <v>#N/A</v>
      </c>
    </row>
    <row r="437" spans="7:119" x14ac:dyDescent="0.25">
      <c r="G437"/>
      <c r="DI437" s="4">
        <f>INDEX(Sheet2!A:A,QUOTIENT(ROW()-1,19)+2)</f>
        <v>41080</v>
      </c>
      <c r="DJ437" s="4">
        <f>INDEX(Sheet2!C:C,QUOTIENT(ROW()-1,19)+2)</f>
        <v>43100</v>
      </c>
      <c r="DK437" s="4" t="e">
        <f>INDEX(Sheet2!$AA$2:$AS$228,QUOTIENT(ROW()-1,19)+1,MOD(ROW()-2,19)+1)</f>
        <v>#N/A</v>
      </c>
      <c r="DL437" t="str">
        <f>IFERROR(INDEX(Sheet2!$AU$2:$BM$228,QUOTIENT(ROW()-1,19)+1,MOD(ROW()-2,19)+1),NA())</f>
        <v/>
      </c>
      <c r="DM437" s="4" t="e">
        <f t="shared" si="39"/>
        <v>#N/A</v>
      </c>
      <c r="DN437" t="e">
        <f t="shared" si="40"/>
        <v>#N/A</v>
      </c>
      <c r="DO437" t="e">
        <f t="shared" si="41"/>
        <v>#N/A</v>
      </c>
    </row>
    <row r="438" spans="7:119" x14ac:dyDescent="0.25">
      <c r="G438"/>
      <c r="DI438" s="4">
        <f>INDEX(Sheet2!A:A,QUOTIENT(ROW()-1,19)+2)</f>
        <v>41080</v>
      </c>
      <c r="DJ438" s="4">
        <f>INDEX(Sheet2!C:C,QUOTIENT(ROW()-1,19)+2)</f>
        <v>43100</v>
      </c>
      <c r="DK438" s="4" t="e">
        <f>INDEX(Sheet2!$AA$2:$AS$228,QUOTIENT(ROW()-1,19)+1,MOD(ROW()-2,19)+1)</f>
        <v>#N/A</v>
      </c>
      <c r="DL438" t="str">
        <f>IFERROR(INDEX(Sheet2!$AU$2:$BM$228,QUOTIENT(ROW()-1,19)+1,MOD(ROW()-2,19)+1),NA())</f>
        <v/>
      </c>
      <c r="DM438" s="4" t="e">
        <f t="shared" si="39"/>
        <v>#N/A</v>
      </c>
      <c r="DN438" t="e">
        <f t="shared" si="40"/>
        <v>#N/A</v>
      </c>
      <c r="DO438" t="e">
        <f t="shared" si="41"/>
        <v>#N/A</v>
      </c>
    </row>
    <row r="439" spans="7:119" x14ac:dyDescent="0.25">
      <c r="G439"/>
      <c r="DI439" s="4">
        <f>INDEX(Sheet2!A:A,QUOTIENT(ROW()-1,19)+2)</f>
        <v>41080</v>
      </c>
      <c r="DJ439" s="4">
        <f>INDEX(Sheet2!C:C,QUOTIENT(ROW()-1,19)+2)</f>
        <v>43100</v>
      </c>
      <c r="DK439" s="4">
        <f>INDEX(Sheet2!$AA$2:$AS$228,QUOTIENT(ROW()-1,19)+1,MOD(ROW()-2,19)+1)</f>
        <v>43059.85</v>
      </c>
      <c r="DL439">
        <f>IFERROR(INDEX(Sheet2!$AU$2:$BM$228,QUOTIENT(ROW()-1,19)+1,MOD(ROW()-2,19)+1),NA())</f>
        <v>4.5</v>
      </c>
      <c r="DM439" s="4" t="e">
        <f t="shared" si="39"/>
        <v>#N/A</v>
      </c>
      <c r="DN439" t="e">
        <f t="shared" si="40"/>
        <v>#N/A</v>
      </c>
      <c r="DO439" t="e">
        <f t="shared" si="41"/>
        <v>#N/A</v>
      </c>
    </row>
    <row r="440" spans="7:119" x14ac:dyDescent="0.25">
      <c r="G440"/>
      <c r="DI440" s="4">
        <f>INDEX(Sheet2!A:A,QUOTIENT(ROW()-1,19)+2)</f>
        <v>41080</v>
      </c>
      <c r="DJ440" s="4">
        <f>INDEX(Sheet2!C:C,QUOTIENT(ROW()-1,19)+2)</f>
        <v>43100</v>
      </c>
      <c r="DK440" s="4">
        <f>INDEX(Sheet2!$AA$2:$AS$228,QUOTIENT(ROW()-1,19)+1,MOD(ROW()-2,19)+1)</f>
        <v>43079.925000000003</v>
      </c>
      <c r="DL440">
        <f>IFERROR(INDEX(Sheet2!$AU$2:$BM$228,QUOTIENT(ROW()-1,19)+1,MOD(ROW()-2,19)+1),NA())</f>
        <v>4.5</v>
      </c>
      <c r="DM440" s="4" t="e">
        <f t="shared" si="39"/>
        <v>#N/A</v>
      </c>
      <c r="DN440" t="e">
        <f t="shared" si="40"/>
        <v>#N/A</v>
      </c>
      <c r="DO440" t="e">
        <f t="shared" si="41"/>
        <v>#N/A</v>
      </c>
    </row>
    <row r="441" spans="7:119" x14ac:dyDescent="0.25">
      <c r="G441"/>
      <c r="DI441" s="4">
        <f>INDEX(Sheet2!A:A,QUOTIENT(ROW()-1,19)+2)</f>
        <v>41080</v>
      </c>
      <c r="DJ441" s="4">
        <f>INDEX(Sheet2!C:C,QUOTIENT(ROW()-1,19)+2)</f>
        <v>43100</v>
      </c>
      <c r="DK441" s="4">
        <f>INDEX(Sheet2!$AA$2:$AS$228,QUOTIENT(ROW()-1,19)+1,MOD(ROW()-2,19)+1)</f>
        <v>43100</v>
      </c>
      <c r="DL441">
        <f>IFERROR(INDEX(Sheet2!$AU$2:$BM$228,QUOTIENT(ROW()-1,19)+1,MOD(ROW()-2,19)+1),NA())</f>
        <v>4.5</v>
      </c>
      <c r="DM441" s="4" t="e">
        <f t="shared" si="39"/>
        <v>#N/A</v>
      </c>
      <c r="DN441" t="e">
        <f t="shared" si="40"/>
        <v>#N/A</v>
      </c>
      <c r="DO441" t="e">
        <f t="shared" si="41"/>
        <v>#N/A</v>
      </c>
    </row>
    <row r="442" spans="7:119" x14ac:dyDescent="0.25">
      <c r="G442"/>
      <c r="DI442" s="4">
        <f>INDEX(Sheet2!A:A,QUOTIENT(ROW()-1,19)+2)</f>
        <v>41080</v>
      </c>
      <c r="DJ442" s="4">
        <f>INDEX(Sheet2!C:C,QUOTIENT(ROW()-1,19)+2)</f>
        <v>43100</v>
      </c>
      <c r="DK442" s="4">
        <f>INDEX(Sheet2!$AA$2:$AS$228,QUOTIENT(ROW()-1,19)+1,MOD(ROW()-2,19)+1)</f>
        <v>43120.075000000004</v>
      </c>
      <c r="DL442">
        <f>IFERROR(INDEX(Sheet2!$AU$2:$BM$228,QUOTIENT(ROW()-1,19)+1,MOD(ROW()-2,19)+1),NA())</f>
        <v>4.5</v>
      </c>
      <c r="DM442" s="4" t="e">
        <f t="shared" si="39"/>
        <v>#N/A</v>
      </c>
      <c r="DN442" t="e">
        <f t="shared" si="40"/>
        <v>#N/A</v>
      </c>
      <c r="DO442" t="e">
        <f t="shared" si="41"/>
        <v>#N/A</v>
      </c>
    </row>
    <row r="443" spans="7:119" x14ac:dyDescent="0.25">
      <c r="G443"/>
      <c r="DI443" s="4">
        <f>INDEX(Sheet2!A:A,QUOTIENT(ROW()-1,19)+2)</f>
        <v>41080</v>
      </c>
      <c r="DJ443" s="4">
        <f>INDEX(Sheet2!C:C,QUOTIENT(ROW()-1,19)+2)</f>
        <v>43100</v>
      </c>
      <c r="DK443" s="4">
        <f>INDEX(Sheet2!$AA$2:$AS$228,QUOTIENT(ROW()-1,19)+1,MOD(ROW()-2,19)+1)</f>
        <v>43140.15</v>
      </c>
      <c r="DL443">
        <f>IFERROR(INDEX(Sheet2!$AU$2:$BM$228,QUOTIENT(ROW()-1,19)+1,MOD(ROW()-2,19)+1),NA())</f>
        <v>4.5</v>
      </c>
      <c r="DM443" s="4" t="e">
        <f t="shared" si="39"/>
        <v>#N/A</v>
      </c>
      <c r="DN443" t="e">
        <f t="shared" si="40"/>
        <v>#N/A</v>
      </c>
      <c r="DO443" t="e">
        <f t="shared" si="41"/>
        <v>#N/A</v>
      </c>
    </row>
    <row r="444" spans="7:119" x14ac:dyDescent="0.25">
      <c r="G444"/>
      <c r="DI444" s="4">
        <f>INDEX(Sheet2!A:A,QUOTIENT(ROW()-1,19)+2)</f>
        <v>41080</v>
      </c>
      <c r="DJ444" s="4">
        <f>INDEX(Sheet2!C:C,QUOTIENT(ROW()-1,19)+2)</f>
        <v>43100</v>
      </c>
      <c r="DK444" s="4" t="e">
        <f>INDEX(Sheet2!$AA$2:$AS$228,QUOTIENT(ROW()-1,19)+1,MOD(ROW()-2,19)+1)</f>
        <v>#N/A</v>
      </c>
      <c r="DL444" t="str">
        <f>IFERROR(INDEX(Sheet2!$AU$2:$BM$228,QUOTIENT(ROW()-1,19)+1,MOD(ROW()-2,19)+1),NA())</f>
        <v/>
      </c>
      <c r="DM444" s="4" t="e">
        <f t="shared" si="39"/>
        <v>#N/A</v>
      </c>
      <c r="DN444" t="e">
        <f t="shared" si="40"/>
        <v>#N/A</v>
      </c>
      <c r="DO444" t="e">
        <f t="shared" si="41"/>
        <v>#N/A</v>
      </c>
    </row>
    <row r="445" spans="7:119" x14ac:dyDescent="0.25">
      <c r="G445"/>
      <c r="DI445" s="4">
        <f>INDEX(Sheet2!A:A,QUOTIENT(ROW()-1,19)+2)</f>
        <v>41080</v>
      </c>
      <c r="DJ445" s="4">
        <f>INDEX(Sheet2!C:C,QUOTIENT(ROW()-1,19)+2)</f>
        <v>43100</v>
      </c>
      <c r="DK445" s="4" t="e">
        <f>INDEX(Sheet2!$AA$2:$AS$228,QUOTIENT(ROW()-1,19)+1,MOD(ROW()-2,19)+1)</f>
        <v>#N/A</v>
      </c>
      <c r="DL445" t="str">
        <f>IFERROR(INDEX(Sheet2!$AU$2:$BM$228,QUOTIENT(ROW()-1,19)+1,MOD(ROW()-2,19)+1),NA())</f>
        <v/>
      </c>
      <c r="DM445" s="4" t="e">
        <f t="shared" si="39"/>
        <v>#N/A</v>
      </c>
      <c r="DN445" t="e">
        <f t="shared" si="40"/>
        <v>#N/A</v>
      </c>
      <c r="DO445" t="e">
        <f t="shared" si="41"/>
        <v>#N/A</v>
      </c>
    </row>
    <row r="446" spans="7:119" x14ac:dyDescent="0.25">
      <c r="G446"/>
      <c r="DI446" s="4">
        <f>INDEX(Sheet2!A:A,QUOTIENT(ROW()-1,19)+2)</f>
        <v>41080</v>
      </c>
      <c r="DJ446" s="4">
        <f>INDEX(Sheet2!C:C,QUOTIENT(ROW()-1,19)+2)</f>
        <v>43100</v>
      </c>
      <c r="DK446" s="4" t="e">
        <f>INDEX(Sheet2!$AA$2:$AS$228,QUOTIENT(ROW()-1,19)+1,MOD(ROW()-2,19)+1)</f>
        <v>#N/A</v>
      </c>
      <c r="DL446" t="str">
        <f>IFERROR(INDEX(Sheet2!$AU$2:$BM$228,QUOTIENT(ROW()-1,19)+1,MOD(ROW()-2,19)+1),NA())</f>
        <v/>
      </c>
      <c r="DM446" s="4" t="e">
        <f t="shared" si="39"/>
        <v>#N/A</v>
      </c>
      <c r="DN446" t="e">
        <f t="shared" si="40"/>
        <v>#N/A</v>
      </c>
      <c r="DO446" t="e">
        <f t="shared" si="41"/>
        <v>#N/A</v>
      </c>
    </row>
    <row r="447" spans="7:119" x14ac:dyDescent="0.25">
      <c r="G447"/>
      <c r="DI447" s="4">
        <f>INDEX(Sheet2!A:A,QUOTIENT(ROW()-1,19)+2)</f>
        <v>41080</v>
      </c>
      <c r="DJ447" s="4">
        <f>INDEX(Sheet2!C:C,QUOTIENT(ROW()-1,19)+2)</f>
        <v>43100</v>
      </c>
      <c r="DK447" s="4" t="e">
        <f>INDEX(Sheet2!$AA$2:$AS$228,QUOTIENT(ROW()-1,19)+1,MOD(ROW()-2,19)+1)</f>
        <v>#N/A</v>
      </c>
      <c r="DL447" t="str">
        <f>IFERROR(INDEX(Sheet2!$AU$2:$BM$228,QUOTIENT(ROW()-1,19)+1,MOD(ROW()-2,19)+1),NA())</f>
        <v/>
      </c>
      <c r="DM447" s="4" t="e">
        <f t="shared" si="39"/>
        <v>#N/A</v>
      </c>
      <c r="DN447" t="e">
        <f t="shared" si="40"/>
        <v>#N/A</v>
      </c>
      <c r="DO447" t="e">
        <f t="shared" si="41"/>
        <v>#N/A</v>
      </c>
    </row>
    <row r="448" spans="7:119" x14ac:dyDescent="0.25">
      <c r="G448"/>
      <c r="DI448" s="4">
        <f>INDEX(Sheet2!A:A,QUOTIENT(ROW()-1,19)+2)</f>
        <v>41080</v>
      </c>
      <c r="DJ448" s="4">
        <f>INDEX(Sheet2!C:C,QUOTIENT(ROW()-1,19)+2)</f>
        <v>43100</v>
      </c>
      <c r="DK448" s="4" t="e">
        <f>INDEX(Sheet2!$AA$2:$AS$228,QUOTIENT(ROW()-1,19)+1,MOD(ROW()-2,19)+1)</f>
        <v>#N/A</v>
      </c>
      <c r="DL448" t="str">
        <f>IFERROR(INDEX(Sheet2!$AU$2:$BM$228,QUOTIENT(ROW()-1,19)+1,MOD(ROW()-2,19)+1),NA())</f>
        <v/>
      </c>
      <c r="DM448" s="4" t="e">
        <f t="shared" si="39"/>
        <v>#N/A</v>
      </c>
      <c r="DN448" t="e">
        <f t="shared" si="40"/>
        <v>#N/A</v>
      </c>
      <c r="DO448" t="e">
        <f t="shared" si="41"/>
        <v>#N/A</v>
      </c>
    </row>
    <row r="449" spans="7:119" x14ac:dyDescent="0.25">
      <c r="G449"/>
      <c r="DI449" s="4">
        <f>INDEX(Sheet2!A:A,QUOTIENT(ROW()-1,19)+2)</f>
        <v>41080</v>
      </c>
      <c r="DJ449" s="4">
        <f>INDEX(Sheet2!C:C,QUOTIENT(ROW()-1,19)+2)</f>
        <v>43100</v>
      </c>
      <c r="DK449" s="4" t="e">
        <f>INDEX(Sheet2!$AA$2:$AS$228,QUOTIENT(ROW()-1,19)+1,MOD(ROW()-2,19)+1)</f>
        <v>#N/A</v>
      </c>
      <c r="DL449" t="str">
        <f>IFERROR(INDEX(Sheet2!$AU$2:$BM$228,QUOTIENT(ROW()-1,19)+1,MOD(ROW()-2,19)+1),NA())</f>
        <v/>
      </c>
      <c r="DM449" s="4" t="e">
        <f t="shared" si="39"/>
        <v>#N/A</v>
      </c>
      <c r="DN449" t="e">
        <f t="shared" si="40"/>
        <v>#N/A</v>
      </c>
      <c r="DO449" t="e">
        <f t="shared" si="41"/>
        <v>#N/A</v>
      </c>
    </row>
    <row r="450" spans="7:119" x14ac:dyDescent="0.25">
      <c r="G450"/>
      <c r="DI450" s="4">
        <f>INDEX(Sheet2!A:A,QUOTIENT(ROW()-1,19)+2)</f>
        <v>41080</v>
      </c>
      <c r="DJ450" s="4">
        <f>INDEX(Sheet2!C:C,QUOTIENT(ROW()-1,19)+2)</f>
        <v>43100</v>
      </c>
      <c r="DK450" s="4" t="e">
        <f>INDEX(Sheet2!$AA$2:$AS$228,QUOTIENT(ROW()-1,19)+1,MOD(ROW()-2,19)+1)</f>
        <v>#N/A</v>
      </c>
      <c r="DL450" t="str">
        <f>IFERROR(INDEX(Sheet2!$AU$2:$BM$228,QUOTIENT(ROW()-1,19)+1,MOD(ROW()-2,19)+1),NA())</f>
        <v/>
      </c>
      <c r="DM450" s="4" t="e">
        <f t="shared" ref="DM450:DM513" si="42">+IF($C$2=$DI450,DK450,NA())</f>
        <v>#N/A</v>
      </c>
      <c r="DN450" t="e">
        <f t="shared" ref="DN450:DN513" si="43">+IF($C$2=$DI450,DL450,NA())</f>
        <v>#N/A</v>
      </c>
      <c r="DO450" t="e">
        <f t="shared" si="41"/>
        <v>#N/A</v>
      </c>
    </row>
    <row r="451" spans="7:119" x14ac:dyDescent="0.25">
      <c r="G451"/>
      <c r="DI451" s="4">
        <f>INDEX(Sheet2!A:A,QUOTIENT(ROW()-1,19)+2)</f>
        <v>41080</v>
      </c>
      <c r="DJ451" s="4">
        <f>INDEX(Sheet2!C:C,QUOTIENT(ROW()-1,19)+2)</f>
        <v>43100</v>
      </c>
      <c r="DK451" s="4" t="e">
        <f>INDEX(Sheet2!$AA$2:$AS$228,QUOTIENT(ROW()-1,19)+1,MOD(ROW()-2,19)+1)</f>
        <v>#N/A</v>
      </c>
      <c r="DL451" t="str">
        <f>IFERROR(INDEX(Sheet2!$AU$2:$BM$228,QUOTIENT(ROW()-1,19)+1,MOD(ROW()-2,19)+1),NA())</f>
        <v/>
      </c>
      <c r="DM451" s="4" t="e">
        <f t="shared" si="42"/>
        <v>#N/A</v>
      </c>
      <c r="DN451" t="e">
        <f t="shared" si="43"/>
        <v>#N/A</v>
      </c>
      <c r="DO451" t="e">
        <f t="shared" ref="DO451:DO514" si="44">IF(DN451="",NA(),DN451)</f>
        <v>#N/A</v>
      </c>
    </row>
    <row r="452" spans="7:119" x14ac:dyDescent="0.25">
      <c r="G452"/>
      <c r="DI452" s="4">
        <f>INDEX(Sheet2!A:A,QUOTIENT(ROW()-1,19)+2)</f>
        <v>41080</v>
      </c>
      <c r="DJ452" s="4">
        <f>INDEX(Sheet2!C:C,QUOTIENT(ROW()-1,19)+2)</f>
        <v>43100</v>
      </c>
      <c r="DK452" s="4" t="e">
        <f>INDEX(Sheet2!$AA$2:$AS$228,QUOTIENT(ROW()-1,19)+1,MOD(ROW()-2,19)+1)</f>
        <v>#N/A</v>
      </c>
      <c r="DL452" t="str">
        <f>IFERROR(INDEX(Sheet2!$AU$2:$BM$228,QUOTIENT(ROW()-1,19)+1,MOD(ROW()-2,19)+1),NA())</f>
        <v/>
      </c>
      <c r="DM452" s="4" t="e">
        <f t="shared" si="42"/>
        <v>#N/A</v>
      </c>
      <c r="DN452" t="e">
        <f t="shared" si="43"/>
        <v>#N/A</v>
      </c>
      <c r="DO452" t="e">
        <f t="shared" si="44"/>
        <v>#N/A</v>
      </c>
    </row>
    <row r="453" spans="7:119" x14ac:dyDescent="0.25">
      <c r="G453"/>
      <c r="DI453" s="4">
        <f>INDEX(Sheet2!A:A,QUOTIENT(ROW()-1,19)+2)</f>
        <v>41080</v>
      </c>
      <c r="DJ453" s="4">
        <f>INDEX(Sheet2!C:C,QUOTIENT(ROW()-1,19)+2)</f>
        <v>43100</v>
      </c>
      <c r="DK453" s="4" t="e">
        <f>INDEX(Sheet2!$AA$2:$AS$228,QUOTIENT(ROW()-1,19)+1,MOD(ROW()-2,19)+1)</f>
        <v>#N/A</v>
      </c>
      <c r="DL453" t="str">
        <f>IFERROR(INDEX(Sheet2!$AU$2:$BM$228,QUOTIENT(ROW()-1,19)+1,MOD(ROW()-2,19)+1),NA())</f>
        <v/>
      </c>
      <c r="DM453" s="4" t="e">
        <f t="shared" si="42"/>
        <v>#N/A</v>
      </c>
      <c r="DN453" t="e">
        <f t="shared" si="43"/>
        <v>#N/A</v>
      </c>
      <c r="DO453" t="e">
        <f t="shared" si="44"/>
        <v>#N/A</v>
      </c>
    </row>
    <row r="454" spans="7:119" x14ac:dyDescent="0.25">
      <c r="G454"/>
      <c r="DI454" s="4">
        <f>INDEX(Sheet2!A:A,QUOTIENT(ROW()-1,19)+2)</f>
        <v>41080</v>
      </c>
      <c r="DJ454" s="4">
        <f>INDEX(Sheet2!C:C,QUOTIENT(ROW()-1,19)+2)</f>
        <v>43100</v>
      </c>
      <c r="DK454" s="4" t="e">
        <f>INDEX(Sheet2!$AA$2:$AS$228,QUOTIENT(ROW()-1,19)+1,MOD(ROW()-2,19)+1)</f>
        <v>#N/A</v>
      </c>
      <c r="DL454" t="str">
        <f>IFERROR(INDEX(Sheet2!$AU$2:$BM$228,QUOTIENT(ROW()-1,19)+1,MOD(ROW()-2,19)+1),NA())</f>
        <v/>
      </c>
      <c r="DM454" s="4" t="e">
        <f t="shared" si="42"/>
        <v>#N/A</v>
      </c>
      <c r="DN454" t="e">
        <f t="shared" si="43"/>
        <v>#N/A</v>
      </c>
      <c r="DO454" t="e">
        <f t="shared" si="44"/>
        <v>#N/A</v>
      </c>
    </row>
    <row r="455" spans="7:119" x14ac:dyDescent="0.25">
      <c r="G455"/>
      <c r="DI455" s="4">
        <f>INDEX(Sheet2!A:A,QUOTIENT(ROW()-1,19)+2)</f>
        <v>41080</v>
      </c>
      <c r="DJ455" s="4">
        <f>INDEX(Sheet2!C:C,QUOTIENT(ROW()-1,19)+2)</f>
        <v>43100</v>
      </c>
      <c r="DK455" s="4" t="e">
        <f>INDEX(Sheet2!$AA$2:$AS$228,QUOTIENT(ROW()-1,19)+1,MOD(ROW()-2,19)+1)</f>
        <v>#N/A</v>
      </c>
      <c r="DL455" t="str">
        <f>IFERROR(INDEX(Sheet2!$AU$2:$BM$228,QUOTIENT(ROW()-1,19)+1,MOD(ROW()-2,19)+1),NA())</f>
        <v/>
      </c>
      <c r="DM455" s="4" t="e">
        <f t="shared" si="42"/>
        <v>#N/A</v>
      </c>
      <c r="DN455" t="e">
        <f t="shared" si="43"/>
        <v>#N/A</v>
      </c>
      <c r="DO455" t="e">
        <f t="shared" si="44"/>
        <v>#N/A</v>
      </c>
    </row>
    <row r="456" spans="7:119" x14ac:dyDescent="0.25">
      <c r="G456"/>
      <c r="DI456" s="4">
        <f>INDEX(Sheet2!A:A,QUOTIENT(ROW()-1,19)+2)</f>
        <v>41080</v>
      </c>
      <c r="DJ456" s="4">
        <f>INDEX(Sheet2!C:C,QUOTIENT(ROW()-1,19)+2)</f>
        <v>43100</v>
      </c>
      <c r="DK456" s="4" t="e">
        <f>INDEX(Sheet2!$AA$2:$AS$228,QUOTIENT(ROW()-1,19)+1,MOD(ROW()-2,19)+1)</f>
        <v>#N/A</v>
      </c>
      <c r="DL456" t="str">
        <f>IFERROR(INDEX(Sheet2!$AU$2:$BM$228,QUOTIENT(ROW()-1,19)+1,MOD(ROW()-2,19)+1),NA())</f>
        <v/>
      </c>
      <c r="DM456" s="4" t="e">
        <f t="shared" si="42"/>
        <v>#N/A</v>
      </c>
      <c r="DN456" t="e">
        <f t="shared" si="43"/>
        <v>#N/A</v>
      </c>
      <c r="DO456" t="e">
        <f t="shared" si="44"/>
        <v>#N/A</v>
      </c>
    </row>
    <row r="457" spans="7:119" x14ac:dyDescent="0.25">
      <c r="G457"/>
      <c r="DI457" s="4">
        <f>INDEX(Sheet2!A:A,QUOTIENT(ROW()-1,19)+2)</f>
        <v>41165</v>
      </c>
      <c r="DJ457" s="4">
        <f>INDEX(Sheet2!C:C,QUOTIENT(ROW()-1,19)+2)</f>
        <v>41274</v>
      </c>
      <c r="DK457" s="4" t="e">
        <f>INDEX(Sheet2!$AA$2:$AS$228,QUOTIENT(ROW()-1,19)+1,MOD(ROW()-2,19)+1)</f>
        <v>#N/A</v>
      </c>
      <c r="DL457" t="str">
        <f>IFERROR(INDEX(Sheet2!$AU$2:$BM$228,QUOTIENT(ROW()-1,19)+1,MOD(ROW()-2,19)+1),NA())</f>
        <v/>
      </c>
      <c r="DM457" s="4" t="e">
        <f t="shared" si="42"/>
        <v>#N/A</v>
      </c>
      <c r="DN457" t="e">
        <f t="shared" si="43"/>
        <v>#N/A</v>
      </c>
      <c r="DO457" t="e">
        <f t="shared" si="44"/>
        <v>#N/A</v>
      </c>
    </row>
    <row r="458" spans="7:119" x14ac:dyDescent="0.25">
      <c r="G458"/>
      <c r="DI458" s="4">
        <f>INDEX(Sheet2!A:A,QUOTIENT(ROW()-1,19)+2)</f>
        <v>41165</v>
      </c>
      <c r="DJ458" s="4">
        <f>INDEX(Sheet2!C:C,QUOTIENT(ROW()-1,19)+2)</f>
        <v>41274</v>
      </c>
      <c r="DK458" s="4">
        <f>INDEX(Sheet2!$AA$2:$AS$228,QUOTIENT(ROW()-1,19)+1,MOD(ROW()-2,19)+1)</f>
        <v>41103.362499999996</v>
      </c>
      <c r="DL458">
        <f>IFERROR(INDEX(Sheet2!$AU$2:$BM$228,QUOTIENT(ROW()-1,19)+1,MOD(ROW()-2,19)+1),NA())</f>
        <v>0.25</v>
      </c>
      <c r="DM458" s="4" t="e">
        <f t="shared" si="42"/>
        <v>#N/A</v>
      </c>
      <c r="DN458" t="e">
        <f t="shared" si="43"/>
        <v>#N/A</v>
      </c>
      <c r="DO458" t="e">
        <f t="shared" si="44"/>
        <v>#N/A</v>
      </c>
    </row>
    <row r="459" spans="7:119" x14ac:dyDescent="0.25">
      <c r="G459"/>
      <c r="DI459" s="4">
        <f>INDEX(Sheet2!A:A,QUOTIENT(ROW()-1,19)+2)</f>
        <v>41165</v>
      </c>
      <c r="DJ459" s="4">
        <f>INDEX(Sheet2!C:C,QUOTIENT(ROW()-1,19)+2)</f>
        <v>41274</v>
      </c>
      <c r="DK459" s="4">
        <f>INDEX(Sheet2!$AA$2:$AS$228,QUOTIENT(ROW()-1,19)+1,MOD(ROW()-2,19)+1)</f>
        <v>41123.4375</v>
      </c>
      <c r="DL459">
        <f>IFERROR(INDEX(Sheet2!$AU$2:$BM$228,QUOTIENT(ROW()-1,19)+1,MOD(ROW()-2,19)+1),NA())</f>
        <v>0.25</v>
      </c>
      <c r="DM459" s="4" t="e">
        <f t="shared" si="42"/>
        <v>#N/A</v>
      </c>
      <c r="DN459" t="e">
        <f t="shared" si="43"/>
        <v>#N/A</v>
      </c>
      <c r="DO459" t="e">
        <f t="shared" si="44"/>
        <v>#N/A</v>
      </c>
    </row>
    <row r="460" spans="7:119" x14ac:dyDescent="0.25">
      <c r="G460"/>
      <c r="DI460" s="4">
        <f>INDEX(Sheet2!A:A,QUOTIENT(ROW()-1,19)+2)</f>
        <v>41165</v>
      </c>
      <c r="DJ460" s="4">
        <f>INDEX(Sheet2!C:C,QUOTIENT(ROW()-1,19)+2)</f>
        <v>41274</v>
      </c>
      <c r="DK460" s="4">
        <f>INDEX(Sheet2!$AA$2:$AS$228,QUOTIENT(ROW()-1,19)+1,MOD(ROW()-2,19)+1)</f>
        <v>41143.512499999997</v>
      </c>
      <c r="DL460">
        <f>IFERROR(INDEX(Sheet2!$AU$2:$BM$228,QUOTIENT(ROW()-1,19)+1,MOD(ROW()-2,19)+1),NA())</f>
        <v>0.25</v>
      </c>
      <c r="DM460" s="4" t="e">
        <f t="shared" si="42"/>
        <v>#N/A</v>
      </c>
      <c r="DN460" t="e">
        <f t="shared" si="43"/>
        <v>#N/A</v>
      </c>
      <c r="DO460" t="e">
        <f t="shared" si="44"/>
        <v>#N/A</v>
      </c>
    </row>
    <row r="461" spans="7:119" x14ac:dyDescent="0.25">
      <c r="G461"/>
      <c r="DI461" s="4">
        <f>INDEX(Sheet2!A:A,QUOTIENT(ROW()-1,19)+2)</f>
        <v>41165</v>
      </c>
      <c r="DJ461" s="4">
        <f>INDEX(Sheet2!C:C,QUOTIENT(ROW()-1,19)+2)</f>
        <v>41274</v>
      </c>
      <c r="DK461" s="4">
        <f>INDEX(Sheet2!$AA$2:$AS$228,QUOTIENT(ROW()-1,19)+1,MOD(ROW()-2,19)+1)</f>
        <v>41163.587500000001</v>
      </c>
      <c r="DL461">
        <f>IFERROR(INDEX(Sheet2!$AU$2:$BM$228,QUOTIENT(ROW()-1,19)+1,MOD(ROW()-2,19)+1),NA())</f>
        <v>0.25</v>
      </c>
      <c r="DM461" s="4" t="e">
        <f t="shared" si="42"/>
        <v>#N/A</v>
      </c>
      <c r="DN461" t="e">
        <f t="shared" si="43"/>
        <v>#N/A</v>
      </c>
      <c r="DO461" t="e">
        <f t="shared" si="44"/>
        <v>#N/A</v>
      </c>
    </row>
    <row r="462" spans="7:119" x14ac:dyDescent="0.25">
      <c r="G462"/>
      <c r="DI462" s="4">
        <f>INDEX(Sheet2!A:A,QUOTIENT(ROW()-1,19)+2)</f>
        <v>41165</v>
      </c>
      <c r="DJ462" s="4">
        <f>INDEX(Sheet2!C:C,QUOTIENT(ROW()-1,19)+2)</f>
        <v>41274</v>
      </c>
      <c r="DK462" s="4">
        <f>INDEX(Sheet2!$AA$2:$AS$228,QUOTIENT(ROW()-1,19)+1,MOD(ROW()-2,19)+1)</f>
        <v>41183.662499999999</v>
      </c>
      <c r="DL462">
        <f>IFERROR(INDEX(Sheet2!$AU$2:$BM$228,QUOTIENT(ROW()-1,19)+1,MOD(ROW()-2,19)+1),NA())</f>
        <v>0.25</v>
      </c>
      <c r="DM462" s="4" t="e">
        <f t="shared" si="42"/>
        <v>#N/A</v>
      </c>
      <c r="DN462" t="e">
        <f t="shared" si="43"/>
        <v>#N/A</v>
      </c>
      <c r="DO462" t="e">
        <f t="shared" si="44"/>
        <v>#N/A</v>
      </c>
    </row>
    <row r="463" spans="7:119" x14ac:dyDescent="0.25">
      <c r="G463"/>
      <c r="DI463" s="4">
        <f>INDEX(Sheet2!A:A,QUOTIENT(ROW()-1,19)+2)</f>
        <v>41165</v>
      </c>
      <c r="DJ463" s="4">
        <f>INDEX(Sheet2!C:C,QUOTIENT(ROW()-1,19)+2)</f>
        <v>41274</v>
      </c>
      <c r="DK463" s="4">
        <f>INDEX(Sheet2!$AA$2:$AS$228,QUOTIENT(ROW()-1,19)+1,MOD(ROW()-2,19)+1)</f>
        <v>41203.737499999996</v>
      </c>
      <c r="DL463">
        <f>IFERROR(INDEX(Sheet2!$AU$2:$BM$228,QUOTIENT(ROW()-1,19)+1,MOD(ROW()-2,19)+1),NA())</f>
        <v>0.25</v>
      </c>
      <c r="DM463" s="4" t="e">
        <f t="shared" si="42"/>
        <v>#N/A</v>
      </c>
      <c r="DN463" t="e">
        <f t="shared" si="43"/>
        <v>#N/A</v>
      </c>
      <c r="DO463" t="e">
        <f t="shared" si="44"/>
        <v>#N/A</v>
      </c>
    </row>
    <row r="464" spans="7:119" x14ac:dyDescent="0.25">
      <c r="G464"/>
      <c r="DI464" s="4">
        <f>INDEX(Sheet2!A:A,QUOTIENT(ROW()-1,19)+2)</f>
        <v>41165</v>
      </c>
      <c r="DJ464" s="4">
        <f>INDEX(Sheet2!C:C,QUOTIENT(ROW()-1,19)+2)</f>
        <v>41274</v>
      </c>
      <c r="DK464" s="4">
        <f>INDEX(Sheet2!$AA$2:$AS$228,QUOTIENT(ROW()-1,19)+1,MOD(ROW()-2,19)+1)</f>
        <v>41223.8125</v>
      </c>
      <c r="DL464">
        <f>IFERROR(INDEX(Sheet2!$AU$2:$BM$228,QUOTIENT(ROW()-1,19)+1,MOD(ROW()-2,19)+1),NA())</f>
        <v>0.25</v>
      </c>
      <c r="DM464" s="4" t="e">
        <f t="shared" si="42"/>
        <v>#N/A</v>
      </c>
      <c r="DN464" t="e">
        <f t="shared" si="43"/>
        <v>#N/A</v>
      </c>
      <c r="DO464" t="e">
        <f t="shared" si="44"/>
        <v>#N/A</v>
      </c>
    </row>
    <row r="465" spans="7:119" x14ac:dyDescent="0.25">
      <c r="G465"/>
      <c r="DI465" s="4">
        <f>INDEX(Sheet2!A:A,QUOTIENT(ROW()-1,19)+2)</f>
        <v>41165</v>
      </c>
      <c r="DJ465" s="4">
        <f>INDEX(Sheet2!C:C,QUOTIENT(ROW()-1,19)+2)</f>
        <v>41274</v>
      </c>
      <c r="DK465" s="4">
        <f>INDEX(Sheet2!$AA$2:$AS$228,QUOTIENT(ROW()-1,19)+1,MOD(ROW()-2,19)+1)</f>
        <v>41243.887499999997</v>
      </c>
      <c r="DL465">
        <f>IFERROR(INDEX(Sheet2!$AU$2:$BM$228,QUOTIENT(ROW()-1,19)+1,MOD(ROW()-2,19)+1),NA())</f>
        <v>0.25</v>
      </c>
      <c r="DM465" s="4" t="e">
        <f t="shared" si="42"/>
        <v>#N/A</v>
      </c>
      <c r="DN465" t="e">
        <f t="shared" si="43"/>
        <v>#N/A</v>
      </c>
      <c r="DO465" t="e">
        <f t="shared" si="44"/>
        <v>#N/A</v>
      </c>
    </row>
    <row r="466" spans="7:119" x14ac:dyDescent="0.25">
      <c r="G466"/>
      <c r="DI466" s="4">
        <f>INDEX(Sheet2!A:A,QUOTIENT(ROW()-1,19)+2)</f>
        <v>41165</v>
      </c>
      <c r="DJ466" s="4">
        <f>INDEX(Sheet2!C:C,QUOTIENT(ROW()-1,19)+2)</f>
        <v>41274</v>
      </c>
      <c r="DK466" s="4">
        <f>INDEX(Sheet2!$AA$2:$AS$228,QUOTIENT(ROW()-1,19)+1,MOD(ROW()-2,19)+1)</f>
        <v>41263.962500000001</v>
      </c>
      <c r="DL466">
        <f>IFERROR(INDEX(Sheet2!$AU$2:$BM$228,QUOTIENT(ROW()-1,19)+1,MOD(ROW()-2,19)+1),NA())</f>
        <v>0.25</v>
      </c>
      <c r="DM466" s="4" t="e">
        <f t="shared" si="42"/>
        <v>#N/A</v>
      </c>
      <c r="DN466" t="e">
        <f t="shared" si="43"/>
        <v>#N/A</v>
      </c>
      <c r="DO466" t="e">
        <f t="shared" si="44"/>
        <v>#N/A</v>
      </c>
    </row>
    <row r="467" spans="7:119" x14ac:dyDescent="0.25">
      <c r="G467"/>
      <c r="DI467" s="4">
        <f>INDEX(Sheet2!A:A,QUOTIENT(ROW()-1,19)+2)</f>
        <v>41165</v>
      </c>
      <c r="DJ467" s="4">
        <f>INDEX(Sheet2!C:C,QUOTIENT(ROW()-1,19)+2)</f>
        <v>41274</v>
      </c>
      <c r="DK467" s="4">
        <f>INDEX(Sheet2!$AA$2:$AS$228,QUOTIENT(ROW()-1,19)+1,MOD(ROW()-2,19)+1)</f>
        <v>41284.037499999999</v>
      </c>
      <c r="DL467">
        <f>IFERROR(INDEX(Sheet2!$AU$2:$BM$228,QUOTIENT(ROW()-1,19)+1,MOD(ROW()-2,19)+1),NA())</f>
        <v>0.25</v>
      </c>
      <c r="DM467" s="4" t="e">
        <f t="shared" si="42"/>
        <v>#N/A</v>
      </c>
      <c r="DN467" t="e">
        <f t="shared" si="43"/>
        <v>#N/A</v>
      </c>
      <c r="DO467" t="e">
        <f t="shared" si="44"/>
        <v>#N/A</v>
      </c>
    </row>
    <row r="468" spans="7:119" x14ac:dyDescent="0.25">
      <c r="G468"/>
      <c r="DI468" s="4">
        <f>INDEX(Sheet2!A:A,QUOTIENT(ROW()-1,19)+2)</f>
        <v>41165</v>
      </c>
      <c r="DJ468" s="4">
        <f>INDEX(Sheet2!C:C,QUOTIENT(ROW()-1,19)+2)</f>
        <v>41274</v>
      </c>
      <c r="DK468" s="4">
        <f>INDEX(Sheet2!$AA$2:$AS$228,QUOTIENT(ROW()-1,19)+1,MOD(ROW()-2,19)+1)</f>
        <v>41304.112499999996</v>
      </c>
      <c r="DL468">
        <f>IFERROR(INDEX(Sheet2!$AU$2:$BM$228,QUOTIENT(ROW()-1,19)+1,MOD(ROW()-2,19)+1),NA())</f>
        <v>0.25</v>
      </c>
      <c r="DM468" s="4" t="e">
        <f t="shared" si="42"/>
        <v>#N/A</v>
      </c>
      <c r="DN468" t="e">
        <f t="shared" si="43"/>
        <v>#N/A</v>
      </c>
      <c r="DO468" t="e">
        <f t="shared" si="44"/>
        <v>#N/A</v>
      </c>
    </row>
    <row r="469" spans="7:119" x14ac:dyDescent="0.25">
      <c r="G469"/>
      <c r="DI469" s="4">
        <f>INDEX(Sheet2!A:A,QUOTIENT(ROW()-1,19)+2)</f>
        <v>41165</v>
      </c>
      <c r="DJ469" s="4">
        <f>INDEX(Sheet2!C:C,QUOTIENT(ROW()-1,19)+2)</f>
        <v>41274</v>
      </c>
      <c r="DK469" s="4">
        <f>INDEX(Sheet2!$AA$2:$AS$228,QUOTIENT(ROW()-1,19)+1,MOD(ROW()-2,19)+1)</f>
        <v>41324.1875</v>
      </c>
      <c r="DL469">
        <f>IFERROR(INDEX(Sheet2!$AU$2:$BM$228,QUOTIENT(ROW()-1,19)+1,MOD(ROW()-2,19)+1),NA())</f>
        <v>0.25</v>
      </c>
      <c r="DM469" s="4" t="e">
        <f t="shared" si="42"/>
        <v>#N/A</v>
      </c>
      <c r="DN469" t="e">
        <f t="shared" si="43"/>
        <v>#N/A</v>
      </c>
      <c r="DO469" t="e">
        <f t="shared" si="44"/>
        <v>#N/A</v>
      </c>
    </row>
    <row r="470" spans="7:119" x14ac:dyDescent="0.25">
      <c r="G470"/>
      <c r="DI470" s="4">
        <f>INDEX(Sheet2!A:A,QUOTIENT(ROW()-1,19)+2)</f>
        <v>41165</v>
      </c>
      <c r="DJ470" s="4">
        <f>INDEX(Sheet2!C:C,QUOTIENT(ROW()-1,19)+2)</f>
        <v>41274</v>
      </c>
      <c r="DK470" s="4">
        <f>INDEX(Sheet2!$AA$2:$AS$228,QUOTIENT(ROW()-1,19)+1,MOD(ROW()-2,19)+1)</f>
        <v>41344.262499999997</v>
      </c>
      <c r="DL470">
        <f>IFERROR(INDEX(Sheet2!$AU$2:$BM$228,QUOTIENT(ROW()-1,19)+1,MOD(ROW()-2,19)+1),NA())</f>
        <v>0.25</v>
      </c>
      <c r="DM470" s="4" t="e">
        <f t="shared" si="42"/>
        <v>#N/A</v>
      </c>
      <c r="DN470" t="e">
        <f t="shared" si="43"/>
        <v>#N/A</v>
      </c>
      <c r="DO470" t="e">
        <f t="shared" si="44"/>
        <v>#N/A</v>
      </c>
    </row>
    <row r="471" spans="7:119" x14ac:dyDescent="0.25">
      <c r="G471"/>
      <c r="DI471" s="4">
        <f>INDEX(Sheet2!A:A,QUOTIENT(ROW()-1,19)+2)</f>
        <v>41165</v>
      </c>
      <c r="DJ471" s="4">
        <f>INDEX(Sheet2!C:C,QUOTIENT(ROW()-1,19)+2)</f>
        <v>41274</v>
      </c>
      <c r="DK471" s="4">
        <f>INDEX(Sheet2!$AA$2:$AS$228,QUOTIENT(ROW()-1,19)+1,MOD(ROW()-2,19)+1)</f>
        <v>41364.337500000001</v>
      </c>
      <c r="DL471">
        <f>IFERROR(INDEX(Sheet2!$AU$2:$BM$228,QUOTIENT(ROW()-1,19)+1,MOD(ROW()-2,19)+1),NA())</f>
        <v>0.25</v>
      </c>
      <c r="DM471" s="4" t="e">
        <f t="shared" si="42"/>
        <v>#N/A</v>
      </c>
      <c r="DN471" t="e">
        <f t="shared" si="43"/>
        <v>#N/A</v>
      </c>
      <c r="DO471" t="e">
        <f t="shared" si="44"/>
        <v>#N/A</v>
      </c>
    </row>
    <row r="472" spans="7:119" x14ac:dyDescent="0.25">
      <c r="G472"/>
      <c r="DI472" s="4">
        <f>INDEX(Sheet2!A:A,QUOTIENT(ROW()-1,19)+2)</f>
        <v>41165</v>
      </c>
      <c r="DJ472" s="4">
        <f>INDEX(Sheet2!C:C,QUOTIENT(ROW()-1,19)+2)</f>
        <v>41274</v>
      </c>
      <c r="DK472" s="4">
        <f>INDEX(Sheet2!$AA$2:$AS$228,QUOTIENT(ROW()-1,19)+1,MOD(ROW()-2,19)+1)</f>
        <v>41384.412499999999</v>
      </c>
      <c r="DL472">
        <f>IFERROR(INDEX(Sheet2!$AU$2:$BM$228,QUOTIENT(ROW()-1,19)+1,MOD(ROW()-2,19)+1),NA())</f>
        <v>0.25</v>
      </c>
      <c r="DM472" s="4" t="e">
        <f t="shared" si="42"/>
        <v>#N/A</v>
      </c>
      <c r="DN472" t="e">
        <f t="shared" si="43"/>
        <v>#N/A</v>
      </c>
      <c r="DO472" t="e">
        <f t="shared" si="44"/>
        <v>#N/A</v>
      </c>
    </row>
    <row r="473" spans="7:119" x14ac:dyDescent="0.25">
      <c r="G473"/>
      <c r="DI473" s="4">
        <f>INDEX(Sheet2!A:A,QUOTIENT(ROW()-1,19)+2)</f>
        <v>41165</v>
      </c>
      <c r="DJ473" s="4">
        <f>INDEX(Sheet2!C:C,QUOTIENT(ROW()-1,19)+2)</f>
        <v>41274</v>
      </c>
      <c r="DK473" s="4">
        <f>INDEX(Sheet2!$AA$2:$AS$228,QUOTIENT(ROW()-1,19)+1,MOD(ROW()-2,19)+1)</f>
        <v>41404.487499999996</v>
      </c>
      <c r="DL473">
        <f>IFERROR(INDEX(Sheet2!$AU$2:$BM$228,QUOTIENT(ROW()-1,19)+1,MOD(ROW()-2,19)+1),NA())</f>
        <v>0.25</v>
      </c>
      <c r="DM473" s="4" t="e">
        <f t="shared" si="42"/>
        <v>#N/A</v>
      </c>
      <c r="DN473" t="e">
        <f t="shared" si="43"/>
        <v>#N/A</v>
      </c>
      <c r="DO473" t="e">
        <f t="shared" si="44"/>
        <v>#N/A</v>
      </c>
    </row>
    <row r="474" spans="7:119" x14ac:dyDescent="0.25">
      <c r="G474"/>
      <c r="DI474" s="4">
        <f>INDEX(Sheet2!A:A,QUOTIENT(ROW()-1,19)+2)</f>
        <v>41165</v>
      </c>
      <c r="DJ474" s="4">
        <f>INDEX(Sheet2!C:C,QUOTIENT(ROW()-1,19)+2)</f>
        <v>41274</v>
      </c>
      <c r="DK474" s="4">
        <f>INDEX(Sheet2!$AA$2:$AS$228,QUOTIENT(ROW()-1,19)+1,MOD(ROW()-2,19)+1)</f>
        <v>41424.5625</v>
      </c>
      <c r="DL474">
        <f>IFERROR(INDEX(Sheet2!$AU$2:$BM$228,QUOTIENT(ROW()-1,19)+1,MOD(ROW()-2,19)+1),NA())</f>
        <v>0.25</v>
      </c>
      <c r="DM474" s="4" t="e">
        <f t="shared" si="42"/>
        <v>#N/A</v>
      </c>
      <c r="DN474" t="e">
        <f t="shared" si="43"/>
        <v>#N/A</v>
      </c>
      <c r="DO474" t="e">
        <f t="shared" si="44"/>
        <v>#N/A</v>
      </c>
    </row>
    <row r="475" spans="7:119" x14ac:dyDescent="0.25">
      <c r="G475"/>
      <c r="DI475" s="4">
        <f>INDEX(Sheet2!A:A,QUOTIENT(ROW()-1,19)+2)</f>
        <v>41165</v>
      </c>
      <c r="DJ475" s="4">
        <f>INDEX(Sheet2!C:C,QUOTIENT(ROW()-1,19)+2)</f>
        <v>41274</v>
      </c>
      <c r="DK475" s="4">
        <f>INDEX(Sheet2!$AA$2:$AS$228,QUOTIENT(ROW()-1,19)+1,MOD(ROW()-2,19)+1)</f>
        <v>41444.637499999997</v>
      </c>
      <c r="DL475">
        <f>IFERROR(INDEX(Sheet2!$AU$2:$BM$228,QUOTIENT(ROW()-1,19)+1,MOD(ROW()-2,19)+1),NA())</f>
        <v>0.25</v>
      </c>
      <c r="DM475" s="4" t="e">
        <f t="shared" si="42"/>
        <v>#N/A</v>
      </c>
      <c r="DN475" t="e">
        <f t="shared" si="43"/>
        <v>#N/A</v>
      </c>
      <c r="DO475" t="e">
        <f t="shared" si="44"/>
        <v>#N/A</v>
      </c>
    </row>
    <row r="476" spans="7:119" x14ac:dyDescent="0.25">
      <c r="G476"/>
      <c r="DI476" s="4">
        <f>INDEX(Sheet2!A:A,QUOTIENT(ROW()-1,19)+2)</f>
        <v>41165</v>
      </c>
      <c r="DJ476" s="4">
        <f>INDEX(Sheet2!C:C,QUOTIENT(ROW()-1,19)+2)</f>
        <v>41274</v>
      </c>
      <c r="DK476" s="4" t="e">
        <f>INDEX(Sheet2!$AA$2:$AS$228,QUOTIENT(ROW()-1,19)+1,MOD(ROW()-2,19)+1)</f>
        <v>#N/A</v>
      </c>
      <c r="DL476" t="str">
        <f>IFERROR(INDEX(Sheet2!$AU$2:$BM$228,QUOTIENT(ROW()-1,19)+1,MOD(ROW()-2,19)+1),NA())</f>
        <v/>
      </c>
      <c r="DM476" s="4" t="e">
        <f t="shared" si="42"/>
        <v>#N/A</v>
      </c>
      <c r="DN476" t="e">
        <f t="shared" si="43"/>
        <v>#N/A</v>
      </c>
      <c r="DO476" t="e">
        <f t="shared" si="44"/>
        <v>#N/A</v>
      </c>
    </row>
    <row r="477" spans="7:119" x14ac:dyDescent="0.25">
      <c r="G477"/>
      <c r="DI477" s="4">
        <f>INDEX(Sheet2!A:A,QUOTIENT(ROW()-1,19)+2)</f>
        <v>41165</v>
      </c>
      <c r="DJ477" s="4">
        <f>INDEX(Sheet2!C:C,QUOTIENT(ROW()-1,19)+2)</f>
        <v>41274</v>
      </c>
      <c r="DK477" s="4">
        <f>INDEX(Sheet2!$AA$2:$AS$228,QUOTIENT(ROW()-1,19)+1,MOD(ROW()-2,19)+1)</f>
        <v>41274</v>
      </c>
      <c r="DL477">
        <f>IFERROR(INDEX(Sheet2!$AU$2:$BM$228,QUOTIENT(ROW()-1,19)+1,MOD(ROW()-2,19)+1),NA())</f>
        <v>0.5</v>
      </c>
      <c r="DM477" s="4" t="e">
        <f t="shared" si="42"/>
        <v>#N/A</v>
      </c>
      <c r="DN477" t="e">
        <f t="shared" si="43"/>
        <v>#N/A</v>
      </c>
      <c r="DO477" t="e">
        <f t="shared" si="44"/>
        <v>#N/A</v>
      </c>
    </row>
    <row r="478" spans="7:119" x14ac:dyDescent="0.25">
      <c r="G478"/>
      <c r="DI478" s="4">
        <f>INDEX(Sheet2!A:A,QUOTIENT(ROW()-1,19)+2)</f>
        <v>41165</v>
      </c>
      <c r="DJ478" s="4">
        <f>INDEX(Sheet2!C:C,QUOTIENT(ROW()-1,19)+2)</f>
        <v>41274</v>
      </c>
      <c r="DK478" s="4" t="e">
        <f>INDEX(Sheet2!$AA$2:$AS$228,QUOTIENT(ROW()-1,19)+1,MOD(ROW()-2,19)+1)</f>
        <v>#N/A</v>
      </c>
      <c r="DL478" t="str">
        <f>IFERROR(INDEX(Sheet2!$AU$2:$BM$228,QUOTIENT(ROW()-1,19)+1,MOD(ROW()-2,19)+1),NA())</f>
        <v/>
      </c>
      <c r="DM478" s="4" t="e">
        <f t="shared" si="42"/>
        <v>#N/A</v>
      </c>
      <c r="DN478" t="e">
        <f t="shared" si="43"/>
        <v>#N/A</v>
      </c>
      <c r="DO478" t="e">
        <f t="shared" si="44"/>
        <v>#N/A</v>
      </c>
    </row>
    <row r="479" spans="7:119" x14ac:dyDescent="0.25">
      <c r="G479"/>
      <c r="DI479" s="4">
        <f>INDEX(Sheet2!A:A,QUOTIENT(ROW()-1,19)+2)</f>
        <v>41165</v>
      </c>
      <c r="DJ479" s="4">
        <f>INDEX(Sheet2!C:C,QUOTIENT(ROW()-1,19)+2)</f>
        <v>41274</v>
      </c>
      <c r="DK479" s="4" t="e">
        <f>INDEX(Sheet2!$AA$2:$AS$228,QUOTIENT(ROW()-1,19)+1,MOD(ROW()-2,19)+1)</f>
        <v>#N/A</v>
      </c>
      <c r="DL479" t="str">
        <f>IFERROR(INDEX(Sheet2!$AU$2:$BM$228,QUOTIENT(ROW()-1,19)+1,MOD(ROW()-2,19)+1),NA())</f>
        <v/>
      </c>
      <c r="DM479" s="4" t="e">
        <f t="shared" si="42"/>
        <v>#N/A</v>
      </c>
      <c r="DN479" t="e">
        <f t="shared" si="43"/>
        <v>#N/A</v>
      </c>
      <c r="DO479" t="e">
        <f t="shared" si="44"/>
        <v>#N/A</v>
      </c>
    </row>
    <row r="480" spans="7:119" x14ac:dyDescent="0.25">
      <c r="G480"/>
      <c r="DI480" s="4">
        <f>INDEX(Sheet2!A:A,QUOTIENT(ROW()-1,19)+2)</f>
        <v>41165</v>
      </c>
      <c r="DJ480" s="4">
        <f>INDEX(Sheet2!C:C,QUOTIENT(ROW()-1,19)+2)</f>
        <v>41274</v>
      </c>
      <c r="DK480" s="4" t="e">
        <f>INDEX(Sheet2!$AA$2:$AS$228,QUOTIENT(ROW()-1,19)+1,MOD(ROW()-2,19)+1)</f>
        <v>#N/A</v>
      </c>
      <c r="DL480" t="str">
        <f>IFERROR(INDEX(Sheet2!$AU$2:$BM$228,QUOTIENT(ROW()-1,19)+1,MOD(ROW()-2,19)+1),NA())</f>
        <v/>
      </c>
      <c r="DM480" s="4" t="e">
        <f t="shared" si="42"/>
        <v>#N/A</v>
      </c>
      <c r="DN480" t="e">
        <f t="shared" si="43"/>
        <v>#N/A</v>
      </c>
      <c r="DO480" t="e">
        <f t="shared" si="44"/>
        <v>#N/A</v>
      </c>
    </row>
    <row r="481" spans="7:119" x14ac:dyDescent="0.25">
      <c r="G481"/>
      <c r="DI481" s="4">
        <f>INDEX(Sheet2!A:A,QUOTIENT(ROW()-1,19)+2)</f>
        <v>41165</v>
      </c>
      <c r="DJ481" s="4">
        <f>INDEX(Sheet2!C:C,QUOTIENT(ROW()-1,19)+2)</f>
        <v>41274</v>
      </c>
      <c r="DK481" s="4" t="e">
        <f>INDEX(Sheet2!$AA$2:$AS$228,QUOTIENT(ROW()-1,19)+1,MOD(ROW()-2,19)+1)</f>
        <v>#N/A</v>
      </c>
      <c r="DL481" t="str">
        <f>IFERROR(INDEX(Sheet2!$AU$2:$BM$228,QUOTIENT(ROW()-1,19)+1,MOD(ROW()-2,19)+1),NA())</f>
        <v/>
      </c>
      <c r="DM481" s="4" t="e">
        <f t="shared" si="42"/>
        <v>#N/A</v>
      </c>
      <c r="DN481" t="e">
        <f t="shared" si="43"/>
        <v>#N/A</v>
      </c>
      <c r="DO481" t="e">
        <f t="shared" si="44"/>
        <v>#N/A</v>
      </c>
    </row>
    <row r="482" spans="7:119" x14ac:dyDescent="0.25">
      <c r="G482"/>
      <c r="DI482" s="4">
        <f>INDEX(Sheet2!A:A,QUOTIENT(ROW()-1,19)+2)</f>
        <v>41165</v>
      </c>
      <c r="DJ482" s="4">
        <f>INDEX(Sheet2!C:C,QUOTIENT(ROW()-1,19)+2)</f>
        <v>41274</v>
      </c>
      <c r="DK482" s="4" t="e">
        <f>INDEX(Sheet2!$AA$2:$AS$228,QUOTIENT(ROW()-1,19)+1,MOD(ROW()-2,19)+1)</f>
        <v>#N/A</v>
      </c>
      <c r="DL482" t="str">
        <f>IFERROR(INDEX(Sheet2!$AU$2:$BM$228,QUOTIENT(ROW()-1,19)+1,MOD(ROW()-2,19)+1),NA())</f>
        <v/>
      </c>
      <c r="DM482" s="4" t="e">
        <f t="shared" si="42"/>
        <v>#N/A</v>
      </c>
      <c r="DN482" t="e">
        <f t="shared" si="43"/>
        <v>#N/A</v>
      </c>
      <c r="DO482" t="e">
        <f t="shared" si="44"/>
        <v>#N/A</v>
      </c>
    </row>
    <row r="483" spans="7:119" x14ac:dyDescent="0.25">
      <c r="G483"/>
      <c r="DI483" s="4">
        <f>INDEX(Sheet2!A:A,QUOTIENT(ROW()-1,19)+2)</f>
        <v>41165</v>
      </c>
      <c r="DJ483" s="4">
        <f>INDEX(Sheet2!C:C,QUOTIENT(ROW()-1,19)+2)</f>
        <v>41274</v>
      </c>
      <c r="DK483" s="4" t="e">
        <f>INDEX(Sheet2!$AA$2:$AS$228,QUOTIENT(ROW()-1,19)+1,MOD(ROW()-2,19)+1)</f>
        <v>#N/A</v>
      </c>
      <c r="DL483" t="str">
        <f>IFERROR(INDEX(Sheet2!$AU$2:$BM$228,QUOTIENT(ROW()-1,19)+1,MOD(ROW()-2,19)+1),NA())</f>
        <v/>
      </c>
      <c r="DM483" s="4" t="e">
        <f t="shared" si="42"/>
        <v>#N/A</v>
      </c>
      <c r="DN483" t="e">
        <f t="shared" si="43"/>
        <v>#N/A</v>
      </c>
      <c r="DO483" t="e">
        <f t="shared" si="44"/>
        <v>#N/A</v>
      </c>
    </row>
    <row r="484" spans="7:119" x14ac:dyDescent="0.25">
      <c r="G484"/>
      <c r="DI484" s="4">
        <f>INDEX(Sheet2!A:A,QUOTIENT(ROW()-1,19)+2)</f>
        <v>41165</v>
      </c>
      <c r="DJ484" s="4">
        <f>INDEX(Sheet2!C:C,QUOTIENT(ROW()-1,19)+2)</f>
        <v>41274</v>
      </c>
      <c r="DK484" s="4" t="e">
        <f>INDEX(Sheet2!$AA$2:$AS$228,QUOTIENT(ROW()-1,19)+1,MOD(ROW()-2,19)+1)</f>
        <v>#N/A</v>
      </c>
      <c r="DL484" t="str">
        <f>IFERROR(INDEX(Sheet2!$AU$2:$BM$228,QUOTIENT(ROW()-1,19)+1,MOD(ROW()-2,19)+1),NA())</f>
        <v/>
      </c>
      <c r="DM484" s="4" t="e">
        <f t="shared" si="42"/>
        <v>#N/A</v>
      </c>
      <c r="DN484" t="e">
        <f t="shared" si="43"/>
        <v>#N/A</v>
      </c>
      <c r="DO484" t="e">
        <f t="shared" si="44"/>
        <v>#N/A</v>
      </c>
    </row>
    <row r="485" spans="7:119" x14ac:dyDescent="0.25">
      <c r="G485"/>
      <c r="DI485" s="4">
        <f>INDEX(Sheet2!A:A,QUOTIENT(ROW()-1,19)+2)</f>
        <v>41165</v>
      </c>
      <c r="DJ485" s="4">
        <f>INDEX(Sheet2!C:C,QUOTIENT(ROW()-1,19)+2)</f>
        <v>41274</v>
      </c>
      <c r="DK485" s="4" t="e">
        <f>INDEX(Sheet2!$AA$2:$AS$228,QUOTIENT(ROW()-1,19)+1,MOD(ROW()-2,19)+1)</f>
        <v>#N/A</v>
      </c>
      <c r="DL485" t="str">
        <f>IFERROR(INDEX(Sheet2!$AU$2:$BM$228,QUOTIENT(ROW()-1,19)+1,MOD(ROW()-2,19)+1),NA())</f>
        <v/>
      </c>
      <c r="DM485" s="4" t="e">
        <f t="shared" si="42"/>
        <v>#N/A</v>
      </c>
      <c r="DN485" t="e">
        <f t="shared" si="43"/>
        <v>#N/A</v>
      </c>
      <c r="DO485" t="e">
        <f t="shared" si="44"/>
        <v>#N/A</v>
      </c>
    </row>
    <row r="486" spans="7:119" x14ac:dyDescent="0.25">
      <c r="G486"/>
      <c r="DI486" s="4">
        <f>INDEX(Sheet2!A:A,QUOTIENT(ROW()-1,19)+2)</f>
        <v>41165</v>
      </c>
      <c r="DJ486" s="4">
        <f>INDEX(Sheet2!C:C,QUOTIENT(ROW()-1,19)+2)</f>
        <v>41274</v>
      </c>
      <c r="DK486" s="4" t="e">
        <f>INDEX(Sheet2!$AA$2:$AS$228,QUOTIENT(ROW()-1,19)+1,MOD(ROW()-2,19)+1)</f>
        <v>#N/A</v>
      </c>
      <c r="DL486" t="str">
        <f>IFERROR(INDEX(Sheet2!$AU$2:$BM$228,QUOTIENT(ROW()-1,19)+1,MOD(ROW()-2,19)+1),NA())</f>
        <v/>
      </c>
      <c r="DM486" s="4" t="e">
        <f t="shared" si="42"/>
        <v>#N/A</v>
      </c>
      <c r="DN486" t="e">
        <f t="shared" si="43"/>
        <v>#N/A</v>
      </c>
      <c r="DO486" t="e">
        <f t="shared" si="44"/>
        <v>#N/A</v>
      </c>
    </row>
    <row r="487" spans="7:119" x14ac:dyDescent="0.25">
      <c r="G487"/>
      <c r="DI487" s="4">
        <f>INDEX(Sheet2!A:A,QUOTIENT(ROW()-1,19)+2)</f>
        <v>41165</v>
      </c>
      <c r="DJ487" s="4">
        <f>INDEX(Sheet2!C:C,QUOTIENT(ROW()-1,19)+2)</f>
        <v>41274</v>
      </c>
      <c r="DK487" s="4" t="e">
        <f>INDEX(Sheet2!$AA$2:$AS$228,QUOTIENT(ROW()-1,19)+1,MOD(ROW()-2,19)+1)</f>
        <v>#N/A</v>
      </c>
      <c r="DL487" t="str">
        <f>IFERROR(INDEX(Sheet2!$AU$2:$BM$228,QUOTIENT(ROW()-1,19)+1,MOD(ROW()-2,19)+1),NA())</f>
        <v/>
      </c>
      <c r="DM487" s="4" t="e">
        <f t="shared" si="42"/>
        <v>#N/A</v>
      </c>
      <c r="DN487" t="e">
        <f t="shared" si="43"/>
        <v>#N/A</v>
      </c>
      <c r="DO487" t="e">
        <f t="shared" si="44"/>
        <v>#N/A</v>
      </c>
    </row>
    <row r="488" spans="7:119" x14ac:dyDescent="0.25">
      <c r="G488"/>
      <c r="DI488" s="4">
        <f>INDEX(Sheet2!A:A,QUOTIENT(ROW()-1,19)+2)</f>
        <v>41165</v>
      </c>
      <c r="DJ488" s="4">
        <f>INDEX(Sheet2!C:C,QUOTIENT(ROW()-1,19)+2)</f>
        <v>41274</v>
      </c>
      <c r="DK488" s="4" t="e">
        <f>INDEX(Sheet2!$AA$2:$AS$228,QUOTIENT(ROW()-1,19)+1,MOD(ROW()-2,19)+1)</f>
        <v>#N/A</v>
      </c>
      <c r="DL488" t="str">
        <f>IFERROR(INDEX(Sheet2!$AU$2:$BM$228,QUOTIENT(ROW()-1,19)+1,MOD(ROW()-2,19)+1),NA())</f>
        <v/>
      </c>
      <c r="DM488" s="4" t="e">
        <f t="shared" si="42"/>
        <v>#N/A</v>
      </c>
      <c r="DN488" t="e">
        <f t="shared" si="43"/>
        <v>#N/A</v>
      </c>
      <c r="DO488" t="e">
        <f t="shared" si="44"/>
        <v>#N/A</v>
      </c>
    </row>
    <row r="489" spans="7:119" x14ac:dyDescent="0.25">
      <c r="G489"/>
      <c r="DI489" s="4">
        <f>INDEX(Sheet2!A:A,QUOTIENT(ROW()-1,19)+2)</f>
        <v>41165</v>
      </c>
      <c r="DJ489" s="4">
        <f>INDEX(Sheet2!C:C,QUOTIENT(ROW()-1,19)+2)</f>
        <v>41274</v>
      </c>
      <c r="DK489" s="4" t="e">
        <f>INDEX(Sheet2!$AA$2:$AS$228,QUOTIENT(ROW()-1,19)+1,MOD(ROW()-2,19)+1)</f>
        <v>#N/A</v>
      </c>
      <c r="DL489" t="str">
        <f>IFERROR(INDEX(Sheet2!$AU$2:$BM$228,QUOTIENT(ROW()-1,19)+1,MOD(ROW()-2,19)+1),NA())</f>
        <v/>
      </c>
      <c r="DM489" s="4" t="e">
        <f t="shared" si="42"/>
        <v>#N/A</v>
      </c>
      <c r="DN489" t="e">
        <f t="shared" si="43"/>
        <v>#N/A</v>
      </c>
      <c r="DO489" t="e">
        <f t="shared" si="44"/>
        <v>#N/A</v>
      </c>
    </row>
    <row r="490" spans="7:119" x14ac:dyDescent="0.25">
      <c r="G490"/>
      <c r="DI490" s="4">
        <f>INDEX(Sheet2!A:A,QUOTIENT(ROW()-1,19)+2)</f>
        <v>41165</v>
      </c>
      <c r="DJ490" s="4">
        <f>INDEX(Sheet2!C:C,QUOTIENT(ROW()-1,19)+2)</f>
        <v>41274</v>
      </c>
      <c r="DK490" s="4" t="e">
        <f>INDEX(Sheet2!$AA$2:$AS$228,QUOTIENT(ROW()-1,19)+1,MOD(ROW()-2,19)+1)</f>
        <v>#N/A</v>
      </c>
      <c r="DL490" t="str">
        <f>IFERROR(INDEX(Sheet2!$AU$2:$BM$228,QUOTIENT(ROW()-1,19)+1,MOD(ROW()-2,19)+1),NA())</f>
        <v/>
      </c>
      <c r="DM490" s="4" t="e">
        <f t="shared" si="42"/>
        <v>#N/A</v>
      </c>
      <c r="DN490" t="e">
        <f t="shared" si="43"/>
        <v>#N/A</v>
      </c>
      <c r="DO490" t="e">
        <f t="shared" si="44"/>
        <v>#N/A</v>
      </c>
    </row>
    <row r="491" spans="7:119" x14ac:dyDescent="0.25">
      <c r="G491"/>
      <c r="DI491" s="4">
        <f>INDEX(Sheet2!A:A,QUOTIENT(ROW()-1,19)+2)</f>
        <v>41165</v>
      </c>
      <c r="DJ491" s="4">
        <f>INDEX(Sheet2!C:C,QUOTIENT(ROW()-1,19)+2)</f>
        <v>41274</v>
      </c>
      <c r="DK491" s="4" t="e">
        <f>INDEX(Sheet2!$AA$2:$AS$228,QUOTIENT(ROW()-1,19)+1,MOD(ROW()-2,19)+1)</f>
        <v>#N/A</v>
      </c>
      <c r="DL491" t="str">
        <f>IFERROR(INDEX(Sheet2!$AU$2:$BM$228,QUOTIENT(ROW()-1,19)+1,MOD(ROW()-2,19)+1),NA())</f>
        <v/>
      </c>
      <c r="DM491" s="4" t="e">
        <f t="shared" si="42"/>
        <v>#N/A</v>
      </c>
      <c r="DN491" t="e">
        <f t="shared" si="43"/>
        <v>#N/A</v>
      </c>
      <c r="DO491" t="e">
        <f t="shared" si="44"/>
        <v>#N/A</v>
      </c>
    </row>
    <row r="492" spans="7:119" x14ac:dyDescent="0.25">
      <c r="G492"/>
      <c r="DI492" s="4">
        <f>INDEX(Sheet2!A:A,QUOTIENT(ROW()-1,19)+2)</f>
        <v>41165</v>
      </c>
      <c r="DJ492" s="4">
        <f>INDEX(Sheet2!C:C,QUOTIENT(ROW()-1,19)+2)</f>
        <v>41274</v>
      </c>
      <c r="DK492" s="4" t="e">
        <f>INDEX(Sheet2!$AA$2:$AS$228,QUOTIENT(ROW()-1,19)+1,MOD(ROW()-2,19)+1)</f>
        <v>#N/A</v>
      </c>
      <c r="DL492" t="str">
        <f>IFERROR(INDEX(Sheet2!$AU$2:$BM$228,QUOTIENT(ROW()-1,19)+1,MOD(ROW()-2,19)+1),NA())</f>
        <v/>
      </c>
      <c r="DM492" s="4" t="e">
        <f t="shared" si="42"/>
        <v>#N/A</v>
      </c>
      <c r="DN492" t="e">
        <f t="shared" si="43"/>
        <v>#N/A</v>
      </c>
      <c r="DO492" t="e">
        <f t="shared" si="44"/>
        <v>#N/A</v>
      </c>
    </row>
    <row r="493" spans="7:119" x14ac:dyDescent="0.25">
      <c r="G493"/>
      <c r="DI493" s="4">
        <f>INDEX(Sheet2!A:A,QUOTIENT(ROW()-1,19)+2)</f>
        <v>41165</v>
      </c>
      <c r="DJ493" s="4">
        <f>INDEX(Sheet2!C:C,QUOTIENT(ROW()-1,19)+2)</f>
        <v>41274</v>
      </c>
      <c r="DK493" s="4" t="e">
        <f>INDEX(Sheet2!$AA$2:$AS$228,QUOTIENT(ROW()-1,19)+1,MOD(ROW()-2,19)+1)</f>
        <v>#N/A</v>
      </c>
      <c r="DL493" t="str">
        <f>IFERROR(INDEX(Sheet2!$AU$2:$BM$228,QUOTIENT(ROW()-1,19)+1,MOD(ROW()-2,19)+1),NA())</f>
        <v/>
      </c>
      <c r="DM493" s="4" t="e">
        <f t="shared" si="42"/>
        <v>#N/A</v>
      </c>
      <c r="DN493" t="e">
        <f t="shared" si="43"/>
        <v>#N/A</v>
      </c>
      <c r="DO493" t="e">
        <f t="shared" si="44"/>
        <v>#N/A</v>
      </c>
    </row>
    <row r="494" spans="7:119" x14ac:dyDescent="0.25">
      <c r="G494"/>
      <c r="DI494" s="4">
        <f>INDEX(Sheet2!A:A,QUOTIENT(ROW()-1,19)+2)</f>
        <v>41165</v>
      </c>
      <c r="DJ494" s="4">
        <f>INDEX(Sheet2!C:C,QUOTIENT(ROW()-1,19)+2)</f>
        <v>41274</v>
      </c>
      <c r="DK494" s="4" t="e">
        <f>INDEX(Sheet2!$AA$2:$AS$228,QUOTIENT(ROW()-1,19)+1,MOD(ROW()-2,19)+1)</f>
        <v>#N/A</v>
      </c>
      <c r="DL494" t="str">
        <f>IFERROR(INDEX(Sheet2!$AU$2:$BM$228,QUOTIENT(ROW()-1,19)+1,MOD(ROW()-2,19)+1),NA())</f>
        <v/>
      </c>
      <c r="DM494" s="4" t="e">
        <f t="shared" si="42"/>
        <v>#N/A</v>
      </c>
      <c r="DN494" t="e">
        <f t="shared" si="43"/>
        <v>#N/A</v>
      </c>
      <c r="DO494" t="e">
        <f t="shared" si="44"/>
        <v>#N/A</v>
      </c>
    </row>
    <row r="495" spans="7:119" x14ac:dyDescent="0.25">
      <c r="G495"/>
      <c r="DI495" s="4">
        <f>INDEX(Sheet2!A:A,QUOTIENT(ROW()-1,19)+2)</f>
        <v>41165</v>
      </c>
      <c r="DJ495" s="4">
        <f>INDEX(Sheet2!C:C,QUOTIENT(ROW()-1,19)+2)</f>
        <v>41639</v>
      </c>
      <c r="DK495" s="4" t="e">
        <f>INDEX(Sheet2!$AA$2:$AS$228,QUOTIENT(ROW()-1,19)+1,MOD(ROW()-2,19)+1)</f>
        <v>#N/A</v>
      </c>
      <c r="DL495" t="str">
        <f>IFERROR(INDEX(Sheet2!$AU$2:$BM$228,QUOTIENT(ROW()-1,19)+1,MOD(ROW()-2,19)+1),NA())</f>
        <v/>
      </c>
      <c r="DM495" s="4" t="e">
        <f t="shared" si="42"/>
        <v>#N/A</v>
      </c>
      <c r="DN495" t="e">
        <f t="shared" si="43"/>
        <v>#N/A</v>
      </c>
      <c r="DO495" t="e">
        <f t="shared" si="44"/>
        <v>#N/A</v>
      </c>
    </row>
    <row r="496" spans="7:119" x14ac:dyDescent="0.25">
      <c r="G496"/>
      <c r="DI496" s="4">
        <f>INDEX(Sheet2!A:A,QUOTIENT(ROW()-1,19)+2)</f>
        <v>41165</v>
      </c>
      <c r="DJ496" s="4">
        <f>INDEX(Sheet2!C:C,QUOTIENT(ROW()-1,19)+2)</f>
        <v>41639</v>
      </c>
      <c r="DK496" s="4">
        <f>INDEX(Sheet2!$AA$2:$AS$228,QUOTIENT(ROW()-1,19)+1,MOD(ROW()-2,19)+1)</f>
        <v>41498.474999999999</v>
      </c>
      <c r="DL496">
        <f>IFERROR(INDEX(Sheet2!$AU$2:$BM$228,QUOTIENT(ROW()-1,19)+1,MOD(ROW()-2,19)+1),NA())</f>
        <v>0.25</v>
      </c>
      <c r="DM496" s="4" t="e">
        <f t="shared" si="42"/>
        <v>#N/A</v>
      </c>
      <c r="DN496" t="e">
        <f t="shared" si="43"/>
        <v>#N/A</v>
      </c>
      <c r="DO496" t="e">
        <f t="shared" si="44"/>
        <v>#N/A</v>
      </c>
    </row>
    <row r="497" spans="7:119" x14ac:dyDescent="0.25">
      <c r="G497"/>
      <c r="DI497" s="4">
        <f>INDEX(Sheet2!A:A,QUOTIENT(ROW()-1,19)+2)</f>
        <v>41165</v>
      </c>
      <c r="DJ497" s="4">
        <f>INDEX(Sheet2!C:C,QUOTIENT(ROW()-1,19)+2)</f>
        <v>41639</v>
      </c>
      <c r="DK497" s="4">
        <f>INDEX(Sheet2!$AA$2:$AS$228,QUOTIENT(ROW()-1,19)+1,MOD(ROW()-2,19)+1)</f>
        <v>41518.550000000003</v>
      </c>
      <c r="DL497">
        <f>IFERROR(INDEX(Sheet2!$AU$2:$BM$228,QUOTIENT(ROW()-1,19)+1,MOD(ROW()-2,19)+1),NA())</f>
        <v>0.25</v>
      </c>
      <c r="DM497" s="4" t="e">
        <f t="shared" si="42"/>
        <v>#N/A</v>
      </c>
      <c r="DN497" t="e">
        <f t="shared" si="43"/>
        <v>#N/A</v>
      </c>
      <c r="DO497" t="e">
        <f t="shared" si="44"/>
        <v>#N/A</v>
      </c>
    </row>
    <row r="498" spans="7:119" x14ac:dyDescent="0.25">
      <c r="G498"/>
      <c r="DI498" s="4">
        <f>INDEX(Sheet2!A:A,QUOTIENT(ROW()-1,19)+2)</f>
        <v>41165</v>
      </c>
      <c r="DJ498" s="4">
        <f>INDEX(Sheet2!C:C,QUOTIENT(ROW()-1,19)+2)</f>
        <v>41639</v>
      </c>
      <c r="DK498" s="4">
        <f>INDEX(Sheet2!$AA$2:$AS$228,QUOTIENT(ROW()-1,19)+1,MOD(ROW()-2,19)+1)</f>
        <v>41538.625</v>
      </c>
      <c r="DL498">
        <f>IFERROR(INDEX(Sheet2!$AU$2:$BM$228,QUOTIENT(ROW()-1,19)+1,MOD(ROW()-2,19)+1),NA())</f>
        <v>0.25</v>
      </c>
      <c r="DM498" s="4" t="e">
        <f t="shared" si="42"/>
        <v>#N/A</v>
      </c>
      <c r="DN498" t="e">
        <f t="shared" si="43"/>
        <v>#N/A</v>
      </c>
      <c r="DO498" t="e">
        <f t="shared" si="44"/>
        <v>#N/A</v>
      </c>
    </row>
    <row r="499" spans="7:119" x14ac:dyDescent="0.25">
      <c r="G499"/>
      <c r="DI499" s="4">
        <f>INDEX(Sheet2!A:A,QUOTIENT(ROW()-1,19)+2)</f>
        <v>41165</v>
      </c>
      <c r="DJ499" s="4">
        <f>INDEX(Sheet2!C:C,QUOTIENT(ROW()-1,19)+2)</f>
        <v>41639</v>
      </c>
      <c r="DK499" s="4">
        <f>INDEX(Sheet2!$AA$2:$AS$228,QUOTIENT(ROW()-1,19)+1,MOD(ROW()-2,19)+1)</f>
        <v>41558.700000000004</v>
      </c>
      <c r="DL499">
        <f>IFERROR(INDEX(Sheet2!$AU$2:$BM$228,QUOTIENT(ROW()-1,19)+1,MOD(ROW()-2,19)+1),NA())</f>
        <v>0.25</v>
      </c>
      <c r="DM499" s="4" t="e">
        <f t="shared" si="42"/>
        <v>#N/A</v>
      </c>
      <c r="DN499" t="e">
        <f t="shared" si="43"/>
        <v>#N/A</v>
      </c>
      <c r="DO499" t="e">
        <f t="shared" si="44"/>
        <v>#N/A</v>
      </c>
    </row>
    <row r="500" spans="7:119" x14ac:dyDescent="0.25">
      <c r="G500"/>
      <c r="DI500" s="4">
        <f>INDEX(Sheet2!A:A,QUOTIENT(ROW()-1,19)+2)</f>
        <v>41165</v>
      </c>
      <c r="DJ500" s="4">
        <f>INDEX(Sheet2!C:C,QUOTIENT(ROW()-1,19)+2)</f>
        <v>41639</v>
      </c>
      <c r="DK500" s="4">
        <f>INDEX(Sheet2!$AA$2:$AS$228,QUOTIENT(ROW()-1,19)+1,MOD(ROW()-2,19)+1)</f>
        <v>41578.775000000001</v>
      </c>
      <c r="DL500">
        <f>IFERROR(INDEX(Sheet2!$AU$2:$BM$228,QUOTIENT(ROW()-1,19)+1,MOD(ROW()-2,19)+1),NA())</f>
        <v>0.25</v>
      </c>
      <c r="DM500" s="4" t="e">
        <f t="shared" si="42"/>
        <v>#N/A</v>
      </c>
      <c r="DN500" t="e">
        <f t="shared" si="43"/>
        <v>#N/A</v>
      </c>
      <c r="DO500" t="e">
        <f t="shared" si="44"/>
        <v>#N/A</v>
      </c>
    </row>
    <row r="501" spans="7:119" x14ac:dyDescent="0.25">
      <c r="G501"/>
      <c r="DI501" s="4">
        <f>INDEX(Sheet2!A:A,QUOTIENT(ROW()-1,19)+2)</f>
        <v>41165</v>
      </c>
      <c r="DJ501" s="4">
        <f>INDEX(Sheet2!C:C,QUOTIENT(ROW()-1,19)+2)</f>
        <v>41639</v>
      </c>
      <c r="DK501" s="4">
        <f>INDEX(Sheet2!$AA$2:$AS$228,QUOTIENT(ROW()-1,19)+1,MOD(ROW()-2,19)+1)</f>
        <v>41598.85</v>
      </c>
      <c r="DL501">
        <f>IFERROR(INDEX(Sheet2!$AU$2:$BM$228,QUOTIENT(ROW()-1,19)+1,MOD(ROW()-2,19)+1),NA())</f>
        <v>0.25</v>
      </c>
      <c r="DM501" s="4" t="e">
        <f t="shared" si="42"/>
        <v>#N/A</v>
      </c>
      <c r="DN501" t="e">
        <f t="shared" si="43"/>
        <v>#N/A</v>
      </c>
      <c r="DO501" t="e">
        <f t="shared" si="44"/>
        <v>#N/A</v>
      </c>
    </row>
    <row r="502" spans="7:119" x14ac:dyDescent="0.25">
      <c r="G502"/>
      <c r="DI502" s="4">
        <f>INDEX(Sheet2!A:A,QUOTIENT(ROW()-1,19)+2)</f>
        <v>41165</v>
      </c>
      <c r="DJ502" s="4">
        <f>INDEX(Sheet2!C:C,QUOTIENT(ROW()-1,19)+2)</f>
        <v>41639</v>
      </c>
      <c r="DK502" s="4">
        <f>INDEX(Sheet2!$AA$2:$AS$228,QUOTIENT(ROW()-1,19)+1,MOD(ROW()-2,19)+1)</f>
        <v>41618.925000000003</v>
      </c>
      <c r="DL502">
        <f>IFERROR(INDEX(Sheet2!$AU$2:$BM$228,QUOTIENT(ROW()-1,19)+1,MOD(ROW()-2,19)+1),NA())</f>
        <v>0.25</v>
      </c>
      <c r="DM502" s="4" t="e">
        <f t="shared" si="42"/>
        <v>#N/A</v>
      </c>
      <c r="DN502" t="e">
        <f t="shared" si="43"/>
        <v>#N/A</v>
      </c>
      <c r="DO502" t="e">
        <f t="shared" si="44"/>
        <v>#N/A</v>
      </c>
    </row>
    <row r="503" spans="7:119" x14ac:dyDescent="0.25">
      <c r="G503"/>
      <c r="DI503" s="4">
        <f>INDEX(Sheet2!A:A,QUOTIENT(ROW()-1,19)+2)</f>
        <v>41165</v>
      </c>
      <c r="DJ503" s="4">
        <f>INDEX(Sheet2!C:C,QUOTIENT(ROW()-1,19)+2)</f>
        <v>41639</v>
      </c>
      <c r="DK503" s="4">
        <f>INDEX(Sheet2!$AA$2:$AS$228,QUOTIENT(ROW()-1,19)+1,MOD(ROW()-2,19)+1)</f>
        <v>41639</v>
      </c>
      <c r="DL503">
        <f>IFERROR(INDEX(Sheet2!$AU$2:$BM$228,QUOTIENT(ROW()-1,19)+1,MOD(ROW()-2,19)+1),NA())</f>
        <v>0.25</v>
      </c>
      <c r="DM503" s="4" t="e">
        <f t="shared" si="42"/>
        <v>#N/A</v>
      </c>
      <c r="DN503" t="e">
        <f t="shared" si="43"/>
        <v>#N/A</v>
      </c>
      <c r="DO503" t="e">
        <f t="shared" si="44"/>
        <v>#N/A</v>
      </c>
    </row>
    <row r="504" spans="7:119" x14ac:dyDescent="0.25">
      <c r="G504"/>
      <c r="DI504" s="4">
        <f>INDEX(Sheet2!A:A,QUOTIENT(ROW()-1,19)+2)</f>
        <v>41165</v>
      </c>
      <c r="DJ504" s="4">
        <f>INDEX(Sheet2!C:C,QUOTIENT(ROW()-1,19)+2)</f>
        <v>41639</v>
      </c>
      <c r="DK504" s="4">
        <f>INDEX(Sheet2!$AA$2:$AS$228,QUOTIENT(ROW()-1,19)+1,MOD(ROW()-2,19)+1)</f>
        <v>41659.075000000004</v>
      </c>
      <c r="DL504">
        <f>IFERROR(INDEX(Sheet2!$AU$2:$BM$228,QUOTIENT(ROW()-1,19)+1,MOD(ROW()-2,19)+1),NA())</f>
        <v>0.25</v>
      </c>
      <c r="DM504" s="4" t="e">
        <f t="shared" si="42"/>
        <v>#N/A</v>
      </c>
      <c r="DN504" t="e">
        <f t="shared" si="43"/>
        <v>#N/A</v>
      </c>
      <c r="DO504" t="e">
        <f t="shared" si="44"/>
        <v>#N/A</v>
      </c>
    </row>
    <row r="505" spans="7:119" x14ac:dyDescent="0.25">
      <c r="G505"/>
      <c r="DI505" s="4">
        <f>INDEX(Sheet2!A:A,QUOTIENT(ROW()-1,19)+2)</f>
        <v>41165</v>
      </c>
      <c r="DJ505" s="4">
        <f>INDEX(Sheet2!C:C,QUOTIENT(ROW()-1,19)+2)</f>
        <v>41639</v>
      </c>
      <c r="DK505" s="4">
        <f>INDEX(Sheet2!$AA$2:$AS$228,QUOTIENT(ROW()-1,19)+1,MOD(ROW()-2,19)+1)</f>
        <v>41679.15</v>
      </c>
      <c r="DL505">
        <f>IFERROR(INDEX(Sheet2!$AU$2:$BM$228,QUOTIENT(ROW()-1,19)+1,MOD(ROW()-2,19)+1),NA())</f>
        <v>0.25</v>
      </c>
      <c r="DM505" s="4" t="e">
        <f t="shared" si="42"/>
        <v>#N/A</v>
      </c>
      <c r="DN505" t="e">
        <f t="shared" si="43"/>
        <v>#N/A</v>
      </c>
      <c r="DO505" t="e">
        <f t="shared" si="44"/>
        <v>#N/A</v>
      </c>
    </row>
    <row r="506" spans="7:119" x14ac:dyDescent="0.25">
      <c r="G506"/>
      <c r="DI506" s="4">
        <f>INDEX(Sheet2!A:A,QUOTIENT(ROW()-1,19)+2)</f>
        <v>41165</v>
      </c>
      <c r="DJ506" s="4">
        <f>INDEX(Sheet2!C:C,QUOTIENT(ROW()-1,19)+2)</f>
        <v>41639</v>
      </c>
      <c r="DK506" s="4">
        <f>INDEX(Sheet2!$AA$2:$AS$228,QUOTIENT(ROW()-1,19)+1,MOD(ROW()-2,19)+1)</f>
        <v>41699.224999999999</v>
      </c>
      <c r="DL506">
        <f>IFERROR(INDEX(Sheet2!$AU$2:$BM$228,QUOTIENT(ROW()-1,19)+1,MOD(ROW()-2,19)+1),NA())</f>
        <v>0.25</v>
      </c>
      <c r="DM506" s="4" t="e">
        <f t="shared" si="42"/>
        <v>#N/A</v>
      </c>
      <c r="DN506" t="e">
        <f t="shared" si="43"/>
        <v>#N/A</v>
      </c>
      <c r="DO506" t="e">
        <f t="shared" si="44"/>
        <v>#N/A</v>
      </c>
    </row>
    <row r="507" spans="7:119" x14ac:dyDescent="0.25">
      <c r="G507"/>
      <c r="DI507" s="4">
        <f>INDEX(Sheet2!A:A,QUOTIENT(ROW()-1,19)+2)</f>
        <v>41165</v>
      </c>
      <c r="DJ507" s="4">
        <f>INDEX(Sheet2!C:C,QUOTIENT(ROW()-1,19)+2)</f>
        <v>41639</v>
      </c>
      <c r="DK507" s="4">
        <f>INDEX(Sheet2!$AA$2:$AS$228,QUOTIENT(ROW()-1,19)+1,MOD(ROW()-2,19)+1)</f>
        <v>41719.300000000003</v>
      </c>
      <c r="DL507">
        <f>IFERROR(INDEX(Sheet2!$AU$2:$BM$228,QUOTIENT(ROW()-1,19)+1,MOD(ROW()-2,19)+1),NA())</f>
        <v>0.25</v>
      </c>
      <c r="DM507" s="4" t="e">
        <f t="shared" si="42"/>
        <v>#N/A</v>
      </c>
      <c r="DN507" t="e">
        <f t="shared" si="43"/>
        <v>#N/A</v>
      </c>
      <c r="DO507" t="e">
        <f t="shared" si="44"/>
        <v>#N/A</v>
      </c>
    </row>
    <row r="508" spans="7:119" x14ac:dyDescent="0.25">
      <c r="G508"/>
      <c r="DI508" s="4">
        <f>INDEX(Sheet2!A:A,QUOTIENT(ROW()-1,19)+2)</f>
        <v>41165</v>
      </c>
      <c r="DJ508" s="4">
        <f>INDEX(Sheet2!C:C,QUOTIENT(ROW()-1,19)+2)</f>
        <v>41639</v>
      </c>
      <c r="DK508" s="4">
        <f>INDEX(Sheet2!$AA$2:$AS$228,QUOTIENT(ROW()-1,19)+1,MOD(ROW()-2,19)+1)</f>
        <v>41739.375</v>
      </c>
      <c r="DL508">
        <f>IFERROR(INDEX(Sheet2!$AU$2:$BM$228,QUOTIENT(ROW()-1,19)+1,MOD(ROW()-2,19)+1),NA())</f>
        <v>0.25</v>
      </c>
      <c r="DM508" s="4" t="e">
        <f t="shared" si="42"/>
        <v>#N/A</v>
      </c>
      <c r="DN508" t="e">
        <f t="shared" si="43"/>
        <v>#N/A</v>
      </c>
      <c r="DO508" t="e">
        <f t="shared" si="44"/>
        <v>#N/A</v>
      </c>
    </row>
    <row r="509" spans="7:119" x14ac:dyDescent="0.25">
      <c r="G509"/>
      <c r="DI509" s="4">
        <f>INDEX(Sheet2!A:A,QUOTIENT(ROW()-1,19)+2)</f>
        <v>41165</v>
      </c>
      <c r="DJ509" s="4">
        <f>INDEX(Sheet2!C:C,QUOTIENT(ROW()-1,19)+2)</f>
        <v>41639</v>
      </c>
      <c r="DK509" s="4">
        <f>INDEX(Sheet2!$AA$2:$AS$228,QUOTIENT(ROW()-1,19)+1,MOD(ROW()-2,19)+1)</f>
        <v>41759.450000000004</v>
      </c>
      <c r="DL509">
        <f>IFERROR(INDEX(Sheet2!$AU$2:$BM$228,QUOTIENT(ROW()-1,19)+1,MOD(ROW()-2,19)+1),NA())</f>
        <v>0.25</v>
      </c>
      <c r="DM509" s="4" t="e">
        <f t="shared" si="42"/>
        <v>#N/A</v>
      </c>
      <c r="DN509" t="e">
        <f t="shared" si="43"/>
        <v>#N/A</v>
      </c>
      <c r="DO509" t="e">
        <f t="shared" si="44"/>
        <v>#N/A</v>
      </c>
    </row>
    <row r="510" spans="7:119" x14ac:dyDescent="0.25">
      <c r="G510"/>
      <c r="DI510" s="4">
        <f>INDEX(Sheet2!A:A,QUOTIENT(ROW()-1,19)+2)</f>
        <v>41165</v>
      </c>
      <c r="DJ510" s="4">
        <f>INDEX(Sheet2!C:C,QUOTIENT(ROW()-1,19)+2)</f>
        <v>41639</v>
      </c>
      <c r="DK510" s="4">
        <f>INDEX(Sheet2!$AA$2:$AS$228,QUOTIENT(ROW()-1,19)+1,MOD(ROW()-2,19)+1)</f>
        <v>41779.525000000001</v>
      </c>
      <c r="DL510">
        <f>IFERROR(INDEX(Sheet2!$AU$2:$BM$228,QUOTIENT(ROW()-1,19)+1,MOD(ROW()-2,19)+1),NA())</f>
        <v>0.25</v>
      </c>
      <c r="DM510" s="4" t="e">
        <f t="shared" si="42"/>
        <v>#N/A</v>
      </c>
      <c r="DN510" t="e">
        <f t="shared" si="43"/>
        <v>#N/A</v>
      </c>
      <c r="DO510" t="e">
        <f t="shared" si="44"/>
        <v>#N/A</v>
      </c>
    </row>
    <row r="511" spans="7:119" x14ac:dyDescent="0.25">
      <c r="G511"/>
      <c r="DI511" s="4">
        <f>INDEX(Sheet2!A:A,QUOTIENT(ROW()-1,19)+2)</f>
        <v>41165</v>
      </c>
      <c r="DJ511" s="4">
        <f>INDEX(Sheet2!C:C,QUOTIENT(ROW()-1,19)+2)</f>
        <v>41639</v>
      </c>
      <c r="DK511" s="4" t="e">
        <f>INDEX(Sheet2!$AA$2:$AS$228,QUOTIENT(ROW()-1,19)+1,MOD(ROW()-2,19)+1)</f>
        <v>#N/A</v>
      </c>
      <c r="DL511" t="str">
        <f>IFERROR(INDEX(Sheet2!$AU$2:$BM$228,QUOTIENT(ROW()-1,19)+1,MOD(ROW()-2,19)+1),NA())</f>
        <v/>
      </c>
      <c r="DM511" s="4" t="e">
        <f t="shared" si="42"/>
        <v>#N/A</v>
      </c>
      <c r="DN511" t="e">
        <f t="shared" si="43"/>
        <v>#N/A</v>
      </c>
      <c r="DO511" t="e">
        <f t="shared" si="44"/>
        <v>#N/A</v>
      </c>
    </row>
    <row r="512" spans="7:119" x14ac:dyDescent="0.25">
      <c r="G512"/>
      <c r="DI512" s="4">
        <f>INDEX(Sheet2!A:A,QUOTIENT(ROW()-1,19)+2)</f>
        <v>41165</v>
      </c>
      <c r="DJ512" s="4">
        <f>INDEX(Sheet2!C:C,QUOTIENT(ROW()-1,19)+2)</f>
        <v>41639</v>
      </c>
      <c r="DK512" s="4" t="e">
        <f>INDEX(Sheet2!$AA$2:$AS$228,QUOTIENT(ROW()-1,19)+1,MOD(ROW()-2,19)+1)</f>
        <v>#N/A</v>
      </c>
      <c r="DL512" t="str">
        <f>IFERROR(INDEX(Sheet2!$AU$2:$BM$228,QUOTIENT(ROW()-1,19)+1,MOD(ROW()-2,19)+1),NA())</f>
        <v/>
      </c>
      <c r="DM512" s="4" t="e">
        <f t="shared" si="42"/>
        <v>#N/A</v>
      </c>
      <c r="DN512" t="e">
        <f t="shared" si="43"/>
        <v>#N/A</v>
      </c>
      <c r="DO512" t="e">
        <f t="shared" si="44"/>
        <v>#N/A</v>
      </c>
    </row>
    <row r="513" spans="7:119" x14ac:dyDescent="0.25">
      <c r="G513"/>
      <c r="DI513" s="4">
        <f>INDEX(Sheet2!A:A,QUOTIENT(ROW()-1,19)+2)</f>
        <v>41165</v>
      </c>
      <c r="DJ513" s="4">
        <f>INDEX(Sheet2!C:C,QUOTIENT(ROW()-1,19)+2)</f>
        <v>41639</v>
      </c>
      <c r="DK513" s="4" t="e">
        <f>INDEX(Sheet2!$AA$2:$AS$228,QUOTIENT(ROW()-1,19)+1,MOD(ROW()-2,19)+1)</f>
        <v>#N/A</v>
      </c>
      <c r="DL513" t="str">
        <f>IFERROR(INDEX(Sheet2!$AU$2:$BM$228,QUOTIENT(ROW()-1,19)+1,MOD(ROW()-2,19)+1),NA())</f>
        <v/>
      </c>
      <c r="DM513" s="4" t="e">
        <f t="shared" si="42"/>
        <v>#N/A</v>
      </c>
      <c r="DN513" t="e">
        <f t="shared" si="43"/>
        <v>#N/A</v>
      </c>
      <c r="DO513" t="e">
        <f t="shared" si="44"/>
        <v>#N/A</v>
      </c>
    </row>
    <row r="514" spans="7:119" x14ac:dyDescent="0.25">
      <c r="G514"/>
      <c r="DI514" s="4">
        <f>INDEX(Sheet2!A:A,QUOTIENT(ROW()-1,19)+2)</f>
        <v>41165</v>
      </c>
      <c r="DJ514" s="4">
        <f>INDEX(Sheet2!C:C,QUOTIENT(ROW()-1,19)+2)</f>
        <v>41639</v>
      </c>
      <c r="DK514" s="4" t="e">
        <f>INDEX(Sheet2!$AA$2:$AS$228,QUOTIENT(ROW()-1,19)+1,MOD(ROW()-2,19)+1)</f>
        <v>#N/A</v>
      </c>
      <c r="DL514" t="str">
        <f>IFERROR(INDEX(Sheet2!$AU$2:$BM$228,QUOTIENT(ROW()-1,19)+1,MOD(ROW()-2,19)+1),NA())</f>
        <v/>
      </c>
      <c r="DM514" s="4" t="e">
        <f t="shared" ref="DM514:DM577" si="45">+IF($C$2=$DI514,DK514,NA())</f>
        <v>#N/A</v>
      </c>
      <c r="DN514" t="e">
        <f t="shared" ref="DN514:DN577" si="46">+IF($C$2=$DI514,DL514,NA())</f>
        <v>#N/A</v>
      </c>
      <c r="DO514" t="e">
        <f t="shared" si="44"/>
        <v>#N/A</v>
      </c>
    </row>
    <row r="515" spans="7:119" x14ac:dyDescent="0.25">
      <c r="G515"/>
      <c r="DI515" s="4">
        <f>INDEX(Sheet2!A:A,QUOTIENT(ROW()-1,19)+2)</f>
        <v>41165</v>
      </c>
      <c r="DJ515" s="4">
        <f>INDEX(Sheet2!C:C,QUOTIENT(ROW()-1,19)+2)</f>
        <v>41639</v>
      </c>
      <c r="DK515" s="4">
        <f>INDEX(Sheet2!$AA$2:$AS$228,QUOTIENT(ROW()-1,19)+1,MOD(ROW()-2,19)+1)</f>
        <v>41628.962500000001</v>
      </c>
      <c r="DL515">
        <f>IFERROR(INDEX(Sheet2!$AU$2:$BM$228,QUOTIENT(ROW()-1,19)+1,MOD(ROW()-2,19)+1),NA())</f>
        <v>0.5</v>
      </c>
      <c r="DM515" s="4" t="e">
        <f t="shared" si="45"/>
        <v>#N/A</v>
      </c>
      <c r="DN515" t="e">
        <f t="shared" si="46"/>
        <v>#N/A</v>
      </c>
      <c r="DO515" t="e">
        <f t="shared" ref="DO515:DO578" si="47">IF(DN515="",NA(),DN515)</f>
        <v>#N/A</v>
      </c>
    </row>
    <row r="516" spans="7:119" x14ac:dyDescent="0.25">
      <c r="G516"/>
      <c r="DI516" s="4">
        <f>INDEX(Sheet2!A:A,QUOTIENT(ROW()-1,19)+2)</f>
        <v>41165</v>
      </c>
      <c r="DJ516" s="4">
        <f>INDEX(Sheet2!C:C,QUOTIENT(ROW()-1,19)+2)</f>
        <v>41639</v>
      </c>
      <c r="DK516" s="4">
        <f>INDEX(Sheet2!$AA$2:$AS$228,QUOTIENT(ROW()-1,19)+1,MOD(ROW()-2,19)+1)</f>
        <v>41649.037500000006</v>
      </c>
      <c r="DL516">
        <f>IFERROR(INDEX(Sheet2!$AU$2:$BM$228,QUOTIENT(ROW()-1,19)+1,MOD(ROW()-2,19)+1),NA())</f>
        <v>0.5</v>
      </c>
      <c r="DM516" s="4" t="e">
        <f t="shared" si="45"/>
        <v>#N/A</v>
      </c>
      <c r="DN516" t="e">
        <f t="shared" si="46"/>
        <v>#N/A</v>
      </c>
      <c r="DO516" t="e">
        <f t="shared" si="47"/>
        <v>#N/A</v>
      </c>
    </row>
    <row r="517" spans="7:119" x14ac:dyDescent="0.25">
      <c r="G517"/>
      <c r="DI517" s="4">
        <f>INDEX(Sheet2!A:A,QUOTIENT(ROW()-1,19)+2)</f>
        <v>41165</v>
      </c>
      <c r="DJ517" s="4">
        <f>INDEX(Sheet2!C:C,QUOTIENT(ROW()-1,19)+2)</f>
        <v>41639</v>
      </c>
      <c r="DK517" s="4" t="e">
        <f>INDEX(Sheet2!$AA$2:$AS$228,QUOTIENT(ROW()-1,19)+1,MOD(ROW()-2,19)+1)</f>
        <v>#N/A</v>
      </c>
      <c r="DL517" t="str">
        <f>IFERROR(INDEX(Sheet2!$AU$2:$BM$228,QUOTIENT(ROW()-1,19)+1,MOD(ROW()-2,19)+1),NA())</f>
        <v/>
      </c>
      <c r="DM517" s="4" t="e">
        <f t="shared" si="45"/>
        <v>#N/A</v>
      </c>
      <c r="DN517" t="e">
        <f t="shared" si="46"/>
        <v>#N/A</v>
      </c>
      <c r="DO517" t="e">
        <f t="shared" si="47"/>
        <v>#N/A</v>
      </c>
    </row>
    <row r="518" spans="7:119" x14ac:dyDescent="0.25">
      <c r="G518"/>
      <c r="DI518" s="4">
        <f>INDEX(Sheet2!A:A,QUOTIENT(ROW()-1,19)+2)</f>
        <v>41165</v>
      </c>
      <c r="DJ518" s="4">
        <f>INDEX(Sheet2!C:C,QUOTIENT(ROW()-1,19)+2)</f>
        <v>41639</v>
      </c>
      <c r="DK518" s="4" t="e">
        <f>INDEX(Sheet2!$AA$2:$AS$228,QUOTIENT(ROW()-1,19)+1,MOD(ROW()-2,19)+1)</f>
        <v>#N/A</v>
      </c>
      <c r="DL518" t="str">
        <f>IFERROR(INDEX(Sheet2!$AU$2:$BM$228,QUOTIENT(ROW()-1,19)+1,MOD(ROW()-2,19)+1),NA())</f>
        <v/>
      </c>
      <c r="DM518" s="4" t="e">
        <f t="shared" si="45"/>
        <v>#N/A</v>
      </c>
      <c r="DN518" t="e">
        <f t="shared" si="46"/>
        <v>#N/A</v>
      </c>
      <c r="DO518" t="e">
        <f t="shared" si="47"/>
        <v>#N/A</v>
      </c>
    </row>
    <row r="519" spans="7:119" x14ac:dyDescent="0.25">
      <c r="G519"/>
      <c r="DI519" s="4">
        <f>INDEX(Sheet2!A:A,QUOTIENT(ROW()-1,19)+2)</f>
        <v>41165</v>
      </c>
      <c r="DJ519" s="4">
        <f>INDEX(Sheet2!C:C,QUOTIENT(ROW()-1,19)+2)</f>
        <v>41639</v>
      </c>
      <c r="DK519" s="4" t="e">
        <f>INDEX(Sheet2!$AA$2:$AS$228,QUOTIENT(ROW()-1,19)+1,MOD(ROW()-2,19)+1)</f>
        <v>#N/A</v>
      </c>
      <c r="DL519" t="str">
        <f>IFERROR(INDEX(Sheet2!$AU$2:$BM$228,QUOTIENT(ROW()-1,19)+1,MOD(ROW()-2,19)+1),NA())</f>
        <v/>
      </c>
      <c r="DM519" s="4" t="e">
        <f t="shared" si="45"/>
        <v>#N/A</v>
      </c>
      <c r="DN519" t="e">
        <f t="shared" si="46"/>
        <v>#N/A</v>
      </c>
      <c r="DO519" t="e">
        <f t="shared" si="47"/>
        <v>#N/A</v>
      </c>
    </row>
    <row r="520" spans="7:119" x14ac:dyDescent="0.25">
      <c r="G520"/>
      <c r="DI520" s="4">
        <f>INDEX(Sheet2!A:A,QUOTIENT(ROW()-1,19)+2)</f>
        <v>41165</v>
      </c>
      <c r="DJ520" s="4">
        <f>INDEX(Sheet2!C:C,QUOTIENT(ROW()-1,19)+2)</f>
        <v>41639</v>
      </c>
      <c r="DK520" s="4" t="e">
        <f>INDEX(Sheet2!$AA$2:$AS$228,QUOTIENT(ROW()-1,19)+1,MOD(ROW()-2,19)+1)</f>
        <v>#N/A</v>
      </c>
      <c r="DL520" t="str">
        <f>IFERROR(INDEX(Sheet2!$AU$2:$BM$228,QUOTIENT(ROW()-1,19)+1,MOD(ROW()-2,19)+1),NA())</f>
        <v/>
      </c>
      <c r="DM520" s="4" t="e">
        <f t="shared" si="45"/>
        <v>#N/A</v>
      </c>
      <c r="DN520" t="e">
        <f t="shared" si="46"/>
        <v>#N/A</v>
      </c>
      <c r="DO520" t="e">
        <f t="shared" si="47"/>
        <v>#N/A</v>
      </c>
    </row>
    <row r="521" spans="7:119" x14ac:dyDescent="0.25">
      <c r="G521"/>
      <c r="DI521" s="4">
        <f>INDEX(Sheet2!A:A,QUOTIENT(ROW()-1,19)+2)</f>
        <v>41165</v>
      </c>
      <c r="DJ521" s="4">
        <f>INDEX(Sheet2!C:C,QUOTIENT(ROW()-1,19)+2)</f>
        <v>41639</v>
      </c>
      <c r="DK521" s="4" t="e">
        <f>INDEX(Sheet2!$AA$2:$AS$228,QUOTIENT(ROW()-1,19)+1,MOD(ROW()-2,19)+1)</f>
        <v>#N/A</v>
      </c>
      <c r="DL521" t="str">
        <f>IFERROR(INDEX(Sheet2!$AU$2:$BM$228,QUOTIENT(ROW()-1,19)+1,MOD(ROW()-2,19)+1),NA())</f>
        <v/>
      </c>
      <c r="DM521" s="4" t="e">
        <f t="shared" si="45"/>
        <v>#N/A</v>
      </c>
      <c r="DN521" t="e">
        <f t="shared" si="46"/>
        <v>#N/A</v>
      </c>
      <c r="DO521" t="e">
        <f t="shared" si="47"/>
        <v>#N/A</v>
      </c>
    </row>
    <row r="522" spans="7:119" x14ac:dyDescent="0.25">
      <c r="G522"/>
      <c r="DI522" s="4">
        <f>INDEX(Sheet2!A:A,QUOTIENT(ROW()-1,19)+2)</f>
        <v>41165</v>
      </c>
      <c r="DJ522" s="4">
        <f>INDEX(Sheet2!C:C,QUOTIENT(ROW()-1,19)+2)</f>
        <v>41639</v>
      </c>
      <c r="DK522" s="4" t="e">
        <f>INDEX(Sheet2!$AA$2:$AS$228,QUOTIENT(ROW()-1,19)+1,MOD(ROW()-2,19)+1)</f>
        <v>#N/A</v>
      </c>
      <c r="DL522" t="str">
        <f>IFERROR(INDEX(Sheet2!$AU$2:$BM$228,QUOTIENT(ROW()-1,19)+1,MOD(ROW()-2,19)+1),NA())</f>
        <v/>
      </c>
      <c r="DM522" s="4" t="e">
        <f t="shared" si="45"/>
        <v>#N/A</v>
      </c>
      <c r="DN522" t="e">
        <f t="shared" si="46"/>
        <v>#N/A</v>
      </c>
      <c r="DO522" t="e">
        <f t="shared" si="47"/>
        <v>#N/A</v>
      </c>
    </row>
    <row r="523" spans="7:119" x14ac:dyDescent="0.25">
      <c r="G523"/>
      <c r="DI523" s="4">
        <f>INDEX(Sheet2!A:A,QUOTIENT(ROW()-1,19)+2)</f>
        <v>41165</v>
      </c>
      <c r="DJ523" s="4">
        <f>INDEX(Sheet2!C:C,QUOTIENT(ROW()-1,19)+2)</f>
        <v>41639</v>
      </c>
      <c r="DK523" s="4" t="e">
        <f>INDEX(Sheet2!$AA$2:$AS$228,QUOTIENT(ROW()-1,19)+1,MOD(ROW()-2,19)+1)</f>
        <v>#N/A</v>
      </c>
      <c r="DL523" t="str">
        <f>IFERROR(INDEX(Sheet2!$AU$2:$BM$228,QUOTIENT(ROW()-1,19)+1,MOD(ROW()-2,19)+1),NA())</f>
        <v/>
      </c>
      <c r="DM523" s="4" t="e">
        <f t="shared" si="45"/>
        <v>#N/A</v>
      </c>
      <c r="DN523" t="e">
        <f t="shared" si="46"/>
        <v>#N/A</v>
      </c>
      <c r="DO523" t="e">
        <f t="shared" si="47"/>
        <v>#N/A</v>
      </c>
    </row>
    <row r="524" spans="7:119" x14ac:dyDescent="0.25">
      <c r="G524"/>
      <c r="DI524" s="4">
        <f>INDEX(Sheet2!A:A,QUOTIENT(ROW()-1,19)+2)</f>
        <v>41165</v>
      </c>
      <c r="DJ524" s="4">
        <f>INDEX(Sheet2!C:C,QUOTIENT(ROW()-1,19)+2)</f>
        <v>41639</v>
      </c>
      <c r="DK524" s="4" t="e">
        <f>INDEX(Sheet2!$AA$2:$AS$228,QUOTIENT(ROW()-1,19)+1,MOD(ROW()-2,19)+1)</f>
        <v>#N/A</v>
      </c>
      <c r="DL524" t="str">
        <f>IFERROR(INDEX(Sheet2!$AU$2:$BM$228,QUOTIENT(ROW()-1,19)+1,MOD(ROW()-2,19)+1),NA())</f>
        <v/>
      </c>
      <c r="DM524" s="4" t="e">
        <f t="shared" si="45"/>
        <v>#N/A</v>
      </c>
      <c r="DN524" t="e">
        <f t="shared" si="46"/>
        <v>#N/A</v>
      </c>
      <c r="DO524" t="e">
        <f t="shared" si="47"/>
        <v>#N/A</v>
      </c>
    </row>
    <row r="525" spans="7:119" x14ac:dyDescent="0.25">
      <c r="G525"/>
      <c r="DI525" s="4">
        <f>INDEX(Sheet2!A:A,QUOTIENT(ROW()-1,19)+2)</f>
        <v>41165</v>
      </c>
      <c r="DJ525" s="4">
        <f>INDEX(Sheet2!C:C,QUOTIENT(ROW()-1,19)+2)</f>
        <v>41639</v>
      </c>
      <c r="DK525" s="4" t="e">
        <f>INDEX(Sheet2!$AA$2:$AS$228,QUOTIENT(ROW()-1,19)+1,MOD(ROW()-2,19)+1)</f>
        <v>#N/A</v>
      </c>
      <c r="DL525" t="str">
        <f>IFERROR(INDEX(Sheet2!$AU$2:$BM$228,QUOTIENT(ROW()-1,19)+1,MOD(ROW()-2,19)+1),NA())</f>
        <v/>
      </c>
      <c r="DM525" s="4" t="e">
        <f t="shared" si="45"/>
        <v>#N/A</v>
      </c>
      <c r="DN525" t="e">
        <f t="shared" si="46"/>
        <v>#N/A</v>
      </c>
      <c r="DO525" t="e">
        <f t="shared" si="47"/>
        <v>#N/A</v>
      </c>
    </row>
    <row r="526" spans="7:119" x14ac:dyDescent="0.25">
      <c r="G526"/>
      <c r="DI526" s="4">
        <f>INDEX(Sheet2!A:A,QUOTIENT(ROW()-1,19)+2)</f>
        <v>41165</v>
      </c>
      <c r="DJ526" s="4">
        <f>INDEX(Sheet2!C:C,QUOTIENT(ROW()-1,19)+2)</f>
        <v>41639</v>
      </c>
      <c r="DK526" s="4" t="e">
        <f>INDEX(Sheet2!$AA$2:$AS$228,QUOTIENT(ROW()-1,19)+1,MOD(ROW()-2,19)+1)</f>
        <v>#N/A</v>
      </c>
      <c r="DL526" t="str">
        <f>IFERROR(INDEX(Sheet2!$AU$2:$BM$228,QUOTIENT(ROW()-1,19)+1,MOD(ROW()-2,19)+1),NA())</f>
        <v/>
      </c>
      <c r="DM526" s="4" t="e">
        <f t="shared" si="45"/>
        <v>#N/A</v>
      </c>
      <c r="DN526" t="e">
        <f t="shared" si="46"/>
        <v>#N/A</v>
      </c>
      <c r="DO526" t="e">
        <f t="shared" si="47"/>
        <v>#N/A</v>
      </c>
    </row>
    <row r="527" spans="7:119" x14ac:dyDescent="0.25">
      <c r="G527"/>
      <c r="DI527" s="4">
        <f>INDEX(Sheet2!A:A,QUOTIENT(ROW()-1,19)+2)</f>
        <v>41165</v>
      </c>
      <c r="DJ527" s="4">
        <f>INDEX(Sheet2!C:C,QUOTIENT(ROW()-1,19)+2)</f>
        <v>41639</v>
      </c>
      <c r="DK527" s="4" t="e">
        <f>INDEX(Sheet2!$AA$2:$AS$228,QUOTIENT(ROW()-1,19)+1,MOD(ROW()-2,19)+1)</f>
        <v>#N/A</v>
      </c>
      <c r="DL527" t="str">
        <f>IFERROR(INDEX(Sheet2!$AU$2:$BM$228,QUOTIENT(ROW()-1,19)+1,MOD(ROW()-2,19)+1),NA())</f>
        <v/>
      </c>
      <c r="DM527" s="4" t="e">
        <f t="shared" si="45"/>
        <v>#N/A</v>
      </c>
      <c r="DN527" t="e">
        <f t="shared" si="46"/>
        <v>#N/A</v>
      </c>
      <c r="DO527" t="e">
        <f t="shared" si="47"/>
        <v>#N/A</v>
      </c>
    </row>
    <row r="528" spans="7:119" x14ac:dyDescent="0.25">
      <c r="G528"/>
      <c r="DI528" s="4">
        <f>INDEX(Sheet2!A:A,QUOTIENT(ROW()-1,19)+2)</f>
        <v>41165</v>
      </c>
      <c r="DJ528" s="4">
        <f>INDEX(Sheet2!C:C,QUOTIENT(ROW()-1,19)+2)</f>
        <v>41639</v>
      </c>
      <c r="DK528" s="4" t="e">
        <f>INDEX(Sheet2!$AA$2:$AS$228,QUOTIENT(ROW()-1,19)+1,MOD(ROW()-2,19)+1)</f>
        <v>#N/A</v>
      </c>
      <c r="DL528" t="str">
        <f>IFERROR(INDEX(Sheet2!$AU$2:$BM$228,QUOTIENT(ROW()-1,19)+1,MOD(ROW()-2,19)+1),NA())</f>
        <v/>
      </c>
      <c r="DM528" s="4" t="e">
        <f t="shared" si="45"/>
        <v>#N/A</v>
      </c>
      <c r="DN528" t="e">
        <f t="shared" si="46"/>
        <v>#N/A</v>
      </c>
      <c r="DO528" t="e">
        <f t="shared" si="47"/>
        <v>#N/A</v>
      </c>
    </row>
    <row r="529" spans="7:119" x14ac:dyDescent="0.25">
      <c r="G529"/>
      <c r="DI529" s="4">
        <f>INDEX(Sheet2!A:A,QUOTIENT(ROW()-1,19)+2)</f>
        <v>41165</v>
      </c>
      <c r="DJ529" s="4">
        <f>INDEX(Sheet2!C:C,QUOTIENT(ROW()-1,19)+2)</f>
        <v>41639</v>
      </c>
      <c r="DK529" s="4" t="e">
        <f>INDEX(Sheet2!$AA$2:$AS$228,QUOTIENT(ROW()-1,19)+1,MOD(ROW()-2,19)+1)</f>
        <v>#N/A</v>
      </c>
      <c r="DL529" t="str">
        <f>IFERROR(INDEX(Sheet2!$AU$2:$BM$228,QUOTIENT(ROW()-1,19)+1,MOD(ROW()-2,19)+1),NA())</f>
        <v/>
      </c>
      <c r="DM529" s="4" t="e">
        <f t="shared" si="45"/>
        <v>#N/A</v>
      </c>
      <c r="DN529" t="e">
        <f t="shared" si="46"/>
        <v>#N/A</v>
      </c>
      <c r="DO529" t="e">
        <f t="shared" si="47"/>
        <v>#N/A</v>
      </c>
    </row>
    <row r="530" spans="7:119" x14ac:dyDescent="0.25">
      <c r="G530"/>
      <c r="DI530" s="4">
        <f>INDEX(Sheet2!A:A,QUOTIENT(ROW()-1,19)+2)</f>
        <v>41165</v>
      </c>
      <c r="DJ530" s="4">
        <f>INDEX(Sheet2!C:C,QUOTIENT(ROW()-1,19)+2)</f>
        <v>41639</v>
      </c>
      <c r="DK530" s="4" t="e">
        <f>INDEX(Sheet2!$AA$2:$AS$228,QUOTIENT(ROW()-1,19)+1,MOD(ROW()-2,19)+1)</f>
        <v>#N/A</v>
      </c>
      <c r="DL530" t="str">
        <f>IFERROR(INDEX(Sheet2!$AU$2:$BM$228,QUOTIENT(ROW()-1,19)+1,MOD(ROW()-2,19)+1),NA())</f>
        <v/>
      </c>
      <c r="DM530" s="4" t="e">
        <f t="shared" si="45"/>
        <v>#N/A</v>
      </c>
      <c r="DN530" t="e">
        <f t="shared" si="46"/>
        <v>#N/A</v>
      </c>
      <c r="DO530" t="e">
        <f t="shared" si="47"/>
        <v>#N/A</v>
      </c>
    </row>
    <row r="531" spans="7:119" x14ac:dyDescent="0.25">
      <c r="G531"/>
      <c r="DI531" s="4">
        <f>INDEX(Sheet2!A:A,QUOTIENT(ROW()-1,19)+2)</f>
        <v>41165</v>
      </c>
      <c r="DJ531" s="4">
        <f>INDEX(Sheet2!C:C,QUOTIENT(ROW()-1,19)+2)</f>
        <v>41639</v>
      </c>
      <c r="DK531" s="4" t="e">
        <f>INDEX(Sheet2!$AA$2:$AS$228,QUOTIENT(ROW()-1,19)+1,MOD(ROW()-2,19)+1)</f>
        <v>#N/A</v>
      </c>
      <c r="DL531" t="str">
        <f>IFERROR(INDEX(Sheet2!$AU$2:$BM$228,QUOTIENT(ROW()-1,19)+1,MOD(ROW()-2,19)+1),NA())</f>
        <v/>
      </c>
      <c r="DM531" s="4" t="e">
        <f t="shared" si="45"/>
        <v>#N/A</v>
      </c>
      <c r="DN531" t="e">
        <f t="shared" si="46"/>
        <v>#N/A</v>
      </c>
      <c r="DO531" t="e">
        <f t="shared" si="47"/>
        <v>#N/A</v>
      </c>
    </row>
    <row r="532" spans="7:119" x14ac:dyDescent="0.25">
      <c r="G532"/>
      <c r="DI532" s="4">
        <f>INDEX(Sheet2!A:A,QUOTIENT(ROW()-1,19)+2)</f>
        <v>41165</v>
      </c>
      <c r="DJ532" s="4">
        <f>INDEX(Sheet2!C:C,QUOTIENT(ROW()-1,19)+2)</f>
        <v>41639</v>
      </c>
      <c r="DK532" s="4" t="e">
        <f>INDEX(Sheet2!$AA$2:$AS$228,QUOTIENT(ROW()-1,19)+1,MOD(ROW()-2,19)+1)</f>
        <v>#N/A</v>
      </c>
      <c r="DL532" t="str">
        <f>IFERROR(INDEX(Sheet2!$AU$2:$BM$228,QUOTIENT(ROW()-1,19)+1,MOD(ROW()-2,19)+1),NA())</f>
        <v/>
      </c>
      <c r="DM532" s="4" t="e">
        <f t="shared" si="45"/>
        <v>#N/A</v>
      </c>
      <c r="DN532" t="e">
        <f t="shared" si="46"/>
        <v>#N/A</v>
      </c>
      <c r="DO532" t="e">
        <f t="shared" si="47"/>
        <v>#N/A</v>
      </c>
    </row>
    <row r="533" spans="7:119" x14ac:dyDescent="0.25">
      <c r="G533"/>
      <c r="DI533" s="4">
        <f>INDEX(Sheet2!A:A,QUOTIENT(ROW()-1,19)+2)</f>
        <v>41165</v>
      </c>
      <c r="DJ533" s="4">
        <f>INDEX(Sheet2!C:C,QUOTIENT(ROW()-1,19)+2)</f>
        <v>41639</v>
      </c>
      <c r="DK533" s="4" t="e">
        <f>INDEX(Sheet2!$AA$2:$AS$228,QUOTIENT(ROW()-1,19)+1,MOD(ROW()-2,19)+1)</f>
        <v>#N/A</v>
      </c>
      <c r="DL533" t="str">
        <f>IFERROR(INDEX(Sheet2!$AU$2:$BM$228,QUOTIENT(ROW()-1,19)+1,MOD(ROW()-2,19)+1),NA())</f>
        <v/>
      </c>
      <c r="DM533" s="4" t="e">
        <f t="shared" si="45"/>
        <v>#N/A</v>
      </c>
      <c r="DN533" t="e">
        <f t="shared" si="46"/>
        <v>#N/A</v>
      </c>
      <c r="DO533" t="e">
        <f t="shared" si="47"/>
        <v>#N/A</v>
      </c>
    </row>
    <row r="534" spans="7:119" x14ac:dyDescent="0.25">
      <c r="G534"/>
      <c r="DI534" s="4">
        <f>INDEX(Sheet2!A:A,QUOTIENT(ROW()-1,19)+2)</f>
        <v>41165</v>
      </c>
      <c r="DJ534" s="4">
        <f>INDEX(Sheet2!C:C,QUOTIENT(ROW()-1,19)+2)</f>
        <v>41639</v>
      </c>
      <c r="DK534" s="4">
        <f>INDEX(Sheet2!$AA$2:$AS$228,QUOTIENT(ROW()-1,19)+1,MOD(ROW()-2,19)+1)</f>
        <v>41639</v>
      </c>
      <c r="DL534">
        <f>IFERROR(INDEX(Sheet2!$AU$2:$BM$228,QUOTIENT(ROW()-1,19)+1,MOD(ROW()-2,19)+1),NA())</f>
        <v>0.75</v>
      </c>
      <c r="DM534" s="4" t="e">
        <f t="shared" si="45"/>
        <v>#N/A</v>
      </c>
      <c r="DN534" t="e">
        <f t="shared" si="46"/>
        <v>#N/A</v>
      </c>
      <c r="DO534" t="e">
        <f t="shared" si="47"/>
        <v>#N/A</v>
      </c>
    </row>
    <row r="535" spans="7:119" x14ac:dyDescent="0.25">
      <c r="G535"/>
      <c r="DI535" s="4">
        <f>INDEX(Sheet2!A:A,QUOTIENT(ROW()-1,19)+2)</f>
        <v>41165</v>
      </c>
      <c r="DJ535" s="4">
        <f>INDEX(Sheet2!C:C,QUOTIENT(ROW()-1,19)+2)</f>
        <v>41639</v>
      </c>
      <c r="DK535" s="4" t="e">
        <f>INDEX(Sheet2!$AA$2:$AS$228,QUOTIENT(ROW()-1,19)+1,MOD(ROW()-2,19)+1)</f>
        <v>#N/A</v>
      </c>
      <c r="DL535" t="str">
        <f>IFERROR(INDEX(Sheet2!$AU$2:$BM$228,QUOTIENT(ROW()-1,19)+1,MOD(ROW()-2,19)+1),NA())</f>
        <v/>
      </c>
      <c r="DM535" s="4" t="e">
        <f t="shared" si="45"/>
        <v>#N/A</v>
      </c>
      <c r="DN535" t="e">
        <f t="shared" si="46"/>
        <v>#N/A</v>
      </c>
      <c r="DO535" t="e">
        <f t="shared" si="47"/>
        <v>#N/A</v>
      </c>
    </row>
    <row r="536" spans="7:119" x14ac:dyDescent="0.25">
      <c r="G536"/>
      <c r="DI536" s="4">
        <f>INDEX(Sheet2!A:A,QUOTIENT(ROW()-1,19)+2)</f>
        <v>41165</v>
      </c>
      <c r="DJ536" s="4">
        <f>INDEX(Sheet2!C:C,QUOTIENT(ROW()-1,19)+2)</f>
        <v>41639</v>
      </c>
      <c r="DK536" s="4" t="e">
        <f>INDEX(Sheet2!$AA$2:$AS$228,QUOTIENT(ROW()-1,19)+1,MOD(ROW()-2,19)+1)</f>
        <v>#N/A</v>
      </c>
      <c r="DL536" t="str">
        <f>IFERROR(INDEX(Sheet2!$AU$2:$BM$228,QUOTIENT(ROW()-1,19)+1,MOD(ROW()-2,19)+1),NA())</f>
        <v/>
      </c>
      <c r="DM536" s="4" t="e">
        <f t="shared" si="45"/>
        <v>#N/A</v>
      </c>
      <c r="DN536" t="e">
        <f t="shared" si="46"/>
        <v>#N/A</v>
      </c>
      <c r="DO536" t="e">
        <f t="shared" si="47"/>
        <v>#N/A</v>
      </c>
    </row>
    <row r="537" spans="7:119" x14ac:dyDescent="0.25">
      <c r="G537"/>
      <c r="DI537" s="4">
        <f>INDEX(Sheet2!A:A,QUOTIENT(ROW()-1,19)+2)</f>
        <v>41165</v>
      </c>
      <c r="DJ537" s="4">
        <f>INDEX(Sheet2!C:C,QUOTIENT(ROW()-1,19)+2)</f>
        <v>41639</v>
      </c>
      <c r="DK537" s="4" t="e">
        <f>INDEX(Sheet2!$AA$2:$AS$228,QUOTIENT(ROW()-1,19)+1,MOD(ROW()-2,19)+1)</f>
        <v>#N/A</v>
      </c>
      <c r="DL537" t="str">
        <f>IFERROR(INDEX(Sheet2!$AU$2:$BM$228,QUOTIENT(ROW()-1,19)+1,MOD(ROW()-2,19)+1),NA())</f>
        <v/>
      </c>
      <c r="DM537" s="4" t="e">
        <f t="shared" si="45"/>
        <v>#N/A</v>
      </c>
      <c r="DN537" t="e">
        <f t="shared" si="46"/>
        <v>#N/A</v>
      </c>
      <c r="DO537" t="e">
        <f t="shared" si="47"/>
        <v>#N/A</v>
      </c>
    </row>
    <row r="538" spans="7:119" x14ac:dyDescent="0.25">
      <c r="G538"/>
      <c r="DI538" s="4">
        <f>INDEX(Sheet2!A:A,QUOTIENT(ROW()-1,19)+2)</f>
        <v>41165</v>
      </c>
      <c r="DJ538" s="4">
        <f>INDEX(Sheet2!C:C,QUOTIENT(ROW()-1,19)+2)</f>
        <v>41639</v>
      </c>
      <c r="DK538" s="4" t="e">
        <f>INDEX(Sheet2!$AA$2:$AS$228,QUOTIENT(ROW()-1,19)+1,MOD(ROW()-2,19)+1)</f>
        <v>#N/A</v>
      </c>
      <c r="DL538" t="str">
        <f>IFERROR(INDEX(Sheet2!$AU$2:$BM$228,QUOTIENT(ROW()-1,19)+1,MOD(ROW()-2,19)+1),NA())</f>
        <v/>
      </c>
      <c r="DM538" s="4" t="e">
        <f t="shared" si="45"/>
        <v>#N/A</v>
      </c>
      <c r="DN538" t="e">
        <f t="shared" si="46"/>
        <v>#N/A</v>
      </c>
      <c r="DO538" t="e">
        <f t="shared" si="47"/>
        <v>#N/A</v>
      </c>
    </row>
    <row r="539" spans="7:119" x14ac:dyDescent="0.25">
      <c r="G539"/>
      <c r="DI539" s="4">
        <f>INDEX(Sheet2!A:A,QUOTIENT(ROW()-1,19)+2)</f>
        <v>41165</v>
      </c>
      <c r="DJ539" s="4">
        <f>INDEX(Sheet2!C:C,QUOTIENT(ROW()-1,19)+2)</f>
        <v>41639</v>
      </c>
      <c r="DK539" s="4" t="e">
        <f>INDEX(Sheet2!$AA$2:$AS$228,QUOTIENT(ROW()-1,19)+1,MOD(ROW()-2,19)+1)</f>
        <v>#N/A</v>
      </c>
      <c r="DL539" t="str">
        <f>IFERROR(INDEX(Sheet2!$AU$2:$BM$228,QUOTIENT(ROW()-1,19)+1,MOD(ROW()-2,19)+1),NA())</f>
        <v/>
      </c>
      <c r="DM539" s="4" t="e">
        <f t="shared" si="45"/>
        <v>#N/A</v>
      </c>
      <c r="DN539" t="e">
        <f t="shared" si="46"/>
        <v>#N/A</v>
      </c>
      <c r="DO539" t="e">
        <f t="shared" si="47"/>
        <v>#N/A</v>
      </c>
    </row>
    <row r="540" spans="7:119" x14ac:dyDescent="0.25">
      <c r="G540"/>
      <c r="DI540" s="4">
        <f>INDEX(Sheet2!A:A,QUOTIENT(ROW()-1,19)+2)</f>
        <v>41165</v>
      </c>
      <c r="DJ540" s="4">
        <f>INDEX(Sheet2!C:C,QUOTIENT(ROW()-1,19)+2)</f>
        <v>41639</v>
      </c>
      <c r="DK540" s="4" t="e">
        <f>INDEX(Sheet2!$AA$2:$AS$228,QUOTIENT(ROW()-1,19)+1,MOD(ROW()-2,19)+1)</f>
        <v>#N/A</v>
      </c>
      <c r="DL540" t="str">
        <f>IFERROR(INDEX(Sheet2!$AU$2:$BM$228,QUOTIENT(ROW()-1,19)+1,MOD(ROW()-2,19)+1),NA())</f>
        <v/>
      </c>
      <c r="DM540" s="4" t="e">
        <f t="shared" si="45"/>
        <v>#N/A</v>
      </c>
      <c r="DN540" t="e">
        <f t="shared" si="46"/>
        <v>#N/A</v>
      </c>
      <c r="DO540" t="e">
        <f t="shared" si="47"/>
        <v>#N/A</v>
      </c>
    </row>
    <row r="541" spans="7:119" x14ac:dyDescent="0.25">
      <c r="G541"/>
      <c r="DI541" s="4">
        <f>INDEX(Sheet2!A:A,QUOTIENT(ROW()-1,19)+2)</f>
        <v>41165</v>
      </c>
      <c r="DJ541" s="4">
        <f>INDEX(Sheet2!C:C,QUOTIENT(ROW()-1,19)+2)</f>
        <v>41639</v>
      </c>
      <c r="DK541" s="4" t="e">
        <f>INDEX(Sheet2!$AA$2:$AS$228,QUOTIENT(ROW()-1,19)+1,MOD(ROW()-2,19)+1)</f>
        <v>#N/A</v>
      </c>
      <c r="DL541" t="str">
        <f>IFERROR(INDEX(Sheet2!$AU$2:$BM$228,QUOTIENT(ROW()-1,19)+1,MOD(ROW()-2,19)+1),NA())</f>
        <v/>
      </c>
      <c r="DM541" s="4" t="e">
        <f t="shared" si="45"/>
        <v>#N/A</v>
      </c>
      <c r="DN541" t="e">
        <f t="shared" si="46"/>
        <v>#N/A</v>
      </c>
      <c r="DO541" t="e">
        <f t="shared" si="47"/>
        <v>#N/A</v>
      </c>
    </row>
    <row r="542" spans="7:119" x14ac:dyDescent="0.25">
      <c r="G542"/>
      <c r="DI542" s="4">
        <f>INDEX(Sheet2!A:A,QUOTIENT(ROW()-1,19)+2)</f>
        <v>41165</v>
      </c>
      <c r="DJ542" s="4">
        <f>INDEX(Sheet2!C:C,QUOTIENT(ROW()-1,19)+2)</f>
        <v>41639</v>
      </c>
      <c r="DK542" s="4" t="e">
        <f>INDEX(Sheet2!$AA$2:$AS$228,QUOTIENT(ROW()-1,19)+1,MOD(ROW()-2,19)+1)</f>
        <v>#N/A</v>
      </c>
      <c r="DL542" t="str">
        <f>IFERROR(INDEX(Sheet2!$AU$2:$BM$228,QUOTIENT(ROW()-1,19)+1,MOD(ROW()-2,19)+1),NA())</f>
        <v/>
      </c>
      <c r="DM542" s="4" t="e">
        <f t="shared" si="45"/>
        <v>#N/A</v>
      </c>
      <c r="DN542" t="e">
        <f t="shared" si="46"/>
        <v>#N/A</v>
      </c>
      <c r="DO542" t="e">
        <f t="shared" si="47"/>
        <v>#N/A</v>
      </c>
    </row>
    <row r="543" spans="7:119" x14ac:dyDescent="0.25">
      <c r="G543"/>
      <c r="DI543" s="4">
        <f>INDEX(Sheet2!A:A,QUOTIENT(ROW()-1,19)+2)</f>
        <v>41165</v>
      </c>
      <c r="DJ543" s="4">
        <f>INDEX(Sheet2!C:C,QUOTIENT(ROW()-1,19)+2)</f>
        <v>41639</v>
      </c>
      <c r="DK543" s="4" t="e">
        <f>INDEX(Sheet2!$AA$2:$AS$228,QUOTIENT(ROW()-1,19)+1,MOD(ROW()-2,19)+1)</f>
        <v>#N/A</v>
      </c>
      <c r="DL543" t="str">
        <f>IFERROR(INDEX(Sheet2!$AU$2:$BM$228,QUOTIENT(ROW()-1,19)+1,MOD(ROW()-2,19)+1),NA())</f>
        <v/>
      </c>
      <c r="DM543" s="4" t="e">
        <f t="shared" si="45"/>
        <v>#N/A</v>
      </c>
      <c r="DN543" t="e">
        <f t="shared" si="46"/>
        <v>#N/A</v>
      </c>
      <c r="DO543" t="e">
        <f t="shared" si="47"/>
        <v>#N/A</v>
      </c>
    </row>
    <row r="544" spans="7:119" x14ac:dyDescent="0.25">
      <c r="G544"/>
      <c r="DI544" s="4">
        <f>INDEX(Sheet2!A:A,QUOTIENT(ROW()-1,19)+2)</f>
        <v>41165</v>
      </c>
      <c r="DJ544" s="4">
        <f>INDEX(Sheet2!C:C,QUOTIENT(ROW()-1,19)+2)</f>
        <v>41639</v>
      </c>
      <c r="DK544" s="4" t="e">
        <f>INDEX(Sheet2!$AA$2:$AS$228,QUOTIENT(ROW()-1,19)+1,MOD(ROW()-2,19)+1)</f>
        <v>#N/A</v>
      </c>
      <c r="DL544" t="str">
        <f>IFERROR(INDEX(Sheet2!$AU$2:$BM$228,QUOTIENT(ROW()-1,19)+1,MOD(ROW()-2,19)+1),NA())</f>
        <v/>
      </c>
      <c r="DM544" s="4" t="e">
        <f t="shared" si="45"/>
        <v>#N/A</v>
      </c>
      <c r="DN544" t="e">
        <f t="shared" si="46"/>
        <v>#N/A</v>
      </c>
      <c r="DO544" t="e">
        <f t="shared" si="47"/>
        <v>#N/A</v>
      </c>
    </row>
    <row r="545" spans="7:119" x14ac:dyDescent="0.25">
      <c r="G545"/>
      <c r="DI545" s="4">
        <f>INDEX(Sheet2!A:A,QUOTIENT(ROW()-1,19)+2)</f>
        <v>41165</v>
      </c>
      <c r="DJ545" s="4">
        <f>INDEX(Sheet2!C:C,QUOTIENT(ROW()-1,19)+2)</f>
        <v>41639</v>
      </c>
      <c r="DK545" s="4" t="e">
        <f>INDEX(Sheet2!$AA$2:$AS$228,QUOTIENT(ROW()-1,19)+1,MOD(ROW()-2,19)+1)</f>
        <v>#N/A</v>
      </c>
      <c r="DL545" t="str">
        <f>IFERROR(INDEX(Sheet2!$AU$2:$BM$228,QUOTIENT(ROW()-1,19)+1,MOD(ROW()-2,19)+1),NA())</f>
        <v/>
      </c>
      <c r="DM545" s="4" t="e">
        <f t="shared" si="45"/>
        <v>#N/A</v>
      </c>
      <c r="DN545" t="e">
        <f t="shared" si="46"/>
        <v>#N/A</v>
      </c>
      <c r="DO545" t="e">
        <f t="shared" si="47"/>
        <v>#N/A</v>
      </c>
    </row>
    <row r="546" spans="7:119" x14ac:dyDescent="0.25">
      <c r="G546"/>
      <c r="DI546" s="4">
        <f>INDEX(Sheet2!A:A,QUOTIENT(ROW()-1,19)+2)</f>
        <v>41165</v>
      </c>
      <c r="DJ546" s="4">
        <f>INDEX(Sheet2!C:C,QUOTIENT(ROW()-1,19)+2)</f>
        <v>41639</v>
      </c>
      <c r="DK546" s="4" t="e">
        <f>INDEX(Sheet2!$AA$2:$AS$228,QUOTIENT(ROW()-1,19)+1,MOD(ROW()-2,19)+1)</f>
        <v>#N/A</v>
      </c>
      <c r="DL546" t="str">
        <f>IFERROR(INDEX(Sheet2!$AU$2:$BM$228,QUOTIENT(ROW()-1,19)+1,MOD(ROW()-2,19)+1),NA())</f>
        <v/>
      </c>
      <c r="DM546" s="4" t="e">
        <f t="shared" si="45"/>
        <v>#N/A</v>
      </c>
      <c r="DN546" t="e">
        <f t="shared" si="46"/>
        <v>#N/A</v>
      </c>
      <c r="DO546" t="e">
        <f t="shared" si="47"/>
        <v>#N/A</v>
      </c>
    </row>
    <row r="547" spans="7:119" x14ac:dyDescent="0.25">
      <c r="G547"/>
      <c r="DI547" s="4">
        <f>INDEX(Sheet2!A:A,QUOTIENT(ROW()-1,19)+2)</f>
        <v>41165</v>
      </c>
      <c r="DJ547" s="4">
        <f>INDEX(Sheet2!C:C,QUOTIENT(ROW()-1,19)+2)</f>
        <v>41639</v>
      </c>
      <c r="DK547" s="4" t="e">
        <f>INDEX(Sheet2!$AA$2:$AS$228,QUOTIENT(ROW()-1,19)+1,MOD(ROW()-2,19)+1)</f>
        <v>#N/A</v>
      </c>
      <c r="DL547" t="str">
        <f>IFERROR(INDEX(Sheet2!$AU$2:$BM$228,QUOTIENT(ROW()-1,19)+1,MOD(ROW()-2,19)+1),NA())</f>
        <v/>
      </c>
      <c r="DM547" s="4" t="e">
        <f t="shared" si="45"/>
        <v>#N/A</v>
      </c>
      <c r="DN547" t="e">
        <f t="shared" si="46"/>
        <v>#N/A</v>
      </c>
      <c r="DO547" t="e">
        <f t="shared" si="47"/>
        <v>#N/A</v>
      </c>
    </row>
    <row r="548" spans="7:119" x14ac:dyDescent="0.25">
      <c r="G548"/>
      <c r="DI548" s="4">
        <f>INDEX(Sheet2!A:A,QUOTIENT(ROW()-1,19)+2)</f>
        <v>41165</v>
      </c>
      <c r="DJ548" s="4">
        <f>INDEX(Sheet2!C:C,QUOTIENT(ROW()-1,19)+2)</f>
        <v>41639</v>
      </c>
      <c r="DK548" s="4" t="e">
        <f>INDEX(Sheet2!$AA$2:$AS$228,QUOTIENT(ROW()-1,19)+1,MOD(ROW()-2,19)+1)</f>
        <v>#N/A</v>
      </c>
      <c r="DL548" t="str">
        <f>IFERROR(INDEX(Sheet2!$AU$2:$BM$228,QUOTIENT(ROW()-1,19)+1,MOD(ROW()-2,19)+1),NA())</f>
        <v/>
      </c>
      <c r="DM548" s="4" t="e">
        <f t="shared" si="45"/>
        <v>#N/A</v>
      </c>
      <c r="DN548" t="e">
        <f t="shared" si="46"/>
        <v>#N/A</v>
      </c>
      <c r="DO548" t="e">
        <f t="shared" si="47"/>
        <v>#N/A</v>
      </c>
    </row>
    <row r="549" spans="7:119" x14ac:dyDescent="0.25">
      <c r="G549"/>
      <c r="DI549" s="4">
        <f>INDEX(Sheet2!A:A,QUOTIENT(ROW()-1,19)+2)</f>
        <v>41165</v>
      </c>
      <c r="DJ549" s="4">
        <f>INDEX(Sheet2!C:C,QUOTIENT(ROW()-1,19)+2)</f>
        <v>41639</v>
      </c>
      <c r="DK549" s="4" t="e">
        <f>INDEX(Sheet2!$AA$2:$AS$228,QUOTIENT(ROW()-1,19)+1,MOD(ROW()-2,19)+1)</f>
        <v>#N/A</v>
      </c>
      <c r="DL549" t="str">
        <f>IFERROR(INDEX(Sheet2!$AU$2:$BM$228,QUOTIENT(ROW()-1,19)+1,MOD(ROW()-2,19)+1),NA())</f>
        <v/>
      </c>
      <c r="DM549" s="4" t="e">
        <f t="shared" si="45"/>
        <v>#N/A</v>
      </c>
      <c r="DN549" t="e">
        <f t="shared" si="46"/>
        <v>#N/A</v>
      </c>
      <c r="DO549" t="e">
        <f t="shared" si="47"/>
        <v>#N/A</v>
      </c>
    </row>
    <row r="550" spans="7:119" x14ac:dyDescent="0.25">
      <c r="G550"/>
      <c r="DI550" s="4">
        <f>INDEX(Sheet2!A:A,QUOTIENT(ROW()-1,19)+2)</f>
        <v>41165</v>
      </c>
      <c r="DJ550" s="4">
        <f>INDEX(Sheet2!C:C,QUOTIENT(ROW()-1,19)+2)</f>
        <v>41639</v>
      </c>
      <c r="DK550" s="4" t="e">
        <f>INDEX(Sheet2!$AA$2:$AS$228,QUOTIENT(ROW()-1,19)+1,MOD(ROW()-2,19)+1)</f>
        <v>#N/A</v>
      </c>
      <c r="DL550" t="str">
        <f>IFERROR(INDEX(Sheet2!$AU$2:$BM$228,QUOTIENT(ROW()-1,19)+1,MOD(ROW()-2,19)+1),NA())</f>
        <v/>
      </c>
      <c r="DM550" s="4" t="e">
        <f t="shared" si="45"/>
        <v>#N/A</v>
      </c>
      <c r="DN550" t="e">
        <f t="shared" si="46"/>
        <v>#N/A</v>
      </c>
      <c r="DO550" t="e">
        <f t="shared" si="47"/>
        <v>#N/A</v>
      </c>
    </row>
    <row r="551" spans="7:119" x14ac:dyDescent="0.25">
      <c r="G551"/>
      <c r="DI551" s="4">
        <f>INDEX(Sheet2!A:A,QUOTIENT(ROW()-1,19)+2)</f>
        <v>41165</v>
      </c>
      <c r="DJ551" s="4">
        <f>INDEX(Sheet2!C:C,QUOTIENT(ROW()-1,19)+2)</f>
        <v>41639</v>
      </c>
      <c r="DK551" s="4" t="e">
        <f>INDEX(Sheet2!$AA$2:$AS$228,QUOTIENT(ROW()-1,19)+1,MOD(ROW()-2,19)+1)</f>
        <v>#N/A</v>
      </c>
      <c r="DL551" t="str">
        <f>IFERROR(INDEX(Sheet2!$AU$2:$BM$228,QUOTIENT(ROW()-1,19)+1,MOD(ROW()-2,19)+1),NA())</f>
        <v/>
      </c>
      <c r="DM551" s="4" t="e">
        <f t="shared" si="45"/>
        <v>#N/A</v>
      </c>
      <c r="DN551" t="e">
        <f t="shared" si="46"/>
        <v>#N/A</v>
      </c>
      <c r="DO551" t="e">
        <f t="shared" si="47"/>
        <v>#N/A</v>
      </c>
    </row>
    <row r="552" spans="7:119" x14ac:dyDescent="0.25">
      <c r="G552"/>
      <c r="DI552" s="4">
        <f>INDEX(Sheet2!A:A,QUOTIENT(ROW()-1,19)+2)</f>
        <v>41165</v>
      </c>
      <c r="DJ552" s="4">
        <f>INDEX(Sheet2!C:C,QUOTIENT(ROW()-1,19)+2)</f>
        <v>41639</v>
      </c>
      <c r="DK552" s="4" t="e">
        <f>INDEX(Sheet2!$AA$2:$AS$228,QUOTIENT(ROW()-1,19)+1,MOD(ROW()-2,19)+1)</f>
        <v>#N/A</v>
      </c>
      <c r="DL552" t="str">
        <f>IFERROR(INDEX(Sheet2!$AU$2:$BM$228,QUOTIENT(ROW()-1,19)+1,MOD(ROW()-2,19)+1),NA())</f>
        <v/>
      </c>
      <c r="DM552" s="4" t="e">
        <f t="shared" si="45"/>
        <v>#N/A</v>
      </c>
      <c r="DN552" t="e">
        <f t="shared" si="46"/>
        <v>#N/A</v>
      </c>
      <c r="DO552" t="e">
        <f t="shared" si="47"/>
        <v>#N/A</v>
      </c>
    </row>
    <row r="553" spans="7:119" x14ac:dyDescent="0.25">
      <c r="G553"/>
      <c r="DI553" s="4">
        <f>INDEX(Sheet2!A:A,QUOTIENT(ROW()-1,19)+2)</f>
        <v>41165</v>
      </c>
      <c r="DJ553" s="4">
        <f>INDEX(Sheet2!C:C,QUOTIENT(ROW()-1,19)+2)</f>
        <v>41639</v>
      </c>
      <c r="DK553" s="4">
        <f>INDEX(Sheet2!$AA$2:$AS$228,QUOTIENT(ROW()-1,19)+1,MOD(ROW()-2,19)+1)</f>
        <v>41639</v>
      </c>
      <c r="DL553">
        <f>IFERROR(INDEX(Sheet2!$AU$2:$BM$228,QUOTIENT(ROW()-1,19)+1,MOD(ROW()-2,19)+1),NA())</f>
        <v>1.75</v>
      </c>
      <c r="DM553" s="4" t="e">
        <f t="shared" si="45"/>
        <v>#N/A</v>
      </c>
      <c r="DN553" t="e">
        <f t="shared" si="46"/>
        <v>#N/A</v>
      </c>
      <c r="DO553" t="e">
        <f t="shared" si="47"/>
        <v>#N/A</v>
      </c>
    </row>
    <row r="554" spans="7:119" x14ac:dyDescent="0.25">
      <c r="G554"/>
      <c r="DI554" s="4">
        <f>INDEX(Sheet2!A:A,QUOTIENT(ROW()-1,19)+2)</f>
        <v>41165</v>
      </c>
      <c r="DJ554" s="4">
        <f>INDEX(Sheet2!C:C,QUOTIENT(ROW()-1,19)+2)</f>
        <v>41639</v>
      </c>
      <c r="DK554" s="4" t="e">
        <f>INDEX(Sheet2!$AA$2:$AS$228,QUOTIENT(ROW()-1,19)+1,MOD(ROW()-2,19)+1)</f>
        <v>#N/A</v>
      </c>
      <c r="DL554" t="str">
        <f>IFERROR(INDEX(Sheet2!$AU$2:$BM$228,QUOTIENT(ROW()-1,19)+1,MOD(ROW()-2,19)+1),NA())</f>
        <v/>
      </c>
      <c r="DM554" s="4" t="e">
        <f t="shared" si="45"/>
        <v>#N/A</v>
      </c>
      <c r="DN554" t="e">
        <f t="shared" si="46"/>
        <v>#N/A</v>
      </c>
      <c r="DO554" t="e">
        <f t="shared" si="47"/>
        <v>#N/A</v>
      </c>
    </row>
    <row r="555" spans="7:119" x14ac:dyDescent="0.25">
      <c r="G555"/>
      <c r="DI555" s="4">
        <f>INDEX(Sheet2!A:A,QUOTIENT(ROW()-1,19)+2)</f>
        <v>41165</v>
      </c>
      <c r="DJ555" s="4">
        <f>INDEX(Sheet2!C:C,QUOTIENT(ROW()-1,19)+2)</f>
        <v>41639</v>
      </c>
      <c r="DK555" s="4" t="e">
        <f>INDEX(Sheet2!$AA$2:$AS$228,QUOTIENT(ROW()-1,19)+1,MOD(ROW()-2,19)+1)</f>
        <v>#N/A</v>
      </c>
      <c r="DL555" t="str">
        <f>IFERROR(INDEX(Sheet2!$AU$2:$BM$228,QUOTIENT(ROW()-1,19)+1,MOD(ROW()-2,19)+1),NA())</f>
        <v/>
      </c>
      <c r="DM555" s="4" t="e">
        <f t="shared" si="45"/>
        <v>#N/A</v>
      </c>
      <c r="DN555" t="e">
        <f t="shared" si="46"/>
        <v>#N/A</v>
      </c>
      <c r="DO555" t="e">
        <f t="shared" si="47"/>
        <v>#N/A</v>
      </c>
    </row>
    <row r="556" spans="7:119" x14ac:dyDescent="0.25">
      <c r="G556"/>
      <c r="DI556" s="4">
        <f>INDEX(Sheet2!A:A,QUOTIENT(ROW()-1,19)+2)</f>
        <v>41165</v>
      </c>
      <c r="DJ556" s="4">
        <f>INDEX(Sheet2!C:C,QUOTIENT(ROW()-1,19)+2)</f>
        <v>41639</v>
      </c>
      <c r="DK556" s="4" t="e">
        <f>INDEX(Sheet2!$AA$2:$AS$228,QUOTIENT(ROW()-1,19)+1,MOD(ROW()-2,19)+1)</f>
        <v>#N/A</v>
      </c>
      <c r="DL556" t="str">
        <f>IFERROR(INDEX(Sheet2!$AU$2:$BM$228,QUOTIENT(ROW()-1,19)+1,MOD(ROW()-2,19)+1),NA())</f>
        <v/>
      </c>
      <c r="DM556" s="4" t="e">
        <f t="shared" si="45"/>
        <v>#N/A</v>
      </c>
      <c r="DN556" t="e">
        <f t="shared" si="46"/>
        <v>#N/A</v>
      </c>
      <c r="DO556" t="e">
        <f t="shared" si="47"/>
        <v>#N/A</v>
      </c>
    </row>
    <row r="557" spans="7:119" x14ac:dyDescent="0.25">
      <c r="G557"/>
      <c r="DI557" s="4">
        <f>INDEX(Sheet2!A:A,QUOTIENT(ROW()-1,19)+2)</f>
        <v>41165</v>
      </c>
      <c r="DJ557" s="4">
        <f>INDEX(Sheet2!C:C,QUOTIENT(ROW()-1,19)+2)</f>
        <v>41639</v>
      </c>
      <c r="DK557" s="4" t="e">
        <f>INDEX(Sheet2!$AA$2:$AS$228,QUOTIENT(ROW()-1,19)+1,MOD(ROW()-2,19)+1)</f>
        <v>#N/A</v>
      </c>
      <c r="DL557" t="str">
        <f>IFERROR(INDEX(Sheet2!$AU$2:$BM$228,QUOTIENT(ROW()-1,19)+1,MOD(ROW()-2,19)+1),NA())</f>
        <v/>
      </c>
      <c r="DM557" s="4" t="e">
        <f t="shared" si="45"/>
        <v>#N/A</v>
      </c>
      <c r="DN557" t="e">
        <f t="shared" si="46"/>
        <v>#N/A</v>
      </c>
      <c r="DO557" t="e">
        <f t="shared" si="47"/>
        <v>#N/A</v>
      </c>
    </row>
    <row r="558" spans="7:119" x14ac:dyDescent="0.25">
      <c r="G558"/>
      <c r="DI558" s="4">
        <f>INDEX(Sheet2!A:A,QUOTIENT(ROW()-1,19)+2)</f>
        <v>41165</v>
      </c>
      <c r="DJ558" s="4">
        <f>INDEX(Sheet2!C:C,QUOTIENT(ROW()-1,19)+2)</f>
        <v>41639</v>
      </c>
      <c r="DK558" s="4" t="e">
        <f>INDEX(Sheet2!$AA$2:$AS$228,QUOTIENT(ROW()-1,19)+1,MOD(ROW()-2,19)+1)</f>
        <v>#N/A</v>
      </c>
      <c r="DL558" t="str">
        <f>IFERROR(INDEX(Sheet2!$AU$2:$BM$228,QUOTIENT(ROW()-1,19)+1,MOD(ROW()-2,19)+1),NA())</f>
        <v/>
      </c>
      <c r="DM558" s="4" t="e">
        <f t="shared" si="45"/>
        <v>#N/A</v>
      </c>
      <c r="DN558" t="e">
        <f t="shared" si="46"/>
        <v>#N/A</v>
      </c>
      <c r="DO558" t="e">
        <f t="shared" si="47"/>
        <v>#N/A</v>
      </c>
    </row>
    <row r="559" spans="7:119" x14ac:dyDescent="0.25">
      <c r="G559"/>
      <c r="DI559" s="4">
        <f>INDEX(Sheet2!A:A,QUOTIENT(ROW()-1,19)+2)</f>
        <v>41165</v>
      </c>
      <c r="DJ559" s="4">
        <f>INDEX(Sheet2!C:C,QUOTIENT(ROW()-1,19)+2)</f>
        <v>41639</v>
      </c>
      <c r="DK559" s="4" t="e">
        <f>INDEX(Sheet2!$AA$2:$AS$228,QUOTIENT(ROW()-1,19)+1,MOD(ROW()-2,19)+1)</f>
        <v>#N/A</v>
      </c>
      <c r="DL559" t="str">
        <f>IFERROR(INDEX(Sheet2!$AU$2:$BM$228,QUOTIENT(ROW()-1,19)+1,MOD(ROW()-2,19)+1),NA())</f>
        <v/>
      </c>
      <c r="DM559" s="4" t="e">
        <f t="shared" si="45"/>
        <v>#N/A</v>
      </c>
      <c r="DN559" t="e">
        <f t="shared" si="46"/>
        <v>#N/A</v>
      </c>
      <c r="DO559" t="e">
        <f t="shared" si="47"/>
        <v>#N/A</v>
      </c>
    </row>
    <row r="560" spans="7:119" x14ac:dyDescent="0.25">
      <c r="G560"/>
      <c r="DI560" s="4">
        <f>INDEX(Sheet2!A:A,QUOTIENT(ROW()-1,19)+2)</f>
        <v>41165</v>
      </c>
      <c r="DJ560" s="4">
        <f>INDEX(Sheet2!C:C,QUOTIENT(ROW()-1,19)+2)</f>
        <v>41639</v>
      </c>
      <c r="DK560" s="4" t="e">
        <f>INDEX(Sheet2!$AA$2:$AS$228,QUOTIENT(ROW()-1,19)+1,MOD(ROW()-2,19)+1)</f>
        <v>#N/A</v>
      </c>
      <c r="DL560" t="str">
        <f>IFERROR(INDEX(Sheet2!$AU$2:$BM$228,QUOTIENT(ROW()-1,19)+1,MOD(ROW()-2,19)+1),NA())</f>
        <v/>
      </c>
      <c r="DM560" s="4" t="e">
        <f t="shared" si="45"/>
        <v>#N/A</v>
      </c>
      <c r="DN560" t="e">
        <f t="shared" si="46"/>
        <v>#N/A</v>
      </c>
      <c r="DO560" t="e">
        <f t="shared" si="47"/>
        <v>#N/A</v>
      </c>
    </row>
    <row r="561" spans="7:119" x14ac:dyDescent="0.25">
      <c r="G561"/>
      <c r="DI561" s="4">
        <f>INDEX(Sheet2!A:A,QUOTIENT(ROW()-1,19)+2)</f>
        <v>41165</v>
      </c>
      <c r="DJ561" s="4">
        <f>INDEX(Sheet2!C:C,QUOTIENT(ROW()-1,19)+2)</f>
        <v>41639</v>
      </c>
      <c r="DK561" s="4" t="e">
        <f>INDEX(Sheet2!$AA$2:$AS$228,QUOTIENT(ROW()-1,19)+1,MOD(ROW()-2,19)+1)</f>
        <v>#N/A</v>
      </c>
      <c r="DL561" t="str">
        <f>IFERROR(INDEX(Sheet2!$AU$2:$BM$228,QUOTIENT(ROW()-1,19)+1,MOD(ROW()-2,19)+1),NA())</f>
        <v/>
      </c>
      <c r="DM561" s="4" t="e">
        <f t="shared" si="45"/>
        <v>#N/A</v>
      </c>
      <c r="DN561" t="e">
        <f t="shared" si="46"/>
        <v>#N/A</v>
      </c>
      <c r="DO561" t="e">
        <f t="shared" si="47"/>
        <v>#N/A</v>
      </c>
    </row>
    <row r="562" spans="7:119" x14ac:dyDescent="0.25">
      <c r="G562"/>
      <c r="DI562" s="4">
        <f>INDEX(Sheet2!A:A,QUOTIENT(ROW()-1,19)+2)</f>
        <v>41165</v>
      </c>
      <c r="DJ562" s="4">
        <f>INDEX(Sheet2!C:C,QUOTIENT(ROW()-1,19)+2)</f>
        <v>41639</v>
      </c>
      <c r="DK562" s="4" t="e">
        <f>INDEX(Sheet2!$AA$2:$AS$228,QUOTIENT(ROW()-1,19)+1,MOD(ROW()-2,19)+1)</f>
        <v>#N/A</v>
      </c>
      <c r="DL562" t="str">
        <f>IFERROR(INDEX(Sheet2!$AU$2:$BM$228,QUOTIENT(ROW()-1,19)+1,MOD(ROW()-2,19)+1),NA())</f>
        <v/>
      </c>
      <c r="DM562" s="4" t="e">
        <f t="shared" si="45"/>
        <v>#N/A</v>
      </c>
      <c r="DN562" t="e">
        <f t="shared" si="46"/>
        <v>#N/A</v>
      </c>
      <c r="DO562" t="e">
        <f t="shared" si="47"/>
        <v>#N/A</v>
      </c>
    </row>
    <row r="563" spans="7:119" x14ac:dyDescent="0.25">
      <c r="G563"/>
      <c r="DI563" s="4">
        <f>INDEX(Sheet2!A:A,QUOTIENT(ROW()-1,19)+2)</f>
        <v>41165</v>
      </c>
      <c r="DJ563" s="4">
        <f>INDEX(Sheet2!C:C,QUOTIENT(ROW()-1,19)+2)</f>
        <v>41639</v>
      </c>
      <c r="DK563" s="4" t="e">
        <f>INDEX(Sheet2!$AA$2:$AS$228,QUOTIENT(ROW()-1,19)+1,MOD(ROW()-2,19)+1)</f>
        <v>#N/A</v>
      </c>
      <c r="DL563" t="str">
        <f>IFERROR(INDEX(Sheet2!$AU$2:$BM$228,QUOTIENT(ROW()-1,19)+1,MOD(ROW()-2,19)+1),NA())</f>
        <v/>
      </c>
      <c r="DM563" s="4" t="e">
        <f t="shared" si="45"/>
        <v>#N/A</v>
      </c>
      <c r="DN563" t="e">
        <f t="shared" si="46"/>
        <v>#N/A</v>
      </c>
      <c r="DO563" t="e">
        <f t="shared" si="47"/>
        <v>#N/A</v>
      </c>
    </row>
    <row r="564" spans="7:119" x14ac:dyDescent="0.25">
      <c r="G564"/>
      <c r="DI564" s="4">
        <f>INDEX(Sheet2!A:A,QUOTIENT(ROW()-1,19)+2)</f>
        <v>41165</v>
      </c>
      <c r="DJ564" s="4">
        <f>INDEX(Sheet2!C:C,QUOTIENT(ROW()-1,19)+2)</f>
        <v>41639</v>
      </c>
      <c r="DK564" s="4" t="e">
        <f>INDEX(Sheet2!$AA$2:$AS$228,QUOTIENT(ROW()-1,19)+1,MOD(ROW()-2,19)+1)</f>
        <v>#N/A</v>
      </c>
      <c r="DL564" t="str">
        <f>IFERROR(INDEX(Sheet2!$AU$2:$BM$228,QUOTIENT(ROW()-1,19)+1,MOD(ROW()-2,19)+1),NA())</f>
        <v/>
      </c>
      <c r="DM564" s="4" t="e">
        <f t="shared" si="45"/>
        <v>#N/A</v>
      </c>
      <c r="DN564" t="e">
        <f t="shared" si="46"/>
        <v>#N/A</v>
      </c>
      <c r="DO564" t="e">
        <f t="shared" si="47"/>
        <v>#N/A</v>
      </c>
    </row>
    <row r="565" spans="7:119" x14ac:dyDescent="0.25">
      <c r="G565"/>
      <c r="DI565" s="4">
        <f>INDEX(Sheet2!A:A,QUOTIENT(ROW()-1,19)+2)</f>
        <v>41165</v>
      </c>
      <c r="DJ565" s="4">
        <f>INDEX(Sheet2!C:C,QUOTIENT(ROW()-1,19)+2)</f>
        <v>41639</v>
      </c>
      <c r="DK565" s="4" t="e">
        <f>INDEX(Sheet2!$AA$2:$AS$228,QUOTIENT(ROW()-1,19)+1,MOD(ROW()-2,19)+1)</f>
        <v>#N/A</v>
      </c>
      <c r="DL565" t="str">
        <f>IFERROR(INDEX(Sheet2!$AU$2:$BM$228,QUOTIENT(ROW()-1,19)+1,MOD(ROW()-2,19)+1),NA())</f>
        <v/>
      </c>
      <c r="DM565" s="4" t="e">
        <f t="shared" si="45"/>
        <v>#N/A</v>
      </c>
      <c r="DN565" t="e">
        <f t="shared" si="46"/>
        <v>#N/A</v>
      </c>
      <c r="DO565" t="e">
        <f t="shared" si="47"/>
        <v>#N/A</v>
      </c>
    </row>
    <row r="566" spans="7:119" x14ac:dyDescent="0.25">
      <c r="G566"/>
      <c r="DI566" s="4">
        <f>INDEX(Sheet2!A:A,QUOTIENT(ROW()-1,19)+2)</f>
        <v>41165</v>
      </c>
      <c r="DJ566" s="4">
        <f>INDEX(Sheet2!C:C,QUOTIENT(ROW()-1,19)+2)</f>
        <v>41639</v>
      </c>
      <c r="DK566" s="4" t="e">
        <f>INDEX(Sheet2!$AA$2:$AS$228,QUOTIENT(ROW()-1,19)+1,MOD(ROW()-2,19)+1)</f>
        <v>#N/A</v>
      </c>
      <c r="DL566" t="str">
        <f>IFERROR(INDEX(Sheet2!$AU$2:$BM$228,QUOTIENT(ROW()-1,19)+1,MOD(ROW()-2,19)+1),NA())</f>
        <v/>
      </c>
      <c r="DM566" s="4" t="e">
        <f t="shared" si="45"/>
        <v>#N/A</v>
      </c>
      <c r="DN566" t="e">
        <f t="shared" si="46"/>
        <v>#N/A</v>
      </c>
      <c r="DO566" t="e">
        <f t="shared" si="47"/>
        <v>#N/A</v>
      </c>
    </row>
    <row r="567" spans="7:119" x14ac:dyDescent="0.25">
      <c r="G567"/>
      <c r="DI567" s="4">
        <f>INDEX(Sheet2!A:A,QUOTIENT(ROW()-1,19)+2)</f>
        <v>41165</v>
      </c>
      <c r="DJ567" s="4">
        <f>INDEX(Sheet2!C:C,QUOTIENT(ROW()-1,19)+2)</f>
        <v>41639</v>
      </c>
      <c r="DK567" s="4" t="e">
        <f>INDEX(Sheet2!$AA$2:$AS$228,QUOTIENT(ROW()-1,19)+1,MOD(ROW()-2,19)+1)</f>
        <v>#N/A</v>
      </c>
      <c r="DL567" t="str">
        <f>IFERROR(INDEX(Sheet2!$AU$2:$BM$228,QUOTIENT(ROW()-1,19)+1,MOD(ROW()-2,19)+1),NA())</f>
        <v/>
      </c>
      <c r="DM567" s="4" t="e">
        <f t="shared" si="45"/>
        <v>#N/A</v>
      </c>
      <c r="DN567" t="e">
        <f t="shared" si="46"/>
        <v>#N/A</v>
      </c>
      <c r="DO567" t="e">
        <f t="shared" si="47"/>
        <v>#N/A</v>
      </c>
    </row>
    <row r="568" spans="7:119" x14ac:dyDescent="0.25">
      <c r="G568"/>
      <c r="DI568" s="4">
        <f>INDEX(Sheet2!A:A,QUOTIENT(ROW()-1,19)+2)</f>
        <v>41165</v>
      </c>
      <c r="DJ568" s="4">
        <f>INDEX(Sheet2!C:C,QUOTIENT(ROW()-1,19)+2)</f>
        <v>41639</v>
      </c>
      <c r="DK568" s="4" t="e">
        <f>INDEX(Sheet2!$AA$2:$AS$228,QUOTIENT(ROW()-1,19)+1,MOD(ROW()-2,19)+1)</f>
        <v>#N/A</v>
      </c>
      <c r="DL568" t="str">
        <f>IFERROR(INDEX(Sheet2!$AU$2:$BM$228,QUOTIENT(ROW()-1,19)+1,MOD(ROW()-2,19)+1),NA())</f>
        <v/>
      </c>
      <c r="DM568" s="4" t="e">
        <f t="shared" si="45"/>
        <v>#N/A</v>
      </c>
      <c r="DN568" t="e">
        <f t="shared" si="46"/>
        <v>#N/A</v>
      </c>
      <c r="DO568" t="e">
        <f t="shared" si="47"/>
        <v>#N/A</v>
      </c>
    </row>
    <row r="569" spans="7:119" x14ac:dyDescent="0.25">
      <c r="G569"/>
      <c r="DI569" s="4">
        <f>INDEX(Sheet2!A:A,QUOTIENT(ROW()-1,19)+2)</f>
        <v>41165</v>
      </c>
      <c r="DJ569" s="4">
        <f>INDEX(Sheet2!C:C,QUOTIENT(ROW()-1,19)+2)</f>
        <v>41639</v>
      </c>
      <c r="DK569" s="4" t="e">
        <f>INDEX(Sheet2!$AA$2:$AS$228,QUOTIENT(ROW()-1,19)+1,MOD(ROW()-2,19)+1)</f>
        <v>#N/A</v>
      </c>
      <c r="DL569" t="str">
        <f>IFERROR(INDEX(Sheet2!$AU$2:$BM$228,QUOTIENT(ROW()-1,19)+1,MOD(ROW()-2,19)+1),NA())</f>
        <v/>
      </c>
      <c r="DM569" s="4" t="e">
        <f t="shared" si="45"/>
        <v>#N/A</v>
      </c>
      <c r="DN569" t="e">
        <f t="shared" si="46"/>
        <v>#N/A</v>
      </c>
      <c r="DO569" t="e">
        <f t="shared" si="47"/>
        <v>#N/A</v>
      </c>
    </row>
    <row r="570" spans="7:119" x14ac:dyDescent="0.25">
      <c r="G570"/>
      <c r="DI570" s="4">
        <f>INDEX(Sheet2!A:A,QUOTIENT(ROW()-1,19)+2)</f>
        <v>41165</v>
      </c>
      <c r="DJ570" s="4">
        <f>INDEX(Sheet2!C:C,QUOTIENT(ROW()-1,19)+2)</f>
        <v>41639</v>
      </c>
      <c r="DK570" s="4" t="e">
        <f>INDEX(Sheet2!$AA$2:$AS$228,QUOTIENT(ROW()-1,19)+1,MOD(ROW()-2,19)+1)</f>
        <v>#N/A</v>
      </c>
      <c r="DL570" t="str">
        <f>IFERROR(INDEX(Sheet2!$AU$2:$BM$228,QUOTIENT(ROW()-1,19)+1,MOD(ROW()-2,19)+1),NA())</f>
        <v/>
      </c>
      <c r="DM570" s="4" t="e">
        <f t="shared" si="45"/>
        <v>#N/A</v>
      </c>
      <c r="DN570" t="e">
        <f t="shared" si="46"/>
        <v>#N/A</v>
      </c>
      <c r="DO570" t="e">
        <f t="shared" si="47"/>
        <v>#N/A</v>
      </c>
    </row>
    <row r="571" spans="7:119" x14ac:dyDescent="0.25">
      <c r="G571"/>
      <c r="DI571" s="4">
        <f>INDEX(Sheet2!A:A,QUOTIENT(ROW()-1,19)+2)</f>
        <v>41165</v>
      </c>
      <c r="DJ571" s="4">
        <f>INDEX(Sheet2!C:C,QUOTIENT(ROW()-1,19)+2)</f>
        <v>42004</v>
      </c>
      <c r="DK571" s="4" t="e">
        <f>INDEX(Sheet2!$AA$2:$AS$228,QUOTIENT(ROW()-1,19)+1,MOD(ROW()-2,19)+1)</f>
        <v>#N/A</v>
      </c>
      <c r="DL571" t="str">
        <f>IFERROR(INDEX(Sheet2!$AU$2:$BM$228,QUOTIENT(ROW()-1,19)+1,MOD(ROW()-2,19)+1),NA())</f>
        <v/>
      </c>
      <c r="DM571" s="4" t="e">
        <f t="shared" si="45"/>
        <v>#N/A</v>
      </c>
      <c r="DN571" t="e">
        <f t="shared" si="46"/>
        <v>#N/A</v>
      </c>
      <c r="DO571" t="e">
        <f t="shared" si="47"/>
        <v>#N/A</v>
      </c>
    </row>
    <row r="572" spans="7:119" x14ac:dyDescent="0.25">
      <c r="G572"/>
      <c r="DI572" s="4">
        <f>INDEX(Sheet2!A:A,QUOTIENT(ROW()-1,19)+2)</f>
        <v>41165</v>
      </c>
      <c r="DJ572" s="4">
        <f>INDEX(Sheet2!C:C,QUOTIENT(ROW()-1,19)+2)</f>
        <v>42004</v>
      </c>
      <c r="DK572" s="4">
        <f>INDEX(Sheet2!$AA$2:$AS$228,QUOTIENT(ROW()-1,19)+1,MOD(ROW()-2,19)+1)</f>
        <v>41883.549999999996</v>
      </c>
      <c r="DL572">
        <f>IFERROR(INDEX(Sheet2!$AU$2:$BM$228,QUOTIENT(ROW()-1,19)+1,MOD(ROW()-2,19)+1),NA())</f>
        <v>0.25</v>
      </c>
      <c r="DM572" s="4" t="e">
        <f t="shared" si="45"/>
        <v>#N/A</v>
      </c>
      <c r="DN572" t="e">
        <f t="shared" si="46"/>
        <v>#N/A</v>
      </c>
      <c r="DO572" t="e">
        <f t="shared" si="47"/>
        <v>#N/A</v>
      </c>
    </row>
    <row r="573" spans="7:119" x14ac:dyDescent="0.25">
      <c r="G573"/>
      <c r="DI573" s="4">
        <f>INDEX(Sheet2!A:A,QUOTIENT(ROW()-1,19)+2)</f>
        <v>41165</v>
      </c>
      <c r="DJ573" s="4">
        <f>INDEX(Sheet2!C:C,QUOTIENT(ROW()-1,19)+2)</f>
        <v>42004</v>
      </c>
      <c r="DK573" s="4">
        <f>INDEX(Sheet2!$AA$2:$AS$228,QUOTIENT(ROW()-1,19)+1,MOD(ROW()-2,19)+1)</f>
        <v>41903.625</v>
      </c>
      <c r="DL573">
        <f>IFERROR(INDEX(Sheet2!$AU$2:$BM$228,QUOTIENT(ROW()-1,19)+1,MOD(ROW()-2,19)+1),NA())</f>
        <v>0.25</v>
      </c>
      <c r="DM573" s="4" t="e">
        <f t="shared" si="45"/>
        <v>#N/A</v>
      </c>
      <c r="DN573" t="e">
        <f t="shared" si="46"/>
        <v>#N/A</v>
      </c>
      <c r="DO573" t="e">
        <f t="shared" si="47"/>
        <v>#N/A</v>
      </c>
    </row>
    <row r="574" spans="7:119" x14ac:dyDescent="0.25">
      <c r="G574"/>
      <c r="DI574" s="4">
        <f>INDEX(Sheet2!A:A,QUOTIENT(ROW()-1,19)+2)</f>
        <v>41165</v>
      </c>
      <c r="DJ574" s="4">
        <f>INDEX(Sheet2!C:C,QUOTIENT(ROW()-1,19)+2)</f>
        <v>42004</v>
      </c>
      <c r="DK574" s="4">
        <f>INDEX(Sheet2!$AA$2:$AS$228,QUOTIENT(ROW()-1,19)+1,MOD(ROW()-2,19)+1)</f>
        <v>41923.699999999997</v>
      </c>
      <c r="DL574">
        <f>IFERROR(INDEX(Sheet2!$AU$2:$BM$228,QUOTIENT(ROW()-1,19)+1,MOD(ROW()-2,19)+1),NA())</f>
        <v>0.25</v>
      </c>
      <c r="DM574" s="4" t="e">
        <f t="shared" si="45"/>
        <v>#N/A</v>
      </c>
      <c r="DN574" t="e">
        <f t="shared" si="46"/>
        <v>#N/A</v>
      </c>
      <c r="DO574" t="e">
        <f t="shared" si="47"/>
        <v>#N/A</v>
      </c>
    </row>
    <row r="575" spans="7:119" x14ac:dyDescent="0.25">
      <c r="G575"/>
      <c r="DI575" s="4">
        <f>INDEX(Sheet2!A:A,QUOTIENT(ROW()-1,19)+2)</f>
        <v>41165</v>
      </c>
      <c r="DJ575" s="4">
        <f>INDEX(Sheet2!C:C,QUOTIENT(ROW()-1,19)+2)</f>
        <v>42004</v>
      </c>
      <c r="DK575" s="4">
        <f>INDEX(Sheet2!$AA$2:$AS$228,QUOTIENT(ROW()-1,19)+1,MOD(ROW()-2,19)+1)</f>
        <v>41943.775000000001</v>
      </c>
      <c r="DL575">
        <f>IFERROR(INDEX(Sheet2!$AU$2:$BM$228,QUOTIENT(ROW()-1,19)+1,MOD(ROW()-2,19)+1),NA())</f>
        <v>0.25</v>
      </c>
      <c r="DM575" s="4" t="e">
        <f t="shared" si="45"/>
        <v>#N/A</v>
      </c>
      <c r="DN575" t="e">
        <f t="shared" si="46"/>
        <v>#N/A</v>
      </c>
      <c r="DO575" t="e">
        <f t="shared" si="47"/>
        <v>#N/A</v>
      </c>
    </row>
    <row r="576" spans="7:119" x14ac:dyDescent="0.25">
      <c r="G576"/>
      <c r="DI576" s="4">
        <f>INDEX(Sheet2!A:A,QUOTIENT(ROW()-1,19)+2)</f>
        <v>41165</v>
      </c>
      <c r="DJ576" s="4">
        <f>INDEX(Sheet2!C:C,QUOTIENT(ROW()-1,19)+2)</f>
        <v>42004</v>
      </c>
      <c r="DK576" s="4">
        <f>INDEX(Sheet2!$AA$2:$AS$228,QUOTIENT(ROW()-1,19)+1,MOD(ROW()-2,19)+1)</f>
        <v>41963.85</v>
      </c>
      <c r="DL576">
        <f>IFERROR(INDEX(Sheet2!$AU$2:$BM$228,QUOTIENT(ROW()-1,19)+1,MOD(ROW()-2,19)+1),NA())</f>
        <v>0.25</v>
      </c>
      <c r="DM576" s="4" t="e">
        <f t="shared" si="45"/>
        <v>#N/A</v>
      </c>
      <c r="DN576" t="e">
        <f t="shared" si="46"/>
        <v>#N/A</v>
      </c>
      <c r="DO576" t="e">
        <f t="shared" si="47"/>
        <v>#N/A</v>
      </c>
    </row>
    <row r="577" spans="7:119" x14ac:dyDescent="0.25">
      <c r="G577"/>
      <c r="DI577" s="4">
        <f>INDEX(Sheet2!A:A,QUOTIENT(ROW()-1,19)+2)</f>
        <v>41165</v>
      </c>
      <c r="DJ577" s="4">
        <f>INDEX(Sheet2!C:C,QUOTIENT(ROW()-1,19)+2)</f>
        <v>42004</v>
      </c>
      <c r="DK577" s="4">
        <f>INDEX(Sheet2!$AA$2:$AS$228,QUOTIENT(ROW()-1,19)+1,MOD(ROW()-2,19)+1)</f>
        <v>41983.924999999996</v>
      </c>
      <c r="DL577">
        <f>IFERROR(INDEX(Sheet2!$AU$2:$BM$228,QUOTIENT(ROW()-1,19)+1,MOD(ROW()-2,19)+1),NA())</f>
        <v>0.25</v>
      </c>
      <c r="DM577" s="4" t="e">
        <f t="shared" si="45"/>
        <v>#N/A</v>
      </c>
      <c r="DN577" t="e">
        <f t="shared" si="46"/>
        <v>#N/A</v>
      </c>
      <c r="DO577" t="e">
        <f t="shared" si="47"/>
        <v>#N/A</v>
      </c>
    </row>
    <row r="578" spans="7:119" x14ac:dyDescent="0.25">
      <c r="G578"/>
      <c r="DI578" s="4">
        <f>INDEX(Sheet2!A:A,QUOTIENT(ROW()-1,19)+2)</f>
        <v>41165</v>
      </c>
      <c r="DJ578" s="4">
        <f>INDEX(Sheet2!C:C,QUOTIENT(ROW()-1,19)+2)</f>
        <v>42004</v>
      </c>
      <c r="DK578" s="4">
        <f>INDEX(Sheet2!$AA$2:$AS$228,QUOTIENT(ROW()-1,19)+1,MOD(ROW()-2,19)+1)</f>
        <v>42004</v>
      </c>
      <c r="DL578">
        <f>IFERROR(INDEX(Sheet2!$AU$2:$BM$228,QUOTIENT(ROW()-1,19)+1,MOD(ROW()-2,19)+1),NA())</f>
        <v>0.25</v>
      </c>
      <c r="DM578" s="4" t="e">
        <f t="shared" ref="DM578:DM641" si="48">+IF($C$2=$DI578,DK578,NA())</f>
        <v>#N/A</v>
      </c>
      <c r="DN578" t="e">
        <f t="shared" ref="DN578:DN641" si="49">+IF($C$2=$DI578,DL578,NA())</f>
        <v>#N/A</v>
      </c>
      <c r="DO578" t="e">
        <f t="shared" si="47"/>
        <v>#N/A</v>
      </c>
    </row>
    <row r="579" spans="7:119" x14ac:dyDescent="0.25">
      <c r="G579"/>
      <c r="DI579" s="4">
        <f>INDEX(Sheet2!A:A,QUOTIENT(ROW()-1,19)+2)</f>
        <v>41165</v>
      </c>
      <c r="DJ579" s="4">
        <f>INDEX(Sheet2!C:C,QUOTIENT(ROW()-1,19)+2)</f>
        <v>42004</v>
      </c>
      <c r="DK579" s="4">
        <f>INDEX(Sheet2!$AA$2:$AS$228,QUOTIENT(ROW()-1,19)+1,MOD(ROW()-2,19)+1)</f>
        <v>42024.074999999997</v>
      </c>
      <c r="DL579">
        <f>IFERROR(INDEX(Sheet2!$AU$2:$BM$228,QUOTIENT(ROW()-1,19)+1,MOD(ROW()-2,19)+1),NA())</f>
        <v>0.25</v>
      </c>
      <c r="DM579" s="4" t="e">
        <f t="shared" si="48"/>
        <v>#N/A</v>
      </c>
      <c r="DN579" t="e">
        <f t="shared" si="49"/>
        <v>#N/A</v>
      </c>
      <c r="DO579" t="e">
        <f t="shared" ref="DO579:DO642" si="50">IF(DN579="",NA(),DN579)</f>
        <v>#N/A</v>
      </c>
    </row>
    <row r="580" spans="7:119" x14ac:dyDescent="0.25">
      <c r="G580"/>
      <c r="DI580" s="4">
        <f>INDEX(Sheet2!A:A,QUOTIENT(ROW()-1,19)+2)</f>
        <v>41165</v>
      </c>
      <c r="DJ580" s="4">
        <f>INDEX(Sheet2!C:C,QUOTIENT(ROW()-1,19)+2)</f>
        <v>42004</v>
      </c>
      <c r="DK580" s="4">
        <f>INDEX(Sheet2!$AA$2:$AS$228,QUOTIENT(ROW()-1,19)+1,MOD(ROW()-2,19)+1)</f>
        <v>42044.15</v>
      </c>
      <c r="DL580">
        <f>IFERROR(INDEX(Sheet2!$AU$2:$BM$228,QUOTIENT(ROW()-1,19)+1,MOD(ROW()-2,19)+1),NA())</f>
        <v>0.25</v>
      </c>
      <c r="DM580" s="4" t="e">
        <f t="shared" si="48"/>
        <v>#N/A</v>
      </c>
      <c r="DN580" t="e">
        <f t="shared" si="49"/>
        <v>#N/A</v>
      </c>
      <c r="DO580" t="e">
        <f t="shared" si="50"/>
        <v>#N/A</v>
      </c>
    </row>
    <row r="581" spans="7:119" x14ac:dyDescent="0.25">
      <c r="G581"/>
      <c r="DI581" s="4">
        <f>INDEX(Sheet2!A:A,QUOTIENT(ROW()-1,19)+2)</f>
        <v>41165</v>
      </c>
      <c r="DJ581" s="4">
        <f>INDEX(Sheet2!C:C,QUOTIENT(ROW()-1,19)+2)</f>
        <v>42004</v>
      </c>
      <c r="DK581" s="4">
        <f>INDEX(Sheet2!$AA$2:$AS$228,QUOTIENT(ROW()-1,19)+1,MOD(ROW()-2,19)+1)</f>
        <v>42064.224999999999</v>
      </c>
      <c r="DL581">
        <f>IFERROR(INDEX(Sheet2!$AU$2:$BM$228,QUOTIENT(ROW()-1,19)+1,MOD(ROW()-2,19)+1),NA())</f>
        <v>0.25</v>
      </c>
      <c r="DM581" s="4" t="e">
        <f t="shared" si="48"/>
        <v>#N/A</v>
      </c>
      <c r="DN581" t="e">
        <f t="shared" si="49"/>
        <v>#N/A</v>
      </c>
      <c r="DO581" t="e">
        <f t="shared" si="50"/>
        <v>#N/A</v>
      </c>
    </row>
    <row r="582" spans="7:119" x14ac:dyDescent="0.25">
      <c r="G582"/>
      <c r="DI582" s="4">
        <f>INDEX(Sheet2!A:A,QUOTIENT(ROW()-1,19)+2)</f>
        <v>41165</v>
      </c>
      <c r="DJ582" s="4">
        <f>INDEX(Sheet2!C:C,QUOTIENT(ROW()-1,19)+2)</f>
        <v>42004</v>
      </c>
      <c r="DK582" s="4">
        <f>INDEX(Sheet2!$AA$2:$AS$228,QUOTIENT(ROW()-1,19)+1,MOD(ROW()-2,19)+1)</f>
        <v>42084.299999999996</v>
      </c>
      <c r="DL582">
        <f>IFERROR(INDEX(Sheet2!$AU$2:$BM$228,QUOTIENT(ROW()-1,19)+1,MOD(ROW()-2,19)+1),NA())</f>
        <v>0.25</v>
      </c>
      <c r="DM582" s="4" t="e">
        <f t="shared" si="48"/>
        <v>#N/A</v>
      </c>
      <c r="DN582" t="e">
        <f t="shared" si="49"/>
        <v>#N/A</v>
      </c>
      <c r="DO582" t="e">
        <f t="shared" si="50"/>
        <v>#N/A</v>
      </c>
    </row>
    <row r="583" spans="7:119" x14ac:dyDescent="0.25">
      <c r="G583"/>
      <c r="DI583" s="4">
        <f>INDEX(Sheet2!A:A,QUOTIENT(ROW()-1,19)+2)</f>
        <v>41165</v>
      </c>
      <c r="DJ583" s="4">
        <f>INDEX(Sheet2!C:C,QUOTIENT(ROW()-1,19)+2)</f>
        <v>42004</v>
      </c>
      <c r="DK583" s="4">
        <f>INDEX(Sheet2!$AA$2:$AS$228,QUOTIENT(ROW()-1,19)+1,MOD(ROW()-2,19)+1)</f>
        <v>42104.375</v>
      </c>
      <c r="DL583">
        <f>IFERROR(INDEX(Sheet2!$AU$2:$BM$228,QUOTIENT(ROW()-1,19)+1,MOD(ROW()-2,19)+1),NA())</f>
        <v>0.25</v>
      </c>
      <c r="DM583" s="4" t="e">
        <f t="shared" si="48"/>
        <v>#N/A</v>
      </c>
      <c r="DN583" t="e">
        <f t="shared" si="49"/>
        <v>#N/A</v>
      </c>
      <c r="DO583" t="e">
        <f t="shared" si="50"/>
        <v>#N/A</v>
      </c>
    </row>
    <row r="584" spans="7:119" x14ac:dyDescent="0.25">
      <c r="G584"/>
      <c r="DI584" s="4">
        <f>INDEX(Sheet2!A:A,QUOTIENT(ROW()-1,19)+2)</f>
        <v>41165</v>
      </c>
      <c r="DJ584" s="4">
        <f>INDEX(Sheet2!C:C,QUOTIENT(ROW()-1,19)+2)</f>
        <v>42004</v>
      </c>
      <c r="DK584" s="4">
        <f>INDEX(Sheet2!$AA$2:$AS$228,QUOTIENT(ROW()-1,19)+1,MOD(ROW()-2,19)+1)</f>
        <v>42124.45</v>
      </c>
      <c r="DL584">
        <f>IFERROR(INDEX(Sheet2!$AU$2:$BM$228,QUOTIENT(ROW()-1,19)+1,MOD(ROW()-2,19)+1),NA())</f>
        <v>0.25</v>
      </c>
      <c r="DM584" s="4" t="e">
        <f t="shared" si="48"/>
        <v>#N/A</v>
      </c>
      <c r="DN584" t="e">
        <f t="shared" si="49"/>
        <v>#N/A</v>
      </c>
      <c r="DO584" t="e">
        <f t="shared" si="50"/>
        <v>#N/A</v>
      </c>
    </row>
    <row r="585" spans="7:119" x14ac:dyDescent="0.25">
      <c r="G585"/>
      <c r="DI585" s="4">
        <f>INDEX(Sheet2!A:A,QUOTIENT(ROW()-1,19)+2)</f>
        <v>41165</v>
      </c>
      <c r="DJ585" s="4">
        <f>INDEX(Sheet2!C:C,QUOTIENT(ROW()-1,19)+2)</f>
        <v>42004</v>
      </c>
      <c r="DK585" s="4" t="e">
        <f>INDEX(Sheet2!$AA$2:$AS$228,QUOTIENT(ROW()-1,19)+1,MOD(ROW()-2,19)+1)</f>
        <v>#N/A</v>
      </c>
      <c r="DL585" t="str">
        <f>IFERROR(INDEX(Sheet2!$AU$2:$BM$228,QUOTIENT(ROW()-1,19)+1,MOD(ROW()-2,19)+1),NA())</f>
        <v/>
      </c>
      <c r="DM585" s="4" t="e">
        <f t="shared" si="48"/>
        <v>#N/A</v>
      </c>
      <c r="DN585" t="e">
        <f t="shared" si="49"/>
        <v>#N/A</v>
      </c>
      <c r="DO585" t="e">
        <f t="shared" si="50"/>
        <v>#N/A</v>
      </c>
    </row>
    <row r="586" spans="7:119" x14ac:dyDescent="0.25">
      <c r="G586"/>
      <c r="DI586" s="4">
        <f>INDEX(Sheet2!A:A,QUOTIENT(ROW()-1,19)+2)</f>
        <v>41165</v>
      </c>
      <c r="DJ586" s="4">
        <f>INDEX(Sheet2!C:C,QUOTIENT(ROW()-1,19)+2)</f>
        <v>42004</v>
      </c>
      <c r="DK586" s="4" t="e">
        <f>INDEX(Sheet2!$AA$2:$AS$228,QUOTIENT(ROW()-1,19)+1,MOD(ROW()-2,19)+1)</f>
        <v>#N/A</v>
      </c>
      <c r="DL586" t="str">
        <f>IFERROR(INDEX(Sheet2!$AU$2:$BM$228,QUOTIENT(ROW()-1,19)+1,MOD(ROW()-2,19)+1),NA())</f>
        <v/>
      </c>
      <c r="DM586" s="4" t="e">
        <f t="shared" si="48"/>
        <v>#N/A</v>
      </c>
      <c r="DN586" t="e">
        <f t="shared" si="49"/>
        <v>#N/A</v>
      </c>
      <c r="DO586" t="e">
        <f t="shared" si="50"/>
        <v>#N/A</v>
      </c>
    </row>
    <row r="587" spans="7:119" x14ac:dyDescent="0.25">
      <c r="G587"/>
      <c r="DI587" s="4">
        <f>INDEX(Sheet2!A:A,QUOTIENT(ROW()-1,19)+2)</f>
        <v>41165</v>
      </c>
      <c r="DJ587" s="4">
        <f>INDEX(Sheet2!C:C,QUOTIENT(ROW()-1,19)+2)</f>
        <v>42004</v>
      </c>
      <c r="DK587" s="4" t="e">
        <f>INDEX(Sheet2!$AA$2:$AS$228,QUOTIENT(ROW()-1,19)+1,MOD(ROW()-2,19)+1)</f>
        <v>#N/A</v>
      </c>
      <c r="DL587" t="str">
        <f>IFERROR(INDEX(Sheet2!$AU$2:$BM$228,QUOTIENT(ROW()-1,19)+1,MOD(ROW()-2,19)+1),NA())</f>
        <v/>
      </c>
      <c r="DM587" s="4" t="e">
        <f t="shared" si="48"/>
        <v>#N/A</v>
      </c>
      <c r="DN587" t="e">
        <f t="shared" si="49"/>
        <v>#N/A</v>
      </c>
      <c r="DO587" t="e">
        <f t="shared" si="50"/>
        <v>#N/A</v>
      </c>
    </row>
    <row r="588" spans="7:119" x14ac:dyDescent="0.25">
      <c r="G588"/>
      <c r="DI588" s="4">
        <f>INDEX(Sheet2!A:A,QUOTIENT(ROW()-1,19)+2)</f>
        <v>41165</v>
      </c>
      <c r="DJ588" s="4">
        <f>INDEX(Sheet2!C:C,QUOTIENT(ROW()-1,19)+2)</f>
        <v>42004</v>
      </c>
      <c r="DK588" s="4" t="e">
        <f>INDEX(Sheet2!$AA$2:$AS$228,QUOTIENT(ROW()-1,19)+1,MOD(ROW()-2,19)+1)</f>
        <v>#N/A</v>
      </c>
      <c r="DL588" t="str">
        <f>IFERROR(INDEX(Sheet2!$AU$2:$BM$228,QUOTIENT(ROW()-1,19)+1,MOD(ROW()-2,19)+1),NA())</f>
        <v/>
      </c>
      <c r="DM588" s="4" t="e">
        <f t="shared" si="48"/>
        <v>#N/A</v>
      </c>
      <c r="DN588" t="e">
        <f t="shared" si="49"/>
        <v>#N/A</v>
      </c>
      <c r="DO588" t="e">
        <f t="shared" si="50"/>
        <v>#N/A</v>
      </c>
    </row>
    <row r="589" spans="7:119" x14ac:dyDescent="0.25">
      <c r="G589"/>
      <c r="DI589" s="4">
        <f>INDEX(Sheet2!A:A,QUOTIENT(ROW()-1,19)+2)</f>
        <v>41165</v>
      </c>
      <c r="DJ589" s="4">
        <f>INDEX(Sheet2!C:C,QUOTIENT(ROW()-1,19)+2)</f>
        <v>42004</v>
      </c>
      <c r="DK589" s="4" t="e">
        <f>INDEX(Sheet2!$AA$2:$AS$228,QUOTIENT(ROW()-1,19)+1,MOD(ROW()-2,19)+1)</f>
        <v>#N/A</v>
      </c>
      <c r="DL589" t="str">
        <f>IFERROR(INDEX(Sheet2!$AU$2:$BM$228,QUOTIENT(ROW()-1,19)+1,MOD(ROW()-2,19)+1),NA())</f>
        <v/>
      </c>
      <c r="DM589" s="4" t="e">
        <f t="shared" si="48"/>
        <v>#N/A</v>
      </c>
      <c r="DN589" t="e">
        <f t="shared" si="49"/>
        <v>#N/A</v>
      </c>
      <c r="DO589" t="e">
        <f t="shared" si="50"/>
        <v>#N/A</v>
      </c>
    </row>
    <row r="590" spans="7:119" x14ac:dyDescent="0.25">
      <c r="G590"/>
      <c r="DI590" s="4">
        <f>INDEX(Sheet2!A:A,QUOTIENT(ROW()-1,19)+2)</f>
        <v>41165</v>
      </c>
      <c r="DJ590" s="4">
        <f>INDEX(Sheet2!C:C,QUOTIENT(ROW()-1,19)+2)</f>
        <v>42004</v>
      </c>
      <c r="DK590" s="4" t="e">
        <f>INDEX(Sheet2!$AA$2:$AS$228,QUOTIENT(ROW()-1,19)+1,MOD(ROW()-2,19)+1)</f>
        <v>#N/A</v>
      </c>
      <c r="DL590" t="str">
        <f>IFERROR(INDEX(Sheet2!$AU$2:$BM$228,QUOTIENT(ROW()-1,19)+1,MOD(ROW()-2,19)+1),NA())</f>
        <v/>
      </c>
      <c r="DM590" s="4" t="e">
        <f t="shared" si="48"/>
        <v>#N/A</v>
      </c>
      <c r="DN590" t="e">
        <f t="shared" si="49"/>
        <v>#N/A</v>
      </c>
      <c r="DO590" t="e">
        <f t="shared" si="50"/>
        <v>#N/A</v>
      </c>
    </row>
    <row r="591" spans="7:119" x14ac:dyDescent="0.25">
      <c r="G591"/>
      <c r="DI591" s="4">
        <f>INDEX(Sheet2!A:A,QUOTIENT(ROW()-1,19)+2)</f>
        <v>41165</v>
      </c>
      <c r="DJ591" s="4">
        <f>INDEX(Sheet2!C:C,QUOTIENT(ROW()-1,19)+2)</f>
        <v>42004</v>
      </c>
      <c r="DK591" s="4">
        <f>INDEX(Sheet2!$AA$2:$AS$228,QUOTIENT(ROW()-1,19)+1,MOD(ROW()-2,19)+1)</f>
        <v>41993.962500000001</v>
      </c>
      <c r="DL591">
        <f>IFERROR(INDEX(Sheet2!$AU$2:$BM$228,QUOTIENT(ROW()-1,19)+1,MOD(ROW()-2,19)+1),NA())</f>
        <v>1.5</v>
      </c>
      <c r="DM591" s="4" t="e">
        <f t="shared" si="48"/>
        <v>#N/A</v>
      </c>
      <c r="DN591" t="e">
        <f t="shared" si="49"/>
        <v>#N/A</v>
      </c>
      <c r="DO591" t="e">
        <f t="shared" si="50"/>
        <v>#N/A</v>
      </c>
    </row>
    <row r="592" spans="7:119" x14ac:dyDescent="0.25">
      <c r="G592"/>
      <c r="DI592" s="4">
        <f>INDEX(Sheet2!A:A,QUOTIENT(ROW()-1,19)+2)</f>
        <v>41165</v>
      </c>
      <c r="DJ592" s="4">
        <f>INDEX(Sheet2!C:C,QUOTIENT(ROW()-1,19)+2)</f>
        <v>42004</v>
      </c>
      <c r="DK592" s="4">
        <f>INDEX(Sheet2!$AA$2:$AS$228,QUOTIENT(ROW()-1,19)+1,MOD(ROW()-2,19)+1)</f>
        <v>42014.037500000006</v>
      </c>
      <c r="DL592">
        <f>IFERROR(INDEX(Sheet2!$AU$2:$BM$228,QUOTIENT(ROW()-1,19)+1,MOD(ROW()-2,19)+1),NA())</f>
        <v>1.5</v>
      </c>
      <c r="DM592" s="4" t="e">
        <f t="shared" si="48"/>
        <v>#N/A</v>
      </c>
      <c r="DN592" t="e">
        <f t="shared" si="49"/>
        <v>#N/A</v>
      </c>
      <c r="DO592" t="e">
        <f t="shared" si="50"/>
        <v>#N/A</v>
      </c>
    </row>
    <row r="593" spans="7:119" x14ac:dyDescent="0.25">
      <c r="G593"/>
      <c r="DI593" s="4">
        <f>INDEX(Sheet2!A:A,QUOTIENT(ROW()-1,19)+2)</f>
        <v>41165</v>
      </c>
      <c r="DJ593" s="4">
        <f>INDEX(Sheet2!C:C,QUOTIENT(ROW()-1,19)+2)</f>
        <v>42004</v>
      </c>
      <c r="DK593" s="4" t="e">
        <f>INDEX(Sheet2!$AA$2:$AS$228,QUOTIENT(ROW()-1,19)+1,MOD(ROW()-2,19)+1)</f>
        <v>#N/A</v>
      </c>
      <c r="DL593" t="str">
        <f>IFERROR(INDEX(Sheet2!$AU$2:$BM$228,QUOTIENT(ROW()-1,19)+1,MOD(ROW()-2,19)+1),NA())</f>
        <v/>
      </c>
      <c r="DM593" s="4" t="e">
        <f t="shared" si="48"/>
        <v>#N/A</v>
      </c>
      <c r="DN593" t="e">
        <f t="shared" si="49"/>
        <v>#N/A</v>
      </c>
      <c r="DO593" t="e">
        <f t="shared" si="50"/>
        <v>#N/A</v>
      </c>
    </row>
    <row r="594" spans="7:119" x14ac:dyDescent="0.25">
      <c r="G594"/>
      <c r="DI594" s="4">
        <f>INDEX(Sheet2!A:A,QUOTIENT(ROW()-1,19)+2)</f>
        <v>41165</v>
      </c>
      <c r="DJ594" s="4">
        <f>INDEX(Sheet2!C:C,QUOTIENT(ROW()-1,19)+2)</f>
        <v>42004</v>
      </c>
      <c r="DK594" s="4" t="e">
        <f>INDEX(Sheet2!$AA$2:$AS$228,QUOTIENT(ROW()-1,19)+1,MOD(ROW()-2,19)+1)</f>
        <v>#N/A</v>
      </c>
      <c r="DL594" t="str">
        <f>IFERROR(INDEX(Sheet2!$AU$2:$BM$228,QUOTIENT(ROW()-1,19)+1,MOD(ROW()-2,19)+1),NA())</f>
        <v/>
      </c>
      <c r="DM594" s="4" t="e">
        <f t="shared" si="48"/>
        <v>#N/A</v>
      </c>
      <c r="DN594" t="e">
        <f t="shared" si="49"/>
        <v>#N/A</v>
      </c>
      <c r="DO594" t="e">
        <f t="shared" si="50"/>
        <v>#N/A</v>
      </c>
    </row>
    <row r="595" spans="7:119" x14ac:dyDescent="0.25">
      <c r="G595"/>
      <c r="DI595" s="4">
        <f>INDEX(Sheet2!A:A,QUOTIENT(ROW()-1,19)+2)</f>
        <v>41165</v>
      </c>
      <c r="DJ595" s="4">
        <f>INDEX(Sheet2!C:C,QUOTIENT(ROW()-1,19)+2)</f>
        <v>42004</v>
      </c>
      <c r="DK595" s="4" t="e">
        <f>INDEX(Sheet2!$AA$2:$AS$228,QUOTIENT(ROW()-1,19)+1,MOD(ROW()-2,19)+1)</f>
        <v>#N/A</v>
      </c>
      <c r="DL595" t="str">
        <f>IFERROR(INDEX(Sheet2!$AU$2:$BM$228,QUOTIENT(ROW()-1,19)+1,MOD(ROW()-2,19)+1),NA())</f>
        <v/>
      </c>
      <c r="DM595" s="4" t="e">
        <f t="shared" si="48"/>
        <v>#N/A</v>
      </c>
      <c r="DN595" t="e">
        <f t="shared" si="49"/>
        <v>#N/A</v>
      </c>
      <c r="DO595" t="e">
        <f t="shared" si="50"/>
        <v>#N/A</v>
      </c>
    </row>
    <row r="596" spans="7:119" x14ac:dyDescent="0.25">
      <c r="G596"/>
      <c r="DI596" s="4">
        <f>INDEX(Sheet2!A:A,QUOTIENT(ROW()-1,19)+2)</f>
        <v>41165</v>
      </c>
      <c r="DJ596" s="4">
        <f>INDEX(Sheet2!C:C,QUOTIENT(ROW()-1,19)+2)</f>
        <v>42004</v>
      </c>
      <c r="DK596" s="4" t="e">
        <f>INDEX(Sheet2!$AA$2:$AS$228,QUOTIENT(ROW()-1,19)+1,MOD(ROW()-2,19)+1)</f>
        <v>#N/A</v>
      </c>
      <c r="DL596" t="str">
        <f>IFERROR(INDEX(Sheet2!$AU$2:$BM$228,QUOTIENT(ROW()-1,19)+1,MOD(ROW()-2,19)+1),NA())</f>
        <v/>
      </c>
      <c r="DM596" s="4" t="e">
        <f t="shared" si="48"/>
        <v>#N/A</v>
      </c>
      <c r="DN596" t="e">
        <f t="shared" si="49"/>
        <v>#N/A</v>
      </c>
      <c r="DO596" t="e">
        <f t="shared" si="50"/>
        <v>#N/A</v>
      </c>
    </row>
    <row r="597" spans="7:119" x14ac:dyDescent="0.25">
      <c r="G597"/>
      <c r="DI597" s="4">
        <f>INDEX(Sheet2!A:A,QUOTIENT(ROW()-1,19)+2)</f>
        <v>41165</v>
      </c>
      <c r="DJ597" s="4">
        <f>INDEX(Sheet2!C:C,QUOTIENT(ROW()-1,19)+2)</f>
        <v>42004</v>
      </c>
      <c r="DK597" s="4" t="e">
        <f>INDEX(Sheet2!$AA$2:$AS$228,QUOTIENT(ROW()-1,19)+1,MOD(ROW()-2,19)+1)</f>
        <v>#N/A</v>
      </c>
      <c r="DL597" t="str">
        <f>IFERROR(INDEX(Sheet2!$AU$2:$BM$228,QUOTIENT(ROW()-1,19)+1,MOD(ROW()-2,19)+1),NA())</f>
        <v/>
      </c>
      <c r="DM597" s="4" t="e">
        <f t="shared" si="48"/>
        <v>#N/A</v>
      </c>
      <c r="DN597" t="e">
        <f t="shared" si="49"/>
        <v>#N/A</v>
      </c>
      <c r="DO597" t="e">
        <f t="shared" si="50"/>
        <v>#N/A</v>
      </c>
    </row>
    <row r="598" spans="7:119" x14ac:dyDescent="0.25">
      <c r="G598"/>
      <c r="DI598" s="4">
        <f>INDEX(Sheet2!A:A,QUOTIENT(ROW()-1,19)+2)</f>
        <v>41165</v>
      </c>
      <c r="DJ598" s="4">
        <f>INDEX(Sheet2!C:C,QUOTIENT(ROW()-1,19)+2)</f>
        <v>42004</v>
      </c>
      <c r="DK598" s="4" t="e">
        <f>INDEX(Sheet2!$AA$2:$AS$228,QUOTIENT(ROW()-1,19)+1,MOD(ROW()-2,19)+1)</f>
        <v>#N/A</v>
      </c>
      <c r="DL598" t="str">
        <f>IFERROR(INDEX(Sheet2!$AU$2:$BM$228,QUOTIENT(ROW()-1,19)+1,MOD(ROW()-2,19)+1),NA())</f>
        <v/>
      </c>
      <c r="DM598" s="4" t="e">
        <f t="shared" si="48"/>
        <v>#N/A</v>
      </c>
      <c r="DN598" t="e">
        <f t="shared" si="49"/>
        <v>#N/A</v>
      </c>
      <c r="DO598" t="e">
        <f t="shared" si="50"/>
        <v>#N/A</v>
      </c>
    </row>
    <row r="599" spans="7:119" x14ac:dyDescent="0.25">
      <c r="G599"/>
      <c r="DI599" s="4">
        <f>INDEX(Sheet2!A:A,QUOTIENT(ROW()-1,19)+2)</f>
        <v>41165</v>
      </c>
      <c r="DJ599" s="4">
        <f>INDEX(Sheet2!C:C,QUOTIENT(ROW()-1,19)+2)</f>
        <v>42004</v>
      </c>
      <c r="DK599" s="4" t="e">
        <f>INDEX(Sheet2!$AA$2:$AS$228,QUOTIENT(ROW()-1,19)+1,MOD(ROW()-2,19)+1)</f>
        <v>#N/A</v>
      </c>
      <c r="DL599" t="str">
        <f>IFERROR(INDEX(Sheet2!$AU$2:$BM$228,QUOTIENT(ROW()-1,19)+1,MOD(ROW()-2,19)+1),NA())</f>
        <v/>
      </c>
      <c r="DM599" s="4" t="e">
        <f t="shared" si="48"/>
        <v>#N/A</v>
      </c>
      <c r="DN599" t="e">
        <f t="shared" si="49"/>
        <v>#N/A</v>
      </c>
      <c r="DO599" t="e">
        <f t="shared" si="50"/>
        <v>#N/A</v>
      </c>
    </row>
    <row r="600" spans="7:119" x14ac:dyDescent="0.25">
      <c r="G600"/>
      <c r="DI600" s="4">
        <f>INDEX(Sheet2!A:A,QUOTIENT(ROW()-1,19)+2)</f>
        <v>41165</v>
      </c>
      <c r="DJ600" s="4">
        <f>INDEX(Sheet2!C:C,QUOTIENT(ROW()-1,19)+2)</f>
        <v>42004</v>
      </c>
      <c r="DK600" s="4" t="e">
        <f>INDEX(Sheet2!$AA$2:$AS$228,QUOTIENT(ROW()-1,19)+1,MOD(ROW()-2,19)+1)</f>
        <v>#N/A</v>
      </c>
      <c r="DL600" t="str">
        <f>IFERROR(INDEX(Sheet2!$AU$2:$BM$228,QUOTIENT(ROW()-1,19)+1,MOD(ROW()-2,19)+1),NA())</f>
        <v/>
      </c>
      <c r="DM600" s="4" t="e">
        <f t="shared" si="48"/>
        <v>#N/A</v>
      </c>
      <c r="DN600" t="e">
        <f t="shared" si="49"/>
        <v>#N/A</v>
      </c>
      <c r="DO600" t="e">
        <f t="shared" si="50"/>
        <v>#N/A</v>
      </c>
    </row>
    <row r="601" spans="7:119" x14ac:dyDescent="0.25">
      <c r="G601"/>
      <c r="DI601" s="4">
        <f>INDEX(Sheet2!A:A,QUOTIENT(ROW()-1,19)+2)</f>
        <v>41165</v>
      </c>
      <c r="DJ601" s="4">
        <f>INDEX(Sheet2!C:C,QUOTIENT(ROW()-1,19)+2)</f>
        <v>42004</v>
      </c>
      <c r="DK601" s="4" t="e">
        <f>INDEX(Sheet2!$AA$2:$AS$228,QUOTIENT(ROW()-1,19)+1,MOD(ROW()-2,19)+1)</f>
        <v>#N/A</v>
      </c>
      <c r="DL601" t="str">
        <f>IFERROR(INDEX(Sheet2!$AU$2:$BM$228,QUOTIENT(ROW()-1,19)+1,MOD(ROW()-2,19)+1),NA())</f>
        <v/>
      </c>
      <c r="DM601" s="4" t="e">
        <f t="shared" si="48"/>
        <v>#N/A</v>
      </c>
      <c r="DN601" t="e">
        <f t="shared" si="49"/>
        <v>#N/A</v>
      </c>
      <c r="DO601" t="e">
        <f t="shared" si="50"/>
        <v>#N/A</v>
      </c>
    </row>
    <row r="602" spans="7:119" x14ac:dyDescent="0.25">
      <c r="G602"/>
      <c r="DI602" s="4">
        <f>INDEX(Sheet2!A:A,QUOTIENT(ROW()-1,19)+2)</f>
        <v>41165</v>
      </c>
      <c r="DJ602" s="4">
        <f>INDEX(Sheet2!C:C,QUOTIENT(ROW()-1,19)+2)</f>
        <v>42004</v>
      </c>
      <c r="DK602" s="4" t="e">
        <f>INDEX(Sheet2!$AA$2:$AS$228,QUOTIENT(ROW()-1,19)+1,MOD(ROW()-2,19)+1)</f>
        <v>#N/A</v>
      </c>
      <c r="DL602" t="str">
        <f>IFERROR(INDEX(Sheet2!$AU$2:$BM$228,QUOTIENT(ROW()-1,19)+1,MOD(ROW()-2,19)+1),NA())</f>
        <v/>
      </c>
      <c r="DM602" s="4" t="e">
        <f t="shared" si="48"/>
        <v>#N/A</v>
      </c>
      <c r="DN602" t="e">
        <f t="shared" si="49"/>
        <v>#N/A</v>
      </c>
      <c r="DO602" t="e">
        <f t="shared" si="50"/>
        <v>#N/A</v>
      </c>
    </row>
    <row r="603" spans="7:119" x14ac:dyDescent="0.25">
      <c r="G603"/>
      <c r="DI603" s="4">
        <f>INDEX(Sheet2!A:A,QUOTIENT(ROW()-1,19)+2)</f>
        <v>41165</v>
      </c>
      <c r="DJ603" s="4">
        <f>INDEX(Sheet2!C:C,QUOTIENT(ROW()-1,19)+2)</f>
        <v>42004</v>
      </c>
      <c r="DK603" s="4" t="e">
        <f>INDEX(Sheet2!$AA$2:$AS$228,QUOTIENT(ROW()-1,19)+1,MOD(ROW()-2,19)+1)</f>
        <v>#N/A</v>
      </c>
      <c r="DL603" t="str">
        <f>IFERROR(INDEX(Sheet2!$AU$2:$BM$228,QUOTIENT(ROW()-1,19)+1,MOD(ROW()-2,19)+1),NA())</f>
        <v/>
      </c>
      <c r="DM603" s="4" t="e">
        <f t="shared" si="48"/>
        <v>#N/A</v>
      </c>
      <c r="DN603" t="e">
        <f t="shared" si="49"/>
        <v>#N/A</v>
      </c>
      <c r="DO603" t="e">
        <f t="shared" si="50"/>
        <v>#N/A</v>
      </c>
    </row>
    <row r="604" spans="7:119" x14ac:dyDescent="0.25">
      <c r="G604"/>
      <c r="DI604" s="4">
        <f>INDEX(Sheet2!A:A,QUOTIENT(ROW()-1,19)+2)</f>
        <v>41165</v>
      </c>
      <c r="DJ604" s="4">
        <f>INDEX(Sheet2!C:C,QUOTIENT(ROW()-1,19)+2)</f>
        <v>42004</v>
      </c>
      <c r="DK604" s="4" t="e">
        <f>INDEX(Sheet2!$AA$2:$AS$228,QUOTIENT(ROW()-1,19)+1,MOD(ROW()-2,19)+1)</f>
        <v>#N/A</v>
      </c>
      <c r="DL604" t="str">
        <f>IFERROR(INDEX(Sheet2!$AU$2:$BM$228,QUOTIENT(ROW()-1,19)+1,MOD(ROW()-2,19)+1),NA())</f>
        <v/>
      </c>
      <c r="DM604" s="4" t="e">
        <f t="shared" si="48"/>
        <v>#N/A</v>
      </c>
      <c r="DN604" t="e">
        <f t="shared" si="49"/>
        <v>#N/A</v>
      </c>
      <c r="DO604" t="e">
        <f t="shared" si="50"/>
        <v>#N/A</v>
      </c>
    </row>
    <row r="605" spans="7:119" x14ac:dyDescent="0.25">
      <c r="G605"/>
      <c r="DI605" s="4">
        <f>INDEX(Sheet2!A:A,QUOTIENT(ROW()-1,19)+2)</f>
        <v>41165</v>
      </c>
      <c r="DJ605" s="4">
        <f>INDEX(Sheet2!C:C,QUOTIENT(ROW()-1,19)+2)</f>
        <v>42004</v>
      </c>
      <c r="DK605" s="4" t="e">
        <f>INDEX(Sheet2!$AA$2:$AS$228,QUOTIENT(ROW()-1,19)+1,MOD(ROW()-2,19)+1)</f>
        <v>#N/A</v>
      </c>
      <c r="DL605" t="str">
        <f>IFERROR(INDEX(Sheet2!$AU$2:$BM$228,QUOTIENT(ROW()-1,19)+1,MOD(ROW()-2,19)+1),NA())</f>
        <v/>
      </c>
      <c r="DM605" s="4" t="e">
        <f t="shared" si="48"/>
        <v>#N/A</v>
      </c>
      <c r="DN605" t="e">
        <f t="shared" si="49"/>
        <v>#N/A</v>
      </c>
      <c r="DO605" t="e">
        <f t="shared" si="50"/>
        <v>#N/A</v>
      </c>
    </row>
    <row r="606" spans="7:119" x14ac:dyDescent="0.25">
      <c r="G606"/>
      <c r="DI606" s="4">
        <f>INDEX(Sheet2!A:A,QUOTIENT(ROW()-1,19)+2)</f>
        <v>41165</v>
      </c>
      <c r="DJ606" s="4">
        <f>INDEX(Sheet2!C:C,QUOTIENT(ROW()-1,19)+2)</f>
        <v>42004</v>
      </c>
      <c r="DK606" s="4" t="e">
        <f>INDEX(Sheet2!$AA$2:$AS$228,QUOTIENT(ROW()-1,19)+1,MOD(ROW()-2,19)+1)</f>
        <v>#N/A</v>
      </c>
      <c r="DL606" t="str">
        <f>IFERROR(INDEX(Sheet2!$AU$2:$BM$228,QUOTIENT(ROW()-1,19)+1,MOD(ROW()-2,19)+1),NA())</f>
        <v/>
      </c>
      <c r="DM606" s="4" t="e">
        <f t="shared" si="48"/>
        <v>#N/A</v>
      </c>
      <c r="DN606" t="e">
        <f t="shared" si="49"/>
        <v>#N/A</v>
      </c>
      <c r="DO606" t="e">
        <f t="shared" si="50"/>
        <v>#N/A</v>
      </c>
    </row>
    <row r="607" spans="7:119" x14ac:dyDescent="0.25">
      <c r="G607"/>
      <c r="DI607" s="4">
        <f>INDEX(Sheet2!A:A,QUOTIENT(ROW()-1,19)+2)</f>
        <v>41165</v>
      </c>
      <c r="DJ607" s="4">
        <f>INDEX(Sheet2!C:C,QUOTIENT(ROW()-1,19)+2)</f>
        <v>42004</v>
      </c>
      <c r="DK607" s="4" t="e">
        <f>INDEX(Sheet2!$AA$2:$AS$228,QUOTIENT(ROW()-1,19)+1,MOD(ROW()-2,19)+1)</f>
        <v>#N/A</v>
      </c>
      <c r="DL607" t="str">
        <f>IFERROR(INDEX(Sheet2!$AU$2:$BM$228,QUOTIENT(ROW()-1,19)+1,MOD(ROW()-2,19)+1),NA())</f>
        <v/>
      </c>
      <c r="DM607" s="4" t="e">
        <f t="shared" si="48"/>
        <v>#N/A</v>
      </c>
      <c r="DN607" t="e">
        <f t="shared" si="49"/>
        <v>#N/A</v>
      </c>
      <c r="DO607" t="e">
        <f t="shared" si="50"/>
        <v>#N/A</v>
      </c>
    </row>
    <row r="608" spans="7:119" x14ac:dyDescent="0.25">
      <c r="G608"/>
      <c r="DI608" s="4">
        <f>INDEX(Sheet2!A:A,QUOTIENT(ROW()-1,19)+2)</f>
        <v>41165</v>
      </c>
      <c r="DJ608" s="4">
        <f>INDEX(Sheet2!C:C,QUOTIENT(ROW()-1,19)+2)</f>
        <v>42004</v>
      </c>
      <c r="DK608" s="4" t="e">
        <f>INDEX(Sheet2!$AA$2:$AS$228,QUOTIENT(ROW()-1,19)+1,MOD(ROW()-2,19)+1)</f>
        <v>#N/A</v>
      </c>
      <c r="DL608" t="str">
        <f>IFERROR(INDEX(Sheet2!$AU$2:$BM$228,QUOTIENT(ROW()-1,19)+1,MOD(ROW()-2,19)+1),NA())</f>
        <v/>
      </c>
      <c r="DM608" s="4" t="e">
        <f t="shared" si="48"/>
        <v>#N/A</v>
      </c>
      <c r="DN608" t="e">
        <f t="shared" si="49"/>
        <v>#N/A</v>
      </c>
      <c r="DO608" t="e">
        <f t="shared" si="50"/>
        <v>#N/A</v>
      </c>
    </row>
    <row r="609" spans="7:119" x14ac:dyDescent="0.25">
      <c r="G609"/>
      <c r="DI609" s="4">
        <f>INDEX(Sheet2!A:A,QUOTIENT(ROW()-1,19)+2)</f>
        <v>41165</v>
      </c>
      <c r="DJ609" s="4">
        <f>INDEX(Sheet2!C:C,QUOTIENT(ROW()-1,19)+2)</f>
        <v>42004</v>
      </c>
      <c r="DK609" s="4" t="e">
        <f>INDEX(Sheet2!$AA$2:$AS$228,QUOTIENT(ROW()-1,19)+1,MOD(ROW()-2,19)+1)</f>
        <v>#N/A</v>
      </c>
      <c r="DL609" t="str">
        <f>IFERROR(INDEX(Sheet2!$AU$2:$BM$228,QUOTIENT(ROW()-1,19)+1,MOD(ROW()-2,19)+1),NA())</f>
        <v/>
      </c>
      <c r="DM609" s="4" t="e">
        <f t="shared" si="48"/>
        <v>#N/A</v>
      </c>
      <c r="DN609" t="e">
        <f t="shared" si="49"/>
        <v>#N/A</v>
      </c>
      <c r="DO609" t="e">
        <f t="shared" si="50"/>
        <v>#N/A</v>
      </c>
    </row>
    <row r="610" spans="7:119" x14ac:dyDescent="0.25">
      <c r="G610"/>
      <c r="DI610" s="4">
        <f>INDEX(Sheet2!A:A,QUOTIENT(ROW()-1,19)+2)</f>
        <v>41165</v>
      </c>
      <c r="DJ610" s="4">
        <f>INDEX(Sheet2!C:C,QUOTIENT(ROW()-1,19)+2)</f>
        <v>42004</v>
      </c>
      <c r="DK610" s="4">
        <f>INDEX(Sheet2!$AA$2:$AS$228,QUOTIENT(ROW()-1,19)+1,MOD(ROW()-2,19)+1)</f>
        <v>41993.962500000001</v>
      </c>
      <c r="DL610">
        <f>IFERROR(INDEX(Sheet2!$AU$2:$BM$228,QUOTIENT(ROW()-1,19)+1,MOD(ROW()-2,19)+1),NA())</f>
        <v>1.75</v>
      </c>
      <c r="DM610" s="4" t="e">
        <f t="shared" si="48"/>
        <v>#N/A</v>
      </c>
      <c r="DN610" t="e">
        <f t="shared" si="49"/>
        <v>#N/A</v>
      </c>
      <c r="DO610" t="e">
        <f t="shared" si="50"/>
        <v>#N/A</v>
      </c>
    </row>
    <row r="611" spans="7:119" x14ac:dyDescent="0.25">
      <c r="G611"/>
      <c r="DI611" s="4">
        <f>INDEX(Sheet2!A:A,QUOTIENT(ROW()-1,19)+2)</f>
        <v>41165</v>
      </c>
      <c r="DJ611" s="4">
        <f>INDEX(Sheet2!C:C,QUOTIENT(ROW()-1,19)+2)</f>
        <v>42004</v>
      </c>
      <c r="DK611" s="4">
        <f>INDEX(Sheet2!$AA$2:$AS$228,QUOTIENT(ROW()-1,19)+1,MOD(ROW()-2,19)+1)</f>
        <v>42014.037500000006</v>
      </c>
      <c r="DL611">
        <f>IFERROR(INDEX(Sheet2!$AU$2:$BM$228,QUOTIENT(ROW()-1,19)+1,MOD(ROW()-2,19)+1),NA())</f>
        <v>1.75</v>
      </c>
      <c r="DM611" s="4" t="e">
        <f t="shared" si="48"/>
        <v>#N/A</v>
      </c>
      <c r="DN611" t="e">
        <f t="shared" si="49"/>
        <v>#N/A</v>
      </c>
      <c r="DO611" t="e">
        <f t="shared" si="50"/>
        <v>#N/A</v>
      </c>
    </row>
    <row r="612" spans="7:119" x14ac:dyDescent="0.25">
      <c r="G612"/>
      <c r="DI612" s="4">
        <f>INDEX(Sheet2!A:A,QUOTIENT(ROW()-1,19)+2)</f>
        <v>41165</v>
      </c>
      <c r="DJ612" s="4">
        <f>INDEX(Sheet2!C:C,QUOTIENT(ROW()-1,19)+2)</f>
        <v>42004</v>
      </c>
      <c r="DK612" s="4" t="e">
        <f>INDEX(Sheet2!$AA$2:$AS$228,QUOTIENT(ROW()-1,19)+1,MOD(ROW()-2,19)+1)</f>
        <v>#N/A</v>
      </c>
      <c r="DL612" t="str">
        <f>IFERROR(INDEX(Sheet2!$AU$2:$BM$228,QUOTIENT(ROW()-1,19)+1,MOD(ROW()-2,19)+1),NA())</f>
        <v/>
      </c>
      <c r="DM612" s="4" t="e">
        <f t="shared" si="48"/>
        <v>#N/A</v>
      </c>
      <c r="DN612" t="e">
        <f t="shared" si="49"/>
        <v>#N/A</v>
      </c>
      <c r="DO612" t="e">
        <f t="shared" si="50"/>
        <v>#N/A</v>
      </c>
    </row>
    <row r="613" spans="7:119" x14ac:dyDescent="0.25">
      <c r="G613"/>
      <c r="DI613" s="4">
        <f>INDEX(Sheet2!A:A,QUOTIENT(ROW()-1,19)+2)</f>
        <v>41165</v>
      </c>
      <c r="DJ613" s="4">
        <f>INDEX(Sheet2!C:C,QUOTIENT(ROW()-1,19)+2)</f>
        <v>42004</v>
      </c>
      <c r="DK613" s="4" t="e">
        <f>INDEX(Sheet2!$AA$2:$AS$228,QUOTIENT(ROW()-1,19)+1,MOD(ROW()-2,19)+1)</f>
        <v>#N/A</v>
      </c>
      <c r="DL613" t="str">
        <f>IFERROR(INDEX(Sheet2!$AU$2:$BM$228,QUOTIENT(ROW()-1,19)+1,MOD(ROW()-2,19)+1),NA())</f>
        <v/>
      </c>
      <c r="DM613" s="4" t="e">
        <f t="shared" si="48"/>
        <v>#N/A</v>
      </c>
      <c r="DN613" t="e">
        <f t="shared" si="49"/>
        <v>#N/A</v>
      </c>
      <c r="DO613" t="e">
        <f t="shared" si="50"/>
        <v>#N/A</v>
      </c>
    </row>
    <row r="614" spans="7:119" x14ac:dyDescent="0.25">
      <c r="G614"/>
      <c r="DI614" s="4">
        <f>INDEX(Sheet2!A:A,QUOTIENT(ROW()-1,19)+2)</f>
        <v>41165</v>
      </c>
      <c r="DJ614" s="4">
        <f>INDEX(Sheet2!C:C,QUOTIENT(ROW()-1,19)+2)</f>
        <v>42004</v>
      </c>
      <c r="DK614" s="4" t="e">
        <f>INDEX(Sheet2!$AA$2:$AS$228,QUOTIENT(ROW()-1,19)+1,MOD(ROW()-2,19)+1)</f>
        <v>#N/A</v>
      </c>
      <c r="DL614" t="str">
        <f>IFERROR(INDEX(Sheet2!$AU$2:$BM$228,QUOTIENT(ROW()-1,19)+1,MOD(ROW()-2,19)+1),NA())</f>
        <v/>
      </c>
      <c r="DM614" s="4" t="e">
        <f t="shared" si="48"/>
        <v>#N/A</v>
      </c>
      <c r="DN614" t="e">
        <f t="shared" si="49"/>
        <v>#N/A</v>
      </c>
      <c r="DO614" t="e">
        <f t="shared" si="50"/>
        <v>#N/A</v>
      </c>
    </row>
    <row r="615" spans="7:119" x14ac:dyDescent="0.25">
      <c r="G615"/>
      <c r="DI615" s="4">
        <f>INDEX(Sheet2!A:A,QUOTIENT(ROW()-1,19)+2)</f>
        <v>41165</v>
      </c>
      <c r="DJ615" s="4">
        <f>INDEX(Sheet2!C:C,QUOTIENT(ROW()-1,19)+2)</f>
        <v>42004</v>
      </c>
      <c r="DK615" s="4" t="e">
        <f>INDEX(Sheet2!$AA$2:$AS$228,QUOTIENT(ROW()-1,19)+1,MOD(ROW()-2,19)+1)</f>
        <v>#N/A</v>
      </c>
      <c r="DL615" t="str">
        <f>IFERROR(INDEX(Sheet2!$AU$2:$BM$228,QUOTIENT(ROW()-1,19)+1,MOD(ROW()-2,19)+1),NA())</f>
        <v/>
      </c>
      <c r="DM615" s="4" t="e">
        <f t="shared" si="48"/>
        <v>#N/A</v>
      </c>
      <c r="DN615" t="e">
        <f t="shared" si="49"/>
        <v>#N/A</v>
      </c>
      <c r="DO615" t="e">
        <f t="shared" si="50"/>
        <v>#N/A</v>
      </c>
    </row>
    <row r="616" spans="7:119" x14ac:dyDescent="0.25">
      <c r="G616"/>
      <c r="DI616" s="4">
        <f>INDEX(Sheet2!A:A,QUOTIENT(ROW()-1,19)+2)</f>
        <v>41165</v>
      </c>
      <c r="DJ616" s="4">
        <f>INDEX(Sheet2!C:C,QUOTIENT(ROW()-1,19)+2)</f>
        <v>42004</v>
      </c>
      <c r="DK616" s="4" t="e">
        <f>INDEX(Sheet2!$AA$2:$AS$228,QUOTIENT(ROW()-1,19)+1,MOD(ROW()-2,19)+1)</f>
        <v>#N/A</v>
      </c>
      <c r="DL616" t="str">
        <f>IFERROR(INDEX(Sheet2!$AU$2:$BM$228,QUOTIENT(ROW()-1,19)+1,MOD(ROW()-2,19)+1),NA())</f>
        <v/>
      </c>
      <c r="DM616" s="4" t="e">
        <f t="shared" si="48"/>
        <v>#N/A</v>
      </c>
      <c r="DN616" t="e">
        <f t="shared" si="49"/>
        <v>#N/A</v>
      </c>
      <c r="DO616" t="e">
        <f t="shared" si="50"/>
        <v>#N/A</v>
      </c>
    </row>
    <row r="617" spans="7:119" x14ac:dyDescent="0.25">
      <c r="G617"/>
      <c r="DI617" s="4">
        <f>INDEX(Sheet2!A:A,QUOTIENT(ROW()-1,19)+2)</f>
        <v>41165</v>
      </c>
      <c r="DJ617" s="4">
        <f>INDEX(Sheet2!C:C,QUOTIENT(ROW()-1,19)+2)</f>
        <v>42004</v>
      </c>
      <c r="DK617" s="4" t="e">
        <f>INDEX(Sheet2!$AA$2:$AS$228,QUOTIENT(ROW()-1,19)+1,MOD(ROW()-2,19)+1)</f>
        <v>#N/A</v>
      </c>
      <c r="DL617" t="str">
        <f>IFERROR(INDEX(Sheet2!$AU$2:$BM$228,QUOTIENT(ROW()-1,19)+1,MOD(ROW()-2,19)+1),NA())</f>
        <v/>
      </c>
      <c r="DM617" s="4" t="e">
        <f t="shared" si="48"/>
        <v>#N/A</v>
      </c>
      <c r="DN617" t="e">
        <f t="shared" si="49"/>
        <v>#N/A</v>
      </c>
      <c r="DO617" t="e">
        <f t="shared" si="50"/>
        <v>#N/A</v>
      </c>
    </row>
    <row r="618" spans="7:119" x14ac:dyDescent="0.25">
      <c r="G618"/>
      <c r="DI618" s="4">
        <f>INDEX(Sheet2!A:A,QUOTIENT(ROW()-1,19)+2)</f>
        <v>41165</v>
      </c>
      <c r="DJ618" s="4">
        <f>INDEX(Sheet2!C:C,QUOTIENT(ROW()-1,19)+2)</f>
        <v>42004</v>
      </c>
      <c r="DK618" s="4" t="e">
        <f>INDEX(Sheet2!$AA$2:$AS$228,QUOTIENT(ROW()-1,19)+1,MOD(ROW()-2,19)+1)</f>
        <v>#N/A</v>
      </c>
      <c r="DL618" t="str">
        <f>IFERROR(INDEX(Sheet2!$AU$2:$BM$228,QUOTIENT(ROW()-1,19)+1,MOD(ROW()-2,19)+1),NA())</f>
        <v/>
      </c>
      <c r="DM618" s="4" t="e">
        <f t="shared" si="48"/>
        <v>#N/A</v>
      </c>
      <c r="DN618" t="e">
        <f t="shared" si="49"/>
        <v>#N/A</v>
      </c>
      <c r="DO618" t="e">
        <f t="shared" si="50"/>
        <v>#N/A</v>
      </c>
    </row>
    <row r="619" spans="7:119" x14ac:dyDescent="0.25">
      <c r="G619"/>
      <c r="DI619" s="4">
        <f>INDEX(Sheet2!A:A,QUOTIENT(ROW()-1,19)+2)</f>
        <v>41165</v>
      </c>
      <c r="DJ619" s="4">
        <f>INDEX(Sheet2!C:C,QUOTIENT(ROW()-1,19)+2)</f>
        <v>42004</v>
      </c>
      <c r="DK619" s="4" t="e">
        <f>INDEX(Sheet2!$AA$2:$AS$228,QUOTIENT(ROW()-1,19)+1,MOD(ROW()-2,19)+1)</f>
        <v>#N/A</v>
      </c>
      <c r="DL619" t="str">
        <f>IFERROR(INDEX(Sheet2!$AU$2:$BM$228,QUOTIENT(ROW()-1,19)+1,MOD(ROW()-2,19)+1),NA())</f>
        <v/>
      </c>
      <c r="DM619" s="4" t="e">
        <f t="shared" si="48"/>
        <v>#N/A</v>
      </c>
      <c r="DN619" t="e">
        <f t="shared" si="49"/>
        <v>#N/A</v>
      </c>
      <c r="DO619" t="e">
        <f t="shared" si="50"/>
        <v>#N/A</v>
      </c>
    </row>
    <row r="620" spans="7:119" x14ac:dyDescent="0.25">
      <c r="G620"/>
      <c r="DI620" s="4">
        <f>INDEX(Sheet2!A:A,QUOTIENT(ROW()-1,19)+2)</f>
        <v>41165</v>
      </c>
      <c r="DJ620" s="4">
        <f>INDEX(Sheet2!C:C,QUOTIENT(ROW()-1,19)+2)</f>
        <v>42004</v>
      </c>
      <c r="DK620" s="4" t="e">
        <f>INDEX(Sheet2!$AA$2:$AS$228,QUOTIENT(ROW()-1,19)+1,MOD(ROW()-2,19)+1)</f>
        <v>#N/A</v>
      </c>
      <c r="DL620" t="str">
        <f>IFERROR(INDEX(Sheet2!$AU$2:$BM$228,QUOTIENT(ROW()-1,19)+1,MOD(ROW()-2,19)+1),NA())</f>
        <v/>
      </c>
      <c r="DM620" s="4" t="e">
        <f t="shared" si="48"/>
        <v>#N/A</v>
      </c>
      <c r="DN620" t="e">
        <f t="shared" si="49"/>
        <v>#N/A</v>
      </c>
      <c r="DO620" t="e">
        <f t="shared" si="50"/>
        <v>#N/A</v>
      </c>
    </row>
    <row r="621" spans="7:119" x14ac:dyDescent="0.25">
      <c r="G621"/>
      <c r="DI621" s="4">
        <f>INDEX(Sheet2!A:A,QUOTIENT(ROW()-1,19)+2)</f>
        <v>41165</v>
      </c>
      <c r="DJ621" s="4">
        <f>INDEX(Sheet2!C:C,QUOTIENT(ROW()-1,19)+2)</f>
        <v>42004</v>
      </c>
      <c r="DK621" s="4" t="e">
        <f>INDEX(Sheet2!$AA$2:$AS$228,QUOTIENT(ROW()-1,19)+1,MOD(ROW()-2,19)+1)</f>
        <v>#N/A</v>
      </c>
      <c r="DL621" t="str">
        <f>IFERROR(INDEX(Sheet2!$AU$2:$BM$228,QUOTIENT(ROW()-1,19)+1,MOD(ROW()-2,19)+1),NA())</f>
        <v/>
      </c>
      <c r="DM621" s="4" t="e">
        <f t="shared" si="48"/>
        <v>#N/A</v>
      </c>
      <c r="DN621" t="e">
        <f t="shared" si="49"/>
        <v>#N/A</v>
      </c>
      <c r="DO621" t="e">
        <f t="shared" si="50"/>
        <v>#N/A</v>
      </c>
    </row>
    <row r="622" spans="7:119" x14ac:dyDescent="0.25">
      <c r="G622"/>
      <c r="DI622" s="4">
        <f>INDEX(Sheet2!A:A,QUOTIENT(ROW()-1,19)+2)</f>
        <v>41165</v>
      </c>
      <c r="DJ622" s="4">
        <f>INDEX(Sheet2!C:C,QUOTIENT(ROW()-1,19)+2)</f>
        <v>42004</v>
      </c>
      <c r="DK622" s="4" t="e">
        <f>INDEX(Sheet2!$AA$2:$AS$228,QUOTIENT(ROW()-1,19)+1,MOD(ROW()-2,19)+1)</f>
        <v>#N/A</v>
      </c>
      <c r="DL622" t="str">
        <f>IFERROR(INDEX(Sheet2!$AU$2:$BM$228,QUOTIENT(ROW()-1,19)+1,MOD(ROW()-2,19)+1),NA())</f>
        <v/>
      </c>
      <c r="DM622" s="4" t="e">
        <f t="shared" si="48"/>
        <v>#N/A</v>
      </c>
      <c r="DN622" t="e">
        <f t="shared" si="49"/>
        <v>#N/A</v>
      </c>
      <c r="DO622" t="e">
        <f t="shared" si="50"/>
        <v>#N/A</v>
      </c>
    </row>
    <row r="623" spans="7:119" x14ac:dyDescent="0.25">
      <c r="G623"/>
      <c r="DI623" s="4">
        <f>INDEX(Sheet2!A:A,QUOTIENT(ROW()-1,19)+2)</f>
        <v>41165</v>
      </c>
      <c r="DJ623" s="4">
        <f>INDEX(Sheet2!C:C,QUOTIENT(ROW()-1,19)+2)</f>
        <v>42004</v>
      </c>
      <c r="DK623" s="4" t="e">
        <f>INDEX(Sheet2!$AA$2:$AS$228,QUOTIENT(ROW()-1,19)+1,MOD(ROW()-2,19)+1)</f>
        <v>#N/A</v>
      </c>
      <c r="DL623" t="str">
        <f>IFERROR(INDEX(Sheet2!$AU$2:$BM$228,QUOTIENT(ROW()-1,19)+1,MOD(ROW()-2,19)+1),NA())</f>
        <v/>
      </c>
      <c r="DM623" s="4" t="e">
        <f t="shared" si="48"/>
        <v>#N/A</v>
      </c>
      <c r="DN623" t="e">
        <f t="shared" si="49"/>
        <v>#N/A</v>
      </c>
      <c r="DO623" t="e">
        <f t="shared" si="50"/>
        <v>#N/A</v>
      </c>
    </row>
    <row r="624" spans="7:119" x14ac:dyDescent="0.25">
      <c r="G624"/>
      <c r="DI624" s="4">
        <f>INDEX(Sheet2!A:A,QUOTIENT(ROW()-1,19)+2)</f>
        <v>41165</v>
      </c>
      <c r="DJ624" s="4">
        <f>INDEX(Sheet2!C:C,QUOTIENT(ROW()-1,19)+2)</f>
        <v>42004</v>
      </c>
      <c r="DK624" s="4" t="e">
        <f>INDEX(Sheet2!$AA$2:$AS$228,QUOTIENT(ROW()-1,19)+1,MOD(ROW()-2,19)+1)</f>
        <v>#N/A</v>
      </c>
      <c r="DL624" t="str">
        <f>IFERROR(INDEX(Sheet2!$AU$2:$BM$228,QUOTIENT(ROW()-1,19)+1,MOD(ROW()-2,19)+1),NA())</f>
        <v/>
      </c>
      <c r="DM624" s="4" t="e">
        <f t="shared" si="48"/>
        <v>#N/A</v>
      </c>
      <c r="DN624" t="e">
        <f t="shared" si="49"/>
        <v>#N/A</v>
      </c>
      <c r="DO624" t="e">
        <f t="shared" si="50"/>
        <v>#N/A</v>
      </c>
    </row>
    <row r="625" spans="7:119" x14ac:dyDescent="0.25">
      <c r="G625"/>
      <c r="DI625" s="4">
        <f>INDEX(Sheet2!A:A,QUOTIENT(ROW()-1,19)+2)</f>
        <v>41165</v>
      </c>
      <c r="DJ625" s="4">
        <f>INDEX(Sheet2!C:C,QUOTIENT(ROW()-1,19)+2)</f>
        <v>42004</v>
      </c>
      <c r="DK625" s="4" t="e">
        <f>INDEX(Sheet2!$AA$2:$AS$228,QUOTIENT(ROW()-1,19)+1,MOD(ROW()-2,19)+1)</f>
        <v>#N/A</v>
      </c>
      <c r="DL625" t="str">
        <f>IFERROR(INDEX(Sheet2!$AU$2:$BM$228,QUOTIENT(ROW()-1,19)+1,MOD(ROW()-2,19)+1),NA())</f>
        <v/>
      </c>
      <c r="DM625" s="4" t="e">
        <f t="shared" si="48"/>
        <v>#N/A</v>
      </c>
      <c r="DN625" t="e">
        <f t="shared" si="49"/>
        <v>#N/A</v>
      </c>
      <c r="DO625" t="e">
        <f t="shared" si="50"/>
        <v>#N/A</v>
      </c>
    </row>
    <row r="626" spans="7:119" x14ac:dyDescent="0.25">
      <c r="G626"/>
      <c r="DI626" s="4">
        <f>INDEX(Sheet2!A:A,QUOTIENT(ROW()-1,19)+2)</f>
        <v>41165</v>
      </c>
      <c r="DJ626" s="4">
        <f>INDEX(Sheet2!C:C,QUOTIENT(ROW()-1,19)+2)</f>
        <v>42004</v>
      </c>
      <c r="DK626" s="4" t="e">
        <f>INDEX(Sheet2!$AA$2:$AS$228,QUOTIENT(ROW()-1,19)+1,MOD(ROW()-2,19)+1)</f>
        <v>#N/A</v>
      </c>
      <c r="DL626" t="str">
        <f>IFERROR(INDEX(Sheet2!$AU$2:$BM$228,QUOTIENT(ROW()-1,19)+1,MOD(ROW()-2,19)+1),NA())</f>
        <v/>
      </c>
      <c r="DM626" s="4" t="e">
        <f t="shared" si="48"/>
        <v>#N/A</v>
      </c>
      <c r="DN626" t="e">
        <f t="shared" si="49"/>
        <v>#N/A</v>
      </c>
      <c r="DO626" t="e">
        <f t="shared" si="50"/>
        <v>#N/A</v>
      </c>
    </row>
    <row r="627" spans="7:119" x14ac:dyDescent="0.25">
      <c r="G627"/>
      <c r="DI627" s="4">
        <f>INDEX(Sheet2!A:A,QUOTIENT(ROW()-1,19)+2)</f>
        <v>41165</v>
      </c>
      <c r="DJ627" s="4">
        <f>INDEX(Sheet2!C:C,QUOTIENT(ROW()-1,19)+2)</f>
        <v>42004</v>
      </c>
      <c r="DK627" s="4" t="e">
        <f>INDEX(Sheet2!$AA$2:$AS$228,QUOTIENT(ROW()-1,19)+1,MOD(ROW()-2,19)+1)</f>
        <v>#N/A</v>
      </c>
      <c r="DL627" t="str">
        <f>IFERROR(INDEX(Sheet2!$AU$2:$BM$228,QUOTIENT(ROW()-1,19)+1,MOD(ROW()-2,19)+1),NA())</f>
        <v/>
      </c>
      <c r="DM627" s="4" t="e">
        <f t="shared" si="48"/>
        <v>#N/A</v>
      </c>
      <c r="DN627" t="e">
        <f t="shared" si="49"/>
        <v>#N/A</v>
      </c>
      <c r="DO627" t="e">
        <f t="shared" si="50"/>
        <v>#N/A</v>
      </c>
    </row>
    <row r="628" spans="7:119" x14ac:dyDescent="0.25">
      <c r="G628"/>
      <c r="DI628" s="4">
        <f>INDEX(Sheet2!A:A,QUOTIENT(ROW()-1,19)+2)</f>
        <v>41165</v>
      </c>
      <c r="DJ628" s="4">
        <f>INDEX(Sheet2!C:C,QUOTIENT(ROW()-1,19)+2)</f>
        <v>42004</v>
      </c>
      <c r="DK628" s="4" t="e">
        <f>INDEX(Sheet2!$AA$2:$AS$228,QUOTIENT(ROW()-1,19)+1,MOD(ROW()-2,19)+1)</f>
        <v>#N/A</v>
      </c>
      <c r="DL628" t="str">
        <f>IFERROR(INDEX(Sheet2!$AU$2:$BM$228,QUOTIENT(ROW()-1,19)+1,MOD(ROW()-2,19)+1),NA())</f>
        <v/>
      </c>
      <c r="DM628" s="4" t="e">
        <f t="shared" si="48"/>
        <v>#N/A</v>
      </c>
      <c r="DN628" t="e">
        <f t="shared" si="49"/>
        <v>#N/A</v>
      </c>
      <c r="DO628" t="e">
        <f t="shared" si="50"/>
        <v>#N/A</v>
      </c>
    </row>
    <row r="629" spans="7:119" x14ac:dyDescent="0.25">
      <c r="G629"/>
      <c r="DI629" s="4">
        <f>INDEX(Sheet2!A:A,QUOTIENT(ROW()-1,19)+2)</f>
        <v>41165</v>
      </c>
      <c r="DJ629" s="4">
        <f>INDEX(Sheet2!C:C,QUOTIENT(ROW()-1,19)+2)</f>
        <v>42004</v>
      </c>
      <c r="DK629" s="4">
        <f>INDEX(Sheet2!$AA$2:$AS$228,QUOTIENT(ROW()-1,19)+1,MOD(ROW()-2,19)+1)</f>
        <v>42004</v>
      </c>
      <c r="DL629">
        <f>IFERROR(INDEX(Sheet2!$AU$2:$BM$228,QUOTIENT(ROW()-1,19)+1,MOD(ROW()-2,19)+1),NA())</f>
        <v>2.5</v>
      </c>
      <c r="DM629" s="4" t="e">
        <f t="shared" si="48"/>
        <v>#N/A</v>
      </c>
      <c r="DN629" t="e">
        <f t="shared" si="49"/>
        <v>#N/A</v>
      </c>
      <c r="DO629" t="e">
        <f t="shared" si="50"/>
        <v>#N/A</v>
      </c>
    </row>
    <row r="630" spans="7:119" x14ac:dyDescent="0.25">
      <c r="G630"/>
      <c r="DI630" s="4">
        <f>INDEX(Sheet2!A:A,QUOTIENT(ROW()-1,19)+2)</f>
        <v>41165</v>
      </c>
      <c r="DJ630" s="4">
        <f>INDEX(Sheet2!C:C,QUOTIENT(ROW()-1,19)+2)</f>
        <v>42004</v>
      </c>
      <c r="DK630" s="4" t="e">
        <f>INDEX(Sheet2!$AA$2:$AS$228,QUOTIENT(ROW()-1,19)+1,MOD(ROW()-2,19)+1)</f>
        <v>#N/A</v>
      </c>
      <c r="DL630" t="str">
        <f>IFERROR(INDEX(Sheet2!$AU$2:$BM$228,QUOTIENT(ROW()-1,19)+1,MOD(ROW()-2,19)+1),NA())</f>
        <v/>
      </c>
      <c r="DM630" s="4" t="e">
        <f t="shared" si="48"/>
        <v>#N/A</v>
      </c>
      <c r="DN630" t="e">
        <f t="shared" si="49"/>
        <v>#N/A</v>
      </c>
      <c r="DO630" t="e">
        <f t="shared" si="50"/>
        <v>#N/A</v>
      </c>
    </row>
    <row r="631" spans="7:119" x14ac:dyDescent="0.25">
      <c r="G631"/>
      <c r="DI631" s="4">
        <f>INDEX(Sheet2!A:A,QUOTIENT(ROW()-1,19)+2)</f>
        <v>41165</v>
      </c>
      <c r="DJ631" s="4">
        <f>INDEX(Sheet2!C:C,QUOTIENT(ROW()-1,19)+2)</f>
        <v>42004</v>
      </c>
      <c r="DK631" s="4" t="e">
        <f>INDEX(Sheet2!$AA$2:$AS$228,QUOTIENT(ROW()-1,19)+1,MOD(ROW()-2,19)+1)</f>
        <v>#N/A</v>
      </c>
      <c r="DL631" t="str">
        <f>IFERROR(INDEX(Sheet2!$AU$2:$BM$228,QUOTIENT(ROW()-1,19)+1,MOD(ROW()-2,19)+1),NA())</f>
        <v/>
      </c>
      <c r="DM631" s="4" t="e">
        <f t="shared" si="48"/>
        <v>#N/A</v>
      </c>
      <c r="DN631" t="e">
        <f t="shared" si="49"/>
        <v>#N/A</v>
      </c>
      <c r="DO631" t="e">
        <f t="shared" si="50"/>
        <v>#N/A</v>
      </c>
    </row>
    <row r="632" spans="7:119" x14ac:dyDescent="0.25">
      <c r="G632"/>
      <c r="DI632" s="4">
        <f>INDEX(Sheet2!A:A,QUOTIENT(ROW()-1,19)+2)</f>
        <v>41165</v>
      </c>
      <c r="DJ632" s="4">
        <f>INDEX(Sheet2!C:C,QUOTIENT(ROW()-1,19)+2)</f>
        <v>42004</v>
      </c>
      <c r="DK632" s="4" t="e">
        <f>INDEX(Sheet2!$AA$2:$AS$228,QUOTIENT(ROW()-1,19)+1,MOD(ROW()-2,19)+1)</f>
        <v>#N/A</v>
      </c>
      <c r="DL632" t="str">
        <f>IFERROR(INDEX(Sheet2!$AU$2:$BM$228,QUOTIENT(ROW()-1,19)+1,MOD(ROW()-2,19)+1),NA())</f>
        <v/>
      </c>
      <c r="DM632" s="4" t="e">
        <f t="shared" si="48"/>
        <v>#N/A</v>
      </c>
      <c r="DN632" t="e">
        <f t="shared" si="49"/>
        <v>#N/A</v>
      </c>
      <c r="DO632" t="e">
        <f t="shared" si="50"/>
        <v>#N/A</v>
      </c>
    </row>
    <row r="633" spans="7:119" x14ac:dyDescent="0.25">
      <c r="G633"/>
      <c r="DI633" s="4">
        <f>INDEX(Sheet2!A:A,QUOTIENT(ROW()-1,19)+2)</f>
        <v>41165</v>
      </c>
      <c r="DJ633" s="4">
        <f>INDEX(Sheet2!C:C,QUOTIENT(ROW()-1,19)+2)</f>
        <v>42004</v>
      </c>
      <c r="DK633" s="4" t="e">
        <f>INDEX(Sheet2!$AA$2:$AS$228,QUOTIENT(ROW()-1,19)+1,MOD(ROW()-2,19)+1)</f>
        <v>#N/A</v>
      </c>
      <c r="DL633" t="str">
        <f>IFERROR(INDEX(Sheet2!$AU$2:$BM$228,QUOTIENT(ROW()-1,19)+1,MOD(ROW()-2,19)+1),NA())</f>
        <v/>
      </c>
      <c r="DM633" s="4" t="e">
        <f t="shared" si="48"/>
        <v>#N/A</v>
      </c>
      <c r="DN633" t="e">
        <f t="shared" si="49"/>
        <v>#N/A</v>
      </c>
      <c r="DO633" t="e">
        <f t="shared" si="50"/>
        <v>#N/A</v>
      </c>
    </row>
    <row r="634" spans="7:119" x14ac:dyDescent="0.25">
      <c r="G634"/>
      <c r="DI634" s="4">
        <f>INDEX(Sheet2!A:A,QUOTIENT(ROW()-1,19)+2)</f>
        <v>41165</v>
      </c>
      <c r="DJ634" s="4">
        <f>INDEX(Sheet2!C:C,QUOTIENT(ROW()-1,19)+2)</f>
        <v>42004</v>
      </c>
      <c r="DK634" s="4" t="e">
        <f>INDEX(Sheet2!$AA$2:$AS$228,QUOTIENT(ROW()-1,19)+1,MOD(ROW()-2,19)+1)</f>
        <v>#N/A</v>
      </c>
      <c r="DL634" t="str">
        <f>IFERROR(INDEX(Sheet2!$AU$2:$BM$228,QUOTIENT(ROW()-1,19)+1,MOD(ROW()-2,19)+1),NA())</f>
        <v/>
      </c>
      <c r="DM634" s="4" t="e">
        <f t="shared" si="48"/>
        <v>#N/A</v>
      </c>
      <c r="DN634" t="e">
        <f t="shared" si="49"/>
        <v>#N/A</v>
      </c>
      <c r="DO634" t="e">
        <f t="shared" si="50"/>
        <v>#N/A</v>
      </c>
    </row>
    <row r="635" spans="7:119" x14ac:dyDescent="0.25">
      <c r="G635"/>
      <c r="DI635" s="4">
        <f>INDEX(Sheet2!A:A,QUOTIENT(ROW()-1,19)+2)</f>
        <v>41165</v>
      </c>
      <c r="DJ635" s="4">
        <f>INDEX(Sheet2!C:C,QUOTIENT(ROW()-1,19)+2)</f>
        <v>42004</v>
      </c>
      <c r="DK635" s="4" t="e">
        <f>INDEX(Sheet2!$AA$2:$AS$228,QUOTIENT(ROW()-1,19)+1,MOD(ROW()-2,19)+1)</f>
        <v>#N/A</v>
      </c>
      <c r="DL635" t="str">
        <f>IFERROR(INDEX(Sheet2!$AU$2:$BM$228,QUOTIENT(ROW()-1,19)+1,MOD(ROW()-2,19)+1),NA())</f>
        <v/>
      </c>
      <c r="DM635" s="4" t="e">
        <f t="shared" si="48"/>
        <v>#N/A</v>
      </c>
      <c r="DN635" t="e">
        <f t="shared" si="49"/>
        <v>#N/A</v>
      </c>
      <c r="DO635" t="e">
        <f t="shared" si="50"/>
        <v>#N/A</v>
      </c>
    </row>
    <row r="636" spans="7:119" x14ac:dyDescent="0.25">
      <c r="G636"/>
      <c r="DI636" s="4">
        <f>INDEX(Sheet2!A:A,QUOTIENT(ROW()-1,19)+2)</f>
        <v>41165</v>
      </c>
      <c r="DJ636" s="4">
        <f>INDEX(Sheet2!C:C,QUOTIENT(ROW()-1,19)+2)</f>
        <v>42004</v>
      </c>
      <c r="DK636" s="4" t="e">
        <f>INDEX(Sheet2!$AA$2:$AS$228,QUOTIENT(ROW()-1,19)+1,MOD(ROW()-2,19)+1)</f>
        <v>#N/A</v>
      </c>
      <c r="DL636" t="str">
        <f>IFERROR(INDEX(Sheet2!$AU$2:$BM$228,QUOTIENT(ROW()-1,19)+1,MOD(ROW()-2,19)+1),NA())</f>
        <v/>
      </c>
      <c r="DM636" s="4" t="e">
        <f t="shared" si="48"/>
        <v>#N/A</v>
      </c>
      <c r="DN636" t="e">
        <f t="shared" si="49"/>
        <v>#N/A</v>
      </c>
      <c r="DO636" t="e">
        <f t="shared" si="50"/>
        <v>#N/A</v>
      </c>
    </row>
    <row r="637" spans="7:119" x14ac:dyDescent="0.25">
      <c r="G637"/>
      <c r="DI637" s="4">
        <f>INDEX(Sheet2!A:A,QUOTIENT(ROW()-1,19)+2)</f>
        <v>41165</v>
      </c>
      <c r="DJ637" s="4">
        <f>INDEX(Sheet2!C:C,QUOTIENT(ROW()-1,19)+2)</f>
        <v>42004</v>
      </c>
      <c r="DK637" s="4" t="e">
        <f>INDEX(Sheet2!$AA$2:$AS$228,QUOTIENT(ROW()-1,19)+1,MOD(ROW()-2,19)+1)</f>
        <v>#N/A</v>
      </c>
      <c r="DL637" t="str">
        <f>IFERROR(INDEX(Sheet2!$AU$2:$BM$228,QUOTIENT(ROW()-1,19)+1,MOD(ROW()-2,19)+1),NA())</f>
        <v/>
      </c>
      <c r="DM637" s="4" t="e">
        <f t="shared" si="48"/>
        <v>#N/A</v>
      </c>
      <c r="DN637" t="e">
        <f t="shared" si="49"/>
        <v>#N/A</v>
      </c>
      <c r="DO637" t="e">
        <f t="shared" si="50"/>
        <v>#N/A</v>
      </c>
    </row>
    <row r="638" spans="7:119" x14ac:dyDescent="0.25">
      <c r="G638"/>
      <c r="DI638" s="4">
        <f>INDEX(Sheet2!A:A,QUOTIENT(ROW()-1,19)+2)</f>
        <v>41165</v>
      </c>
      <c r="DJ638" s="4">
        <f>INDEX(Sheet2!C:C,QUOTIENT(ROW()-1,19)+2)</f>
        <v>42004</v>
      </c>
      <c r="DK638" s="4" t="e">
        <f>INDEX(Sheet2!$AA$2:$AS$228,QUOTIENT(ROW()-1,19)+1,MOD(ROW()-2,19)+1)</f>
        <v>#N/A</v>
      </c>
      <c r="DL638" t="str">
        <f>IFERROR(INDEX(Sheet2!$AU$2:$BM$228,QUOTIENT(ROW()-1,19)+1,MOD(ROW()-2,19)+1),NA())</f>
        <v/>
      </c>
      <c r="DM638" s="4" t="e">
        <f t="shared" si="48"/>
        <v>#N/A</v>
      </c>
      <c r="DN638" t="e">
        <f t="shared" si="49"/>
        <v>#N/A</v>
      </c>
      <c r="DO638" t="e">
        <f t="shared" si="50"/>
        <v>#N/A</v>
      </c>
    </row>
    <row r="639" spans="7:119" x14ac:dyDescent="0.25">
      <c r="G639"/>
      <c r="DI639" s="4">
        <f>INDEX(Sheet2!A:A,QUOTIENT(ROW()-1,19)+2)</f>
        <v>41165</v>
      </c>
      <c r="DJ639" s="4">
        <f>INDEX(Sheet2!C:C,QUOTIENT(ROW()-1,19)+2)</f>
        <v>42004</v>
      </c>
      <c r="DK639" s="4" t="e">
        <f>INDEX(Sheet2!$AA$2:$AS$228,QUOTIENT(ROW()-1,19)+1,MOD(ROW()-2,19)+1)</f>
        <v>#N/A</v>
      </c>
      <c r="DL639" t="str">
        <f>IFERROR(INDEX(Sheet2!$AU$2:$BM$228,QUOTIENT(ROW()-1,19)+1,MOD(ROW()-2,19)+1),NA())</f>
        <v/>
      </c>
      <c r="DM639" s="4" t="e">
        <f t="shared" si="48"/>
        <v>#N/A</v>
      </c>
      <c r="DN639" t="e">
        <f t="shared" si="49"/>
        <v>#N/A</v>
      </c>
      <c r="DO639" t="e">
        <f t="shared" si="50"/>
        <v>#N/A</v>
      </c>
    </row>
    <row r="640" spans="7:119" x14ac:dyDescent="0.25">
      <c r="G640"/>
      <c r="DI640" s="4">
        <f>INDEX(Sheet2!A:A,QUOTIENT(ROW()-1,19)+2)</f>
        <v>41165</v>
      </c>
      <c r="DJ640" s="4">
        <f>INDEX(Sheet2!C:C,QUOTIENT(ROW()-1,19)+2)</f>
        <v>42004</v>
      </c>
      <c r="DK640" s="4" t="e">
        <f>INDEX(Sheet2!$AA$2:$AS$228,QUOTIENT(ROW()-1,19)+1,MOD(ROW()-2,19)+1)</f>
        <v>#N/A</v>
      </c>
      <c r="DL640" t="str">
        <f>IFERROR(INDEX(Sheet2!$AU$2:$BM$228,QUOTIENT(ROW()-1,19)+1,MOD(ROW()-2,19)+1),NA())</f>
        <v/>
      </c>
      <c r="DM640" s="4" t="e">
        <f t="shared" si="48"/>
        <v>#N/A</v>
      </c>
      <c r="DN640" t="e">
        <f t="shared" si="49"/>
        <v>#N/A</v>
      </c>
      <c r="DO640" t="e">
        <f t="shared" si="50"/>
        <v>#N/A</v>
      </c>
    </row>
    <row r="641" spans="7:119" x14ac:dyDescent="0.25">
      <c r="G641"/>
      <c r="DI641" s="4">
        <f>INDEX(Sheet2!A:A,QUOTIENT(ROW()-1,19)+2)</f>
        <v>41165</v>
      </c>
      <c r="DJ641" s="4">
        <f>INDEX(Sheet2!C:C,QUOTIENT(ROW()-1,19)+2)</f>
        <v>42004</v>
      </c>
      <c r="DK641" s="4" t="e">
        <f>INDEX(Sheet2!$AA$2:$AS$228,QUOTIENT(ROW()-1,19)+1,MOD(ROW()-2,19)+1)</f>
        <v>#N/A</v>
      </c>
      <c r="DL641" t="str">
        <f>IFERROR(INDEX(Sheet2!$AU$2:$BM$228,QUOTIENT(ROW()-1,19)+1,MOD(ROW()-2,19)+1),NA())</f>
        <v/>
      </c>
      <c r="DM641" s="4" t="e">
        <f t="shared" si="48"/>
        <v>#N/A</v>
      </c>
      <c r="DN641" t="e">
        <f t="shared" si="49"/>
        <v>#N/A</v>
      </c>
      <c r="DO641" t="e">
        <f t="shared" si="50"/>
        <v>#N/A</v>
      </c>
    </row>
    <row r="642" spans="7:119" x14ac:dyDescent="0.25">
      <c r="G642"/>
      <c r="DI642" s="4">
        <f>INDEX(Sheet2!A:A,QUOTIENT(ROW()-1,19)+2)</f>
        <v>41165</v>
      </c>
      <c r="DJ642" s="4">
        <f>INDEX(Sheet2!C:C,QUOTIENT(ROW()-1,19)+2)</f>
        <v>42004</v>
      </c>
      <c r="DK642" s="4" t="e">
        <f>INDEX(Sheet2!$AA$2:$AS$228,QUOTIENT(ROW()-1,19)+1,MOD(ROW()-2,19)+1)</f>
        <v>#N/A</v>
      </c>
      <c r="DL642" t="str">
        <f>IFERROR(INDEX(Sheet2!$AU$2:$BM$228,QUOTIENT(ROW()-1,19)+1,MOD(ROW()-2,19)+1),NA())</f>
        <v/>
      </c>
      <c r="DM642" s="4" t="e">
        <f t="shared" ref="DM642:DM705" si="51">+IF($C$2=$DI642,DK642,NA())</f>
        <v>#N/A</v>
      </c>
      <c r="DN642" t="e">
        <f t="shared" ref="DN642:DN705" si="52">+IF($C$2=$DI642,DL642,NA())</f>
        <v>#N/A</v>
      </c>
      <c r="DO642" t="e">
        <f t="shared" si="50"/>
        <v>#N/A</v>
      </c>
    </row>
    <row r="643" spans="7:119" x14ac:dyDescent="0.25">
      <c r="G643"/>
      <c r="DI643" s="4">
        <f>INDEX(Sheet2!A:A,QUOTIENT(ROW()-1,19)+2)</f>
        <v>41165</v>
      </c>
      <c r="DJ643" s="4">
        <f>INDEX(Sheet2!C:C,QUOTIENT(ROW()-1,19)+2)</f>
        <v>42004</v>
      </c>
      <c r="DK643" s="4" t="e">
        <f>INDEX(Sheet2!$AA$2:$AS$228,QUOTIENT(ROW()-1,19)+1,MOD(ROW()-2,19)+1)</f>
        <v>#N/A</v>
      </c>
      <c r="DL643" t="str">
        <f>IFERROR(INDEX(Sheet2!$AU$2:$BM$228,QUOTIENT(ROW()-1,19)+1,MOD(ROW()-2,19)+1),NA())</f>
        <v/>
      </c>
      <c r="DM643" s="4" t="e">
        <f t="shared" si="51"/>
        <v>#N/A</v>
      </c>
      <c r="DN643" t="e">
        <f t="shared" si="52"/>
        <v>#N/A</v>
      </c>
      <c r="DO643" t="e">
        <f t="shared" ref="DO643:DO706" si="53">IF(DN643="",NA(),DN643)</f>
        <v>#N/A</v>
      </c>
    </row>
    <row r="644" spans="7:119" x14ac:dyDescent="0.25">
      <c r="G644"/>
      <c r="DI644" s="4">
        <f>INDEX(Sheet2!A:A,QUOTIENT(ROW()-1,19)+2)</f>
        <v>41165</v>
      </c>
      <c r="DJ644" s="4">
        <f>INDEX(Sheet2!C:C,QUOTIENT(ROW()-1,19)+2)</f>
        <v>42004</v>
      </c>
      <c r="DK644" s="4" t="e">
        <f>INDEX(Sheet2!$AA$2:$AS$228,QUOTIENT(ROW()-1,19)+1,MOD(ROW()-2,19)+1)</f>
        <v>#N/A</v>
      </c>
      <c r="DL644" t="str">
        <f>IFERROR(INDEX(Sheet2!$AU$2:$BM$228,QUOTIENT(ROW()-1,19)+1,MOD(ROW()-2,19)+1),NA())</f>
        <v/>
      </c>
      <c r="DM644" s="4" t="e">
        <f t="shared" si="51"/>
        <v>#N/A</v>
      </c>
      <c r="DN644" t="e">
        <f t="shared" si="52"/>
        <v>#N/A</v>
      </c>
      <c r="DO644" t="e">
        <f t="shared" si="53"/>
        <v>#N/A</v>
      </c>
    </row>
    <row r="645" spans="7:119" x14ac:dyDescent="0.25">
      <c r="G645"/>
      <c r="DI645" s="4">
        <f>INDEX(Sheet2!A:A,QUOTIENT(ROW()-1,19)+2)</f>
        <v>41165</v>
      </c>
      <c r="DJ645" s="4">
        <f>INDEX(Sheet2!C:C,QUOTIENT(ROW()-1,19)+2)</f>
        <v>42004</v>
      </c>
      <c r="DK645" s="4" t="e">
        <f>INDEX(Sheet2!$AA$2:$AS$228,QUOTIENT(ROW()-1,19)+1,MOD(ROW()-2,19)+1)</f>
        <v>#N/A</v>
      </c>
      <c r="DL645" t="str">
        <f>IFERROR(INDEX(Sheet2!$AU$2:$BM$228,QUOTIENT(ROW()-1,19)+1,MOD(ROW()-2,19)+1),NA())</f>
        <v/>
      </c>
      <c r="DM645" s="4" t="e">
        <f t="shared" si="51"/>
        <v>#N/A</v>
      </c>
      <c r="DN645" t="e">
        <f t="shared" si="52"/>
        <v>#N/A</v>
      </c>
      <c r="DO645" t="e">
        <f t="shared" si="53"/>
        <v>#N/A</v>
      </c>
    </row>
    <row r="646" spans="7:119" x14ac:dyDescent="0.25">
      <c r="G646"/>
      <c r="DI646" s="4">
        <f>INDEX(Sheet2!A:A,QUOTIENT(ROW()-1,19)+2)</f>
        <v>41165</v>
      </c>
      <c r="DJ646" s="4">
        <f>INDEX(Sheet2!C:C,QUOTIENT(ROW()-1,19)+2)</f>
        <v>42004</v>
      </c>
      <c r="DK646" s="4" t="e">
        <f>INDEX(Sheet2!$AA$2:$AS$228,QUOTIENT(ROW()-1,19)+1,MOD(ROW()-2,19)+1)</f>
        <v>#N/A</v>
      </c>
      <c r="DL646" t="str">
        <f>IFERROR(INDEX(Sheet2!$AU$2:$BM$228,QUOTIENT(ROW()-1,19)+1,MOD(ROW()-2,19)+1),NA())</f>
        <v/>
      </c>
      <c r="DM646" s="4" t="e">
        <f t="shared" si="51"/>
        <v>#N/A</v>
      </c>
      <c r="DN646" t="e">
        <f t="shared" si="52"/>
        <v>#N/A</v>
      </c>
      <c r="DO646" t="e">
        <f t="shared" si="53"/>
        <v>#N/A</v>
      </c>
    </row>
    <row r="647" spans="7:119" x14ac:dyDescent="0.25">
      <c r="G647"/>
      <c r="DI647" s="4">
        <f>INDEX(Sheet2!A:A,QUOTIENT(ROW()-1,19)+2)</f>
        <v>41165</v>
      </c>
      <c r="DJ647" s="4">
        <f>INDEX(Sheet2!C:C,QUOTIENT(ROW()-1,19)+2)</f>
        <v>42004</v>
      </c>
      <c r="DK647" s="4" t="e">
        <f>INDEX(Sheet2!$AA$2:$AS$228,QUOTIENT(ROW()-1,19)+1,MOD(ROW()-2,19)+1)</f>
        <v>#N/A</v>
      </c>
      <c r="DL647" t="str">
        <f>IFERROR(INDEX(Sheet2!$AU$2:$BM$228,QUOTIENT(ROW()-1,19)+1,MOD(ROW()-2,19)+1),NA())</f>
        <v/>
      </c>
      <c r="DM647" s="4" t="e">
        <f t="shared" si="51"/>
        <v>#N/A</v>
      </c>
      <c r="DN647" t="e">
        <f t="shared" si="52"/>
        <v>#N/A</v>
      </c>
      <c r="DO647" t="e">
        <f t="shared" si="53"/>
        <v>#N/A</v>
      </c>
    </row>
    <row r="648" spans="7:119" x14ac:dyDescent="0.25">
      <c r="G648"/>
      <c r="DI648" s="4">
        <f>INDEX(Sheet2!A:A,QUOTIENT(ROW()-1,19)+2)</f>
        <v>41165</v>
      </c>
      <c r="DJ648" s="4">
        <f>INDEX(Sheet2!C:C,QUOTIENT(ROW()-1,19)+2)</f>
        <v>42004</v>
      </c>
      <c r="DK648" s="4">
        <f>INDEX(Sheet2!$AA$2:$AS$228,QUOTIENT(ROW()-1,19)+1,MOD(ROW()-2,19)+1)</f>
        <v>42004</v>
      </c>
      <c r="DL648">
        <f>IFERROR(INDEX(Sheet2!$AU$2:$BM$228,QUOTIENT(ROW()-1,19)+1,MOD(ROW()-2,19)+1),NA())</f>
        <v>3</v>
      </c>
      <c r="DM648" s="4" t="e">
        <f t="shared" si="51"/>
        <v>#N/A</v>
      </c>
      <c r="DN648" t="e">
        <f t="shared" si="52"/>
        <v>#N/A</v>
      </c>
      <c r="DO648" t="e">
        <f t="shared" si="53"/>
        <v>#N/A</v>
      </c>
    </row>
    <row r="649" spans="7:119" x14ac:dyDescent="0.25">
      <c r="G649"/>
      <c r="DI649" s="4">
        <f>INDEX(Sheet2!A:A,QUOTIENT(ROW()-1,19)+2)</f>
        <v>41165</v>
      </c>
      <c r="DJ649" s="4">
        <f>INDEX(Sheet2!C:C,QUOTIENT(ROW()-1,19)+2)</f>
        <v>42004</v>
      </c>
      <c r="DK649" s="4" t="e">
        <f>INDEX(Sheet2!$AA$2:$AS$228,QUOTIENT(ROW()-1,19)+1,MOD(ROW()-2,19)+1)</f>
        <v>#N/A</v>
      </c>
      <c r="DL649" t="str">
        <f>IFERROR(INDEX(Sheet2!$AU$2:$BM$228,QUOTIENT(ROW()-1,19)+1,MOD(ROW()-2,19)+1),NA())</f>
        <v/>
      </c>
      <c r="DM649" s="4" t="e">
        <f t="shared" si="51"/>
        <v>#N/A</v>
      </c>
      <c r="DN649" t="e">
        <f t="shared" si="52"/>
        <v>#N/A</v>
      </c>
      <c r="DO649" t="e">
        <f t="shared" si="53"/>
        <v>#N/A</v>
      </c>
    </row>
    <row r="650" spans="7:119" x14ac:dyDescent="0.25">
      <c r="G650"/>
      <c r="DI650" s="4">
        <f>INDEX(Sheet2!A:A,QUOTIENT(ROW()-1,19)+2)</f>
        <v>41165</v>
      </c>
      <c r="DJ650" s="4">
        <f>INDEX(Sheet2!C:C,QUOTIENT(ROW()-1,19)+2)</f>
        <v>42004</v>
      </c>
      <c r="DK650" s="4" t="e">
        <f>INDEX(Sheet2!$AA$2:$AS$228,QUOTIENT(ROW()-1,19)+1,MOD(ROW()-2,19)+1)</f>
        <v>#N/A</v>
      </c>
      <c r="DL650" t="str">
        <f>IFERROR(INDEX(Sheet2!$AU$2:$BM$228,QUOTIENT(ROW()-1,19)+1,MOD(ROW()-2,19)+1),NA())</f>
        <v/>
      </c>
      <c r="DM650" s="4" t="e">
        <f t="shared" si="51"/>
        <v>#N/A</v>
      </c>
      <c r="DN650" t="e">
        <f t="shared" si="52"/>
        <v>#N/A</v>
      </c>
      <c r="DO650" t="e">
        <f t="shared" si="53"/>
        <v>#N/A</v>
      </c>
    </row>
    <row r="651" spans="7:119" x14ac:dyDescent="0.25">
      <c r="G651"/>
      <c r="DI651" s="4">
        <f>INDEX(Sheet2!A:A,QUOTIENT(ROW()-1,19)+2)</f>
        <v>41165</v>
      </c>
      <c r="DJ651" s="4">
        <f>INDEX(Sheet2!C:C,QUOTIENT(ROW()-1,19)+2)</f>
        <v>42004</v>
      </c>
      <c r="DK651" s="4" t="e">
        <f>INDEX(Sheet2!$AA$2:$AS$228,QUOTIENT(ROW()-1,19)+1,MOD(ROW()-2,19)+1)</f>
        <v>#N/A</v>
      </c>
      <c r="DL651" t="str">
        <f>IFERROR(INDEX(Sheet2!$AU$2:$BM$228,QUOTIENT(ROW()-1,19)+1,MOD(ROW()-2,19)+1),NA())</f>
        <v/>
      </c>
      <c r="DM651" s="4" t="e">
        <f t="shared" si="51"/>
        <v>#N/A</v>
      </c>
      <c r="DN651" t="e">
        <f t="shared" si="52"/>
        <v>#N/A</v>
      </c>
      <c r="DO651" t="e">
        <f t="shared" si="53"/>
        <v>#N/A</v>
      </c>
    </row>
    <row r="652" spans="7:119" x14ac:dyDescent="0.25">
      <c r="G652"/>
      <c r="DI652" s="4">
        <f>INDEX(Sheet2!A:A,QUOTIENT(ROW()-1,19)+2)</f>
        <v>41165</v>
      </c>
      <c r="DJ652" s="4">
        <f>INDEX(Sheet2!C:C,QUOTIENT(ROW()-1,19)+2)</f>
        <v>42004</v>
      </c>
      <c r="DK652" s="4" t="e">
        <f>INDEX(Sheet2!$AA$2:$AS$228,QUOTIENT(ROW()-1,19)+1,MOD(ROW()-2,19)+1)</f>
        <v>#N/A</v>
      </c>
      <c r="DL652" t="str">
        <f>IFERROR(INDEX(Sheet2!$AU$2:$BM$228,QUOTIENT(ROW()-1,19)+1,MOD(ROW()-2,19)+1),NA())</f>
        <v/>
      </c>
      <c r="DM652" s="4" t="e">
        <f t="shared" si="51"/>
        <v>#N/A</v>
      </c>
      <c r="DN652" t="e">
        <f t="shared" si="52"/>
        <v>#N/A</v>
      </c>
      <c r="DO652" t="e">
        <f t="shared" si="53"/>
        <v>#N/A</v>
      </c>
    </row>
    <row r="653" spans="7:119" x14ac:dyDescent="0.25">
      <c r="G653"/>
      <c r="DI653" s="4">
        <f>INDEX(Sheet2!A:A,QUOTIENT(ROW()-1,19)+2)</f>
        <v>41165</v>
      </c>
      <c r="DJ653" s="4">
        <f>INDEX(Sheet2!C:C,QUOTIENT(ROW()-1,19)+2)</f>
        <v>42004</v>
      </c>
      <c r="DK653" s="4" t="e">
        <f>INDEX(Sheet2!$AA$2:$AS$228,QUOTIENT(ROW()-1,19)+1,MOD(ROW()-2,19)+1)</f>
        <v>#N/A</v>
      </c>
      <c r="DL653" t="str">
        <f>IFERROR(INDEX(Sheet2!$AU$2:$BM$228,QUOTIENT(ROW()-1,19)+1,MOD(ROW()-2,19)+1),NA())</f>
        <v/>
      </c>
      <c r="DM653" s="4" t="e">
        <f t="shared" si="51"/>
        <v>#N/A</v>
      </c>
      <c r="DN653" t="e">
        <f t="shared" si="52"/>
        <v>#N/A</v>
      </c>
      <c r="DO653" t="e">
        <f t="shared" si="53"/>
        <v>#N/A</v>
      </c>
    </row>
    <row r="654" spans="7:119" x14ac:dyDescent="0.25">
      <c r="G654"/>
      <c r="DI654" s="4">
        <f>INDEX(Sheet2!A:A,QUOTIENT(ROW()-1,19)+2)</f>
        <v>41165</v>
      </c>
      <c r="DJ654" s="4">
        <f>INDEX(Sheet2!C:C,QUOTIENT(ROW()-1,19)+2)</f>
        <v>42004</v>
      </c>
      <c r="DK654" s="4" t="e">
        <f>INDEX(Sheet2!$AA$2:$AS$228,QUOTIENT(ROW()-1,19)+1,MOD(ROW()-2,19)+1)</f>
        <v>#N/A</v>
      </c>
      <c r="DL654" t="str">
        <f>IFERROR(INDEX(Sheet2!$AU$2:$BM$228,QUOTIENT(ROW()-1,19)+1,MOD(ROW()-2,19)+1),NA())</f>
        <v/>
      </c>
      <c r="DM654" s="4" t="e">
        <f t="shared" si="51"/>
        <v>#N/A</v>
      </c>
      <c r="DN654" t="e">
        <f t="shared" si="52"/>
        <v>#N/A</v>
      </c>
      <c r="DO654" t="e">
        <f t="shared" si="53"/>
        <v>#N/A</v>
      </c>
    </row>
    <row r="655" spans="7:119" x14ac:dyDescent="0.25">
      <c r="G655"/>
      <c r="DI655" s="4">
        <f>INDEX(Sheet2!A:A,QUOTIENT(ROW()-1,19)+2)</f>
        <v>41165</v>
      </c>
      <c r="DJ655" s="4">
        <f>INDEX(Sheet2!C:C,QUOTIENT(ROW()-1,19)+2)</f>
        <v>42004</v>
      </c>
      <c r="DK655" s="4" t="e">
        <f>INDEX(Sheet2!$AA$2:$AS$228,QUOTIENT(ROW()-1,19)+1,MOD(ROW()-2,19)+1)</f>
        <v>#N/A</v>
      </c>
      <c r="DL655" t="str">
        <f>IFERROR(INDEX(Sheet2!$AU$2:$BM$228,QUOTIENT(ROW()-1,19)+1,MOD(ROW()-2,19)+1),NA())</f>
        <v/>
      </c>
      <c r="DM655" s="4" t="e">
        <f t="shared" si="51"/>
        <v>#N/A</v>
      </c>
      <c r="DN655" t="e">
        <f t="shared" si="52"/>
        <v>#N/A</v>
      </c>
      <c r="DO655" t="e">
        <f t="shared" si="53"/>
        <v>#N/A</v>
      </c>
    </row>
    <row r="656" spans="7:119" x14ac:dyDescent="0.25">
      <c r="G656"/>
      <c r="DI656" s="4">
        <f>INDEX(Sheet2!A:A,QUOTIENT(ROW()-1,19)+2)</f>
        <v>41165</v>
      </c>
      <c r="DJ656" s="4">
        <f>INDEX(Sheet2!C:C,QUOTIENT(ROW()-1,19)+2)</f>
        <v>42004</v>
      </c>
      <c r="DK656" s="4" t="e">
        <f>INDEX(Sheet2!$AA$2:$AS$228,QUOTIENT(ROW()-1,19)+1,MOD(ROW()-2,19)+1)</f>
        <v>#N/A</v>
      </c>
      <c r="DL656" t="str">
        <f>IFERROR(INDEX(Sheet2!$AU$2:$BM$228,QUOTIENT(ROW()-1,19)+1,MOD(ROW()-2,19)+1),NA())</f>
        <v/>
      </c>
      <c r="DM656" s="4" t="e">
        <f t="shared" si="51"/>
        <v>#N/A</v>
      </c>
      <c r="DN656" t="e">
        <f t="shared" si="52"/>
        <v>#N/A</v>
      </c>
      <c r="DO656" t="e">
        <f t="shared" si="53"/>
        <v>#N/A</v>
      </c>
    </row>
    <row r="657" spans="7:119" x14ac:dyDescent="0.25">
      <c r="G657"/>
      <c r="DI657" s="4">
        <f>INDEX(Sheet2!A:A,QUOTIENT(ROW()-1,19)+2)</f>
        <v>41165</v>
      </c>
      <c r="DJ657" s="4">
        <f>INDEX(Sheet2!C:C,QUOTIENT(ROW()-1,19)+2)</f>
        <v>42004</v>
      </c>
      <c r="DK657" s="4" t="e">
        <f>INDEX(Sheet2!$AA$2:$AS$228,QUOTIENT(ROW()-1,19)+1,MOD(ROW()-2,19)+1)</f>
        <v>#N/A</v>
      </c>
      <c r="DL657" t="str">
        <f>IFERROR(INDEX(Sheet2!$AU$2:$BM$228,QUOTIENT(ROW()-1,19)+1,MOD(ROW()-2,19)+1),NA())</f>
        <v/>
      </c>
      <c r="DM657" s="4" t="e">
        <f t="shared" si="51"/>
        <v>#N/A</v>
      </c>
      <c r="DN657" t="e">
        <f t="shared" si="52"/>
        <v>#N/A</v>
      </c>
      <c r="DO657" t="e">
        <f t="shared" si="53"/>
        <v>#N/A</v>
      </c>
    </row>
    <row r="658" spans="7:119" x14ac:dyDescent="0.25">
      <c r="G658"/>
      <c r="DI658" s="4">
        <f>INDEX(Sheet2!A:A,QUOTIENT(ROW()-1,19)+2)</f>
        <v>41165</v>
      </c>
      <c r="DJ658" s="4">
        <f>INDEX(Sheet2!C:C,QUOTIENT(ROW()-1,19)+2)</f>
        <v>42004</v>
      </c>
      <c r="DK658" s="4" t="e">
        <f>INDEX(Sheet2!$AA$2:$AS$228,QUOTIENT(ROW()-1,19)+1,MOD(ROW()-2,19)+1)</f>
        <v>#N/A</v>
      </c>
      <c r="DL658" t="str">
        <f>IFERROR(INDEX(Sheet2!$AU$2:$BM$228,QUOTIENT(ROW()-1,19)+1,MOD(ROW()-2,19)+1),NA())</f>
        <v/>
      </c>
      <c r="DM658" s="4" t="e">
        <f t="shared" si="51"/>
        <v>#N/A</v>
      </c>
      <c r="DN658" t="e">
        <f t="shared" si="52"/>
        <v>#N/A</v>
      </c>
      <c r="DO658" t="e">
        <f t="shared" si="53"/>
        <v>#N/A</v>
      </c>
    </row>
    <row r="659" spans="7:119" x14ac:dyDescent="0.25">
      <c r="G659"/>
      <c r="DI659" s="4">
        <f>INDEX(Sheet2!A:A,QUOTIENT(ROW()-1,19)+2)</f>
        <v>41165</v>
      </c>
      <c r="DJ659" s="4">
        <f>INDEX(Sheet2!C:C,QUOTIENT(ROW()-1,19)+2)</f>
        <v>42004</v>
      </c>
      <c r="DK659" s="4" t="e">
        <f>INDEX(Sheet2!$AA$2:$AS$228,QUOTIENT(ROW()-1,19)+1,MOD(ROW()-2,19)+1)</f>
        <v>#N/A</v>
      </c>
      <c r="DL659" t="str">
        <f>IFERROR(INDEX(Sheet2!$AU$2:$BM$228,QUOTIENT(ROW()-1,19)+1,MOD(ROW()-2,19)+1),NA())</f>
        <v/>
      </c>
      <c r="DM659" s="4" t="e">
        <f t="shared" si="51"/>
        <v>#N/A</v>
      </c>
      <c r="DN659" t="e">
        <f t="shared" si="52"/>
        <v>#N/A</v>
      </c>
      <c r="DO659" t="e">
        <f t="shared" si="53"/>
        <v>#N/A</v>
      </c>
    </row>
    <row r="660" spans="7:119" x14ac:dyDescent="0.25">
      <c r="G660"/>
      <c r="DI660" s="4">
        <f>INDEX(Sheet2!A:A,QUOTIENT(ROW()-1,19)+2)</f>
        <v>41165</v>
      </c>
      <c r="DJ660" s="4">
        <f>INDEX(Sheet2!C:C,QUOTIENT(ROW()-1,19)+2)</f>
        <v>42004</v>
      </c>
      <c r="DK660" s="4" t="e">
        <f>INDEX(Sheet2!$AA$2:$AS$228,QUOTIENT(ROW()-1,19)+1,MOD(ROW()-2,19)+1)</f>
        <v>#N/A</v>
      </c>
      <c r="DL660" t="str">
        <f>IFERROR(INDEX(Sheet2!$AU$2:$BM$228,QUOTIENT(ROW()-1,19)+1,MOD(ROW()-2,19)+1),NA())</f>
        <v/>
      </c>
      <c r="DM660" s="4" t="e">
        <f t="shared" si="51"/>
        <v>#N/A</v>
      </c>
      <c r="DN660" t="e">
        <f t="shared" si="52"/>
        <v>#N/A</v>
      </c>
      <c r="DO660" t="e">
        <f t="shared" si="53"/>
        <v>#N/A</v>
      </c>
    </row>
    <row r="661" spans="7:119" x14ac:dyDescent="0.25">
      <c r="G661"/>
      <c r="DI661" s="4">
        <f>INDEX(Sheet2!A:A,QUOTIENT(ROW()-1,19)+2)</f>
        <v>41165</v>
      </c>
      <c r="DJ661" s="4">
        <f>INDEX(Sheet2!C:C,QUOTIENT(ROW()-1,19)+2)</f>
        <v>42004</v>
      </c>
      <c r="DK661" s="4" t="e">
        <f>INDEX(Sheet2!$AA$2:$AS$228,QUOTIENT(ROW()-1,19)+1,MOD(ROW()-2,19)+1)</f>
        <v>#N/A</v>
      </c>
      <c r="DL661" t="str">
        <f>IFERROR(INDEX(Sheet2!$AU$2:$BM$228,QUOTIENT(ROW()-1,19)+1,MOD(ROW()-2,19)+1),NA())</f>
        <v/>
      </c>
      <c r="DM661" s="4" t="e">
        <f t="shared" si="51"/>
        <v>#N/A</v>
      </c>
      <c r="DN661" t="e">
        <f t="shared" si="52"/>
        <v>#N/A</v>
      </c>
      <c r="DO661" t="e">
        <f t="shared" si="53"/>
        <v>#N/A</v>
      </c>
    </row>
    <row r="662" spans="7:119" x14ac:dyDescent="0.25">
      <c r="G662"/>
      <c r="DI662" s="4">
        <f>INDEX(Sheet2!A:A,QUOTIENT(ROW()-1,19)+2)</f>
        <v>41165</v>
      </c>
      <c r="DJ662" s="4">
        <f>INDEX(Sheet2!C:C,QUOTIENT(ROW()-1,19)+2)</f>
        <v>42004</v>
      </c>
      <c r="DK662" s="4" t="e">
        <f>INDEX(Sheet2!$AA$2:$AS$228,QUOTIENT(ROW()-1,19)+1,MOD(ROW()-2,19)+1)</f>
        <v>#N/A</v>
      </c>
      <c r="DL662" t="str">
        <f>IFERROR(INDEX(Sheet2!$AU$2:$BM$228,QUOTIENT(ROW()-1,19)+1,MOD(ROW()-2,19)+1),NA())</f>
        <v/>
      </c>
      <c r="DM662" s="4" t="e">
        <f t="shared" si="51"/>
        <v>#N/A</v>
      </c>
      <c r="DN662" t="e">
        <f t="shared" si="52"/>
        <v>#N/A</v>
      </c>
      <c r="DO662" t="e">
        <f t="shared" si="53"/>
        <v>#N/A</v>
      </c>
    </row>
    <row r="663" spans="7:119" x14ac:dyDescent="0.25">
      <c r="G663"/>
      <c r="DI663" s="4">
        <f>INDEX(Sheet2!A:A,QUOTIENT(ROW()-1,19)+2)</f>
        <v>41165</v>
      </c>
      <c r="DJ663" s="4">
        <f>INDEX(Sheet2!C:C,QUOTIENT(ROW()-1,19)+2)</f>
        <v>42004</v>
      </c>
      <c r="DK663" s="4" t="e">
        <f>INDEX(Sheet2!$AA$2:$AS$228,QUOTIENT(ROW()-1,19)+1,MOD(ROW()-2,19)+1)</f>
        <v>#N/A</v>
      </c>
      <c r="DL663" t="str">
        <f>IFERROR(INDEX(Sheet2!$AU$2:$BM$228,QUOTIENT(ROW()-1,19)+1,MOD(ROW()-2,19)+1),NA())</f>
        <v/>
      </c>
      <c r="DM663" s="4" t="e">
        <f t="shared" si="51"/>
        <v>#N/A</v>
      </c>
      <c r="DN663" t="e">
        <f t="shared" si="52"/>
        <v>#N/A</v>
      </c>
      <c r="DO663" t="e">
        <f t="shared" si="53"/>
        <v>#N/A</v>
      </c>
    </row>
    <row r="664" spans="7:119" x14ac:dyDescent="0.25">
      <c r="G664"/>
      <c r="DI664" s="4">
        <f>INDEX(Sheet2!A:A,QUOTIENT(ROW()-1,19)+2)</f>
        <v>41165</v>
      </c>
      <c r="DJ664" s="4">
        <f>INDEX(Sheet2!C:C,QUOTIENT(ROW()-1,19)+2)</f>
        <v>42004</v>
      </c>
      <c r="DK664" s="4" t="e">
        <f>INDEX(Sheet2!$AA$2:$AS$228,QUOTIENT(ROW()-1,19)+1,MOD(ROW()-2,19)+1)</f>
        <v>#N/A</v>
      </c>
      <c r="DL664" t="str">
        <f>IFERROR(INDEX(Sheet2!$AU$2:$BM$228,QUOTIENT(ROW()-1,19)+1,MOD(ROW()-2,19)+1),NA())</f>
        <v/>
      </c>
      <c r="DM664" s="4" t="e">
        <f t="shared" si="51"/>
        <v>#N/A</v>
      </c>
      <c r="DN664" t="e">
        <f t="shared" si="52"/>
        <v>#N/A</v>
      </c>
      <c r="DO664" t="e">
        <f t="shared" si="53"/>
        <v>#N/A</v>
      </c>
    </row>
    <row r="665" spans="7:119" x14ac:dyDescent="0.25">
      <c r="G665"/>
      <c r="DI665" s="4">
        <f>INDEX(Sheet2!A:A,QUOTIENT(ROW()-1,19)+2)</f>
        <v>41165</v>
      </c>
      <c r="DJ665" s="4">
        <f>INDEX(Sheet2!C:C,QUOTIENT(ROW()-1,19)+2)</f>
        <v>42004</v>
      </c>
      <c r="DK665" s="4" t="e">
        <f>INDEX(Sheet2!$AA$2:$AS$228,QUOTIENT(ROW()-1,19)+1,MOD(ROW()-2,19)+1)</f>
        <v>#N/A</v>
      </c>
      <c r="DL665" t="str">
        <f>IFERROR(INDEX(Sheet2!$AU$2:$BM$228,QUOTIENT(ROW()-1,19)+1,MOD(ROW()-2,19)+1),NA())</f>
        <v/>
      </c>
      <c r="DM665" s="4" t="e">
        <f t="shared" si="51"/>
        <v>#N/A</v>
      </c>
      <c r="DN665" t="e">
        <f t="shared" si="52"/>
        <v>#N/A</v>
      </c>
      <c r="DO665" t="e">
        <f t="shared" si="53"/>
        <v>#N/A</v>
      </c>
    </row>
    <row r="666" spans="7:119" x14ac:dyDescent="0.25">
      <c r="G666"/>
      <c r="DI666" s="4">
        <f>INDEX(Sheet2!A:A,QUOTIENT(ROW()-1,19)+2)</f>
        <v>41165</v>
      </c>
      <c r="DJ666" s="4">
        <f>INDEX(Sheet2!C:C,QUOTIENT(ROW()-1,19)+2)</f>
        <v>42369</v>
      </c>
      <c r="DK666" s="4" t="e">
        <f>INDEX(Sheet2!$AA$2:$AS$228,QUOTIENT(ROW()-1,19)+1,MOD(ROW()-2,19)+1)</f>
        <v>#N/A</v>
      </c>
      <c r="DL666" t="str">
        <f>IFERROR(INDEX(Sheet2!$AU$2:$BM$228,QUOTIENT(ROW()-1,19)+1,MOD(ROW()-2,19)+1),NA())</f>
        <v/>
      </c>
      <c r="DM666" s="4" t="e">
        <f t="shared" si="51"/>
        <v>#N/A</v>
      </c>
      <c r="DN666" t="e">
        <f t="shared" si="52"/>
        <v>#N/A</v>
      </c>
      <c r="DO666" t="e">
        <f t="shared" si="53"/>
        <v>#N/A</v>
      </c>
    </row>
    <row r="667" spans="7:119" x14ac:dyDescent="0.25">
      <c r="G667"/>
      <c r="DI667" s="4">
        <f>INDEX(Sheet2!A:A,QUOTIENT(ROW()-1,19)+2)</f>
        <v>41165</v>
      </c>
      <c r="DJ667" s="4">
        <f>INDEX(Sheet2!C:C,QUOTIENT(ROW()-1,19)+2)</f>
        <v>42369</v>
      </c>
      <c r="DK667" s="4">
        <f>INDEX(Sheet2!$AA$2:$AS$228,QUOTIENT(ROW()-1,19)+1,MOD(ROW()-2,19)+1)</f>
        <v>42369</v>
      </c>
      <c r="DL667">
        <f>IFERROR(INDEX(Sheet2!$AU$2:$BM$228,QUOTIENT(ROW()-1,19)+1,MOD(ROW()-2,19)+1),NA())</f>
        <v>0.25</v>
      </c>
      <c r="DM667" s="4" t="e">
        <f t="shared" si="51"/>
        <v>#N/A</v>
      </c>
      <c r="DN667" t="e">
        <f t="shared" si="52"/>
        <v>#N/A</v>
      </c>
      <c r="DO667" t="e">
        <f t="shared" si="53"/>
        <v>#N/A</v>
      </c>
    </row>
    <row r="668" spans="7:119" x14ac:dyDescent="0.25">
      <c r="G668"/>
      <c r="DI668" s="4">
        <f>INDEX(Sheet2!A:A,QUOTIENT(ROW()-1,19)+2)</f>
        <v>41165</v>
      </c>
      <c r="DJ668" s="4">
        <f>INDEX(Sheet2!C:C,QUOTIENT(ROW()-1,19)+2)</f>
        <v>42369</v>
      </c>
      <c r="DK668" s="4" t="e">
        <f>INDEX(Sheet2!$AA$2:$AS$228,QUOTIENT(ROW()-1,19)+1,MOD(ROW()-2,19)+1)</f>
        <v>#N/A</v>
      </c>
      <c r="DL668" t="str">
        <f>IFERROR(INDEX(Sheet2!$AU$2:$BM$228,QUOTIENT(ROW()-1,19)+1,MOD(ROW()-2,19)+1),NA())</f>
        <v/>
      </c>
      <c r="DM668" s="4" t="e">
        <f t="shared" si="51"/>
        <v>#N/A</v>
      </c>
      <c r="DN668" t="e">
        <f t="shared" si="52"/>
        <v>#N/A</v>
      </c>
      <c r="DO668" t="e">
        <f t="shared" si="53"/>
        <v>#N/A</v>
      </c>
    </row>
    <row r="669" spans="7:119" x14ac:dyDescent="0.25">
      <c r="G669"/>
      <c r="DI669" s="4">
        <f>INDEX(Sheet2!A:A,QUOTIENT(ROW()-1,19)+2)</f>
        <v>41165</v>
      </c>
      <c r="DJ669" s="4">
        <f>INDEX(Sheet2!C:C,QUOTIENT(ROW()-1,19)+2)</f>
        <v>42369</v>
      </c>
      <c r="DK669" s="4" t="e">
        <f>INDEX(Sheet2!$AA$2:$AS$228,QUOTIENT(ROW()-1,19)+1,MOD(ROW()-2,19)+1)</f>
        <v>#N/A</v>
      </c>
      <c r="DL669" t="str">
        <f>IFERROR(INDEX(Sheet2!$AU$2:$BM$228,QUOTIENT(ROW()-1,19)+1,MOD(ROW()-2,19)+1),NA())</f>
        <v/>
      </c>
      <c r="DM669" s="4" t="e">
        <f t="shared" si="51"/>
        <v>#N/A</v>
      </c>
      <c r="DN669" t="e">
        <f t="shared" si="52"/>
        <v>#N/A</v>
      </c>
      <c r="DO669" t="e">
        <f t="shared" si="53"/>
        <v>#N/A</v>
      </c>
    </row>
    <row r="670" spans="7:119" x14ac:dyDescent="0.25">
      <c r="G670"/>
      <c r="DI670" s="4">
        <f>INDEX(Sheet2!A:A,QUOTIENT(ROW()-1,19)+2)</f>
        <v>41165</v>
      </c>
      <c r="DJ670" s="4">
        <f>INDEX(Sheet2!C:C,QUOTIENT(ROW()-1,19)+2)</f>
        <v>42369</v>
      </c>
      <c r="DK670" s="4" t="e">
        <f>INDEX(Sheet2!$AA$2:$AS$228,QUOTIENT(ROW()-1,19)+1,MOD(ROW()-2,19)+1)</f>
        <v>#N/A</v>
      </c>
      <c r="DL670" t="str">
        <f>IFERROR(INDEX(Sheet2!$AU$2:$BM$228,QUOTIENT(ROW()-1,19)+1,MOD(ROW()-2,19)+1),NA())</f>
        <v/>
      </c>
      <c r="DM670" s="4" t="e">
        <f t="shared" si="51"/>
        <v>#N/A</v>
      </c>
      <c r="DN670" t="e">
        <f t="shared" si="52"/>
        <v>#N/A</v>
      </c>
      <c r="DO670" t="e">
        <f t="shared" si="53"/>
        <v>#N/A</v>
      </c>
    </row>
    <row r="671" spans="7:119" x14ac:dyDescent="0.25">
      <c r="G671"/>
      <c r="DI671" s="4">
        <f>INDEX(Sheet2!A:A,QUOTIENT(ROW()-1,19)+2)</f>
        <v>41165</v>
      </c>
      <c r="DJ671" s="4">
        <f>INDEX(Sheet2!C:C,QUOTIENT(ROW()-1,19)+2)</f>
        <v>42369</v>
      </c>
      <c r="DK671" s="4" t="e">
        <f>INDEX(Sheet2!$AA$2:$AS$228,QUOTIENT(ROW()-1,19)+1,MOD(ROW()-2,19)+1)</f>
        <v>#N/A</v>
      </c>
      <c r="DL671" t="str">
        <f>IFERROR(INDEX(Sheet2!$AU$2:$BM$228,QUOTIENT(ROW()-1,19)+1,MOD(ROW()-2,19)+1),NA())</f>
        <v/>
      </c>
      <c r="DM671" s="4" t="e">
        <f t="shared" si="51"/>
        <v>#N/A</v>
      </c>
      <c r="DN671" t="e">
        <f t="shared" si="52"/>
        <v>#N/A</v>
      </c>
      <c r="DO671" t="e">
        <f t="shared" si="53"/>
        <v>#N/A</v>
      </c>
    </row>
    <row r="672" spans="7:119" x14ac:dyDescent="0.25">
      <c r="G672"/>
      <c r="DI672" s="4">
        <f>INDEX(Sheet2!A:A,QUOTIENT(ROW()-1,19)+2)</f>
        <v>41165</v>
      </c>
      <c r="DJ672" s="4">
        <f>INDEX(Sheet2!C:C,QUOTIENT(ROW()-1,19)+2)</f>
        <v>42369</v>
      </c>
      <c r="DK672" s="4" t="e">
        <f>INDEX(Sheet2!$AA$2:$AS$228,QUOTIENT(ROW()-1,19)+1,MOD(ROW()-2,19)+1)</f>
        <v>#N/A</v>
      </c>
      <c r="DL672" t="str">
        <f>IFERROR(INDEX(Sheet2!$AU$2:$BM$228,QUOTIENT(ROW()-1,19)+1,MOD(ROW()-2,19)+1),NA())</f>
        <v/>
      </c>
      <c r="DM672" s="4" t="e">
        <f t="shared" si="51"/>
        <v>#N/A</v>
      </c>
      <c r="DN672" t="e">
        <f t="shared" si="52"/>
        <v>#N/A</v>
      </c>
      <c r="DO672" t="e">
        <f t="shared" si="53"/>
        <v>#N/A</v>
      </c>
    </row>
    <row r="673" spans="7:119" x14ac:dyDescent="0.25">
      <c r="G673"/>
      <c r="DI673" s="4">
        <f>INDEX(Sheet2!A:A,QUOTIENT(ROW()-1,19)+2)</f>
        <v>41165</v>
      </c>
      <c r="DJ673" s="4">
        <f>INDEX(Sheet2!C:C,QUOTIENT(ROW()-1,19)+2)</f>
        <v>42369</v>
      </c>
      <c r="DK673" s="4" t="e">
        <f>INDEX(Sheet2!$AA$2:$AS$228,QUOTIENT(ROW()-1,19)+1,MOD(ROW()-2,19)+1)</f>
        <v>#N/A</v>
      </c>
      <c r="DL673" t="str">
        <f>IFERROR(INDEX(Sheet2!$AU$2:$BM$228,QUOTIENT(ROW()-1,19)+1,MOD(ROW()-2,19)+1),NA())</f>
        <v/>
      </c>
      <c r="DM673" s="4" t="e">
        <f t="shared" si="51"/>
        <v>#N/A</v>
      </c>
      <c r="DN673" t="e">
        <f t="shared" si="52"/>
        <v>#N/A</v>
      </c>
      <c r="DO673" t="e">
        <f t="shared" si="53"/>
        <v>#N/A</v>
      </c>
    </row>
    <row r="674" spans="7:119" x14ac:dyDescent="0.25">
      <c r="G674"/>
      <c r="DI674" s="4">
        <f>INDEX(Sheet2!A:A,QUOTIENT(ROW()-1,19)+2)</f>
        <v>41165</v>
      </c>
      <c r="DJ674" s="4">
        <f>INDEX(Sheet2!C:C,QUOTIENT(ROW()-1,19)+2)</f>
        <v>42369</v>
      </c>
      <c r="DK674" s="4" t="e">
        <f>INDEX(Sheet2!$AA$2:$AS$228,QUOTIENT(ROW()-1,19)+1,MOD(ROW()-2,19)+1)</f>
        <v>#N/A</v>
      </c>
      <c r="DL674" t="str">
        <f>IFERROR(INDEX(Sheet2!$AU$2:$BM$228,QUOTIENT(ROW()-1,19)+1,MOD(ROW()-2,19)+1),NA())</f>
        <v/>
      </c>
      <c r="DM674" s="4" t="e">
        <f t="shared" si="51"/>
        <v>#N/A</v>
      </c>
      <c r="DN674" t="e">
        <f t="shared" si="52"/>
        <v>#N/A</v>
      </c>
      <c r="DO674" t="e">
        <f t="shared" si="53"/>
        <v>#N/A</v>
      </c>
    </row>
    <row r="675" spans="7:119" x14ac:dyDescent="0.25">
      <c r="G675"/>
      <c r="DI675" s="4">
        <f>INDEX(Sheet2!A:A,QUOTIENT(ROW()-1,19)+2)</f>
        <v>41165</v>
      </c>
      <c r="DJ675" s="4">
        <f>INDEX(Sheet2!C:C,QUOTIENT(ROW()-1,19)+2)</f>
        <v>42369</v>
      </c>
      <c r="DK675" s="4" t="e">
        <f>INDEX(Sheet2!$AA$2:$AS$228,QUOTIENT(ROW()-1,19)+1,MOD(ROW()-2,19)+1)</f>
        <v>#N/A</v>
      </c>
      <c r="DL675" t="str">
        <f>IFERROR(INDEX(Sheet2!$AU$2:$BM$228,QUOTIENT(ROW()-1,19)+1,MOD(ROW()-2,19)+1),NA())</f>
        <v/>
      </c>
      <c r="DM675" s="4" t="e">
        <f t="shared" si="51"/>
        <v>#N/A</v>
      </c>
      <c r="DN675" t="e">
        <f t="shared" si="52"/>
        <v>#N/A</v>
      </c>
      <c r="DO675" t="e">
        <f t="shared" si="53"/>
        <v>#N/A</v>
      </c>
    </row>
    <row r="676" spans="7:119" x14ac:dyDescent="0.25">
      <c r="G676"/>
      <c r="DI676" s="4">
        <f>INDEX(Sheet2!A:A,QUOTIENT(ROW()-1,19)+2)</f>
        <v>41165</v>
      </c>
      <c r="DJ676" s="4">
        <f>INDEX(Sheet2!C:C,QUOTIENT(ROW()-1,19)+2)</f>
        <v>42369</v>
      </c>
      <c r="DK676" s="4" t="e">
        <f>INDEX(Sheet2!$AA$2:$AS$228,QUOTIENT(ROW()-1,19)+1,MOD(ROW()-2,19)+1)</f>
        <v>#N/A</v>
      </c>
      <c r="DL676" t="str">
        <f>IFERROR(INDEX(Sheet2!$AU$2:$BM$228,QUOTIENT(ROW()-1,19)+1,MOD(ROW()-2,19)+1),NA())</f>
        <v/>
      </c>
      <c r="DM676" s="4" t="e">
        <f t="shared" si="51"/>
        <v>#N/A</v>
      </c>
      <c r="DN676" t="e">
        <f t="shared" si="52"/>
        <v>#N/A</v>
      </c>
      <c r="DO676" t="e">
        <f t="shared" si="53"/>
        <v>#N/A</v>
      </c>
    </row>
    <row r="677" spans="7:119" x14ac:dyDescent="0.25">
      <c r="G677"/>
      <c r="DI677" s="4">
        <f>INDEX(Sheet2!A:A,QUOTIENT(ROW()-1,19)+2)</f>
        <v>41165</v>
      </c>
      <c r="DJ677" s="4">
        <f>INDEX(Sheet2!C:C,QUOTIENT(ROW()-1,19)+2)</f>
        <v>42369</v>
      </c>
      <c r="DK677" s="4" t="e">
        <f>INDEX(Sheet2!$AA$2:$AS$228,QUOTIENT(ROW()-1,19)+1,MOD(ROW()-2,19)+1)</f>
        <v>#N/A</v>
      </c>
      <c r="DL677" t="str">
        <f>IFERROR(INDEX(Sheet2!$AU$2:$BM$228,QUOTIENT(ROW()-1,19)+1,MOD(ROW()-2,19)+1),NA())</f>
        <v/>
      </c>
      <c r="DM677" s="4" t="e">
        <f t="shared" si="51"/>
        <v>#N/A</v>
      </c>
      <c r="DN677" t="e">
        <f t="shared" si="52"/>
        <v>#N/A</v>
      </c>
      <c r="DO677" t="e">
        <f t="shared" si="53"/>
        <v>#N/A</v>
      </c>
    </row>
    <row r="678" spans="7:119" x14ac:dyDescent="0.25">
      <c r="G678"/>
      <c r="DI678" s="4">
        <f>INDEX(Sheet2!A:A,QUOTIENT(ROW()-1,19)+2)</f>
        <v>41165</v>
      </c>
      <c r="DJ678" s="4">
        <f>INDEX(Sheet2!C:C,QUOTIENT(ROW()-1,19)+2)</f>
        <v>42369</v>
      </c>
      <c r="DK678" s="4" t="e">
        <f>INDEX(Sheet2!$AA$2:$AS$228,QUOTIENT(ROW()-1,19)+1,MOD(ROW()-2,19)+1)</f>
        <v>#N/A</v>
      </c>
      <c r="DL678" t="str">
        <f>IFERROR(INDEX(Sheet2!$AU$2:$BM$228,QUOTIENT(ROW()-1,19)+1,MOD(ROW()-2,19)+1),NA())</f>
        <v/>
      </c>
      <c r="DM678" s="4" t="e">
        <f t="shared" si="51"/>
        <v>#N/A</v>
      </c>
      <c r="DN678" t="e">
        <f t="shared" si="52"/>
        <v>#N/A</v>
      </c>
      <c r="DO678" t="e">
        <f t="shared" si="53"/>
        <v>#N/A</v>
      </c>
    </row>
    <row r="679" spans="7:119" x14ac:dyDescent="0.25">
      <c r="G679"/>
      <c r="DI679" s="4">
        <f>INDEX(Sheet2!A:A,QUOTIENT(ROW()-1,19)+2)</f>
        <v>41165</v>
      </c>
      <c r="DJ679" s="4">
        <f>INDEX(Sheet2!C:C,QUOTIENT(ROW()-1,19)+2)</f>
        <v>42369</v>
      </c>
      <c r="DK679" s="4" t="e">
        <f>INDEX(Sheet2!$AA$2:$AS$228,QUOTIENT(ROW()-1,19)+1,MOD(ROW()-2,19)+1)</f>
        <v>#N/A</v>
      </c>
      <c r="DL679" t="str">
        <f>IFERROR(INDEX(Sheet2!$AU$2:$BM$228,QUOTIENT(ROW()-1,19)+1,MOD(ROW()-2,19)+1),NA())</f>
        <v/>
      </c>
      <c r="DM679" s="4" t="e">
        <f t="shared" si="51"/>
        <v>#N/A</v>
      </c>
      <c r="DN679" t="e">
        <f t="shared" si="52"/>
        <v>#N/A</v>
      </c>
      <c r="DO679" t="e">
        <f t="shared" si="53"/>
        <v>#N/A</v>
      </c>
    </row>
    <row r="680" spans="7:119" x14ac:dyDescent="0.25">
      <c r="G680"/>
      <c r="DI680" s="4">
        <f>INDEX(Sheet2!A:A,QUOTIENT(ROW()-1,19)+2)</f>
        <v>41165</v>
      </c>
      <c r="DJ680" s="4">
        <f>INDEX(Sheet2!C:C,QUOTIENT(ROW()-1,19)+2)</f>
        <v>42369</v>
      </c>
      <c r="DK680" s="4" t="e">
        <f>INDEX(Sheet2!$AA$2:$AS$228,QUOTIENT(ROW()-1,19)+1,MOD(ROW()-2,19)+1)</f>
        <v>#N/A</v>
      </c>
      <c r="DL680" t="str">
        <f>IFERROR(INDEX(Sheet2!$AU$2:$BM$228,QUOTIENT(ROW()-1,19)+1,MOD(ROW()-2,19)+1),NA())</f>
        <v/>
      </c>
      <c r="DM680" s="4" t="e">
        <f t="shared" si="51"/>
        <v>#N/A</v>
      </c>
      <c r="DN680" t="e">
        <f t="shared" si="52"/>
        <v>#N/A</v>
      </c>
      <c r="DO680" t="e">
        <f t="shared" si="53"/>
        <v>#N/A</v>
      </c>
    </row>
    <row r="681" spans="7:119" x14ac:dyDescent="0.25">
      <c r="G681"/>
      <c r="DI681" s="4">
        <f>INDEX(Sheet2!A:A,QUOTIENT(ROW()-1,19)+2)</f>
        <v>41165</v>
      </c>
      <c r="DJ681" s="4">
        <f>INDEX(Sheet2!C:C,QUOTIENT(ROW()-1,19)+2)</f>
        <v>42369</v>
      </c>
      <c r="DK681" s="4" t="e">
        <f>INDEX(Sheet2!$AA$2:$AS$228,QUOTIENT(ROW()-1,19)+1,MOD(ROW()-2,19)+1)</f>
        <v>#N/A</v>
      </c>
      <c r="DL681" t="str">
        <f>IFERROR(INDEX(Sheet2!$AU$2:$BM$228,QUOTIENT(ROW()-1,19)+1,MOD(ROW()-2,19)+1),NA())</f>
        <v/>
      </c>
      <c r="DM681" s="4" t="e">
        <f t="shared" si="51"/>
        <v>#N/A</v>
      </c>
      <c r="DN681" t="e">
        <f t="shared" si="52"/>
        <v>#N/A</v>
      </c>
      <c r="DO681" t="e">
        <f t="shared" si="53"/>
        <v>#N/A</v>
      </c>
    </row>
    <row r="682" spans="7:119" x14ac:dyDescent="0.25">
      <c r="G682"/>
      <c r="DI682" s="4">
        <f>INDEX(Sheet2!A:A,QUOTIENT(ROW()-1,19)+2)</f>
        <v>41165</v>
      </c>
      <c r="DJ682" s="4">
        <f>INDEX(Sheet2!C:C,QUOTIENT(ROW()-1,19)+2)</f>
        <v>42369</v>
      </c>
      <c r="DK682" s="4" t="e">
        <f>INDEX(Sheet2!$AA$2:$AS$228,QUOTIENT(ROW()-1,19)+1,MOD(ROW()-2,19)+1)</f>
        <v>#N/A</v>
      </c>
      <c r="DL682" t="str">
        <f>IFERROR(INDEX(Sheet2!$AU$2:$BM$228,QUOTIENT(ROW()-1,19)+1,MOD(ROW()-2,19)+1),NA())</f>
        <v/>
      </c>
      <c r="DM682" s="4" t="e">
        <f t="shared" si="51"/>
        <v>#N/A</v>
      </c>
      <c r="DN682" t="e">
        <f t="shared" si="52"/>
        <v>#N/A</v>
      </c>
      <c r="DO682" t="e">
        <f t="shared" si="53"/>
        <v>#N/A</v>
      </c>
    </row>
    <row r="683" spans="7:119" x14ac:dyDescent="0.25">
      <c r="G683"/>
      <c r="DI683" s="4">
        <f>INDEX(Sheet2!A:A,QUOTIENT(ROW()-1,19)+2)</f>
        <v>41165</v>
      </c>
      <c r="DJ683" s="4">
        <f>INDEX(Sheet2!C:C,QUOTIENT(ROW()-1,19)+2)</f>
        <v>42369</v>
      </c>
      <c r="DK683" s="4" t="e">
        <f>INDEX(Sheet2!$AA$2:$AS$228,QUOTIENT(ROW()-1,19)+1,MOD(ROW()-2,19)+1)</f>
        <v>#N/A</v>
      </c>
      <c r="DL683" t="str">
        <f>IFERROR(INDEX(Sheet2!$AU$2:$BM$228,QUOTIENT(ROW()-1,19)+1,MOD(ROW()-2,19)+1),NA())</f>
        <v/>
      </c>
      <c r="DM683" s="4" t="e">
        <f t="shared" si="51"/>
        <v>#N/A</v>
      </c>
      <c r="DN683" t="e">
        <f t="shared" si="52"/>
        <v>#N/A</v>
      </c>
      <c r="DO683" t="e">
        <f t="shared" si="53"/>
        <v>#N/A</v>
      </c>
    </row>
    <row r="684" spans="7:119" x14ac:dyDescent="0.25">
      <c r="G684"/>
      <c r="DI684" s="4">
        <f>INDEX(Sheet2!A:A,QUOTIENT(ROW()-1,19)+2)</f>
        <v>41165</v>
      </c>
      <c r="DJ684" s="4">
        <f>INDEX(Sheet2!C:C,QUOTIENT(ROW()-1,19)+2)</f>
        <v>42369</v>
      </c>
      <c r="DK684" s="4" t="e">
        <f>INDEX(Sheet2!$AA$2:$AS$228,QUOTIENT(ROW()-1,19)+1,MOD(ROW()-2,19)+1)</f>
        <v>#N/A</v>
      </c>
      <c r="DL684" t="str">
        <f>IFERROR(INDEX(Sheet2!$AU$2:$BM$228,QUOTIENT(ROW()-1,19)+1,MOD(ROW()-2,19)+1),NA())</f>
        <v/>
      </c>
      <c r="DM684" s="4" t="e">
        <f t="shared" si="51"/>
        <v>#N/A</v>
      </c>
      <c r="DN684" t="e">
        <f t="shared" si="52"/>
        <v>#N/A</v>
      </c>
      <c r="DO684" t="e">
        <f t="shared" si="53"/>
        <v>#N/A</v>
      </c>
    </row>
    <row r="685" spans="7:119" x14ac:dyDescent="0.25">
      <c r="G685"/>
      <c r="DI685" s="4">
        <f>INDEX(Sheet2!A:A,QUOTIENT(ROW()-1,19)+2)</f>
        <v>41165</v>
      </c>
      <c r="DJ685" s="4">
        <f>INDEX(Sheet2!C:C,QUOTIENT(ROW()-1,19)+2)</f>
        <v>42369</v>
      </c>
      <c r="DK685" s="4" t="e">
        <f>INDEX(Sheet2!$AA$2:$AS$228,QUOTIENT(ROW()-1,19)+1,MOD(ROW()-2,19)+1)</f>
        <v>#N/A</v>
      </c>
      <c r="DL685" t="str">
        <f>IFERROR(INDEX(Sheet2!$AU$2:$BM$228,QUOTIENT(ROW()-1,19)+1,MOD(ROW()-2,19)+1),NA())</f>
        <v/>
      </c>
      <c r="DM685" s="4" t="e">
        <f t="shared" si="51"/>
        <v>#N/A</v>
      </c>
      <c r="DN685" t="e">
        <f t="shared" si="52"/>
        <v>#N/A</v>
      </c>
      <c r="DO685" t="e">
        <f t="shared" si="53"/>
        <v>#N/A</v>
      </c>
    </row>
    <row r="686" spans="7:119" x14ac:dyDescent="0.25">
      <c r="G686"/>
      <c r="DI686" s="4">
        <f>INDEX(Sheet2!A:A,QUOTIENT(ROW()-1,19)+2)</f>
        <v>41165</v>
      </c>
      <c r="DJ686" s="4">
        <f>INDEX(Sheet2!C:C,QUOTIENT(ROW()-1,19)+2)</f>
        <v>42369</v>
      </c>
      <c r="DK686" s="4">
        <f>INDEX(Sheet2!$AA$2:$AS$228,QUOTIENT(ROW()-1,19)+1,MOD(ROW()-2,19)+1)</f>
        <v>42358.962500000001</v>
      </c>
      <c r="DL686">
        <f>IFERROR(INDEX(Sheet2!$AU$2:$BM$228,QUOTIENT(ROW()-1,19)+1,MOD(ROW()-2,19)+1),NA())</f>
        <v>0.5</v>
      </c>
      <c r="DM686" s="4" t="e">
        <f t="shared" si="51"/>
        <v>#N/A</v>
      </c>
      <c r="DN686" t="e">
        <f t="shared" si="52"/>
        <v>#N/A</v>
      </c>
      <c r="DO686" t="e">
        <f t="shared" si="53"/>
        <v>#N/A</v>
      </c>
    </row>
    <row r="687" spans="7:119" x14ac:dyDescent="0.25">
      <c r="G687"/>
      <c r="DI687" s="4">
        <f>INDEX(Sheet2!A:A,QUOTIENT(ROW()-1,19)+2)</f>
        <v>41165</v>
      </c>
      <c r="DJ687" s="4">
        <f>INDEX(Sheet2!C:C,QUOTIENT(ROW()-1,19)+2)</f>
        <v>42369</v>
      </c>
      <c r="DK687" s="4">
        <f>INDEX(Sheet2!$AA$2:$AS$228,QUOTIENT(ROW()-1,19)+1,MOD(ROW()-2,19)+1)</f>
        <v>42379.037500000006</v>
      </c>
      <c r="DL687">
        <f>IFERROR(INDEX(Sheet2!$AU$2:$BM$228,QUOTIENT(ROW()-1,19)+1,MOD(ROW()-2,19)+1),NA())</f>
        <v>0.5</v>
      </c>
      <c r="DM687" s="4" t="e">
        <f t="shared" si="51"/>
        <v>#N/A</v>
      </c>
      <c r="DN687" t="e">
        <f t="shared" si="52"/>
        <v>#N/A</v>
      </c>
      <c r="DO687" t="e">
        <f t="shared" si="53"/>
        <v>#N/A</v>
      </c>
    </row>
    <row r="688" spans="7:119" x14ac:dyDescent="0.25">
      <c r="G688"/>
      <c r="DI688" s="4">
        <f>INDEX(Sheet2!A:A,QUOTIENT(ROW()-1,19)+2)</f>
        <v>41165</v>
      </c>
      <c r="DJ688" s="4">
        <f>INDEX(Sheet2!C:C,QUOTIENT(ROW()-1,19)+2)</f>
        <v>42369</v>
      </c>
      <c r="DK688" s="4" t="e">
        <f>INDEX(Sheet2!$AA$2:$AS$228,QUOTIENT(ROW()-1,19)+1,MOD(ROW()-2,19)+1)</f>
        <v>#N/A</v>
      </c>
      <c r="DL688" t="str">
        <f>IFERROR(INDEX(Sheet2!$AU$2:$BM$228,QUOTIENT(ROW()-1,19)+1,MOD(ROW()-2,19)+1),NA())</f>
        <v/>
      </c>
      <c r="DM688" s="4" t="e">
        <f t="shared" si="51"/>
        <v>#N/A</v>
      </c>
      <c r="DN688" t="e">
        <f t="shared" si="52"/>
        <v>#N/A</v>
      </c>
      <c r="DO688" t="e">
        <f t="shared" si="53"/>
        <v>#N/A</v>
      </c>
    </row>
    <row r="689" spans="7:119" x14ac:dyDescent="0.25">
      <c r="G689"/>
      <c r="DI689" s="4">
        <f>INDEX(Sheet2!A:A,QUOTIENT(ROW()-1,19)+2)</f>
        <v>41165</v>
      </c>
      <c r="DJ689" s="4">
        <f>INDEX(Sheet2!C:C,QUOTIENT(ROW()-1,19)+2)</f>
        <v>42369</v>
      </c>
      <c r="DK689" s="4" t="e">
        <f>INDEX(Sheet2!$AA$2:$AS$228,QUOTIENT(ROW()-1,19)+1,MOD(ROW()-2,19)+1)</f>
        <v>#N/A</v>
      </c>
      <c r="DL689" t="str">
        <f>IFERROR(INDEX(Sheet2!$AU$2:$BM$228,QUOTIENT(ROW()-1,19)+1,MOD(ROW()-2,19)+1),NA())</f>
        <v/>
      </c>
      <c r="DM689" s="4" t="e">
        <f t="shared" si="51"/>
        <v>#N/A</v>
      </c>
      <c r="DN689" t="e">
        <f t="shared" si="52"/>
        <v>#N/A</v>
      </c>
      <c r="DO689" t="e">
        <f t="shared" si="53"/>
        <v>#N/A</v>
      </c>
    </row>
    <row r="690" spans="7:119" x14ac:dyDescent="0.25">
      <c r="G690"/>
      <c r="DI690" s="4">
        <f>INDEX(Sheet2!A:A,QUOTIENT(ROW()-1,19)+2)</f>
        <v>41165</v>
      </c>
      <c r="DJ690" s="4">
        <f>INDEX(Sheet2!C:C,QUOTIENT(ROW()-1,19)+2)</f>
        <v>42369</v>
      </c>
      <c r="DK690" s="4" t="e">
        <f>INDEX(Sheet2!$AA$2:$AS$228,QUOTIENT(ROW()-1,19)+1,MOD(ROW()-2,19)+1)</f>
        <v>#N/A</v>
      </c>
      <c r="DL690" t="str">
        <f>IFERROR(INDEX(Sheet2!$AU$2:$BM$228,QUOTIENT(ROW()-1,19)+1,MOD(ROW()-2,19)+1),NA())</f>
        <v/>
      </c>
      <c r="DM690" s="4" t="e">
        <f t="shared" si="51"/>
        <v>#N/A</v>
      </c>
      <c r="DN690" t="e">
        <f t="shared" si="52"/>
        <v>#N/A</v>
      </c>
      <c r="DO690" t="e">
        <f t="shared" si="53"/>
        <v>#N/A</v>
      </c>
    </row>
    <row r="691" spans="7:119" x14ac:dyDescent="0.25">
      <c r="G691"/>
      <c r="DI691" s="4">
        <f>INDEX(Sheet2!A:A,QUOTIENT(ROW()-1,19)+2)</f>
        <v>41165</v>
      </c>
      <c r="DJ691" s="4">
        <f>INDEX(Sheet2!C:C,QUOTIENT(ROW()-1,19)+2)</f>
        <v>42369</v>
      </c>
      <c r="DK691" s="4" t="e">
        <f>INDEX(Sheet2!$AA$2:$AS$228,QUOTIENT(ROW()-1,19)+1,MOD(ROW()-2,19)+1)</f>
        <v>#N/A</v>
      </c>
      <c r="DL691" t="str">
        <f>IFERROR(INDEX(Sheet2!$AU$2:$BM$228,QUOTIENT(ROW()-1,19)+1,MOD(ROW()-2,19)+1),NA())</f>
        <v/>
      </c>
      <c r="DM691" s="4" t="e">
        <f t="shared" si="51"/>
        <v>#N/A</v>
      </c>
      <c r="DN691" t="e">
        <f t="shared" si="52"/>
        <v>#N/A</v>
      </c>
      <c r="DO691" t="e">
        <f t="shared" si="53"/>
        <v>#N/A</v>
      </c>
    </row>
    <row r="692" spans="7:119" x14ac:dyDescent="0.25">
      <c r="G692"/>
      <c r="DI692" s="4">
        <f>INDEX(Sheet2!A:A,QUOTIENT(ROW()-1,19)+2)</f>
        <v>41165</v>
      </c>
      <c r="DJ692" s="4">
        <f>INDEX(Sheet2!C:C,QUOTIENT(ROW()-1,19)+2)</f>
        <v>42369</v>
      </c>
      <c r="DK692" s="4" t="e">
        <f>INDEX(Sheet2!$AA$2:$AS$228,QUOTIENT(ROW()-1,19)+1,MOD(ROW()-2,19)+1)</f>
        <v>#N/A</v>
      </c>
      <c r="DL692" t="str">
        <f>IFERROR(INDEX(Sheet2!$AU$2:$BM$228,QUOTIENT(ROW()-1,19)+1,MOD(ROW()-2,19)+1),NA())</f>
        <v/>
      </c>
      <c r="DM692" s="4" t="e">
        <f t="shared" si="51"/>
        <v>#N/A</v>
      </c>
      <c r="DN692" t="e">
        <f t="shared" si="52"/>
        <v>#N/A</v>
      </c>
      <c r="DO692" t="e">
        <f t="shared" si="53"/>
        <v>#N/A</v>
      </c>
    </row>
    <row r="693" spans="7:119" x14ac:dyDescent="0.25">
      <c r="G693"/>
      <c r="DI693" s="4">
        <f>INDEX(Sheet2!A:A,QUOTIENT(ROW()-1,19)+2)</f>
        <v>41165</v>
      </c>
      <c r="DJ693" s="4">
        <f>INDEX(Sheet2!C:C,QUOTIENT(ROW()-1,19)+2)</f>
        <v>42369</v>
      </c>
      <c r="DK693" s="4" t="e">
        <f>INDEX(Sheet2!$AA$2:$AS$228,QUOTIENT(ROW()-1,19)+1,MOD(ROW()-2,19)+1)</f>
        <v>#N/A</v>
      </c>
      <c r="DL693" t="str">
        <f>IFERROR(INDEX(Sheet2!$AU$2:$BM$228,QUOTIENT(ROW()-1,19)+1,MOD(ROW()-2,19)+1),NA())</f>
        <v/>
      </c>
      <c r="DM693" s="4" t="e">
        <f t="shared" si="51"/>
        <v>#N/A</v>
      </c>
      <c r="DN693" t="e">
        <f t="shared" si="52"/>
        <v>#N/A</v>
      </c>
      <c r="DO693" t="e">
        <f t="shared" si="53"/>
        <v>#N/A</v>
      </c>
    </row>
    <row r="694" spans="7:119" x14ac:dyDescent="0.25">
      <c r="G694"/>
      <c r="DI694" s="4">
        <f>INDEX(Sheet2!A:A,QUOTIENT(ROW()-1,19)+2)</f>
        <v>41165</v>
      </c>
      <c r="DJ694" s="4">
        <f>INDEX(Sheet2!C:C,QUOTIENT(ROW()-1,19)+2)</f>
        <v>42369</v>
      </c>
      <c r="DK694" s="4" t="e">
        <f>INDEX(Sheet2!$AA$2:$AS$228,QUOTIENT(ROW()-1,19)+1,MOD(ROW()-2,19)+1)</f>
        <v>#N/A</v>
      </c>
      <c r="DL694" t="str">
        <f>IFERROR(INDEX(Sheet2!$AU$2:$BM$228,QUOTIENT(ROW()-1,19)+1,MOD(ROW()-2,19)+1),NA())</f>
        <v/>
      </c>
      <c r="DM694" s="4" t="e">
        <f t="shared" si="51"/>
        <v>#N/A</v>
      </c>
      <c r="DN694" t="e">
        <f t="shared" si="52"/>
        <v>#N/A</v>
      </c>
      <c r="DO694" t="e">
        <f t="shared" si="53"/>
        <v>#N/A</v>
      </c>
    </row>
    <row r="695" spans="7:119" x14ac:dyDescent="0.25">
      <c r="G695"/>
      <c r="DI695" s="4">
        <f>INDEX(Sheet2!A:A,QUOTIENT(ROW()-1,19)+2)</f>
        <v>41165</v>
      </c>
      <c r="DJ695" s="4">
        <f>INDEX(Sheet2!C:C,QUOTIENT(ROW()-1,19)+2)</f>
        <v>42369</v>
      </c>
      <c r="DK695" s="4" t="e">
        <f>INDEX(Sheet2!$AA$2:$AS$228,QUOTIENT(ROW()-1,19)+1,MOD(ROW()-2,19)+1)</f>
        <v>#N/A</v>
      </c>
      <c r="DL695" t="str">
        <f>IFERROR(INDEX(Sheet2!$AU$2:$BM$228,QUOTIENT(ROW()-1,19)+1,MOD(ROW()-2,19)+1),NA())</f>
        <v/>
      </c>
      <c r="DM695" s="4" t="e">
        <f t="shared" si="51"/>
        <v>#N/A</v>
      </c>
      <c r="DN695" t="e">
        <f t="shared" si="52"/>
        <v>#N/A</v>
      </c>
      <c r="DO695" t="e">
        <f t="shared" si="53"/>
        <v>#N/A</v>
      </c>
    </row>
    <row r="696" spans="7:119" x14ac:dyDescent="0.25">
      <c r="G696"/>
      <c r="DI696" s="4">
        <f>INDEX(Sheet2!A:A,QUOTIENT(ROW()-1,19)+2)</f>
        <v>41165</v>
      </c>
      <c r="DJ696" s="4">
        <f>INDEX(Sheet2!C:C,QUOTIENT(ROW()-1,19)+2)</f>
        <v>42369</v>
      </c>
      <c r="DK696" s="4" t="e">
        <f>INDEX(Sheet2!$AA$2:$AS$228,QUOTIENT(ROW()-1,19)+1,MOD(ROW()-2,19)+1)</f>
        <v>#N/A</v>
      </c>
      <c r="DL696" t="str">
        <f>IFERROR(INDEX(Sheet2!$AU$2:$BM$228,QUOTIENT(ROW()-1,19)+1,MOD(ROW()-2,19)+1),NA())</f>
        <v/>
      </c>
      <c r="DM696" s="4" t="e">
        <f t="shared" si="51"/>
        <v>#N/A</v>
      </c>
      <c r="DN696" t="e">
        <f t="shared" si="52"/>
        <v>#N/A</v>
      </c>
      <c r="DO696" t="e">
        <f t="shared" si="53"/>
        <v>#N/A</v>
      </c>
    </row>
    <row r="697" spans="7:119" x14ac:dyDescent="0.25">
      <c r="G697"/>
      <c r="DI697" s="4">
        <f>INDEX(Sheet2!A:A,QUOTIENT(ROW()-1,19)+2)</f>
        <v>41165</v>
      </c>
      <c r="DJ697" s="4">
        <f>INDEX(Sheet2!C:C,QUOTIENT(ROW()-1,19)+2)</f>
        <v>42369</v>
      </c>
      <c r="DK697" s="4" t="e">
        <f>INDEX(Sheet2!$AA$2:$AS$228,QUOTIENT(ROW()-1,19)+1,MOD(ROW()-2,19)+1)</f>
        <v>#N/A</v>
      </c>
      <c r="DL697" t="str">
        <f>IFERROR(INDEX(Sheet2!$AU$2:$BM$228,QUOTIENT(ROW()-1,19)+1,MOD(ROW()-2,19)+1),NA())</f>
        <v/>
      </c>
      <c r="DM697" s="4" t="e">
        <f t="shared" si="51"/>
        <v>#N/A</v>
      </c>
      <c r="DN697" t="e">
        <f t="shared" si="52"/>
        <v>#N/A</v>
      </c>
      <c r="DO697" t="e">
        <f t="shared" si="53"/>
        <v>#N/A</v>
      </c>
    </row>
    <row r="698" spans="7:119" x14ac:dyDescent="0.25">
      <c r="G698"/>
      <c r="DI698" s="4">
        <f>INDEX(Sheet2!A:A,QUOTIENT(ROW()-1,19)+2)</f>
        <v>41165</v>
      </c>
      <c r="DJ698" s="4">
        <f>INDEX(Sheet2!C:C,QUOTIENT(ROW()-1,19)+2)</f>
        <v>42369</v>
      </c>
      <c r="DK698" s="4" t="e">
        <f>INDEX(Sheet2!$AA$2:$AS$228,QUOTIENT(ROW()-1,19)+1,MOD(ROW()-2,19)+1)</f>
        <v>#N/A</v>
      </c>
      <c r="DL698" t="str">
        <f>IFERROR(INDEX(Sheet2!$AU$2:$BM$228,QUOTIENT(ROW()-1,19)+1,MOD(ROW()-2,19)+1),NA())</f>
        <v/>
      </c>
      <c r="DM698" s="4" t="e">
        <f t="shared" si="51"/>
        <v>#N/A</v>
      </c>
      <c r="DN698" t="e">
        <f t="shared" si="52"/>
        <v>#N/A</v>
      </c>
      <c r="DO698" t="e">
        <f t="shared" si="53"/>
        <v>#N/A</v>
      </c>
    </row>
    <row r="699" spans="7:119" x14ac:dyDescent="0.25">
      <c r="G699"/>
      <c r="DI699" s="4">
        <f>INDEX(Sheet2!A:A,QUOTIENT(ROW()-1,19)+2)</f>
        <v>41165</v>
      </c>
      <c r="DJ699" s="4">
        <f>INDEX(Sheet2!C:C,QUOTIENT(ROW()-1,19)+2)</f>
        <v>42369</v>
      </c>
      <c r="DK699" s="4" t="e">
        <f>INDEX(Sheet2!$AA$2:$AS$228,QUOTIENT(ROW()-1,19)+1,MOD(ROW()-2,19)+1)</f>
        <v>#N/A</v>
      </c>
      <c r="DL699" t="str">
        <f>IFERROR(INDEX(Sheet2!$AU$2:$BM$228,QUOTIENT(ROW()-1,19)+1,MOD(ROW()-2,19)+1),NA())</f>
        <v/>
      </c>
      <c r="DM699" s="4" t="e">
        <f t="shared" si="51"/>
        <v>#N/A</v>
      </c>
      <c r="DN699" t="e">
        <f t="shared" si="52"/>
        <v>#N/A</v>
      </c>
      <c r="DO699" t="e">
        <f t="shared" si="53"/>
        <v>#N/A</v>
      </c>
    </row>
    <row r="700" spans="7:119" x14ac:dyDescent="0.25">
      <c r="G700"/>
      <c r="DI700" s="4">
        <f>INDEX(Sheet2!A:A,QUOTIENT(ROW()-1,19)+2)</f>
        <v>41165</v>
      </c>
      <c r="DJ700" s="4">
        <f>INDEX(Sheet2!C:C,QUOTIENT(ROW()-1,19)+2)</f>
        <v>42369</v>
      </c>
      <c r="DK700" s="4" t="e">
        <f>INDEX(Sheet2!$AA$2:$AS$228,QUOTIENT(ROW()-1,19)+1,MOD(ROW()-2,19)+1)</f>
        <v>#N/A</v>
      </c>
      <c r="DL700" t="str">
        <f>IFERROR(INDEX(Sheet2!$AU$2:$BM$228,QUOTIENT(ROW()-1,19)+1,MOD(ROW()-2,19)+1),NA())</f>
        <v/>
      </c>
      <c r="DM700" s="4" t="e">
        <f t="shared" si="51"/>
        <v>#N/A</v>
      </c>
      <c r="DN700" t="e">
        <f t="shared" si="52"/>
        <v>#N/A</v>
      </c>
      <c r="DO700" t="e">
        <f t="shared" si="53"/>
        <v>#N/A</v>
      </c>
    </row>
    <row r="701" spans="7:119" x14ac:dyDescent="0.25">
      <c r="G701"/>
      <c r="DI701" s="4">
        <f>INDEX(Sheet2!A:A,QUOTIENT(ROW()-1,19)+2)</f>
        <v>41165</v>
      </c>
      <c r="DJ701" s="4">
        <f>INDEX(Sheet2!C:C,QUOTIENT(ROW()-1,19)+2)</f>
        <v>42369</v>
      </c>
      <c r="DK701" s="4" t="e">
        <f>INDEX(Sheet2!$AA$2:$AS$228,QUOTIENT(ROW()-1,19)+1,MOD(ROW()-2,19)+1)</f>
        <v>#N/A</v>
      </c>
      <c r="DL701" t="str">
        <f>IFERROR(INDEX(Sheet2!$AU$2:$BM$228,QUOTIENT(ROW()-1,19)+1,MOD(ROW()-2,19)+1),NA())</f>
        <v/>
      </c>
      <c r="DM701" s="4" t="e">
        <f t="shared" si="51"/>
        <v>#N/A</v>
      </c>
      <c r="DN701" t="e">
        <f t="shared" si="52"/>
        <v>#N/A</v>
      </c>
      <c r="DO701" t="e">
        <f t="shared" si="53"/>
        <v>#N/A</v>
      </c>
    </row>
    <row r="702" spans="7:119" x14ac:dyDescent="0.25">
      <c r="G702"/>
      <c r="DI702" s="4">
        <f>INDEX(Sheet2!A:A,QUOTIENT(ROW()-1,19)+2)</f>
        <v>41165</v>
      </c>
      <c r="DJ702" s="4">
        <f>INDEX(Sheet2!C:C,QUOTIENT(ROW()-1,19)+2)</f>
        <v>42369</v>
      </c>
      <c r="DK702" s="4" t="e">
        <f>INDEX(Sheet2!$AA$2:$AS$228,QUOTIENT(ROW()-1,19)+1,MOD(ROW()-2,19)+1)</f>
        <v>#N/A</v>
      </c>
      <c r="DL702" t="str">
        <f>IFERROR(INDEX(Sheet2!$AU$2:$BM$228,QUOTIENT(ROW()-1,19)+1,MOD(ROW()-2,19)+1),NA())</f>
        <v/>
      </c>
      <c r="DM702" s="4" t="e">
        <f t="shared" si="51"/>
        <v>#N/A</v>
      </c>
      <c r="DN702" t="e">
        <f t="shared" si="52"/>
        <v>#N/A</v>
      </c>
      <c r="DO702" t="e">
        <f t="shared" si="53"/>
        <v>#N/A</v>
      </c>
    </row>
    <row r="703" spans="7:119" x14ac:dyDescent="0.25">
      <c r="G703"/>
      <c r="DI703" s="4">
        <f>INDEX(Sheet2!A:A,QUOTIENT(ROW()-1,19)+2)</f>
        <v>41165</v>
      </c>
      <c r="DJ703" s="4">
        <f>INDEX(Sheet2!C:C,QUOTIENT(ROW()-1,19)+2)</f>
        <v>42369</v>
      </c>
      <c r="DK703" s="4" t="e">
        <f>INDEX(Sheet2!$AA$2:$AS$228,QUOTIENT(ROW()-1,19)+1,MOD(ROW()-2,19)+1)</f>
        <v>#N/A</v>
      </c>
      <c r="DL703" t="str">
        <f>IFERROR(INDEX(Sheet2!$AU$2:$BM$228,QUOTIENT(ROW()-1,19)+1,MOD(ROW()-2,19)+1),NA())</f>
        <v/>
      </c>
      <c r="DM703" s="4" t="e">
        <f t="shared" si="51"/>
        <v>#N/A</v>
      </c>
      <c r="DN703" t="e">
        <f t="shared" si="52"/>
        <v>#N/A</v>
      </c>
      <c r="DO703" t="e">
        <f t="shared" si="53"/>
        <v>#N/A</v>
      </c>
    </row>
    <row r="704" spans="7:119" x14ac:dyDescent="0.25">
      <c r="G704"/>
      <c r="DI704" s="4">
        <f>INDEX(Sheet2!A:A,QUOTIENT(ROW()-1,19)+2)</f>
        <v>41165</v>
      </c>
      <c r="DJ704" s="4">
        <f>INDEX(Sheet2!C:C,QUOTIENT(ROW()-1,19)+2)</f>
        <v>42369</v>
      </c>
      <c r="DK704" s="4" t="e">
        <f>INDEX(Sheet2!$AA$2:$AS$228,QUOTIENT(ROW()-1,19)+1,MOD(ROW()-2,19)+1)</f>
        <v>#N/A</v>
      </c>
      <c r="DL704" t="str">
        <f>IFERROR(INDEX(Sheet2!$AU$2:$BM$228,QUOTIENT(ROW()-1,19)+1,MOD(ROW()-2,19)+1),NA())</f>
        <v/>
      </c>
      <c r="DM704" s="4" t="e">
        <f t="shared" si="51"/>
        <v>#N/A</v>
      </c>
      <c r="DN704" t="e">
        <f t="shared" si="52"/>
        <v>#N/A</v>
      </c>
      <c r="DO704" t="e">
        <f t="shared" si="53"/>
        <v>#N/A</v>
      </c>
    </row>
    <row r="705" spans="7:119" x14ac:dyDescent="0.25">
      <c r="G705"/>
      <c r="DI705" s="4">
        <f>INDEX(Sheet2!A:A,QUOTIENT(ROW()-1,19)+2)</f>
        <v>41165</v>
      </c>
      <c r="DJ705" s="4">
        <f>INDEX(Sheet2!C:C,QUOTIENT(ROW()-1,19)+2)</f>
        <v>42369</v>
      </c>
      <c r="DK705" s="4">
        <f>INDEX(Sheet2!$AA$2:$AS$228,QUOTIENT(ROW()-1,19)+1,MOD(ROW()-2,19)+1)</f>
        <v>42348.924999999996</v>
      </c>
      <c r="DL705">
        <f>IFERROR(INDEX(Sheet2!$AU$2:$BM$228,QUOTIENT(ROW()-1,19)+1,MOD(ROW()-2,19)+1),NA())</f>
        <v>0.75</v>
      </c>
      <c r="DM705" s="4" t="e">
        <f t="shared" si="51"/>
        <v>#N/A</v>
      </c>
      <c r="DN705" t="e">
        <f t="shared" si="52"/>
        <v>#N/A</v>
      </c>
      <c r="DO705" t="e">
        <f t="shared" si="53"/>
        <v>#N/A</v>
      </c>
    </row>
    <row r="706" spans="7:119" x14ac:dyDescent="0.25">
      <c r="G706"/>
      <c r="DI706" s="4">
        <f>INDEX(Sheet2!A:A,QUOTIENT(ROW()-1,19)+2)</f>
        <v>41165</v>
      </c>
      <c r="DJ706" s="4">
        <f>INDEX(Sheet2!C:C,QUOTIENT(ROW()-1,19)+2)</f>
        <v>42369</v>
      </c>
      <c r="DK706" s="4">
        <f>INDEX(Sheet2!$AA$2:$AS$228,QUOTIENT(ROW()-1,19)+1,MOD(ROW()-2,19)+1)</f>
        <v>42369</v>
      </c>
      <c r="DL706">
        <f>IFERROR(INDEX(Sheet2!$AU$2:$BM$228,QUOTIENT(ROW()-1,19)+1,MOD(ROW()-2,19)+1),NA())</f>
        <v>0.75</v>
      </c>
      <c r="DM706" s="4" t="e">
        <f t="shared" ref="DM706:DM769" si="54">+IF($C$2=$DI706,DK706,NA())</f>
        <v>#N/A</v>
      </c>
      <c r="DN706" t="e">
        <f t="shared" ref="DN706:DN769" si="55">+IF($C$2=$DI706,DL706,NA())</f>
        <v>#N/A</v>
      </c>
      <c r="DO706" t="e">
        <f t="shared" si="53"/>
        <v>#N/A</v>
      </c>
    </row>
    <row r="707" spans="7:119" x14ac:dyDescent="0.25">
      <c r="G707"/>
      <c r="DI707" s="4">
        <f>INDEX(Sheet2!A:A,QUOTIENT(ROW()-1,19)+2)</f>
        <v>41165</v>
      </c>
      <c r="DJ707" s="4">
        <f>INDEX(Sheet2!C:C,QUOTIENT(ROW()-1,19)+2)</f>
        <v>42369</v>
      </c>
      <c r="DK707" s="4">
        <f>INDEX(Sheet2!$AA$2:$AS$228,QUOTIENT(ROW()-1,19)+1,MOD(ROW()-2,19)+1)</f>
        <v>42389.074999999997</v>
      </c>
      <c r="DL707">
        <f>IFERROR(INDEX(Sheet2!$AU$2:$BM$228,QUOTIENT(ROW()-1,19)+1,MOD(ROW()-2,19)+1),NA())</f>
        <v>0.75</v>
      </c>
      <c r="DM707" s="4" t="e">
        <f t="shared" si="54"/>
        <v>#N/A</v>
      </c>
      <c r="DN707" t="e">
        <f t="shared" si="55"/>
        <v>#N/A</v>
      </c>
      <c r="DO707" t="e">
        <f t="shared" ref="DO707:DO770" si="56">IF(DN707="",NA(),DN707)</f>
        <v>#N/A</v>
      </c>
    </row>
    <row r="708" spans="7:119" x14ac:dyDescent="0.25">
      <c r="G708"/>
      <c r="DI708" s="4">
        <f>INDEX(Sheet2!A:A,QUOTIENT(ROW()-1,19)+2)</f>
        <v>41165</v>
      </c>
      <c r="DJ708" s="4">
        <f>INDEX(Sheet2!C:C,QUOTIENT(ROW()-1,19)+2)</f>
        <v>42369</v>
      </c>
      <c r="DK708" s="4" t="e">
        <f>INDEX(Sheet2!$AA$2:$AS$228,QUOTIENT(ROW()-1,19)+1,MOD(ROW()-2,19)+1)</f>
        <v>#N/A</v>
      </c>
      <c r="DL708" t="str">
        <f>IFERROR(INDEX(Sheet2!$AU$2:$BM$228,QUOTIENT(ROW()-1,19)+1,MOD(ROW()-2,19)+1),NA())</f>
        <v/>
      </c>
      <c r="DM708" s="4" t="e">
        <f t="shared" si="54"/>
        <v>#N/A</v>
      </c>
      <c r="DN708" t="e">
        <f t="shared" si="55"/>
        <v>#N/A</v>
      </c>
      <c r="DO708" t="e">
        <f t="shared" si="56"/>
        <v>#N/A</v>
      </c>
    </row>
    <row r="709" spans="7:119" x14ac:dyDescent="0.25">
      <c r="G709"/>
      <c r="DI709" s="4">
        <f>INDEX(Sheet2!A:A,QUOTIENT(ROW()-1,19)+2)</f>
        <v>41165</v>
      </c>
      <c r="DJ709" s="4">
        <f>INDEX(Sheet2!C:C,QUOTIENT(ROW()-1,19)+2)</f>
        <v>42369</v>
      </c>
      <c r="DK709" s="4" t="e">
        <f>INDEX(Sheet2!$AA$2:$AS$228,QUOTIENT(ROW()-1,19)+1,MOD(ROW()-2,19)+1)</f>
        <v>#N/A</v>
      </c>
      <c r="DL709" t="str">
        <f>IFERROR(INDEX(Sheet2!$AU$2:$BM$228,QUOTIENT(ROW()-1,19)+1,MOD(ROW()-2,19)+1),NA())</f>
        <v/>
      </c>
      <c r="DM709" s="4" t="e">
        <f t="shared" si="54"/>
        <v>#N/A</v>
      </c>
      <c r="DN709" t="e">
        <f t="shared" si="55"/>
        <v>#N/A</v>
      </c>
      <c r="DO709" t="e">
        <f t="shared" si="56"/>
        <v>#N/A</v>
      </c>
    </row>
    <row r="710" spans="7:119" x14ac:dyDescent="0.25">
      <c r="G710"/>
      <c r="DI710" s="4">
        <f>INDEX(Sheet2!A:A,QUOTIENT(ROW()-1,19)+2)</f>
        <v>41165</v>
      </c>
      <c r="DJ710" s="4">
        <f>INDEX(Sheet2!C:C,QUOTIENT(ROW()-1,19)+2)</f>
        <v>42369</v>
      </c>
      <c r="DK710" s="4" t="e">
        <f>INDEX(Sheet2!$AA$2:$AS$228,QUOTIENT(ROW()-1,19)+1,MOD(ROW()-2,19)+1)</f>
        <v>#N/A</v>
      </c>
      <c r="DL710" t="str">
        <f>IFERROR(INDEX(Sheet2!$AU$2:$BM$228,QUOTIENT(ROW()-1,19)+1,MOD(ROW()-2,19)+1),NA())</f>
        <v/>
      </c>
      <c r="DM710" s="4" t="e">
        <f t="shared" si="54"/>
        <v>#N/A</v>
      </c>
      <c r="DN710" t="e">
        <f t="shared" si="55"/>
        <v>#N/A</v>
      </c>
      <c r="DO710" t="e">
        <f t="shared" si="56"/>
        <v>#N/A</v>
      </c>
    </row>
    <row r="711" spans="7:119" x14ac:dyDescent="0.25">
      <c r="G711"/>
      <c r="DI711" s="4">
        <f>INDEX(Sheet2!A:A,QUOTIENT(ROW()-1,19)+2)</f>
        <v>41165</v>
      </c>
      <c r="DJ711" s="4">
        <f>INDEX(Sheet2!C:C,QUOTIENT(ROW()-1,19)+2)</f>
        <v>42369</v>
      </c>
      <c r="DK711" s="4" t="e">
        <f>INDEX(Sheet2!$AA$2:$AS$228,QUOTIENT(ROW()-1,19)+1,MOD(ROW()-2,19)+1)</f>
        <v>#N/A</v>
      </c>
      <c r="DL711" t="str">
        <f>IFERROR(INDEX(Sheet2!$AU$2:$BM$228,QUOTIENT(ROW()-1,19)+1,MOD(ROW()-2,19)+1),NA())</f>
        <v/>
      </c>
      <c r="DM711" s="4" t="e">
        <f t="shared" si="54"/>
        <v>#N/A</v>
      </c>
      <c r="DN711" t="e">
        <f t="shared" si="55"/>
        <v>#N/A</v>
      </c>
      <c r="DO711" t="e">
        <f t="shared" si="56"/>
        <v>#N/A</v>
      </c>
    </row>
    <row r="712" spans="7:119" x14ac:dyDescent="0.25">
      <c r="G712"/>
      <c r="DI712" s="4">
        <f>INDEX(Sheet2!A:A,QUOTIENT(ROW()-1,19)+2)</f>
        <v>41165</v>
      </c>
      <c r="DJ712" s="4">
        <f>INDEX(Sheet2!C:C,QUOTIENT(ROW()-1,19)+2)</f>
        <v>42369</v>
      </c>
      <c r="DK712" s="4" t="e">
        <f>INDEX(Sheet2!$AA$2:$AS$228,QUOTIENT(ROW()-1,19)+1,MOD(ROW()-2,19)+1)</f>
        <v>#N/A</v>
      </c>
      <c r="DL712" t="str">
        <f>IFERROR(INDEX(Sheet2!$AU$2:$BM$228,QUOTIENT(ROW()-1,19)+1,MOD(ROW()-2,19)+1),NA())</f>
        <v/>
      </c>
      <c r="DM712" s="4" t="e">
        <f t="shared" si="54"/>
        <v>#N/A</v>
      </c>
      <c r="DN712" t="e">
        <f t="shared" si="55"/>
        <v>#N/A</v>
      </c>
      <c r="DO712" t="e">
        <f t="shared" si="56"/>
        <v>#N/A</v>
      </c>
    </row>
    <row r="713" spans="7:119" x14ac:dyDescent="0.25">
      <c r="G713"/>
      <c r="DI713" s="4">
        <f>INDEX(Sheet2!A:A,QUOTIENT(ROW()-1,19)+2)</f>
        <v>41165</v>
      </c>
      <c r="DJ713" s="4">
        <f>INDEX(Sheet2!C:C,QUOTIENT(ROW()-1,19)+2)</f>
        <v>42369</v>
      </c>
      <c r="DK713" s="4" t="e">
        <f>INDEX(Sheet2!$AA$2:$AS$228,QUOTIENT(ROW()-1,19)+1,MOD(ROW()-2,19)+1)</f>
        <v>#N/A</v>
      </c>
      <c r="DL713" t="str">
        <f>IFERROR(INDEX(Sheet2!$AU$2:$BM$228,QUOTIENT(ROW()-1,19)+1,MOD(ROW()-2,19)+1),NA())</f>
        <v/>
      </c>
      <c r="DM713" s="4" t="e">
        <f t="shared" si="54"/>
        <v>#N/A</v>
      </c>
      <c r="DN713" t="e">
        <f t="shared" si="55"/>
        <v>#N/A</v>
      </c>
      <c r="DO713" t="e">
        <f t="shared" si="56"/>
        <v>#N/A</v>
      </c>
    </row>
    <row r="714" spans="7:119" x14ac:dyDescent="0.25">
      <c r="G714"/>
      <c r="DI714" s="4">
        <f>INDEX(Sheet2!A:A,QUOTIENT(ROW()-1,19)+2)</f>
        <v>41165</v>
      </c>
      <c r="DJ714" s="4">
        <f>INDEX(Sheet2!C:C,QUOTIENT(ROW()-1,19)+2)</f>
        <v>42369</v>
      </c>
      <c r="DK714" s="4" t="e">
        <f>INDEX(Sheet2!$AA$2:$AS$228,QUOTIENT(ROW()-1,19)+1,MOD(ROW()-2,19)+1)</f>
        <v>#N/A</v>
      </c>
      <c r="DL714" t="str">
        <f>IFERROR(INDEX(Sheet2!$AU$2:$BM$228,QUOTIENT(ROW()-1,19)+1,MOD(ROW()-2,19)+1),NA())</f>
        <v/>
      </c>
      <c r="DM714" s="4" t="e">
        <f t="shared" si="54"/>
        <v>#N/A</v>
      </c>
      <c r="DN714" t="e">
        <f t="shared" si="55"/>
        <v>#N/A</v>
      </c>
      <c r="DO714" t="e">
        <f t="shared" si="56"/>
        <v>#N/A</v>
      </c>
    </row>
    <row r="715" spans="7:119" x14ac:dyDescent="0.25">
      <c r="G715"/>
      <c r="DI715" s="4">
        <f>INDEX(Sheet2!A:A,QUOTIENT(ROW()-1,19)+2)</f>
        <v>41165</v>
      </c>
      <c r="DJ715" s="4">
        <f>INDEX(Sheet2!C:C,QUOTIENT(ROW()-1,19)+2)</f>
        <v>42369</v>
      </c>
      <c r="DK715" s="4" t="e">
        <f>INDEX(Sheet2!$AA$2:$AS$228,QUOTIENT(ROW()-1,19)+1,MOD(ROW()-2,19)+1)</f>
        <v>#N/A</v>
      </c>
      <c r="DL715" t="str">
        <f>IFERROR(INDEX(Sheet2!$AU$2:$BM$228,QUOTIENT(ROW()-1,19)+1,MOD(ROW()-2,19)+1),NA())</f>
        <v/>
      </c>
      <c r="DM715" s="4" t="e">
        <f t="shared" si="54"/>
        <v>#N/A</v>
      </c>
      <c r="DN715" t="e">
        <f t="shared" si="55"/>
        <v>#N/A</v>
      </c>
      <c r="DO715" t="e">
        <f t="shared" si="56"/>
        <v>#N/A</v>
      </c>
    </row>
    <row r="716" spans="7:119" x14ac:dyDescent="0.25">
      <c r="G716"/>
      <c r="DI716" s="4">
        <f>INDEX(Sheet2!A:A,QUOTIENT(ROW()-1,19)+2)</f>
        <v>41165</v>
      </c>
      <c r="DJ716" s="4">
        <f>INDEX(Sheet2!C:C,QUOTIENT(ROW()-1,19)+2)</f>
        <v>42369</v>
      </c>
      <c r="DK716" s="4" t="e">
        <f>INDEX(Sheet2!$AA$2:$AS$228,QUOTIENT(ROW()-1,19)+1,MOD(ROW()-2,19)+1)</f>
        <v>#N/A</v>
      </c>
      <c r="DL716" t="str">
        <f>IFERROR(INDEX(Sheet2!$AU$2:$BM$228,QUOTIENT(ROW()-1,19)+1,MOD(ROW()-2,19)+1),NA())</f>
        <v/>
      </c>
      <c r="DM716" s="4" t="e">
        <f t="shared" si="54"/>
        <v>#N/A</v>
      </c>
      <c r="DN716" t="e">
        <f t="shared" si="55"/>
        <v>#N/A</v>
      </c>
      <c r="DO716" t="e">
        <f t="shared" si="56"/>
        <v>#N/A</v>
      </c>
    </row>
    <row r="717" spans="7:119" x14ac:dyDescent="0.25">
      <c r="G717"/>
      <c r="DI717" s="4">
        <f>INDEX(Sheet2!A:A,QUOTIENT(ROW()-1,19)+2)</f>
        <v>41165</v>
      </c>
      <c r="DJ717" s="4">
        <f>INDEX(Sheet2!C:C,QUOTIENT(ROW()-1,19)+2)</f>
        <v>42369</v>
      </c>
      <c r="DK717" s="4" t="e">
        <f>INDEX(Sheet2!$AA$2:$AS$228,QUOTIENT(ROW()-1,19)+1,MOD(ROW()-2,19)+1)</f>
        <v>#N/A</v>
      </c>
      <c r="DL717" t="str">
        <f>IFERROR(INDEX(Sheet2!$AU$2:$BM$228,QUOTIENT(ROW()-1,19)+1,MOD(ROW()-2,19)+1),NA())</f>
        <v/>
      </c>
      <c r="DM717" s="4" t="e">
        <f t="shared" si="54"/>
        <v>#N/A</v>
      </c>
      <c r="DN717" t="e">
        <f t="shared" si="55"/>
        <v>#N/A</v>
      </c>
      <c r="DO717" t="e">
        <f t="shared" si="56"/>
        <v>#N/A</v>
      </c>
    </row>
    <row r="718" spans="7:119" x14ac:dyDescent="0.25">
      <c r="G718"/>
      <c r="DI718" s="4">
        <f>INDEX(Sheet2!A:A,QUOTIENT(ROW()-1,19)+2)</f>
        <v>41165</v>
      </c>
      <c r="DJ718" s="4">
        <f>INDEX(Sheet2!C:C,QUOTIENT(ROW()-1,19)+2)</f>
        <v>42369</v>
      </c>
      <c r="DK718" s="4" t="e">
        <f>INDEX(Sheet2!$AA$2:$AS$228,QUOTIENT(ROW()-1,19)+1,MOD(ROW()-2,19)+1)</f>
        <v>#N/A</v>
      </c>
      <c r="DL718" t="str">
        <f>IFERROR(INDEX(Sheet2!$AU$2:$BM$228,QUOTIENT(ROW()-1,19)+1,MOD(ROW()-2,19)+1),NA())</f>
        <v/>
      </c>
      <c r="DM718" s="4" t="e">
        <f t="shared" si="54"/>
        <v>#N/A</v>
      </c>
      <c r="DN718" t="e">
        <f t="shared" si="55"/>
        <v>#N/A</v>
      </c>
      <c r="DO718" t="e">
        <f t="shared" si="56"/>
        <v>#N/A</v>
      </c>
    </row>
    <row r="719" spans="7:119" x14ac:dyDescent="0.25">
      <c r="G719"/>
      <c r="DI719" s="4">
        <f>INDEX(Sheet2!A:A,QUOTIENT(ROW()-1,19)+2)</f>
        <v>41165</v>
      </c>
      <c r="DJ719" s="4">
        <f>INDEX(Sheet2!C:C,QUOTIENT(ROW()-1,19)+2)</f>
        <v>42369</v>
      </c>
      <c r="DK719" s="4" t="e">
        <f>INDEX(Sheet2!$AA$2:$AS$228,QUOTIENT(ROW()-1,19)+1,MOD(ROW()-2,19)+1)</f>
        <v>#N/A</v>
      </c>
      <c r="DL719" t="str">
        <f>IFERROR(INDEX(Sheet2!$AU$2:$BM$228,QUOTIENT(ROW()-1,19)+1,MOD(ROW()-2,19)+1),NA())</f>
        <v/>
      </c>
      <c r="DM719" s="4" t="e">
        <f t="shared" si="54"/>
        <v>#N/A</v>
      </c>
      <c r="DN719" t="e">
        <f t="shared" si="55"/>
        <v>#N/A</v>
      </c>
      <c r="DO719" t="e">
        <f t="shared" si="56"/>
        <v>#N/A</v>
      </c>
    </row>
    <row r="720" spans="7:119" x14ac:dyDescent="0.25">
      <c r="G720"/>
      <c r="DI720" s="4">
        <f>INDEX(Sheet2!A:A,QUOTIENT(ROW()-1,19)+2)</f>
        <v>41165</v>
      </c>
      <c r="DJ720" s="4">
        <f>INDEX(Sheet2!C:C,QUOTIENT(ROW()-1,19)+2)</f>
        <v>42369</v>
      </c>
      <c r="DK720" s="4" t="e">
        <f>INDEX(Sheet2!$AA$2:$AS$228,QUOTIENT(ROW()-1,19)+1,MOD(ROW()-2,19)+1)</f>
        <v>#N/A</v>
      </c>
      <c r="DL720" t="str">
        <f>IFERROR(INDEX(Sheet2!$AU$2:$BM$228,QUOTIENT(ROW()-1,19)+1,MOD(ROW()-2,19)+1),NA())</f>
        <v/>
      </c>
      <c r="DM720" s="4" t="e">
        <f t="shared" si="54"/>
        <v>#N/A</v>
      </c>
      <c r="DN720" t="e">
        <f t="shared" si="55"/>
        <v>#N/A</v>
      </c>
      <c r="DO720" t="e">
        <f t="shared" si="56"/>
        <v>#N/A</v>
      </c>
    </row>
    <row r="721" spans="7:119" x14ac:dyDescent="0.25">
      <c r="G721"/>
      <c r="DI721" s="4">
        <f>INDEX(Sheet2!A:A,QUOTIENT(ROW()-1,19)+2)</f>
        <v>41165</v>
      </c>
      <c r="DJ721" s="4">
        <f>INDEX(Sheet2!C:C,QUOTIENT(ROW()-1,19)+2)</f>
        <v>42369</v>
      </c>
      <c r="DK721" s="4" t="e">
        <f>INDEX(Sheet2!$AA$2:$AS$228,QUOTIENT(ROW()-1,19)+1,MOD(ROW()-2,19)+1)</f>
        <v>#N/A</v>
      </c>
      <c r="DL721" t="str">
        <f>IFERROR(INDEX(Sheet2!$AU$2:$BM$228,QUOTIENT(ROW()-1,19)+1,MOD(ROW()-2,19)+1),NA())</f>
        <v/>
      </c>
      <c r="DM721" s="4" t="e">
        <f t="shared" si="54"/>
        <v>#N/A</v>
      </c>
      <c r="DN721" t="e">
        <f t="shared" si="55"/>
        <v>#N/A</v>
      </c>
      <c r="DO721" t="e">
        <f t="shared" si="56"/>
        <v>#N/A</v>
      </c>
    </row>
    <row r="722" spans="7:119" x14ac:dyDescent="0.25">
      <c r="G722"/>
      <c r="DI722" s="4">
        <f>INDEX(Sheet2!A:A,QUOTIENT(ROW()-1,19)+2)</f>
        <v>41165</v>
      </c>
      <c r="DJ722" s="4">
        <f>INDEX(Sheet2!C:C,QUOTIENT(ROW()-1,19)+2)</f>
        <v>42369</v>
      </c>
      <c r="DK722" s="4" t="e">
        <f>INDEX(Sheet2!$AA$2:$AS$228,QUOTIENT(ROW()-1,19)+1,MOD(ROW()-2,19)+1)</f>
        <v>#N/A</v>
      </c>
      <c r="DL722" t="str">
        <f>IFERROR(INDEX(Sheet2!$AU$2:$BM$228,QUOTIENT(ROW()-1,19)+1,MOD(ROW()-2,19)+1),NA())</f>
        <v/>
      </c>
      <c r="DM722" s="4" t="e">
        <f t="shared" si="54"/>
        <v>#N/A</v>
      </c>
      <c r="DN722" t="e">
        <f t="shared" si="55"/>
        <v>#N/A</v>
      </c>
      <c r="DO722" t="e">
        <f t="shared" si="56"/>
        <v>#N/A</v>
      </c>
    </row>
    <row r="723" spans="7:119" x14ac:dyDescent="0.25">
      <c r="G723"/>
      <c r="DI723" s="4">
        <f>INDEX(Sheet2!A:A,QUOTIENT(ROW()-1,19)+2)</f>
        <v>41165</v>
      </c>
      <c r="DJ723" s="4">
        <f>INDEX(Sheet2!C:C,QUOTIENT(ROW()-1,19)+2)</f>
        <v>42369</v>
      </c>
      <c r="DK723" s="4" t="e">
        <f>INDEX(Sheet2!$AA$2:$AS$228,QUOTIENT(ROW()-1,19)+1,MOD(ROW()-2,19)+1)</f>
        <v>#N/A</v>
      </c>
      <c r="DL723" t="str">
        <f>IFERROR(INDEX(Sheet2!$AU$2:$BM$228,QUOTIENT(ROW()-1,19)+1,MOD(ROW()-2,19)+1),NA())</f>
        <v/>
      </c>
      <c r="DM723" s="4" t="e">
        <f t="shared" si="54"/>
        <v>#N/A</v>
      </c>
      <c r="DN723" t="e">
        <f t="shared" si="55"/>
        <v>#N/A</v>
      </c>
      <c r="DO723" t="e">
        <f t="shared" si="56"/>
        <v>#N/A</v>
      </c>
    </row>
    <row r="724" spans="7:119" x14ac:dyDescent="0.25">
      <c r="G724"/>
      <c r="DI724" s="4">
        <f>INDEX(Sheet2!A:A,QUOTIENT(ROW()-1,19)+2)</f>
        <v>41165</v>
      </c>
      <c r="DJ724" s="4">
        <f>INDEX(Sheet2!C:C,QUOTIENT(ROW()-1,19)+2)</f>
        <v>42369</v>
      </c>
      <c r="DK724" s="4">
        <f>INDEX(Sheet2!$AA$2:$AS$228,QUOTIENT(ROW()-1,19)+1,MOD(ROW()-2,19)+1)</f>
        <v>42338.887499999997</v>
      </c>
      <c r="DL724">
        <f>IFERROR(INDEX(Sheet2!$AU$2:$BM$228,QUOTIENT(ROW()-1,19)+1,MOD(ROW()-2,19)+1),NA())</f>
        <v>1</v>
      </c>
      <c r="DM724" s="4" t="e">
        <f t="shared" si="54"/>
        <v>#N/A</v>
      </c>
      <c r="DN724" t="e">
        <f t="shared" si="55"/>
        <v>#N/A</v>
      </c>
      <c r="DO724" t="e">
        <f t="shared" si="56"/>
        <v>#N/A</v>
      </c>
    </row>
    <row r="725" spans="7:119" x14ac:dyDescent="0.25">
      <c r="G725"/>
      <c r="DI725" s="4">
        <f>INDEX(Sheet2!A:A,QUOTIENT(ROW()-1,19)+2)</f>
        <v>41165</v>
      </c>
      <c r="DJ725" s="4">
        <f>INDEX(Sheet2!C:C,QUOTIENT(ROW()-1,19)+2)</f>
        <v>42369</v>
      </c>
      <c r="DK725" s="4">
        <f>INDEX(Sheet2!$AA$2:$AS$228,QUOTIENT(ROW()-1,19)+1,MOD(ROW()-2,19)+1)</f>
        <v>42358.962500000001</v>
      </c>
      <c r="DL725">
        <f>IFERROR(INDEX(Sheet2!$AU$2:$BM$228,QUOTIENT(ROW()-1,19)+1,MOD(ROW()-2,19)+1),NA())</f>
        <v>1</v>
      </c>
      <c r="DM725" s="4" t="e">
        <f t="shared" si="54"/>
        <v>#N/A</v>
      </c>
      <c r="DN725" t="e">
        <f t="shared" si="55"/>
        <v>#N/A</v>
      </c>
      <c r="DO725" t="e">
        <f t="shared" si="56"/>
        <v>#N/A</v>
      </c>
    </row>
    <row r="726" spans="7:119" x14ac:dyDescent="0.25">
      <c r="G726"/>
      <c r="DI726" s="4">
        <f>INDEX(Sheet2!A:A,QUOTIENT(ROW()-1,19)+2)</f>
        <v>41165</v>
      </c>
      <c r="DJ726" s="4">
        <f>INDEX(Sheet2!C:C,QUOTIENT(ROW()-1,19)+2)</f>
        <v>42369</v>
      </c>
      <c r="DK726" s="4">
        <f>INDEX(Sheet2!$AA$2:$AS$228,QUOTIENT(ROW()-1,19)+1,MOD(ROW()-2,19)+1)</f>
        <v>42379.037499999999</v>
      </c>
      <c r="DL726">
        <f>IFERROR(INDEX(Sheet2!$AU$2:$BM$228,QUOTIENT(ROW()-1,19)+1,MOD(ROW()-2,19)+1),NA())</f>
        <v>1</v>
      </c>
      <c r="DM726" s="4" t="e">
        <f t="shared" si="54"/>
        <v>#N/A</v>
      </c>
      <c r="DN726" t="e">
        <f t="shared" si="55"/>
        <v>#N/A</v>
      </c>
      <c r="DO726" t="e">
        <f t="shared" si="56"/>
        <v>#N/A</v>
      </c>
    </row>
    <row r="727" spans="7:119" x14ac:dyDescent="0.25">
      <c r="G727"/>
      <c r="DI727" s="4">
        <f>INDEX(Sheet2!A:A,QUOTIENT(ROW()-1,19)+2)</f>
        <v>41165</v>
      </c>
      <c r="DJ727" s="4">
        <f>INDEX(Sheet2!C:C,QUOTIENT(ROW()-1,19)+2)</f>
        <v>42369</v>
      </c>
      <c r="DK727" s="4">
        <f>INDEX(Sheet2!$AA$2:$AS$228,QUOTIENT(ROW()-1,19)+1,MOD(ROW()-2,19)+1)</f>
        <v>42399.112500000003</v>
      </c>
      <c r="DL727">
        <f>IFERROR(INDEX(Sheet2!$AU$2:$BM$228,QUOTIENT(ROW()-1,19)+1,MOD(ROW()-2,19)+1),NA())</f>
        <v>1</v>
      </c>
      <c r="DM727" s="4" t="e">
        <f t="shared" si="54"/>
        <v>#N/A</v>
      </c>
      <c r="DN727" t="e">
        <f t="shared" si="55"/>
        <v>#N/A</v>
      </c>
      <c r="DO727" t="e">
        <f t="shared" si="56"/>
        <v>#N/A</v>
      </c>
    </row>
    <row r="728" spans="7:119" x14ac:dyDescent="0.25">
      <c r="G728"/>
      <c r="DI728" s="4">
        <f>INDEX(Sheet2!A:A,QUOTIENT(ROW()-1,19)+2)</f>
        <v>41165</v>
      </c>
      <c r="DJ728" s="4">
        <f>INDEX(Sheet2!C:C,QUOTIENT(ROW()-1,19)+2)</f>
        <v>42369</v>
      </c>
      <c r="DK728" s="4" t="e">
        <f>INDEX(Sheet2!$AA$2:$AS$228,QUOTIENT(ROW()-1,19)+1,MOD(ROW()-2,19)+1)</f>
        <v>#N/A</v>
      </c>
      <c r="DL728" t="str">
        <f>IFERROR(INDEX(Sheet2!$AU$2:$BM$228,QUOTIENT(ROW()-1,19)+1,MOD(ROW()-2,19)+1),NA())</f>
        <v/>
      </c>
      <c r="DM728" s="4" t="e">
        <f t="shared" si="54"/>
        <v>#N/A</v>
      </c>
      <c r="DN728" t="e">
        <f t="shared" si="55"/>
        <v>#N/A</v>
      </c>
      <c r="DO728" t="e">
        <f t="shared" si="56"/>
        <v>#N/A</v>
      </c>
    </row>
    <row r="729" spans="7:119" x14ac:dyDescent="0.25">
      <c r="G729"/>
      <c r="DI729" s="4">
        <f>INDEX(Sheet2!A:A,QUOTIENT(ROW()-1,19)+2)</f>
        <v>41165</v>
      </c>
      <c r="DJ729" s="4">
        <f>INDEX(Sheet2!C:C,QUOTIENT(ROW()-1,19)+2)</f>
        <v>42369</v>
      </c>
      <c r="DK729" s="4" t="e">
        <f>INDEX(Sheet2!$AA$2:$AS$228,QUOTIENT(ROW()-1,19)+1,MOD(ROW()-2,19)+1)</f>
        <v>#N/A</v>
      </c>
      <c r="DL729" t="str">
        <f>IFERROR(INDEX(Sheet2!$AU$2:$BM$228,QUOTIENT(ROW()-1,19)+1,MOD(ROW()-2,19)+1),NA())</f>
        <v/>
      </c>
      <c r="DM729" s="4" t="e">
        <f t="shared" si="54"/>
        <v>#N/A</v>
      </c>
      <c r="DN729" t="e">
        <f t="shared" si="55"/>
        <v>#N/A</v>
      </c>
      <c r="DO729" t="e">
        <f t="shared" si="56"/>
        <v>#N/A</v>
      </c>
    </row>
    <row r="730" spans="7:119" x14ac:dyDescent="0.25">
      <c r="G730"/>
      <c r="DI730" s="4">
        <f>INDEX(Sheet2!A:A,QUOTIENT(ROW()-1,19)+2)</f>
        <v>41165</v>
      </c>
      <c r="DJ730" s="4">
        <f>INDEX(Sheet2!C:C,QUOTIENT(ROW()-1,19)+2)</f>
        <v>42369</v>
      </c>
      <c r="DK730" s="4" t="e">
        <f>INDEX(Sheet2!$AA$2:$AS$228,QUOTIENT(ROW()-1,19)+1,MOD(ROW()-2,19)+1)</f>
        <v>#N/A</v>
      </c>
      <c r="DL730" t="str">
        <f>IFERROR(INDEX(Sheet2!$AU$2:$BM$228,QUOTIENT(ROW()-1,19)+1,MOD(ROW()-2,19)+1),NA())</f>
        <v/>
      </c>
      <c r="DM730" s="4" t="e">
        <f t="shared" si="54"/>
        <v>#N/A</v>
      </c>
      <c r="DN730" t="e">
        <f t="shared" si="55"/>
        <v>#N/A</v>
      </c>
      <c r="DO730" t="e">
        <f t="shared" si="56"/>
        <v>#N/A</v>
      </c>
    </row>
    <row r="731" spans="7:119" x14ac:dyDescent="0.25">
      <c r="G731"/>
      <c r="DI731" s="4">
        <f>INDEX(Sheet2!A:A,QUOTIENT(ROW()-1,19)+2)</f>
        <v>41165</v>
      </c>
      <c r="DJ731" s="4">
        <f>INDEX(Sheet2!C:C,QUOTIENT(ROW()-1,19)+2)</f>
        <v>42369</v>
      </c>
      <c r="DK731" s="4" t="e">
        <f>INDEX(Sheet2!$AA$2:$AS$228,QUOTIENT(ROW()-1,19)+1,MOD(ROW()-2,19)+1)</f>
        <v>#N/A</v>
      </c>
      <c r="DL731" t="str">
        <f>IFERROR(INDEX(Sheet2!$AU$2:$BM$228,QUOTIENT(ROW()-1,19)+1,MOD(ROW()-2,19)+1),NA())</f>
        <v/>
      </c>
      <c r="DM731" s="4" t="e">
        <f t="shared" si="54"/>
        <v>#N/A</v>
      </c>
      <c r="DN731" t="e">
        <f t="shared" si="55"/>
        <v>#N/A</v>
      </c>
      <c r="DO731" t="e">
        <f t="shared" si="56"/>
        <v>#N/A</v>
      </c>
    </row>
    <row r="732" spans="7:119" x14ac:dyDescent="0.25">
      <c r="G732"/>
      <c r="DI732" s="4">
        <f>INDEX(Sheet2!A:A,QUOTIENT(ROW()-1,19)+2)</f>
        <v>41165</v>
      </c>
      <c r="DJ732" s="4">
        <f>INDEX(Sheet2!C:C,QUOTIENT(ROW()-1,19)+2)</f>
        <v>42369</v>
      </c>
      <c r="DK732" s="4" t="e">
        <f>INDEX(Sheet2!$AA$2:$AS$228,QUOTIENT(ROW()-1,19)+1,MOD(ROW()-2,19)+1)</f>
        <v>#N/A</v>
      </c>
      <c r="DL732" t="str">
        <f>IFERROR(INDEX(Sheet2!$AU$2:$BM$228,QUOTIENT(ROW()-1,19)+1,MOD(ROW()-2,19)+1),NA())</f>
        <v/>
      </c>
      <c r="DM732" s="4" t="e">
        <f t="shared" si="54"/>
        <v>#N/A</v>
      </c>
      <c r="DN732" t="e">
        <f t="shared" si="55"/>
        <v>#N/A</v>
      </c>
      <c r="DO732" t="e">
        <f t="shared" si="56"/>
        <v>#N/A</v>
      </c>
    </row>
    <row r="733" spans="7:119" x14ac:dyDescent="0.25">
      <c r="G733"/>
      <c r="DI733" s="4">
        <f>INDEX(Sheet2!A:A,QUOTIENT(ROW()-1,19)+2)</f>
        <v>41165</v>
      </c>
      <c r="DJ733" s="4">
        <f>INDEX(Sheet2!C:C,QUOTIENT(ROW()-1,19)+2)</f>
        <v>42369</v>
      </c>
      <c r="DK733" s="4" t="e">
        <f>INDEX(Sheet2!$AA$2:$AS$228,QUOTIENT(ROW()-1,19)+1,MOD(ROW()-2,19)+1)</f>
        <v>#N/A</v>
      </c>
      <c r="DL733" t="str">
        <f>IFERROR(INDEX(Sheet2!$AU$2:$BM$228,QUOTIENT(ROW()-1,19)+1,MOD(ROW()-2,19)+1),NA())</f>
        <v/>
      </c>
      <c r="DM733" s="4" t="e">
        <f t="shared" si="54"/>
        <v>#N/A</v>
      </c>
      <c r="DN733" t="e">
        <f t="shared" si="55"/>
        <v>#N/A</v>
      </c>
      <c r="DO733" t="e">
        <f t="shared" si="56"/>
        <v>#N/A</v>
      </c>
    </row>
    <row r="734" spans="7:119" x14ac:dyDescent="0.25">
      <c r="G734"/>
      <c r="DI734" s="4">
        <f>INDEX(Sheet2!A:A,QUOTIENT(ROW()-1,19)+2)</f>
        <v>41165</v>
      </c>
      <c r="DJ734" s="4">
        <f>INDEX(Sheet2!C:C,QUOTIENT(ROW()-1,19)+2)</f>
        <v>42369</v>
      </c>
      <c r="DK734" s="4" t="e">
        <f>INDEX(Sheet2!$AA$2:$AS$228,QUOTIENT(ROW()-1,19)+1,MOD(ROW()-2,19)+1)</f>
        <v>#N/A</v>
      </c>
      <c r="DL734" t="str">
        <f>IFERROR(INDEX(Sheet2!$AU$2:$BM$228,QUOTIENT(ROW()-1,19)+1,MOD(ROW()-2,19)+1),NA())</f>
        <v/>
      </c>
      <c r="DM734" s="4" t="e">
        <f t="shared" si="54"/>
        <v>#N/A</v>
      </c>
      <c r="DN734" t="e">
        <f t="shared" si="55"/>
        <v>#N/A</v>
      </c>
      <c r="DO734" t="e">
        <f t="shared" si="56"/>
        <v>#N/A</v>
      </c>
    </row>
    <row r="735" spans="7:119" x14ac:dyDescent="0.25">
      <c r="G735"/>
      <c r="DI735" s="4">
        <f>INDEX(Sheet2!A:A,QUOTIENT(ROW()-1,19)+2)</f>
        <v>41165</v>
      </c>
      <c r="DJ735" s="4">
        <f>INDEX(Sheet2!C:C,QUOTIENT(ROW()-1,19)+2)</f>
        <v>42369</v>
      </c>
      <c r="DK735" s="4" t="e">
        <f>INDEX(Sheet2!$AA$2:$AS$228,QUOTIENT(ROW()-1,19)+1,MOD(ROW()-2,19)+1)</f>
        <v>#N/A</v>
      </c>
      <c r="DL735" t="str">
        <f>IFERROR(INDEX(Sheet2!$AU$2:$BM$228,QUOTIENT(ROW()-1,19)+1,MOD(ROW()-2,19)+1),NA())</f>
        <v/>
      </c>
      <c r="DM735" s="4" t="e">
        <f t="shared" si="54"/>
        <v>#N/A</v>
      </c>
      <c r="DN735" t="e">
        <f t="shared" si="55"/>
        <v>#N/A</v>
      </c>
      <c r="DO735" t="e">
        <f t="shared" si="56"/>
        <v>#N/A</v>
      </c>
    </row>
    <row r="736" spans="7:119" x14ac:dyDescent="0.25">
      <c r="G736"/>
      <c r="DI736" s="4">
        <f>INDEX(Sheet2!A:A,QUOTIENT(ROW()-1,19)+2)</f>
        <v>41165</v>
      </c>
      <c r="DJ736" s="4">
        <f>INDEX(Sheet2!C:C,QUOTIENT(ROW()-1,19)+2)</f>
        <v>42369</v>
      </c>
      <c r="DK736" s="4" t="e">
        <f>INDEX(Sheet2!$AA$2:$AS$228,QUOTIENT(ROW()-1,19)+1,MOD(ROW()-2,19)+1)</f>
        <v>#N/A</v>
      </c>
      <c r="DL736" t="str">
        <f>IFERROR(INDEX(Sheet2!$AU$2:$BM$228,QUOTIENT(ROW()-1,19)+1,MOD(ROW()-2,19)+1),NA())</f>
        <v/>
      </c>
      <c r="DM736" s="4" t="e">
        <f t="shared" si="54"/>
        <v>#N/A</v>
      </c>
      <c r="DN736" t="e">
        <f t="shared" si="55"/>
        <v>#N/A</v>
      </c>
      <c r="DO736" t="e">
        <f t="shared" si="56"/>
        <v>#N/A</v>
      </c>
    </row>
    <row r="737" spans="7:119" x14ac:dyDescent="0.25">
      <c r="G737"/>
      <c r="DI737" s="4">
        <f>INDEX(Sheet2!A:A,QUOTIENT(ROW()-1,19)+2)</f>
        <v>41165</v>
      </c>
      <c r="DJ737" s="4">
        <f>INDEX(Sheet2!C:C,QUOTIENT(ROW()-1,19)+2)</f>
        <v>42369</v>
      </c>
      <c r="DK737" s="4" t="e">
        <f>INDEX(Sheet2!$AA$2:$AS$228,QUOTIENT(ROW()-1,19)+1,MOD(ROW()-2,19)+1)</f>
        <v>#N/A</v>
      </c>
      <c r="DL737" t="str">
        <f>IFERROR(INDEX(Sheet2!$AU$2:$BM$228,QUOTIENT(ROW()-1,19)+1,MOD(ROW()-2,19)+1),NA())</f>
        <v/>
      </c>
      <c r="DM737" s="4" t="e">
        <f t="shared" si="54"/>
        <v>#N/A</v>
      </c>
      <c r="DN737" t="e">
        <f t="shared" si="55"/>
        <v>#N/A</v>
      </c>
      <c r="DO737" t="e">
        <f t="shared" si="56"/>
        <v>#N/A</v>
      </c>
    </row>
    <row r="738" spans="7:119" x14ac:dyDescent="0.25">
      <c r="G738"/>
      <c r="DI738" s="4">
        <f>INDEX(Sheet2!A:A,QUOTIENT(ROW()-1,19)+2)</f>
        <v>41165</v>
      </c>
      <c r="DJ738" s="4">
        <f>INDEX(Sheet2!C:C,QUOTIENT(ROW()-1,19)+2)</f>
        <v>42369</v>
      </c>
      <c r="DK738" s="4" t="e">
        <f>INDEX(Sheet2!$AA$2:$AS$228,QUOTIENT(ROW()-1,19)+1,MOD(ROW()-2,19)+1)</f>
        <v>#N/A</v>
      </c>
      <c r="DL738" t="str">
        <f>IFERROR(INDEX(Sheet2!$AU$2:$BM$228,QUOTIENT(ROW()-1,19)+1,MOD(ROW()-2,19)+1),NA())</f>
        <v/>
      </c>
      <c r="DM738" s="4" t="e">
        <f t="shared" si="54"/>
        <v>#N/A</v>
      </c>
      <c r="DN738" t="e">
        <f t="shared" si="55"/>
        <v>#N/A</v>
      </c>
      <c r="DO738" t="e">
        <f t="shared" si="56"/>
        <v>#N/A</v>
      </c>
    </row>
    <row r="739" spans="7:119" x14ac:dyDescent="0.25">
      <c r="G739"/>
      <c r="DI739" s="4">
        <f>INDEX(Sheet2!A:A,QUOTIENT(ROW()-1,19)+2)</f>
        <v>41165</v>
      </c>
      <c r="DJ739" s="4">
        <f>INDEX(Sheet2!C:C,QUOTIENT(ROW()-1,19)+2)</f>
        <v>42369</v>
      </c>
      <c r="DK739" s="4" t="e">
        <f>INDEX(Sheet2!$AA$2:$AS$228,QUOTIENT(ROW()-1,19)+1,MOD(ROW()-2,19)+1)</f>
        <v>#N/A</v>
      </c>
      <c r="DL739" t="str">
        <f>IFERROR(INDEX(Sheet2!$AU$2:$BM$228,QUOTIENT(ROW()-1,19)+1,MOD(ROW()-2,19)+1),NA())</f>
        <v/>
      </c>
      <c r="DM739" s="4" t="e">
        <f t="shared" si="54"/>
        <v>#N/A</v>
      </c>
      <c r="DN739" t="e">
        <f t="shared" si="55"/>
        <v>#N/A</v>
      </c>
      <c r="DO739" t="e">
        <f t="shared" si="56"/>
        <v>#N/A</v>
      </c>
    </row>
    <row r="740" spans="7:119" x14ac:dyDescent="0.25">
      <c r="G740"/>
      <c r="DI740" s="4">
        <f>INDEX(Sheet2!A:A,QUOTIENT(ROW()-1,19)+2)</f>
        <v>41165</v>
      </c>
      <c r="DJ740" s="4">
        <f>INDEX(Sheet2!C:C,QUOTIENT(ROW()-1,19)+2)</f>
        <v>42369</v>
      </c>
      <c r="DK740" s="4" t="e">
        <f>INDEX(Sheet2!$AA$2:$AS$228,QUOTIENT(ROW()-1,19)+1,MOD(ROW()-2,19)+1)</f>
        <v>#N/A</v>
      </c>
      <c r="DL740" t="str">
        <f>IFERROR(INDEX(Sheet2!$AU$2:$BM$228,QUOTIENT(ROW()-1,19)+1,MOD(ROW()-2,19)+1),NA())</f>
        <v/>
      </c>
      <c r="DM740" s="4" t="e">
        <f t="shared" si="54"/>
        <v>#N/A</v>
      </c>
      <c r="DN740" t="e">
        <f t="shared" si="55"/>
        <v>#N/A</v>
      </c>
      <c r="DO740" t="e">
        <f t="shared" si="56"/>
        <v>#N/A</v>
      </c>
    </row>
    <row r="741" spans="7:119" x14ac:dyDescent="0.25">
      <c r="G741"/>
      <c r="DI741" s="4">
        <f>INDEX(Sheet2!A:A,QUOTIENT(ROW()-1,19)+2)</f>
        <v>41165</v>
      </c>
      <c r="DJ741" s="4">
        <f>INDEX(Sheet2!C:C,QUOTIENT(ROW()-1,19)+2)</f>
        <v>42369</v>
      </c>
      <c r="DK741" s="4" t="e">
        <f>INDEX(Sheet2!$AA$2:$AS$228,QUOTIENT(ROW()-1,19)+1,MOD(ROW()-2,19)+1)</f>
        <v>#N/A</v>
      </c>
      <c r="DL741" t="str">
        <f>IFERROR(INDEX(Sheet2!$AU$2:$BM$228,QUOTIENT(ROW()-1,19)+1,MOD(ROW()-2,19)+1),NA())</f>
        <v/>
      </c>
      <c r="DM741" s="4" t="e">
        <f t="shared" si="54"/>
        <v>#N/A</v>
      </c>
      <c r="DN741" t="e">
        <f t="shared" si="55"/>
        <v>#N/A</v>
      </c>
      <c r="DO741" t="e">
        <f t="shared" si="56"/>
        <v>#N/A</v>
      </c>
    </row>
    <row r="742" spans="7:119" x14ac:dyDescent="0.25">
      <c r="G742"/>
      <c r="DI742" s="4">
        <f>INDEX(Sheet2!A:A,QUOTIENT(ROW()-1,19)+2)</f>
        <v>41165</v>
      </c>
      <c r="DJ742" s="4">
        <f>INDEX(Sheet2!C:C,QUOTIENT(ROW()-1,19)+2)</f>
        <v>42369</v>
      </c>
      <c r="DK742" s="4" t="e">
        <f>INDEX(Sheet2!$AA$2:$AS$228,QUOTIENT(ROW()-1,19)+1,MOD(ROW()-2,19)+1)</f>
        <v>#N/A</v>
      </c>
      <c r="DL742" t="str">
        <f>IFERROR(INDEX(Sheet2!$AU$2:$BM$228,QUOTIENT(ROW()-1,19)+1,MOD(ROW()-2,19)+1),NA())</f>
        <v/>
      </c>
      <c r="DM742" s="4" t="e">
        <f t="shared" si="54"/>
        <v>#N/A</v>
      </c>
      <c r="DN742" t="e">
        <f t="shared" si="55"/>
        <v>#N/A</v>
      </c>
      <c r="DO742" t="e">
        <f t="shared" si="56"/>
        <v>#N/A</v>
      </c>
    </row>
    <row r="743" spans="7:119" x14ac:dyDescent="0.25">
      <c r="G743"/>
      <c r="DI743" s="4">
        <f>INDEX(Sheet2!A:A,QUOTIENT(ROW()-1,19)+2)</f>
        <v>41165</v>
      </c>
      <c r="DJ743" s="4">
        <f>INDEX(Sheet2!C:C,QUOTIENT(ROW()-1,19)+2)</f>
        <v>42369</v>
      </c>
      <c r="DK743" s="4">
        <f>INDEX(Sheet2!$AA$2:$AS$228,QUOTIENT(ROW()-1,19)+1,MOD(ROW()-2,19)+1)</f>
        <v>42348.924999999996</v>
      </c>
      <c r="DL743">
        <f>IFERROR(INDEX(Sheet2!$AU$2:$BM$228,QUOTIENT(ROW()-1,19)+1,MOD(ROW()-2,19)+1),NA())</f>
        <v>1.5</v>
      </c>
      <c r="DM743" s="4" t="e">
        <f t="shared" si="54"/>
        <v>#N/A</v>
      </c>
      <c r="DN743" t="e">
        <f t="shared" si="55"/>
        <v>#N/A</v>
      </c>
      <c r="DO743" t="e">
        <f t="shared" si="56"/>
        <v>#N/A</v>
      </c>
    </row>
    <row r="744" spans="7:119" x14ac:dyDescent="0.25">
      <c r="G744"/>
      <c r="DI744" s="4">
        <f>INDEX(Sheet2!A:A,QUOTIENT(ROW()-1,19)+2)</f>
        <v>41165</v>
      </c>
      <c r="DJ744" s="4">
        <f>INDEX(Sheet2!C:C,QUOTIENT(ROW()-1,19)+2)</f>
        <v>42369</v>
      </c>
      <c r="DK744" s="4">
        <f>INDEX(Sheet2!$AA$2:$AS$228,QUOTIENT(ROW()-1,19)+1,MOD(ROW()-2,19)+1)</f>
        <v>42369</v>
      </c>
      <c r="DL744">
        <f>IFERROR(INDEX(Sheet2!$AU$2:$BM$228,QUOTIENT(ROW()-1,19)+1,MOD(ROW()-2,19)+1),NA())</f>
        <v>1.5</v>
      </c>
      <c r="DM744" s="4" t="e">
        <f t="shared" si="54"/>
        <v>#N/A</v>
      </c>
      <c r="DN744" t="e">
        <f t="shared" si="55"/>
        <v>#N/A</v>
      </c>
      <c r="DO744" t="e">
        <f t="shared" si="56"/>
        <v>#N/A</v>
      </c>
    </row>
    <row r="745" spans="7:119" x14ac:dyDescent="0.25">
      <c r="G745"/>
      <c r="DI745" s="4">
        <f>INDEX(Sheet2!A:A,QUOTIENT(ROW()-1,19)+2)</f>
        <v>41165</v>
      </c>
      <c r="DJ745" s="4">
        <f>INDEX(Sheet2!C:C,QUOTIENT(ROW()-1,19)+2)</f>
        <v>42369</v>
      </c>
      <c r="DK745" s="4">
        <f>INDEX(Sheet2!$AA$2:$AS$228,QUOTIENT(ROW()-1,19)+1,MOD(ROW()-2,19)+1)</f>
        <v>42389.074999999997</v>
      </c>
      <c r="DL745">
        <f>IFERROR(INDEX(Sheet2!$AU$2:$BM$228,QUOTIENT(ROW()-1,19)+1,MOD(ROW()-2,19)+1),NA())</f>
        <v>1.5</v>
      </c>
      <c r="DM745" s="4" t="e">
        <f t="shared" si="54"/>
        <v>#N/A</v>
      </c>
      <c r="DN745" t="e">
        <f t="shared" si="55"/>
        <v>#N/A</v>
      </c>
      <c r="DO745" t="e">
        <f t="shared" si="56"/>
        <v>#N/A</v>
      </c>
    </row>
    <row r="746" spans="7:119" x14ac:dyDescent="0.25">
      <c r="G746"/>
      <c r="DI746" s="4">
        <f>INDEX(Sheet2!A:A,QUOTIENT(ROW()-1,19)+2)</f>
        <v>41165</v>
      </c>
      <c r="DJ746" s="4">
        <f>INDEX(Sheet2!C:C,QUOTIENT(ROW()-1,19)+2)</f>
        <v>42369</v>
      </c>
      <c r="DK746" s="4" t="e">
        <f>INDEX(Sheet2!$AA$2:$AS$228,QUOTIENT(ROW()-1,19)+1,MOD(ROW()-2,19)+1)</f>
        <v>#N/A</v>
      </c>
      <c r="DL746" t="str">
        <f>IFERROR(INDEX(Sheet2!$AU$2:$BM$228,QUOTIENT(ROW()-1,19)+1,MOD(ROW()-2,19)+1),NA())</f>
        <v/>
      </c>
      <c r="DM746" s="4" t="e">
        <f t="shared" si="54"/>
        <v>#N/A</v>
      </c>
      <c r="DN746" t="e">
        <f t="shared" si="55"/>
        <v>#N/A</v>
      </c>
      <c r="DO746" t="e">
        <f t="shared" si="56"/>
        <v>#N/A</v>
      </c>
    </row>
    <row r="747" spans="7:119" x14ac:dyDescent="0.25">
      <c r="G747"/>
      <c r="DI747" s="4">
        <f>INDEX(Sheet2!A:A,QUOTIENT(ROW()-1,19)+2)</f>
        <v>41165</v>
      </c>
      <c r="DJ747" s="4">
        <f>INDEX(Sheet2!C:C,QUOTIENT(ROW()-1,19)+2)</f>
        <v>42369</v>
      </c>
      <c r="DK747" s="4" t="e">
        <f>INDEX(Sheet2!$AA$2:$AS$228,QUOTIENT(ROW()-1,19)+1,MOD(ROW()-2,19)+1)</f>
        <v>#N/A</v>
      </c>
      <c r="DL747" t="str">
        <f>IFERROR(INDEX(Sheet2!$AU$2:$BM$228,QUOTIENT(ROW()-1,19)+1,MOD(ROW()-2,19)+1),NA())</f>
        <v/>
      </c>
      <c r="DM747" s="4" t="e">
        <f t="shared" si="54"/>
        <v>#N/A</v>
      </c>
      <c r="DN747" t="e">
        <f t="shared" si="55"/>
        <v>#N/A</v>
      </c>
      <c r="DO747" t="e">
        <f t="shared" si="56"/>
        <v>#N/A</v>
      </c>
    </row>
    <row r="748" spans="7:119" x14ac:dyDescent="0.25">
      <c r="G748"/>
      <c r="DI748" s="4">
        <f>INDEX(Sheet2!A:A,QUOTIENT(ROW()-1,19)+2)</f>
        <v>41165</v>
      </c>
      <c r="DJ748" s="4">
        <f>INDEX(Sheet2!C:C,QUOTIENT(ROW()-1,19)+2)</f>
        <v>42369</v>
      </c>
      <c r="DK748" s="4" t="e">
        <f>INDEX(Sheet2!$AA$2:$AS$228,QUOTIENT(ROW()-1,19)+1,MOD(ROW()-2,19)+1)</f>
        <v>#N/A</v>
      </c>
      <c r="DL748" t="str">
        <f>IFERROR(INDEX(Sheet2!$AU$2:$BM$228,QUOTIENT(ROW()-1,19)+1,MOD(ROW()-2,19)+1),NA())</f>
        <v/>
      </c>
      <c r="DM748" s="4" t="e">
        <f t="shared" si="54"/>
        <v>#N/A</v>
      </c>
      <c r="DN748" t="e">
        <f t="shared" si="55"/>
        <v>#N/A</v>
      </c>
      <c r="DO748" t="e">
        <f t="shared" si="56"/>
        <v>#N/A</v>
      </c>
    </row>
    <row r="749" spans="7:119" x14ac:dyDescent="0.25">
      <c r="G749"/>
      <c r="DI749" s="4">
        <f>INDEX(Sheet2!A:A,QUOTIENT(ROW()-1,19)+2)</f>
        <v>41165</v>
      </c>
      <c r="DJ749" s="4">
        <f>INDEX(Sheet2!C:C,QUOTIENT(ROW()-1,19)+2)</f>
        <v>42369</v>
      </c>
      <c r="DK749" s="4" t="e">
        <f>INDEX(Sheet2!$AA$2:$AS$228,QUOTIENT(ROW()-1,19)+1,MOD(ROW()-2,19)+1)</f>
        <v>#N/A</v>
      </c>
      <c r="DL749" t="str">
        <f>IFERROR(INDEX(Sheet2!$AU$2:$BM$228,QUOTIENT(ROW()-1,19)+1,MOD(ROW()-2,19)+1),NA())</f>
        <v/>
      </c>
      <c r="DM749" s="4" t="e">
        <f t="shared" si="54"/>
        <v>#N/A</v>
      </c>
      <c r="DN749" t="e">
        <f t="shared" si="55"/>
        <v>#N/A</v>
      </c>
      <c r="DO749" t="e">
        <f t="shared" si="56"/>
        <v>#N/A</v>
      </c>
    </row>
    <row r="750" spans="7:119" x14ac:dyDescent="0.25">
      <c r="G750"/>
      <c r="DI750" s="4">
        <f>INDEX(Sheet2!A:A,QUOTIENT(ROW()-1,19)+2)</f>
        <v>41165</v>
      </c>
      <c r="DJ750" s="4">
        <f>INDEX(Sheet2!C:C,QUOTIENT(ROW()-1,19)+2)</f>
        <v>42369</v>
      </c>
      <c r="DK750" s="4" t="e">
        <f>INDEX(Sheet2!$AA$2:$AS$228,QUOTIENT(ROW()-1,19)+1,MOD(ROW()-2,19)+1)</f>
        <v>#N/A</v>
      </c>
      <c r="DL750" t="str">
        <f>IFERROR(INDEX(Sheet2!$AU$2:$BM$228,QUOTIENT(ROW()-1,19)+1,MOD(ROW()-2,19)+1),NA())</f>
        <v/>
      </c>
      <c r="DM750" s="4" t="e">
        <f t="shared" si="54"/>
        <v>#N/A</v>
      </c>
      <c r="DN750" t="e">
        <f t="shared" si="55"/>
        <v>#N/A</v>
      </c>
      <c r="DO750" t="e">
        <f t="shared" si="56"/>
        <v>#N/A</v>
      </c>
    </row>
    <row r="751" spans="7:119" x14ac:dyDescent="0.25">
      <c r="G751"/>
      <c r="DI751" s="4">
        <f>INDEX(Sheet2!A:A,QUOTIENT(ROW()-1,19)+2)</f>
        <v>41165</v>
      </c>
      <c r="DJ751" s="4">
        <f>INDEX(Sheet2!C:C,QUOTIENT(ROW()-1,19)+2)</f>
        <v>42369</v>
      </c>
      <c r="DK751" s="4" t="e">
        <f>INDEX(Sheet2!$AA$2:$AS$228,QUOTIENT(ROW()-1,19)+1,MOD(ROW()-2,19)+1)</f>
        <v>#N/A</v>
      </c>
      <c r="DL751" t="str">
        <f>IFERROR(INDEX(Sheet2!$AU$2:$BM$228,QUOTIENT(ROW()-1,19)+1,MOD(ROW()-2,19)+1),NA())</f>
        <v/>
      </c>
      <c r="DM751" s="4" t="e">
        <f t="shared" si="54"/>
        <v>#N/A</v>
      </c>
      <c r="DN751" t="e">
        <f t="shared" si="55"/>
        <v>#N/A</v>
      </c>
      <c r="DO751" t="e">
        <f t="shared" si="56"/>
        <v>#N/A</v>
      </c>
    </row>
    <row r="752" spans="7:119" x14ac:dyDescent="0.25">
      <c r="G752"/>
      <c r="DI752" s="4">
        <f>INDEX(Sheet2!A:A,QUOTIENT(ROW()-1,19)+2)</f>
        <v>41165</v>
      </c>
      <c r="DJ752" s="4">
        <f>INDEX(Sheet2!C:C,QUOTIENT(ROW()-1,19)+2)</f>
        <v>42369</v>
      </c>
      <c r="DK752" s="4" t="e">
        <f>INDEX(Sheet2!$AA$2:$AS$228,QUOTIENT(ROW()-1,19)+1,MOD(ROW()-2,19)+1)</f>
        <v>#N/A</v>
      </c>
      <c r="DL752" t="str">
        <f>IFERROR(INDEX(Sheet2!$AU$2:$BM$228,QUOTIENT(ROW()-1,19)+1,MOD(ROW()-2,19)+1),NA())</f>
        <v/>
      </c>
      <c r="DM752" s="4" t="e">
        <f t="shared" si="54"/>
        <v>#N/A</v>
      </c>
      <c r="DN752" t="e">
        <f t="shared" si="55"/>
        <v>#N/A</v>
      </c>
      <c r="DO752" t="e">
        <f t="shared" si="56"/>
        <v>#N/A</v>
      </c>
    </row>
    <row r="753" spans="7:119" x14ac:dyDescent="0.25">
      <c r="G753"/>
      <c r="DI753" s="4">
        <f>INDEX(Sheet2!A:A,QUOTIENT(ROW()-1,19)+2)</f>
        <v>41165</v>
      </c>
      <c r="DJ753" s="4">
        <f>INDEX(Sheet2!C:C,QUOTIENT(ROW()-1,19)+2)</f>
        <v>42369</v>
      </c>
      <c r="DK753" s="4" t="e">
        <f>INDEX(Sheet2!$AA$2:$AS$228,QUOTIENT(ROW()-1,19)+1,MOD(ROW()-2,19)+1)</f>
        <v>#N/A</v>
      </c>
      <c r="DL753" t="str">
        <f>IFERROR(INDEX(Sheet2!$AU$2:$BM$228,QUOTIENT(ROW()-1,19)+1,MOD(ROW()-2,19)+1),NA())</f>
        <v/>
      </c>
      <c r="DM753" s="4" t="e">
        <f t="shared" si="54"/>
        <v>#N/A</v>
      </c>
      <c r="DN753" t="e">
        <f t="shared" si="55"/>
        <v>#N/A</v>
      </c>
      <c r="DO753" t="e">
        <f t="shared" si="56"/>
        <v>#N/A</v>
      </c>
    </row>
    <row r="754" spans="7:119" x14ac:dyDescent="0.25">
      <c r="G754"/>
      <c r="DI754" s="4">
        <f>INDEX(Sheet2!A:A,QUOTIENT(ROW()-1,19)+2)</f>
        <v>41165</v>
      </c>
      <c r="DJ754" s="4">
        <f>INDEX(Sheet2!C:C,QUOTIENT(ROW()-1,19)+2)</f>
        <v>42369</v>
      </c>
      <c r="DK754" s="4" t="e">
        <f>INDEX(Sheet2!$AA$2:$AS$228,QUOTIENT(ROW()-1,19)+1,MOD(ROW()-2,19)+1)</f>
        <v>#N/A</v>
      </c>
      <c r="DL754" t="str">
        <f>IFERROR(INDEX(Sheet2!$AU$2:$BM$228,QUOTIENT(ROW()-1,19)+1,MOD(ROW()-2,19)+1),NA())</f>
        <v/>
      </c>
      <c r="DM754" s="4" t="e">
        <f t="shared" si="54"/>
        <v>#N/A</v>
      </c>
      <c r="DN754" t="e">
        <f t="shared" si="55"/>
        <v>#N/A</v>
      </c>
      <c r="DO754" t="e">
        <f t="shared" si="56"/>
        <v>#N/A</v>
      </c>
    </row>
    <row r="755" spans="7:119" x14ac:dyDescent="0.25">
      <c r="G755"/>
      <c r="DI755" s="4">
        <f>INDEX(Sheet2!A:A,QUOTIENT(ROW()-1,19)+2)</f>
        <v>41165</v>
      </c>
      <c r="DJ755" s="4">
        <f>INDEX(Sheet2!C:C,QUOTIENT(ROW()-1,19)+2)</f>
        <v>42369</v>
      </c>
      <c r="DK755" s="4" t="e">
        <f>INDEX(Sheet2!$AA$2:$AS$228,QUOTIENT(ROW()-1,19)+1,MOD(ROW()-2,19)+1)</f>
        <v>#N/A</v>
      </c>
      <c r="DL755" t="str">
        <f>IFERROR(INDEX(Sheet2!$AU$2:$BM$228,QUOTIENT(ROW()-1,19)+1,MOD(ROW()-2,19)+1),NA())</f>
        <v/>
      </c>
      <c r="DM755" s="4" t="e">
        <f t="shared" si="54"/>
        <v>#N/A</v>
      </c>
      <c r="DN755" t="e">
        <f t="shared" si="55"/>
        <v>#N/A</v>
      </c>
      <c r="DO755" t="e">
        <f t="shared" si="56"/>
        <v>#N/A</v>
      </c>
    </row>
    <row r="756" spans="7:119" x14ac:dyDescent="0.25">
      <c r="G756"/>
      <c r="DI756" s="4">
        <f>INDEX(Sheet2!A:A,QUOTIENT(ROW()-1,19)+2)</f>
        <v>41165</v>
      </c>
      <c r="DJ756" s="4">
        <f>INDEX(Sheet2!C:C,QUOTIENT(ROW()-1,19)+2)</f>
        <v>42369</v>
      </c>
      <c r="DK756" s="4" t="e">
        <f>INDEX(Sheet2!$AA$2:$AS$228,QUOTIENT(ROW()-1,19)+1,MOD(ROW()-2,19)+1)</f>
        <v>#N/A</v>
      </c>
      <c r="DL756" t="str">
        <f>IFERROR(INDEX(Sheet2!$AU$2:$BM$228,QUOTIENT(ROW()-1,19)+1,MOD(ROW()-2,19)+1),NA())</f>
        <v/>
      </c>
      <c r="DM756" s="4" t="e">
        <f t="shared" si="54"/>
        <v>#N/A</v>
      </c>
      <c r="DN756" t="e">
        <f t="shared" si="55"/>
        <v>#N/A</v>
      </c>
      <c r="DO756" t="e">
        <f t="shared" si="56"/>
        <v>#N/A</v>
      </c>
    </row>
    <row r="757" spans="7:119" x14ac:dyDescent="0.25">
      <c r="G757"/>
      <c r="DI757" s="4">
        <f>INDEX(Sheet2!A:A,QUOTIENT(ROW()-1,19)+2)</f>
        <v>41165</v>
      </c>
      <c r="DJ757" s="4">
        <f>INDEX(Sheet2!C:C,QUOTIENT(ROW()-1,19)+2)</f>
        <v>42369</v>
      </c>
      <c r="DK757" s="4" t="e">
        <f>INDEX(Sheet2!$AA$2:$AS$228,QUOTIENT(ROW()-1,19)+1,MOD(ROW()-2,19)+1)</f>
        <v>#N/A</v>
      </c>
      <c r="DL757" t="str">
        <f>IFERROR(INDEX(Sheet2!$AU$2:$BM$228,QUOTIENT(ROW()-1,19)+1,MOD(ROW()-2,19)+1),NA())</f>
        <v/>
      </c>
      <c r="DM757" s="4" t="e">
        <f t="shared" si="54"/>
        <v>#N/A</v>
      </c>
      <c r="DN757" t="e">
        <f t="shared" si="55"/>
        <v>#N/A</v>
      </c>
      <c r="DO757" t="e">
        <f t="shared" si="56"/>
        <v>#N/A</v>
      </c>
    </row>
    <row r="758" spans="7:119" x14ac:dyDescent="0.25">
      <c r="G758"/>
      <c r="DI758" s="4">
        <f>INDEX(Sheet2!A:A,QUOTIENT(ROW()-1,19)+2)</f>
        <v>41165</v>
      </c>
      <c r="DJ758" s="4">
        <f>INDEX(Sheet2!C:C,QUOTIENT(ROW()-1,19)+2)</f>
        <v>42369</v>
      </c>
      <c r="DK758" s="4" t="e">
        <f>INDEX(Sheet2!$AA$2:$AS$228,QUOTIENT(ROW()-1,19)+1,MOD(ROW()-2,19)+1)</f>
        <v>#N/A</v>
      </c>
      <c r="DL758" t="str">
        <f>IFERROR(INDEX(Sheet2!$AU$2:$BM$228,QUOTIENT(ROW()-1,19)+1,MOD(ROW()-2,19)+1),NA())</f>
        <v/>
      </c>
      <c r="DM758" s="4" t="e">
        <f t="shared" si="54"/>
        <v>#N/A</v>
      </c>
      <c r="DN758" t="e">
        <f t="shared" si="55"/>
        <v>#N/A</v>
      </c>
      <c r="DO758" t="e">
        <f t="shared" si="56"/>
        <v>#N/A</v>
      </c>
    </row>
    <row r="759" spans="7:119" x14ac:dyDescent="0.25">
      <c r="G759"/>
      <c r="DI759" s="4">
        <f>INDEX(Sheet2!A:A,QUOTIENT(ROW()-1,19)+2)</f>
        <v>41165</v>
      </c>
      <c r="DJ759" s="4">
        <f>INDEX(Sheet2!C:C,QUOTIENT(ROW()-1,19)+2)</f>
        <v>42369</v>
      </c>
      <c r="DK759" s="4" t="e">
        <f>INDEX(Sheet2!$AA$2:$AS$228,QUOTIENT(ROW()-1,19)+1,MOD(ROW()-2,19)+1)</f>
        <v>#N/A</v>
      </c>
      <c r="DL759" t="str">
        <f>IFERROR(INDEX(Sheet2!$AU$2:$BM$228,QUOTIENT(ROW()-1,19)+1,MOD(ROW()-2,19)+1),NA())</f>
        <v/>
      </c>
      <c r="DM759" s="4" t="e">
        <f t="shared" si="54"/>
        <v>#N/A</v>
      </c>
      <c r="DN759" t="e">
        <f t="shared" si="55"/>
        <v>#N/A</v>
      </c>
      <c r="DO759" t="e">
        <f t="shared" si="56"/>
        <v>#N/A</v>
      </c>
    </row>
    <row r="760" spans="7:119" x14ac:dyDescent="0.25">
      <c r="G760"/>
      <c r="DI760" s="4">
        <f>INDEX(Sheet2!A:A,QUOTIENT(ROW()-1,19)+2)</f>
        <v>41165</v>
      </c>
      <c r="DJ760" s="4">
        <f>INDEX(Sheet2!C:C,QUOTIENT(ROW()-1,19)+2)</f>
        <v>42369</v>
      </c>
      <c r="DK760" s="4" t="e">
        <f>INDEX(Sheet2!$AA$2:$AS$228,QUOTIENT(ROW()-1,19)+1,MOD(ROW()-2,19)+1)</f>
        <v>#N/A</v>
      </c>
      <c r="DL760" t="str">
        <f>IFERROR(INDEX(Sheet2!$AU$2:$BM$228,QUOTIENT(ROW()-1,19)+1,MOD(ROW()-2,19)+1),NA())</f>
        <v/>
      </c>
      <c r="DM760" s="4" t="e">
        <f t="shared" si="54"/>
        <v>#N/A</v>
      </c>
      <c r="DN760" t="e">
        <f t="shared" si="55"/>
        <v>#N/A</v>
      </c>
      <c r="DO760" t="e">
        <f t="shared" si="56"/>
        <v>#N/A</v>
      </c>
    </row>
    <row r="761" spans="7:119" x14ac:dyDescent="0.25">
      <c r="G761"/>
      <c r="DI761" s="4">
        <f>INDEX(Sheet2!A:A,QUOTIENT(ROW()-1,19)+2)</f>
        <v>41165</v>
      </c>
      <c r="DJ761" s="4">
        <f>INDEX(Sheet2!C:C,QUOTIENT(ROW()-1,19)+2)</f>
        <v>42369</v>
      </c>
      <c r="DK761" s="4" t="e">
        <f>INDEX(Sheet2!$AA$2:$AS$228,QUOTIENT(ROW()-1,19)+1,MOD(ROW()-2,19)+1)</f>
        <v>#N/A</v>
      </c>
      <c r="DL761" t="str">
        <f>IFERROR(INDEX(Sheet2!$AU$2:$BM$228,QUOTIENT(ROW()-1,19)+1,MOD(ROW()-2,19)+1),NA())</f>
        <v/>
      </c>
      <c r="DM761" s="4" t="e">
        <f t="shared" si="54"/>
        <v>#N/A</v>
      </c>
      <c r="DN761" t="e">
        <f t="shared" si="55"/>
        <v>#N/A</v>
      </c>
      <c r="DO761" t="e">
        <f t="shared" si="56"/>
        <v>#N/A</v>
      </c>
    </row>
    <row r="762" spans="7:119" x14ac:dyDescent="0.25">
      <c r="G762"/>
      <c r="DI762" s="4">
        <f>INDEX(Sheet2!A:A,QUOTIENT(ROW()-1,19)+2)</f>
        <v>41165</v>
      </c>
      <c r="DJ762" s="4">
        <f>INDEX(Sheet2!C:C,QUOTIENT(ROW()-1,19)+2)</f>
        <v>42369</v>
      </c>
      <c r="DK762" s="4">
        <f>INDEX(Sheet2!$AA$2:$AS$228,QUOTIENT(ROW()-1,19)+1,MOD(ROW()-2,19)+1)</f>
        <v>42358.962500000001</v>
      </c>
      <c r="DL762">
        <f>IFERROR(INDEX(Sheet2!$AU$2:$BM$228,QUOTIENT(ROW()-1,19)+1,MOD(ROW()-2,19)+1),NA())</f>
        <v>2.5</v>
      </c>
      <c r="DM762" s="4" t="e">
        <f t="shared" si="54"/>
        <v>#N/A</v>
      </c>
      <c r="DN762" t="e">
        <f t="shared" si="55"/>
        <v>#N/A</v>
      </c>
      <c r="DO762" t="e">
        <f t="shared" si="56"/>
        <v>#N/A</v>
      </c>
    </row>
    <row r="763" spans="7:119" x14ac:dyDescent="0.25">
      <c r="G763"/>
      <c r="DI763" s="4">
        <f>INDEX(Sheet2!A:A,QUOTIENT(ROW()-1,19)+2)</f>
        <v>41165</v>
      </c>
      <c r="DJ763" s="4">
        <f>INDEX(Sheet2!C:C,QUOTIENT(ROW()-1,19)+2)</f>
        <v>42369</v>
      </c>
      <c r="DK763" s="4">
        <f>INDEX(Sheet2!$AA$2:$AS$228,QUOTIENT(ROW()-1,19)+1,MOD(ROW()-2,19)+1)</f>
        <v>42379.037500000006</v>
      </c>
      <c r="DL763">
        <f>IFERROR(INDEX(Sheet2!$AU$2:$BM$228,QUOTIENT(ROW()-1,19)+1,MOD(ROW()-2,19)+1),NA())</f>
        <v>2.5</v>
      </c>
      <c r="DM763" s="4" t="e">
        <f t="shared" si="54"/>
        <v>#N/A</v>
      </c>
      <c r="DN763" t="e">
        <f t="shared" si="55"/>
        <v>#N/A</v>
      </c>
      <c r="DO763" t="e">
        <f t="shared" si="56"/>
        <v>#N/A</v>
      </c>
    </row>
    <row r="764" spans="7:119" x14ac:dyDescent="0.25">
      <c r="G764"/>
      <c r="DI764" s="4">
        <f>INDEX(Sheet2!A:A,QUOTIENT(ROW()-1,19)+2)</f>
        <v>41165</v>
      </c>
      <c r="DJ764" s="4">
        <f>INDEX(Sheet2!C:C,QUOTIENT(ROW()-1,19)+2)</f>
        <v>42369</v>
      </c>
      <c r="DK764" s="4" t="e">
        <f>INDEX(Sheet2!$AA$2:$AS$228,QUOTIENT(ROW()-1,19)+1,MOD(ROW()-2,19)+1)</f>
        <v>#N/A</v>
      </c>
      <c r="DL764" t="str">
        <f>IFERROR(INDEX(Sheet2!$AU$2:$BM$228,QUOTIENT(ROW()-1,19)+1,MOD(ROW()-2,19)+1),NA())</f>
        <v/>
      </c>
      <c r="DM764" s="4" t="e">
        <f t="shared" si="54"/>
        <v>#N/A</v>
      </c>
      <c r="DN764" t="e">
        <f t="shared" si="55"/>
        <v>#N/A</v>
      </c>
      <c r="DO764" t="e">
        <f t="shared" si="56"/>
        <v>#N/A</v>
      </c>
    </row>
    <row r="765" spans="7:119" x14ac:dyDescent="0.25">
      <c r="G765"/>
      <c r="DI765" s="4">
        <f>INDEX(Sheet2!A:A,QUOTIENT(ROW()-1,19)+2)</f>
        <v>41165</v>
      </c>
      <c r="DJ765" s="4">
        <f>INDEX(Sheet2!C:C,QUOTIENT(ROW()-1,19)+2)</f>
        <v>42369</v>
      </c>
      <c r="DK765" s="4" t="e">
        <f>INDEX(Sheet2!$AA$2:$AS$228,QUOTIENT(ROW()-1,19)+1,MOD(ROW()-2,19)+1)</f>
        <v>#N/A</v>
      </c>
      <c r="DL765" t="str">
        <f>IFERROR(INDEX(Sheet2!$AU$2:$BM$228,QUOTIENT(ROW()-1,19)+1,MOD(ROW()-2,19)+1),NA())</f>
        <v/>
      </c>
      <c r="DM765" s="4" t="e">
        <f t="shared" si="54"/>
        <v>#N/A</v>
      </c>
      <c r="DN765" t="e">
        <f t="shared" si="55"/>
        <v>#N/A</v>
      </c>
      <c r="DO765" t="e">
        <f t="shared" si="56"/>
        <v>#N/A</v>
      </c>
    </row>
    <row r="766" spans="7:119" x14ac:dyDescent="0.25">
      <c r="G766"/>
      <c r="DI766" s="4">
        <f>INDEX(Sheet2!A:A,QUOTIENT(ROW()-1,19)+2)</f>
        <v>41165</v>
      </c>
      <c r="DJ766" s="4">
        <f>INDEX(Sheet2!C:C,QUOTIENT(ROW()-1,19)+2)</f>
        <v>42369</v>
      </c>
      <c r="DK766" s="4" t="e">
        <f>INDEX(Sheet2!$AA$2:$AS$228,QUOTIENT(ROW()-1,19)+1,MOD(ROW()-2,19)+1)</f>
        <v>#N/A</v>
      </c>
      <c r="DL766" t="str">
        <f>IFERROR(INDEX(Sheet2!$AU$2:$BM$228,QUOTIENT(ROW()-1,19)+1,MOD(ROW()-2,19)+1),NA())</f>
        <v/>
      </c>
      <c r="DM766" s="4" t="e">
        <f t="shared" si="54"/>
        <v>#N/A</v>
      </c>
      <c r="DN766" t="e">
        <f t="shared" si="55"/>
        <v>#N/A</v>
      </c>
      <c r="DO766" t="e">
        <f t="shared" si="56"/>
        <v>#N/A</v>
      </c>
    </row>
    <row r="767" spans="7:119" x14ac:dyDescent="0.25">
      <c r="G767"/>
      <c r="DI767" s="4">
        <f>INDEX(Sheet2!A:A,QUOTIENT(ROW()-1,19)+2)</f>
        <v>41165</v>
      </c>
      <c r="DJ767" s="4">
        <f>INDEX(Sheet2!C:C,QUOTIENT(ROW()-1,19)+2)</f>
        <v>42369</v>
      </c>
      <c r="DK767" s="4" t="e">
        <f>INDEX(Sheet2!$AA$2:$AS$228,QUOTIENT(ROW()-1,19)+1,MOD(ROW()-2,19)+1)</f>
        <v>#N/A</v>
      </c>
      <c r="DL767" t="str">
        <f>IFERROR(INDEX(Sheet2!$AU$2:$BM$228,QUOTIENT(ROW()-1,19)+1,MOD(ROW()-2,19)+1),NA())</f>
        <v/>
      </c>
      <c r="DM767" s="4" t="e">
        <f t="shared" si="54"/>
        <v>#N/A</v>
      </c>
      <c r="DN767" t="e">
        <f t="shared" si="55"/>
        <v>#N/A</v>
      </c>
      <c r="DO767" t="e">
        <f t="shared" si="56"/>
        <v>#N/A</v>
      </c>
    </row>
    <row r="768" spans="7:119" x14ac:dyDescent="0.25">
      <c r="G768"/>
      <c r="DI768" s="4">
        <f>INDEX(Sheet2!A:A,QUOTIENT(ROW()-1,19)+2)</f>
        <v>41165</v>
      </c>
      <c r="DJ768" s="4">
        <f>INDEX(Sheet2!C:C,QUOTIENT(ROW()-1,19)+2)</f>
        <v>42369</v>
      </c>
      <c r="DK768" s="4" t="e">
        <f>INDEX(Sheet2!$AA$2:$AS$228,QUOTIENT(ROW()-1,19)+1,MOD(ROW()-2,19)+1)</f>
        <v>#N/A</v>
      </c>
      <c r="DL768" t="str">
        <f>IFERROR(INDEX(Sheet2!$AU$2:$BM$228,QUOTIENT(ROW()-1,19)+1,MOD(ROW()-2,19)+1),NA())</f>
        <v/>
      </c>
      <c r="DM768" s="4" t="e">
        <f t="shared" si="54"/>
        <v>#N/A</v>
      </c>
      <c r="DN768" t="e">
        <f t="shared" si="55"/>
        <v>#N/A</v>
      </c>
      <c r="DO768" t="e">
        <f t="shared" si="56"/>
        <v>#N/A</v>
      </c>
    </row>
    <row r="769" spans="7:119" x14ac:dyDescent="0.25">
      <c r="G769"/>
      <c r="DI769" s="4">
        <f>INDEX(Sheet2!A:A,QUOTIENT(ROW()-1,19)+2)</f>
        <v>41165</v>
      </c>
      <c r="DJ769" s="4">
        <f>INDEX(Sheet2!C:C,QUOTIENT(ROW()-1,19)+2)</f>
        <v>42369</v>
      </c>
      <c r="DK769" s="4" t="e">
        <f>INDEX(Sheet2!$AA$2:$AS$228,QUOTIENT(ROW()-1,19)+1,MOD(ROW()-2,19)+1)</f>
        <v>#N/A</v>
      </c>
      <c r="DL769" t="str">
        <f>IFERROR(INDEX(Sheet2!$AU$2:$BM$228,QUOTIENT(ROW()-1,19)+1,MOD(ROW()-2,19)+1),NA())</f>
        <v/>
      </c>
      <c r="DM769" s="4" t="e">
        <f t="shared" si="54"/>
        <v>#N/A</v>
      </c>
      <c r="DN769" t="e">
        <f t="shared" si="55"/>
        <v>#N/A</v>
      </c>
      <c r="DO769" t="e">
        <f t="shared" si="56"/>
        <v>#N/A</v>
      </c>
    </row>
    <row r="770" spans="7:119" x14ac:dyDescent="0.25">
      <c r="G770"/>
      <c r="DI770" s="4">
        <f>INDEX(Sheet2!A:A,QUOTIENT(ROW()-1,19)+2)</f>
        <v>41165</v>
      </c>
      <c r="DJ770" s="4">
        <f>INDEX(Sheet2!C:C,QUOTIENT(ROW()-1,19)+2)</f>
        <v>42369</v>
      </c>
      <c r="DK770" s="4" t="e">
        <f>INDEX(Sheet2!$AA$2:$AS$228,QUOTIENT(ROW()-1,19)+1,MOD(ROW()-2,19)+1)</f>
        <v>#N/A</v>
      </c>
      <c r="DL770" t="str">
        <f>IFERROR(INDEX(Sheet2!$AU$2:$BM$228,QUOTIENT(ROW()-1,19)+1,MOD(ROW()-2,19)+1),NA())</f>
        <v/>
      </c>
      <c r="DM770" s="4" t="e">
        <f t="shared" ref="DM770:DM833" si="57">+IF($C$2=$DI770,DK770,NA())</f>
        <v>#N/A</v>
      </c>
      <c r="DN770" t="e">
        <f t="shared" ref="DN770:DN833" si="58">+IF($C$2=$DI770,DL770,NA())</f>
        <v>#N/A</v>
      </c>
      <c r="DO770" t="e">
        <f t="shared" si="56"/>
        <v>#N/A</v>
      </c>
    </row>
    <row r="771" spans="7:119" x14ac:dyDescent="0.25">
      <c r="G771"/>
      <c r="DI771" s="4">
        <f>INDEX(Sheet2!A:A,QUOTIENT(ROW()-1,19)+2)</f>
        <v>41165</v>
      </c>
      <c r="DJ771" s="4">
        <f>INDEX(Sheet2!C:C,QUOTIENT(ROW()-1,19)+2)</f>
        <v>42369</v>
      </c>
      <c r="DK771" s="4" t="e">
        <f>INDEX(Sheet2!$AA$2:$AS$228,QUOTIENT(ROW()-1,19)+1,MOD(ROW()-2,19)+1)</f>
        <v>#N/A</v>
      </c>
      <c r="DL771" t="str">
        <f>IFERROR(INDEX(Sheet2!$AU$2:$BM$228,QUOTIENT(ROW()-1,19)+1,MOD(ROW()-2,19)+1),NA())</f>
        <v/>
      </c>
      <c r="DM771" s="4" t="e">
        <f t="shared" si="57"/>
        <v>#N/A</v>
      </c>
      <c r="DN771" t="e">
        <f t="shared" si="58"/>
        <v>#N/A</v>
      </c>
      <c r="DO771" t="e">
        <f t="shared" ref="DO771:DO834" si="59">IF(DN771="",NA(),DN771)</f>
        <v>#N/A</v>
      </c>
    </row>
    <row r="772" spans="7:119" x14ac:dyDescent="0.25">
      <c r="G772"/>
      <c r="DI772" s="4">
        <f>INDEX(Sheet2!A:A,QUOTIENT(ROW()-1,19)+2)</f>
        <v>41165</v>
      </c>
      <c r="DJ772" s="4">
        <f>INDEX(Sheet2!C:C,QUOTIENT(ROW()-1,19)+2)</f>
        <v>42369</v>
      </c>
      <c r="DK772" s="4" t="e">
        <f>INDEX(Sheet2!$AA$2:$AS$228,QUOTIENT(ROW()-1,19)+1,MOD(ROW()-2,19)+1)</f>
        <v>#N/A</v>
      </c>
      <c r="DL772" t="str">
        <f>IFERROR(INDEX(Sheet2!$AU$2:$BM$228,QUOTIENT(ROW()-1,19)+1,MOD(ROW()-2,19)+1),NA())</f>
        <v/>
      </c>
      <c r="DM772" s="4" t="e">
        <f t="shared" si="57"/>
        <v>#N/A</v>
      </c>
      <c r="DN772" t="e">
        <f t="shared" si="58"/>
        <v>#N/A</v>
      </c>
      <c r="DO772" t="e">
        <f t="shared" si="59"/>
        <v>#N/A</v>
      </c>
    </row>
    <row r="773" spans="7:119" x14ac:dyDescent="0.25">
      <c r="G773"/>
      <c r="DI773" s="4">
        <f>INDEX(Sheet2!A:A,QUOTIENT(ROW()-1,19)+2)</f>
        <v>41165</v>
      </c>
      <c r="DJ773" s="4">
        <f>INDEX(Sheet2!C:C,QUOTIENT(ROW()-1,19)+2)</f>
        <v>42369</v>
      </c>
      <c r="DK773" s="4" t="e">
        <f>INDEX(Sheet2!$AA$2:$AS$228,QUOTIENT(ROW()-1,19)+1,MOD(ROW()-2,19)+1)</f>
        <v>#N/A</v>
      </c>
      <c r="DL773" t="str">
        <f>IFERROR(INDEX(Sheet2!$AU$2:$BM$228,QUOTIENT(ROW()-1,19)+1,MOD(ROW()-2,19)+1),NA())</f>
        <v/>
      </c>
      <c r="DM773" s="4" t="e">
        <f t="shared" si="57"/>
        <v>#N/A</v>
      </c>
      <c r="DN773" t="e">
        <f t="shared" si="58"/>
        <v>#N/A</v>
      </c>
      <c r="DO773" t="e">
        <f t="shared" si="59"/>
        <v>#N/A</v>
      </c>
    </row>
    <row r="774" spans="7:119" x14ac:dyDescent="0.25">
      <c r="G774"/>
      <c r="DI774" s="4">
        <f>INDEX(Sheet2!A:A,QUOTIENT(ROW()-1,19)+2)</f>
        <v>41165</v>
      </c>
      <c r="DJ774" s="4">
        <f>INDEX(Sheet2!C:C,QUOTIENT(ROW()-1,19)+2)</f>
        <v>42369</v>
      </c>
      <c r="DK774" s="4" t="e">
        <f>INDEX(Sheet2!$AA$2:$AS$228,QUOTIENT(ROW()-1,19)+1,MOD(ROW()-2,19)+1)</f>
        <v>#N/A</v>
      </c>
      <c r="DL774" t="str">
        <f>IFERROR(INDEX(Sheet2!$AU$2:$BM$228,QUOTIENT(ROW()-1,19)+1,MOD(ROW()-2,19)+1),NA())</f>
        <v/>
      </c>
      <c r="DM774" s="4" t="e">
        <f t="shared" si="57"/>
        <v>#N/A</v>
      </c>
      <c r="DN774" t="e">
        <f t="shared" si="58"/>
        <v>#N/A</v>
      </c>
      <c r="DO774" t="e">
        <f t="shared" si="59"/>
        <v>#N/A</v>
      </c>
    </row>
    <row r="775" spans="7:119" x14ac:dyDescent="0.25">
      <c r="G775"/>
      <c r="DI775" s="4">
        <f>INDEX(Sheet2!A:A,QUOTIENT(ROW()-1,19)+2)</f>
        <v>41165</v>
      </c>
      <c r="DJ775" s="4">
        <f>INDEX(Sheet2!C:C,QUOTIENT(ROW()-1,19)+2)</f>
        <v>42369</v>
      </c>
      <c r="DK775" s="4" t="e">
        <f>INDEX(Sheet2!$AA$2:$AS$228,QUOTIENT(ROW()-1,19)+1,MOD(ROW()-2,19)+1)</f>
        <v>#N/A</v>
      </c>
      <c r="DL775" t="str">
        <f>IFERROR(INDEX(Sheet2!$AU$2:$BM$228,QUOTIENT(ROW()-1,19)+1,MOD(ROW()-2,19)+1),NA())</f>
        <v/>
      </c>
      <c r="DM775" s="4" t="e">
        <f t="shared" si="57"/>
        <v>#N/A</v>
      </c>
      <c r="DN775" t="e">
        <f t="shared" si="58"/>
        <v>#N/A</v>
      </c>
      <c r="DO775" t="e">
        <f t="shared" si="59"/>
        <v>#N/A</v>
      </c>
    </row>
    <row r="776" spans="7:119" x14ac:dyDescent="0.25">
      <c r="G776"/>
      <c r="DI776" s="4">
        <f>INDEX(Sheet2!A:A,QUOTIENT(ROW()-1,19)+2)</f>
        <v>41165</v>
      </c>
      <c r="DJ776" s="4">
        <f>INDEX(Sheet2!C:C,QUOTIENT(ROW()-1,19)+2)</f>
        <v>42369</v>
      </c>
      <c r="DK776" s="4" t="e">
        <f>INDEX(Sheet2!$AA$2:$AS$228,QUOTIENT(ROW()-1,19)+1,MOD(ROW()-2,19)+1)</f>
        <v>#N/A</v>
      </c>
      <c r="DL776" t="str">
        <f>IFERROR(INDEX(Sheet2!$AU$2:$BM$228,QUOTIENT(ROW()-1,19)+1,MOD(ROW()-2,19)+1),NA())</f>
        <v/>
      </c>
      <c r="DM776" s="4" t="e">
        <f t="shared" si="57"/>
        <v>#N/A</v>
      </c>
      <c r="DN776" t="e">
        <f t="shared" si="58"/>
        <v>#N/A</v>
      </c>
      <c r="DO776" t="e">
        <f t="shared" si="59"/>
        <v>#N/A</v>
      </c>
    </row>
    <row r="777" spans="7:119" x14ac:dyDescent="0.25">
      <c r="G777"/>
      <c r="DI777" s="4">
        <f>INDEX(Sheet2!A:A,QUOTIENT(ROW()-1,19)+2)</f>
        <v>41165</v>
      </c>
      <c r="DJ777" s="4">
        <f>INDEX(Sheet2!C:C,QUOTIENT(ROW()-1,19)+2)</f>
        <v>42369</v>
      </c>
      <c r="DK777" s="4" t="e">
        <f>INDEX(Sheet2!$AA$2:$AS$228,QUOTIENT(ROW()-1,19)+1,MOD(ROW()-2,19)+1)</f>
        <v>#N/A</v>
      </c>
      <c r="DL777" t="str">
        <f>IFERROR(INDEX(Sheet2!$AU$2:$BM$228,QUOTIENT(ROW()-1,19)+1,MOD(ROW()-2,19)+1),NA())</f>
        <v/>
      </c>
      <c r="DM777" s="4" t="e">
        <f t="shared" si="57"/>
        <v>#N/A</v>
      </c>
      <c r="DN777" t="e">
        <f t="shared" si="58"/>
        <v>#N/A</v>
      </c>
      <c r="DO777" t="e">
        <f t="shared" si="59"/>
        <v>#N/A</v>
      </c>
    </row>
    <row r="778" spans="7:119" x14ac:dyDescent="0.25">
      <c r="G778"/>
      <c r="DI778" s="4">
        <f>INDEX(Sheet2!A:A,QUOTIENT(ROW()-1,19)+2)</f>
        <v>41165</v>
      </c>
      <c r="DJ778" s="4">
        <f>INDEX(Sheet2!C:C,QUOTIENT(ROW()-1,19)+2)</f>
        <v>42369</v>
      </c>
      <c r="DK778" s="4" t="e">
        <f>INDEX(Sheet2!$AA$2:$AS$228,QUOTIENT(ROW()-1,19)+1,MOD(ROW()-2,19)+1)</f>
        <v>#N/A</v>
      </c>
      <c r="DL778" t="str">
        <f>IFERROR(INDEX(Sheet2!$AU$2:$BM$228,QUOTIENT(ROW()-1,19)+1,MOD(ROW()-2,19)+1),NA())</f>
        <v/>
      </c>
      <c r="DM778" s="4" t="e">
        <f t="shared" si="57"/>
        <v>#N/A</v>
      </c>
      <c r="DN778" t="e">
        <f t="shared" si="58"/>
        <v>#N/A</v>
      </c>
      <c r="DO778" t="e">
        <f t="shared" si="59"/>
        <v>#N/A</v>
      </c>
    </row>
    <row r="779" spans="7:119" x14ac:dyDescent="0.25">
      <c r="G779"/>
      <c r="DI779" s="4">
        <f>INDEX(Sheet2!A:A,QUOTIENT(ROW()-1,19)+2)</f>
        <v>41165</v>
      </c>
      <c r="DJ779" s="4">
        <f>INDEX(Sheet2!C:C,QUOTIENT(ROW()-1,19)+2)</f>
        <v>42369</v>
      </c>
      <c r="DK779" s="4" t="e">
        <f>INDEX(Sheet2!$AA$2:$AS$228,QUOTIENT(ROW()-1,19)+1,MOD(ROW()-2,19)+1)</f>
        <v>#N/A</v>
      </c>
      <c r="DL779" t="str">
        <f>IFERROR(INDEX(Sheet2!$AU$2:$BM$228,QUOTIENT(ROW()-1,19)+1,MOD(ROW()-2,19)+1),NA())</f>
        <v/>
      </c>
      <c r="DM779" s="4" t="e">
        <f t="shared" si="57"/>
        <v>#N/A</v>
      </c>
      <c r="DN779" t="e">
        <f t="shared" si="58"/>
        <v>#N/A</v>
      </c>
      <c r="DO779" t="e">
        <f t="shared" si="59"/>
        <v>#N/A</v>
      </c>
    </row>
    <row r="780" spans="7:119" x14ac:dyDescent="0.25">
      <c r="G780"/>
      <c r="DI780" s="4">
        <f>INDEX(Sheet2!A:A,QUOTIENT(ROW()-1,19)+2)</f>
        <v>41165</v>
      </c>
      <c r="DJ780" s="4">
        <f>INDEX(Sheet2!C:C,QUOTIENT(ROW()-1,19)+2)</f>
        <v>42369</v>
      </c>
      <c r="DK780" s="4" t="e">
        <f>INDEX(Sheet2!$AA$2:$AS$228,QUOTIENT(ROW()-1,19)+1,MOD(ROW()-2,19)+1)</f>
        <v>#N/A</v>
      </c>
      <c r="DL780" t="str">
        <f>IFERROR(INDEX(Sheet2!$AU$2:$BM$228,QUOTIENT(ROW()-1,19)+1,MOD(ROW()-2,19)+1),NA())</f>
        <v/>
      </c>
      <c r="DM780" s="4" t="e">
        <f t="shared" si="57"/>
        <v>#N/A</v>
      </c>
      <c r="DN780" t="e">
        <f t="shared" si="58"/>
        <v>#N/A</v>
      </c>
      <c r="DO780" t="e">
        <f t="shared" si="59"/>
        <v>#N/A</v>
      </c>
    </row>
    <row r="781" spans="7:119" x14ac:dyDescent="0.25">
      <c r="G781"/>
      <c r="DI781" s="4">
        <f>INDEX(Sheet2!A:A,QUOTIENT(ROW()-1,19)+2)</f>
        <v>41165</v>
      </c>
      <c r="DJ781" s="4">
        <f>INDEX(Sheet2!C:C,QUOTIENT(ROW()-1,19)+2)</f>
        <v>42369</v>
      </c>
      <c r="DK781" s="4">
        <f>INDEX(Sheet2!$AA$2:$AS$228,QUOTIENT(ROW()-1,19)+1,MOD(ROW()-2,19)+1)</f>
        <v>42369</v>
      </c>
      <c r="DL781">
        <f>IFERROR(INDEX(Sheet2!$AU$2:$BM$228,QUOTIENT(ROW()-1,19)+1,MOD(ROW()-2,19)+1),NA())</f>
        <v>3.5</v>
      </c>
      <c r="DM781" s="4" t="e">
        <f t="shared" si="57"/>
        <v>#N/A</v>
      </c>
      <c r="DN781" t="e">
        <f t="shared" si="58"/>
        <v>#N/A</v>
      </c>
      <c r="DO781" t="e">
        <f t="shared" si="59"/>
        <v>#N/A</v>
      </c>
    </row>
    <row r="782" spans="7:119" x14ac:dyDescent="0.25">
      <c r="G782"/>
      <c r="DI782" s="4">
        <f>INDEX(Sheet2!A:A,QUOTIENT(ROW()-1,19)+2)</f>
        <v>41165</v>
      </c>
      <c r="DJ782" s="4">
        <f>INDEX(Sheet2!C:C,QUOTIENT(ROW()-1,19)+2)</f>
        <v>42369</v>
      </c>
      <c r="DK782" s="4" t="e">
        <f>INDEX(Sheet2!$AA$2:$AS$228,QUOTIENT(ROW()-1,19)+1,MOD(ROW()-2,19)+1)</f>
        <v>#N/A</v>
      </c>
      <c r="DL782" t="str">
        <f>IFERROR(INDEX(Sheet2!$AU$2:$BM$228,QUOTIENT(ROW()-1,19)+1,MOD(ROW()-2,19)+1),NA())</f>
        <v/>
      </c>
      <c r="DM782" s="4" t="e">
        <f t="shared" si="57"/>
        <v>#N/A</v>
      </c>
      <c r="DN782" t="e">
        <f t="shared" si="58"/>
        <v>#N/A</v>
      </c>
      <c r="DO782" t="e">
        <f t="shared" si="59"/>
        <v>#N/A</v>
      </c>
    </row>
    <row r="783" spans="7:119" x14ac:dyDescent="0.25">
      <c r="G783"/>
      <c r="DI783" s="4">
        <f>INDEX(Sheet2!A:A,QUOTIENT(ROW()-1,19)+2)</f>
        <v>41165</v>
      </c>
      <c r="DJ783" s="4">
        <f>INDEX(Sheet2!C:C,QUOTIENT(ROW()-1,19)+2)</f>
        <v>42369</v>
      </c>
      <c r="DK783" s="4" t="e">
        <f>INDEX(Sheet2!$AA$2:$AS$228,QUOTIENT(ROW()-1,19)+1,MOD(ROW()-2,19)+1)</f>
        <v>#N/A</v>
      </c>
      <c r="DL783" t="str">
        <f>IFERROR(INDEX(Sheet2!$AU$2:$BM$228,QUOTIENT(ROW()-1,19)+1,MOD(ROW()-2,19)+1),NA())</f>
        <v/>
      </c>
      <c r="DM783" s="4" t="e">
        <f t="shared" si="57"/>
        <v>#N/A</v>
      </c>
      <c r="DN783" t="e">
        <f t="shared" si="58"/>
        <v>#N/A</v>
      </c>
      <c r="DO783" t="e">
        <f t="shared" si="59"/>
        <v>#N/A</v>
      </c>
    </row>
    <row r="784" spans="7:119" x14ac:dyDescent="0.25">
      <c r="G784"/>
      <c r="DI784" s="4">
        <f>INDEX(Sheet2!A:A,QUOTIENT(ROW()-1,19)+2)</f>
        <v>41165</v>
      </c>
      <c r="DJ784" s="4">
        <f>INDEX(Sheet2!C:C,QUOTIENT(ROW()-1,19)+2)</f>
        <v>42369</v>
      </c>
      <c r="DK784" s="4" t="e">
        <f>INDEX(Sheet2!$AA$2:$AS$228,QUOTIENT(ROW()-1,19)+1,MOD(ROW()-2,19)+1)</f>
        <v>#N/A</v>
      </c>
      <c r="DL784" t="str">
        <f>IFERROR(INDEX(Sheet2!$AU$2:$BM$228,QUOTIENT(ROW()-1,19)+1,MOD(ROW()-2,19)+1),NA())</f>
        <v/>
      </c>
      <c r="DM784" s="4" t="e">
        <f t="shared" si="57"/>
        <v>#N/A</v>
      </c>
      <c r="DN784" t="e">
        <f t="shared" si="58"/>
        <v>#N/A</v>
      </c>
      <c r="DO784" t="e">
        <f t="shared" si="59"/>
        <v>#N/A</v>
      </c>
    </row>
    <row r="785" spans="7:119" x14ac:dyDescent="0.25">
      <c r="G785"/>
      <c r="DI785" s="4">
        <f>INDEX(Sheet2!A:A,QUOTIENT(ROW()-1,19)+2)</f>
        <v>41165</v>
      </c>
      <c r="DJ785" s="4">
        <f>INDEX(Sheet2!C:C,QUOTIENT(ROW()-1,19)+2)</f>
        <v>42369</v>
      </c>
      <c r="DK785" s="4" t="e">
        <f>INDEX(Sheet2!$AA$2:$AS$228,QUOTIENT(ROW()-1,19)+1,MOD(ROW()-2,19)+1)</f>
        <v>#N/A</v>
      </c>
      <c r="DL785" t="str">
        <f>IFERROR(INDEX(Sheet2!$AU$2:$BM$228,QUOTIENT(ROW()-1,19)+1,MOD(ROW()-2,19)+1),NA())</f>
        <v/>
      </c>
      <c r="DM785" s="4" t="e">
        <f t="shared" si="57"/>
        <v>#N/A</v>
      </c>
      <c r="DN785" t="e">
        <f t="shared" si="58"/>
        <v>#N/A</v>
      </c>
      <c r="DO785" t="e">
        <f t="shared" si="59"/>
        <v>#N/A</v>
      </c>
    </row>
    <row r="786" spans="7:119" x14ac:dyDescent="0.25">
      <c r="G786"/>
      <c r="DI786" s="4">
        <f>INDEX(Sheet2!A:A,QUOTIENT(ROW()-1,19)+2)</f>
        <v>41165</v>
      </c>
      <c r="DJ786" s="4">
        <f>INDEX(Sheet2!C:C,QUOTIENT(ROW()-1,19)+2)</f>
        <v>42369</v>
      </c>
      <c r="DK786" s="4" t="e">
        <f>INDEX(Sheet2!$AA$2:$AS$228,QUOTIENT(ROW()-1,19)+1,MOD(ROW()-2,19)+1)</f>
        <v>#N/A</v>
      </c>
      <c r="DL786" t="str">
        <f>IFERROR(INDEX(Sheet2!$AU$2:$BM$228,QUOTIENT(ROW()-1,19)+1,MOD(ROW()-2,19)+1),NA())</f>
        <v/>
      </c>
      <c r="DM786" s="4" t="e">
        <f t="shared" si="57"/>
        <v>#N/A</v>
      </c>
      <c r="DN786" t="e">
        <f t="shared" si="58"/>
        <v>#N/A</v>
      </c>
      <c r="DO786" t="e">
        <f t="shared" si="59"/>
        <v>#N/A</v>
      </c>
    </row>
    <row r="787" spans="7:119" x14ac:dyDescent="0.25">
      <c r="G787"/>
      <c r="DI787" s="4">
        <f>INDEX(Sheet2!A:A,QUOTIENT(ROW()-1,19)+2)</f>
        <v>41165</v>
      </c>
      <c r="DJ787" s="4">
        <f>INDEX(Sheet2!C:C,QUOTIENT(ROW()-1,19)+2)</f>
        <v>42369</v>
      </c>
      <c r="DK787" s="4" t="e">
        <f>INDEX(Sheet2!$AA$2:$AS$228,QUOTIENT(ROW()-1,19)+1,MOD(ROW()-2,19)+1)</f>
        <v>#N/A</v>
      </c>
      <c r="DL787" t="str">
        <f>IFERROR(INDEX(Sheet2!$AU$2:$BM$228,QUOTIENT(ROW()-1,19)+1,MOD(ROW()-2,19)+1),NA())</f>
        <v/>
      </c>
      <c r="DM787" s="4" t="e">
        <f t="shared" si="57"/>
        <v>#N/A</v>
      </c>
      <c r="DN787" t="e">
        <f t="shared" si="58"/>
        <v>#N/A</v>
      </c>
      <c r="DO787" t="e">
        <f t="shared" si="59"/>
        <v>#N/A</v>
      </c>
    </row>
    <row r="788" spans="7:119" x14ac:dyDescent="0.25">
      <c r="G788"/>
      <c r="DI788" s="4">
        <f>INDEX(Sheet2!A:A,QUOTIENT(ROW()-1,19)+2)</f>
        <v>41165</v>
      </c>
      <c r="DJ788" s="4">
        <f>INDEX(Sheet2!C:C,QUOTIENT(ROW()-1,19)+2)</f>
        <v>42369</v>
      </c>
      <c r="DK788" s="4" t="e">
        <f>INDEX(Sheet2!$AA$2:$AS$228,QUOTIENT(ROW()-1,19)+1,MOD(ROW()-2,19)+1)</f>
        <v>#N/A</v>
      </c>
      <c r="DL788" t="str">
        <f>IFERROR(INDEX(Sheet2!$AU$2:$BM$228,QUOTIENT(ROW()-1,19)+1,MOD(ROW()-2,19)+1),NA())</f>
        <v/>
      </c>
      <c r="DM788" s="4" t="e">
        <f t="shared" si="57"/>
        <v>#N/A</v>
      </c>
      <c r="DN788" t="e">
        <f t="shared" si="58"/>
        <v>#N/A</v>
      </c>
      <c r="DO788" t="e">
        <f t="shared" si="59"/>
        <v>#N/A</v>
      </c>
    </row>
    <row r="789" spans="7:119" x14ac:dyDescent="0.25">
      <c r="G789"/>
      <c r="DI789" s="4">
        <f>INDEX(Sheet2!A:A,QUOTIENT(ROW()-1,19)+2)</f>
        <v>41165</v>
      </c>
      <c r="DJ789" s="4">
        <f>INDEX(Sheet2!C:C,QUOTIENT(ROW()-1,19)+2)</f>
        <v>42369</v>
      </c>
      <c r="DK789" s="4" t="e">
        <f>INDEX(Sheet2!$AA$2:$AS$228,QUOTIENT(ROW()-1,19)+1,MOD(ROW()-2,19)+1)</f>
        <v>#N/A</v>
      </c>
      <c r="DL789" t="str">
        <f>IFERROR(INDEX(Sheet2!$AU$2:$BM$228,QUOTIENT(ROW()-1,19)+1,MOD(ROW()-2,19)+1),NA())</f>
        <v/>
      </c>
      <c r="DM789" s="4" t="e">
        <f t="shared" si="57"/>
        <v>#N/A</v>
      </c>
      <c r="DN789" t="e">
        <f t="shared" si="58"/>
        <v>#N/A</v>
      </c>
      <c r="DO789" t="e">
        <f t="shared" si="59"/>
        <v>#N/A</v>
      </c>
    </row>
    <row r="790" spans="7:119" x14ac:dyDescent="0.25">
      <c r="G790"/>
      <c r="DI790" s="4">
        <f>INDEX(Sheet2!A:A,QUOTIENT(ROW()-1,19)+2)</f>
        <v>41165</v>
      </c>
      <c r="DJ790" s="4">
        <f>INDEX(Sheet2!C:C,QUOTIENT(ROW()-1,19)+2)</f>
        <v>42369</v>
      </c>
      <c r="DK790" s="4" t="e">
        <f>INDEX(Sheet2!$AA$2:$AS$228,QUOTIENT(ROW()-1,19)+1,MOD(ROW()-2,19)+1)</f>
        <v>#N/A</v>
      </c>
      <c r="DL790" t="str">
        <f>IFERROR(INDEX(Sheet2!$AU$2:$BM$228,QUOTIENT(ROW()-1,19)+1,MOD(ROW()-2,19)+1),NA())</f>
        <v/>
      </c>
      <c r="DM790" s="4" t="e">
        <f t="shared" si="57"/>
        <v>#N/A</v>
      </c>
      <c r="DN790" t="e">
        <f t="shared" si="58"/>
        <v>#N/A</v>
      </c>
      <c r="DO790" t="e">
        <f t="shared" si="59"/>
        <v>#N/A</v>
      </c>
    </row>
    <row r="791" spans="7:119" x14ac:dyDescent="0.25">
      <c r="G791"/>
      <c r="DI791" s="4">
        <f>INDEX(Sheet2!A:A,QUOTIENT(ROW()-1,19)+2)</f>
        <v>41165</v>
      </c>
      <c r="DJ791" s="4">
        <f>INDEX(Sheet2!C:C,QUOTIENT(ROW()-1,19)+2)</f>
        <v>42369</v>
      </c>
      <c r="DK791" s="4" t="e">
        <f>INDEX(Sheet2!$AA$2:$AS$228,QUOTIENT(ROW()-1,19)+1,MOD(ROW()-2,19)+1)</f>
        <v>#N/A</v>
      </c>
      <c r="DL791" t="str">
        <f>IFERROR(INDEX(Sheet2!$AU$2:$BM$228,QUOTIENT(ROW()-1,19)+1,MOD(ROW()-2,19)+1),NA())</f>
        <v/>
      </c>
      <c r="DM791" s="4" t="e">
        <f t="shared" si="57"/>
        <v>#N/A</v>
      </c>
      <c r="DN791" t="e">
        <f t="shared" si="58"/>
        <v>#N/A</v>
      </c>
      <c r="DO791" t="e">
        <f t="shared" si="59"/>
        <v>#N/A</v>
      </c>
    </row>
    <row r="792" spans="7:119" x14ac:dyDescent="0.25">
      <c r="G792"/>
      <c r="DI792" s="4">
        <f>INDEX(Sheet2!A:A,QUOTIENT(ROW()-1,19)+2)</f>
        <v>41165</v>
      </c>
      <c r="DJ792" s="4">
        <f>INDEX(Sheet2!C:C,QUOTIENT(ROW()-1,19)+2)</f>
        <v>42369</v>
      </c>
      <c r="DK792" s="4" t="e">
        <f>INDEX(Sheet2!$AA$2:$AS$228,QUOTIENT(ROW()-1,19)+1,MOD(ROW()-2,19)+1)</f>
        <v>#N/A</v>
      </c>
      <c r="DL792" t="str">
        <f>IFERROR(INDEX(Sheet2!$AU$2:$BM$228,QUOTIENT(ROW()-1,19)+1,MOD(ROW()-2,19)+1),NA())</f>
        <v/>
      </c>
      <c r="DM792" s="4" t="e">
        <f t="shared" si="57"/>
        <v>#N/A</v>
      </c>
      <c r="DN792" t="e">
        <f t="shared" si="58"/>
        <v>#N/A</v>
      </c>
      <c r="DO792" t="e">
        <f t="shared" si="59"/>
        <v>#N/A</v>
      </c>
    </row>
    <row r="793" spans="7:119" x14ac:dyDescent="0.25">
      <c r="G793"/>
      <c r="DI793" s="4">
        <f>INDEX(Sheet2!A:A,QUOTIENT(ROW()-1,19)+2)</f>
        <v>41165</v>
      </c>
      <c r="DJ793" s="4">
        <f>INDEX(Sheet2!C:C,QUOTIENT(ROW()-1,19)+2)</f>
        <v>42369</v>
      </c>
      <c r="DK793" s="4" t="e">
        <f>INDEX(Sheet2!$AA$2:$AS$228,QUOTIENT(ROW()-1,19)+1,MOD(ROW()-2,19)+1)</f>
        <v>#N/A</v>
      </c>
      <c r="DL793" t="str">
        <f>IFERROR(INDEX(Sheet2!$AU$2:$BM$228,QUOTIENT(ROW()-1,19)+1,MOD(ROW()-2,19)+1),NA())</f>
        <v/>
      </c>
      <c r="DM793" s="4" t="e">
        <f t="shared" si="57"/>
        <v>#N/A</v>
      </c>
      <c r="DN793" t="e">
        <f t="shared" si="58"/>
        <v>#N/A</v>
      </c>
      <c r="DO793" t="e">
        <f t="shared" si="59"/>
        <v>#N/A</v>
      </c>
    </row>
    <row r="794" spans="7:119" x14ac:dyDescent="0.25">
      <c r="G794"/>
      <c r="DI794" s="4">
        <f>INDEX(Sheet2!A:A,QUOTIENT(ROW()-1,19)+2)</f>
        <v>41165</v>
      </c>
      <c r="DJ794" s="4">
        <f>INDEX(Sheet2!C:C,QUOTIENT(ROW()-1,19)+2)</f>
        <v>42369</v>
      </c>
      <c r="DK794" s="4" t="e">
        <f>INDEX(Sheet2!$AA$2:$AS$228,QUOTIENT(ROW()-1,19)+1,MOD(ROW()-2,19)+1)</f>
        <v>#N/A</v>
      </c>
      <c r="DL794" t="str">
        <f>IFERROR(INDEX(Sheet2!$AU$2:$BM$228,QUOTIENT(ROW()-1,19)+1,MOD(ROW()-2,19)+1),NA())</f>
        <v/>
      </c>
      <c r="DM794" s="4" t="e">
        <f t="shared" si="57"/>
        <v>#N/A</v>
      </c>
      <c r="DN794" t="e">
        <f t="shared" si="58"/>
        <v>#N/A</v>
      </c>
      <c r="DO794" t="e">
        <f t="shared" si="59"/>
        <v>#N/A</v>
      </c>
    </row>
    <row r="795" spans="7:119" x14ac:dyDescent="0.25">
      <c r="G795"/>
      <c r="DI795" s="4">
        <f>INDEX(Sheet2!A:A,QUOTIENT(ROW()-1,19)+2)</f>
        <v>41165</v>
      </c>
      <c r="DJ795" s="4">
        <f>INDEX(Sheet2!C:C,QUOTIENT(ROW()-1,19)+2)</f>
        <v>42369</v>
      </c>
      <c r="DK795" s="4" t="e">
        <f>INDEX(Sheet2!$AA$2:$AS$228,QUOTIENT(ROW()-1,19)+1,MOD(ROW()-2,19)+1)</f>
        <v>#N/A</v>
      </c>
      <c r="DL795" t="str">
        <f>IFERROR(INDEX(Sheet2!$AU$2:$BM$228,QUOTIENT(ROW()-1,19)+1,MOD(ROW()-2,19)+1),NA())</f>
        <v/>
      </c>
      <c r="DM795" s="4" t="e">
        <f t="shared" si="57"/>
        <v>#N/A</v>
      </c>
      <c r="DN795" t="e">
        <f t="shared" si="58"/>
        <v>#N/A</v>
      </c>
      <c r="DO795" t="e">
        <f t="shared" si="59"/>
        <v>#N/A</v>
      </c>
    </row>
    <row r="796" spans="7:119" x14ac:dyDescent="0.25">
      <c r="G796"/>
      <c r="DI796" s="4">
        <f>INDEX(Sheet2!A:A,QUOTIENT(ROW()-1,19)+2)</f>
        <v>41165</v>
      </c>
      <c r="DJ796" s="4">
        <f>INDEX(Sheet2!C:C,QUOTIENT(ROW()-1,19)+2)</f>
        <v>42369</v>
      </c>
      <c r="DK796" s="4" t="e">
        <f>INDEX(Sheet2!$AA$2:$AS$228,QUOTIENT(ROW()-1,19)+1,MOD(ROW()-2,19)+1)</f>
        <v>#N/A</v>
      </c>
      <c r="DL796" t="str">
        <f>IFERROR(INDEX(Sheet2!$AU$2:$BM$228,QUOTIENT(ROW()-1,19)+1,MOD(ROW()-2,19)+1),NA())</f>
        <v/>
      </c>
      <c r="DM796" s="4" t="e">
        <f t="shared" si="57"/>
        <v>#N/A</v>
      </c>
      <c r="DN796" t="e">
        <f t="shared" si="58"/>
        <v>#N/A</v>
      </c>
      <c r="DO796" t="e">
        <f t="shared" si="59"/>
        <v>#N/A</v>
      </c>
    </row>
    <row r="797" spans="7:119" x14ac:dyDescent="0.25">
      <c r="G797"/>
      <c r="DI797" s="4">
        <f>INDEX(Sheet2!A:A,QUOTIENT(ROW()-1,19)+2)</f>
        <v>41165</v>
      </c>
      <c r="DJ797" s="4">
        <f>INDEX(Sheet2!C:C,QUOTIENT(ROW()-1,19)+2)</f>
        <v>42369</v>
      </c>
      <c r="DK797" s="4" t="e">
        <f>INDEX(Sheet2!$AA$2:$AS$228,QUOTIENT(ROW()-1,19)+1,MOD(ROW()-2,19)+1)</f>
        <v>#N/A</v>
      </c>
      <c r="DL797" t="str">
        <f>IFERROR(INDEX(Sheet2!$AU$2:$BM$228,QUOTIENT(ROW()-1,19)+1,MOD(ROW()-2,19)+1),NA())</f>
        <v/>
      </c>
      <c r="DM797" s="4" t="e">
        <f t="shared" si="57"/>
        <v>#N/A</v>
      </c>
      <c r="DN797" t="e">
        <f t="shared" si="58"/>
        <v>#N/A</v>
      </c>
      <c r="DO797" t="e">
        <f t="shared" si="59"/>
        <v>#N/A</v>
      </c>
    </row>
    <row r="798" spans="7:119" x14ac:dyDescent="0.25">
      <c r="G798"/>
      <c r="DI798" s="4">
        <f>INDEX(Sheet2!A:A,QUOTIENT(ROW()-1,19)+2)</f>
        <v>41165</v>
      </c>
      <c r="DJ798" s="4">
        <f>INDEX(Sheet2!C:C,QUOTIENT(ROW()-1,19)+2)</f>
        <v>42369</v>
      </c>
      <c r="DK798" s="4" t="e">
        <f>INDEX(Sheet2!$AA$2:$AS$228,QUOTIENT(ROW()-1,19)+1,MOD(ROW()-2,19)+1)</f>
        <v>#N/A</v>
      </c>
      <c r="DL798" t="str">
        <f>IFERROR(INDEX(Sheet2!$AU$2:$BM$228,QUOTIENT(ROW()-1,19)+1,MOD(ROW()-2,19)+1),NA())</f>
        <v/>
      </c>
      <c r="DM798" s="4" t="e">
        <f t="shared" si="57"/>
        <v>#N/A</v>
      </c>
      <c r="DN798" t="e">
        <f t="shared" si="58"/>
        <v>#N/A</v>
      </c>
      <c r="DO798" t="e">
        <f t="shared" si="59"/>
        <v>#N/A</v>
      </c>
    </row>
    <row r="799" spans="7:119" x14ac:dyDescent="0.25">
      <c r="G799"/>
      <c r="DI799" s="4">
        <f>INDEX(Sheet2!A:A,QUOTIENT(ROW()-1,19)+2)</f>
        <v>41165</v>
      </c>
      <c r="DJ799" s="4">
        <f>INDEX(Sheet2!C:C,QUOTIENT(ROW()-1,19)+2)</f>
        <v>42369</v>
      </c>
      <c r="DK799" s="4" t="e">
        <f>INDEX(Sheet2!$AA$2:$AS$228,QUOTIENT(ROW()-1,19)+1,MOD(ROW()-2,19)+1)</f>
        <v>#N/A</v>
      </c>
      <c r="DL799" t="str">
        <f>IFERROR(INDEX(Sheet2!$AU$2:$BM$228,QUOTIENT(ROW()-1,19)+1,MOD(ROW()-2,19)+1),NA())</f>
        <v/>
      </c>
      <c r="DM799" s="4" t="e">
        <f t="shared" si="57"/>
        <v>#N/A</v>
      </c>
      <c r="DN799" t="e">
        <f t="shared" si="58"/>
        <v>#N/A</v>
      </c>
      <c r="DO799" t="e">
        <f t="shared" si="59"/>
        <v>#N/A</v>
      </c>
    </row>
    <row r="800" spans="7:119" x14ac:dyDescent="0.25">
      <c r="G800"/>
      <c r="DI800" s="4">
        <f>INDEX(Sheet2!A:A,QUOTIENT(ROW()-1,19)+2)</f>
        <v>41165</v>
      </c>
      <c r="DJ800" s="4">
        <f>INDEX(Sheet2!C:C,QUOTIENT(ROW()-1,19)+2)</f>
        <v>42369</v>
      </c>
      <c r="DK800" s="4">
        <f>INDEX(Sheet2!$AA$2:$AS$228,QUOTIENT(ROW()-1,19)+1,MOD(ROW()-2,19)+1)</f>
        <v>42369</v>
      </c>
      <c r="DL800">
        <f>IFERROR(INDEX(Sheet2!$AU$2:$BM$228,QUOTIENT(ROW()-1,19)+1,MOD(ROW()-2,19)+1),NA())</f>
        <v>3.75</v>
      </c>
      <c r="DM800" s="4" t="e">
        <f t="shared" si="57"/>
        <v>#N/A</v>
      </c>
      <c r="DN800" t="e">
        <f t="shared" si="58"/>
        <v>#N/A</v>
      </c>
      <c r="DO800" t="e">
        <f t="shared" si="59"/>
        <v>#N/A</v>
      </c>
    </row>
    <row r="801" spans="7:119" x14ac:dyDescent="0.25">
      <c r="G801"/>
      <c r="DI801" s="4">
        <f>INDEX(Sheet2!A:A,QUOTIENT(ROW()-1,19)+2)</f>
        <v>41165</v>
      </c>
      <c r="DJ801" s="4">
        <f>INDEX(Sheet2!C:C,QUOTIENT(ROW()-1,19)+2)</f>
        <v>42369</v>
      </c>
      <c r="DK801" s="4" t="e">
        <f>INDEX(Sheet2!$AA$2:$AS$228,QUOTIENT(ROW()-1,19)+1,MOD(ROW()-2,19)+1)</f>
        <v>#N/A</v>
      </c>
      <c r="DL801" t="str">
        <f>IFERROR(INDEX(Sheet2!$AU$2:$BM$228,QUOTIENT(ROW()-1,19)+1,MOD(ROW()-2,19)+1),NA())</f>
        <v/>
      </c>
      <c r="DM801" s="4" t="e">
        <f t="shared" si="57"/>
        <v>#N/A</v>
      </c>
      <c r="DN801" t="e">
        <f t="shared" si="58"/>
        <v>#N/A</v>
      </c>
      <c r="DO801" t="e">
        <f t="shared" si="59"/>
        <v>#N/A</v>
      </c>
    </row>
    <row r="802" spans="7:119" x14ac:dyDescent="0.25">
      <c r="G802"/>
      <c r="DI802" s="4">
        <f>INDEX(Sheet2!A:A,QUOTIENT(ROW()-1,19)+2)</f>
        <v>41165</v>
      </c>
      <c r="DJ802" s="4">
        <f>INDEX(Sheet2!C:C,QUOTIENT(ROW()-1,19)+2)</f>
        <v>42369</v>
      </c>
      <c r="DK802" s="4" t="e">
        <f>INDEX(Sheet2!$AA$2:$AS$228,QUOTIENT(ROW()-1,19)+1,MOD(ROW()-2,19)+1)</f>
        <v>#N/A</v>
      </c>
      <c r="DL802" t="str">
        <f>IFERROR(INDEX(Sheet2!$AU$2:$BM$228,QUOTIENT(ROW()-1,19)+1,MOD(ROW()-2,19)+1),NA())</f>
        <v/>
      </c>
      <c r="DM802" s="4" t="e">
        <f t="shared" si="57"/>
        <v>#N/A</v>
      </c>
      <c r="DN802" t="e">
        <f t="shared" si="58"/>
        <v>#N/A</v>
      </c>
      <c r="DO802" t="e">
        <f t="shared" si="59"/>
        <v>#N/A</v>
      </c>
    </row>
    <row r="803" spans="7:119" x14ac:dyDescent="0.25">
      <c r="G803"/>
      <c r="DI803" s="4">
        <f>INDEX(Sheet2!A:A,QUOTIENT(ROW()-1,19)+2)</f>
        <v>41165</v>
      </c>
      <c r="DJ803" s="4">
        <f>INDEX(Sheet2!C:C,QUOTIENT(ROW()-1,19)+2)</f>
        <v>42369</v>
      </c>
      <c r="DK803" s="4" t="e">
        <f>INDEX(Sheet2!$AA$2:$AS$228,QUOTIENT(ROW()-1,19)+1,MOD(ROW()-2,19)+1)</f>
        <v>#N/A</v>
      </c>
      <c r="DL803" t="str">
        <f>IFERROR(INDEX(Sheet2!$AU$2:$BM$228,QUOTIENT(ROW()-1,19)+1,MOD(ROW()-2,19)+1),NA())</f>
        <v/>
      </c>
      <c r="DM803" s="4" t="e">
        <f t="shared" si="57"/>
        <v>#N/A</v>
      </c>
      <c r="DN803" t="e">
        <f t="shared" si="58"/>
        <v>#N/A</v>
      </c>
      <c r="DO803" t="e">
        <f t="shared" si="59"/>
        <v>#N/A</v>
      </c>
    </row>
    <row r="804" spans="7:119" x14ac:dyDescent="0.25">
      <c r="G804"/>
      <c r="DI804" s="4">
        <f>INDEX(Sheet2!A:A,QUOTIENT(ROW()-1,19)+2)</f>
        <v>41165</v>
      </c>
      <c r="DJ804" s="4">
        <f>INDEX(Sheet2!C:C,QUOTIENT(ROW()-1,19)+2)</f>
        <v>42369</v>
      </c>
      <c r="DK804" s="4" t="e">
        <f>INDEX(Sheet2!$AA$2:$AS$228,QUOTIENT(ROW()-1,19)+1,MOD(ROW()-2,19)+1)</f>
        <v>#N/A</v>
      </c>
      <c r="DL804" t="str">
        <f>IFERROR(INDEX(Sheet2!$AU$2:$BM$228,QUOTIENT(ROW()-1,19)+1,MOD(ROW()-2,19)+1),NA())</f>
        <v/>
      </c>
      <c r="DM804" s="4" t="e">
        <f t="shared" si="57"/>
        <v>#N/A</v>
      </c>
      <c r="DN804" t="e">
        <f t="shared" si="58"/>
        <v>#N/A</v>
      </c>
      <c r="DO804" t="e">
        <f t="shared" si="59"/>
        <v>#N/A</v>
      </c>
    </row>
    <row r="805" spans="7:119" x14ac:dyDescent="0.25">
      <c r="G805"/>
      <c r="DI805" s="4">
        <f>INDEX(Sheet2!A:A,QUOTIENT(ROW()-1,19)+2)</f>
        <v>41165</v>
      </c>
      <c r="DJ805" s="4">
        <f>INDEX(Sheet2!C:C,QUOTIENT(ROW()-1,19)+2)</f>
        <v>42369</v>
      </c>
      <c r="DK805" s="4" t="e">
        <f>INDEX(Sheet2!$AA$2:$AS$228,QUOTIENT(ROW()-1,19)+1,MOD(ROW()-2,19)+1)</f>
        <v>#N/A</v>
      </c>
      <c r="DL805" t="str">
        <f>IFERROR(INDEX(Sheet2!$AU$2:$BM$228,QUOTIENT(ROW()-1,19)+1,MOD(ROW()-2,19)+1),NA())</f>
        <v/>
      </c>
      <c r="DM805" s="4" t="e">
        <f t="shared" si="57"/>
        <v>#N/A</v>
      </c>
      <c r="DN805" t="e">
        <f t="shared" si="58"/>
        <v>#N/A</v>
      </c>
      <c r="DO805" t="e">
        <f t="shared" si="59"/>
        <v>#N/A</v>
      </c>
    </row>
    <row r="806" spans="7:119" x14ac:dyDescent="0.25">
      <c r="G806"/>
      <c r="DI806" s="4">
        <f>INDEX(Sheet2!A:A,QUOTIENT(ROW()-1,19)+2)</f>
        <v>41165</v>
      </c>
      <c r="DJ806" s="4">
        <f>INDEX(Sheet2!C:C,QUOTIENT(ROW()-1,19)+2)</f>
        <v>42369</v>
      </c>
      <c r="DK806" s="4" t="e">
        <f>INDEX(Sheet2!$AA$2:$AS$228,QUOTIENT(ROW()-1,19)+1,MOD(ROW()-2,19)+1)</f>
        <v>#N/A</v>
      </c>
      <c r="DL806" t="str">
        <f>IFERROR(INDEX(Sheet2!$AU$2:$BM$228,QUOTIENT(ROW()-1,19)+1,MOD(ROW()-2,19)+1),NA())</f>
        <v/>
      </c>
      <c r="DM806" s="4" t="e">
        <f t="shared" si="57"/>
        <v>#N/A</v>
      </c>
      <c r="DN806" t="e">
        <f t="shared" si="58"/>
        <v>#N/A</v>
      </c>
      <c r="DO806" t="e">
        <f t="shared" si="59"/>
        <v>#N/A</v>
      </c>
    </row>
    <row r="807" spans="7:119" x14ac:dyDescent="0.25">
      <c r="G807"/>
      <c r="DI807" s="4">
        <f>INDEX(Sheet2!A:A,QUOTIENT(ROW()-1,19)+2)</f>
        <v>41165</v>
      </c>
      <c r="DJ807" s="4">
        <f>INDEX(Sheet2!C:C,QUOTIENT(ROW()-1,19)+2)</f>
        <v>42369</v>
      </c>
      <c r="DK807" s="4" t="e">
        <f>INDEX(Sheet2!$AA$2:$AS$228,QUOTIENT(ROW()-1,19)+1,MOD(ROW()-2,19)+1)</f>
        <v>#N/A</v>
      </c>
      <c r="DL807" t="str">
        <f>IFERROR(INDEX(Sheet2!$AU$2:$BM$228,QUOTIENT(ROW()-1,19)+1,MOD(ROW()-2,19)+1),NA())</f>
        <v/>
      </c>
      <c r="DM807" s="4" t="e">
        <f t="shared" si="57"/>
        <v>#N/A</v>
      </c>
      <c r="DN807" t="e">
        <f t="shared" si="58"/>
        <v>#N/A</v>
      </c>
      <c r="DO807" t="e">
        <f t="shared" si="59"/>
        <v>#N/A</v>
      </c>
    </row>
    <row r="808" spans="7:119" x14ac:dyDescent="0.25">
      <c r="G808"/>
      <c r="DI808" s="4">
        <f>INDEX(Sheet2!A:A,QUOTIENT(ROW()-1,19)+2)</f>
        <v>41165</v>
      </c>
      <c r="DJ808" s="4">
        <f>INDEX(Sheet2!C:C,QUOTIENT(ROW()-1,19)+2)</f>
        <v>42369</v>
      </c>
      <c r="DK808" s="4" t="e">
        <f>INDEX(Sheet2!$AA$2:$AS$228,QUOTIENT(ROW()-1,19)+1,MOD(ROW()-2,19)+1)</f>
        <v>#N/A</v>
      </c>
      <c r="DL808" t="str">
        <f>IFERROR(INDEX(Sheet2!$AU$2:$BM$228,QUOTIENT(ROW()-1,19)+1,MOD(ROW()-2,19)+1),NA())</f>
        <v/>
      </c>
      <c r="DM808" s="4" t="e">
        <f t="shared" si="57"/>
        <v>#N/A</v>
      </c>
      <c r="DN808" t="e">
        <f t="shared" si="58"/>
        <v>#N/A</v>
      </c>
      <c r="DO808" t="e">
        <f t="shared" si="59"/>
        <v>#N/A</v>
      </c>
    </row>
    <row r="809" spans="7:119" x14ac:dyDescent="0.25">
      <c r="G809"/>
      <c r="DI809" s="4">
        <f>INDEX(Sheet2!A:A,QUOTIENT(ROW()-1,19)+2)</f>
        <v>41165</v>
      </c>
      <c r="DJ809" s="4">
        <f>INDEX(Sheet2!C:C,QUOTIENT(ROW()-1,19)+2)</f>
        <v>42369</v>
      </c>
      <c r="DK809" s="4" t="e">
        <f>INDEX(Sheet2!$AA$2:$AS$228,QUOTIENT(ROW()-1,19)+1,MOD(ROW()-2,19)+1)</f>
        <v>#N/A</v>
      </c>
      <c r="DL809" t="str">
        <f>IFERROR(INDEX(Sheet2!$AU$2:$BM$228,QUOTIENT(ROW()-1,19)+1,MOD(ROW()-2,19)+1),NA())</f>
        <v/>
      </c>
      <c r="DM809" s="4" t="e">
        <f t="shared" si="57"/>
        <v>#N/A</v>
      </c>
      <c r="DN809" t="e">
        <f t="shared" si="58"/>
        <v>#N/A</v>
      </c>
      <c r="DO809" t="e">
        <f t="shared" si="59"/>
        <v>#N/A</v>
      </c>
    </row>
    <row r="810" spans="7:119" x14ac:dyDescent="0.25">
      <c r="G810"/>
      <c r="DI810" s="4">
        <f>INDEX(Sheet2!A:A,QUOTIENT(ROW()-1,19)+2)</f>
        <v>41165</v>
      </c>
      <c r="DJ810" s="4">
        <f>INDEX(Sheet2!C:C,QUOTIENT(ROW()-1,19)+2)</f>
        <v>42369</v>
      </c>
      <c r="DK810" s="4" t="e">
        <f>INDEX(Sheet2!$AA$2:$AS$228,QUOTIENT(ROW()-1,19)+1,MOD(ROW()-2,19)+1)</f>
        <v>#N/A</v>
      </c>
      <c r="DL810" t="str">
        <f>IFERROR(INDEX(Sheet2!$AU$2:$BM$228,QUOTIENT(ROW()-1,19)+1,MOD(ROW()-2,19)+1),NA())</f>
        <v/>
      </c>
      <c r="DM810" s="4" t="e">
        <f t="shared" si="57"/>
        <v>#N/A</v>
      </c>
      <c r="DN810" t="e">
        <f t="shared" si="58"/>
        <v>#N/A</v>
      </c>
      <c r="DO810" t="e">
        <f t="shared" si="59"/>
        <v>#N/A</v>
      </c>
    </row>
    <row r="811" spans="7:119" x14ac:dyDescent="0.25">
      <c r="G811"/>
      <c r="DI811" s="4">
        <f>INDEX(Sheet2!A:A,QUOTIENT(ROW()-1,19)+2)</f>
        <v>41165</v>
      </c>
      <c r="DJ811" s="4">
        <f>INDEX(Sheet2!C:C,QUOTIENT(ROW()-1,19)+2)</f>
        <v>42369</v>
      </c>
      <c r="DK811" s="4" t="e">
        <f>INDEX(Sheet2!$AA$2:$AS$228,QUOTIENT(ROW()-1,19)+1,MOD(ROW()-2,19)+1)</f>
        <v>#N/A</v>
      </c>
      <c r="DL811" t="str">
        <f>IFERROR(INDEX(Sheet2!$AU$2:$BM$228,QUOTIENT(ROW()-1,19)+1,MOD(ROW()-2,19)+1),NA())</f>
        <v/>
      </c>
      <c r="DM811" s="4" t="e">
        <f t="shared" si="57"/>
        <v>#N/A</v>
      </c>
      <c r="DN811" t="e">
        <f t="shared" si="58"/>
        <v>#N/A</v>
      </c>
      <c r="DO811" t="e">
        <f t="shared" si="59"/>
        <v>#N/A</v>
      </c>
    </row>
    <row r="812" spans="7:119" x14ac:dyDescent="0.25">
      <c r="G812"/>
      <c r="DI812" s="4">
        <f>INDEX(Sheet2!A:A,QUOTIENT(ROW()-1,19)+2)</f>
        <v>41165</v>
      </c>
      <c r="DJ812" s="4">
        <f>INDEX(Sheet2!C:C,QUOTIENT(ROW()-1,19)+2)</f>
        <v>42369</v>
      </c>
      <c r="DK812" s="4" t="e">
        <f>INDEX(Sheet2!$AA$2:$AS$228,QUOTIENT(ROW()-1,19)+1,MOD(ROW()-2,19)+1)</f>
        <v>#N/A</v>
      </c>
      <c r="DL812" t="str">
        <f>IFERROR(INDEX(Sheet2!$AU$2:$BM$228,QUOTIENT(ROW()-1,19)+1,MOD(ROW()-2,19)+1),NA())</f>
        <v/>
      </c>
      <c r="DM812" s="4" t="e">
        <f t="shared" si="57"/>
        <v>#N/A</v>
      </c>
      <c r="DN812" t="e">
        <f t="shared" si="58"/>
        <v>#N/A</v>
      </c>
      <c r="DO812" t="e">
        <f t="shared" si="59"/>
        <v>#N/A</v>
      </c>
    </row>
    <row r="813" spans="7:119" x14ac:dyDescent="0.25">
      <c r="G813"/>
      <c r="DI813" s="4">
        <f>INDEX(Sheet2!A:A,QUOTIENT(ROW()-1,19)+2)</f>
        <v>41165</v>
      </c>
      <c r="DJ813" s="4">
        <f>INDEX(Sheet2!C:C,QUOTIENT(ROW()-1,19)+2)</f>
        <v>42369</v>
      </c>
      <c r="DK813" s="4" t="e">
        <f>INDEX(Sheet2!$AA$2:$AS$228,QUOTIENT(ROW()-1,19)+1,MOD(ROW()-2,19)+1)</f>
        <v>#N/A</v>
      </c>
      <c r="DL813" t="str">
        <f>IFERROR(INDEX(Sheet2!$AU$2:$BM$228,QUOTIENT(ROW()-1,19)+1,MOD(ROW()-2,19)+1),NA())</f>
        <v/>
      </c>
      <c r="DM813" s="4" t="e">
        <f t="shared" si="57"/>
        <v>#N/A</v>
      </c>
      <c r="DN813" t="e">
        <f t="shared" si="58"/>
        <v>#N/A</v>
      </c>
      <c r="DO813" t="e">
        <f t="shared" si="59"/>
        <v>#N/A</v>
      </c>
    </row>
    <row r="814" spans="7:119" x14ac:dyDescent="0.25">
      <c r="G814"/>
      <c r="DI814" s="4">
        <f>INDEX(Sheet2!A:A,QUOTIENT(ROW()-1,19)+2)</f>
        <v>41165</v>
      </c>
      <c r="DJ814" s="4">
        <f>INDEX(Sheet2!C:C,QUOTIENT(ROW()-1,19)+2)</f>
        <v>42369</v>
      </c>
      <c r="DK814" s="4" t="e">
        <f>INDEX(Sheet2!$AA$2:$AS$228,QUOTIENT(ROW()-1,19)+1,MOD(ROW()-2,19)+1)</f>
        <v>#N/A</v>
      </c>
      <c r="DL814" t="str">
        <f>IFERROR(INDEX(Sheet2!$AU$2:$BM$228,QUOTIENT(ROW()-1,19)+1,MOD(ROW()-2,19)+1),NA())</f>
        <v/>
      </c>
      <c r="DM814" s="4" t="e">
        <f t="shared" si="57"/>
        <v>#N/A</v>
      </c>
      <c r="DN814" t="e">
        <f t="shared" si="58"/>
        <v>#N/A</v>
      </c>
      <c r="DO814" t="e">
        <f t="shared" si="59"/>
        <v>#N/A</v>
      </c>
    </row>
    <row r="815" spans="7:119" x14ac:dyDescent="0.25">
      <c r="G815"/>
      <c r="DI815" s="4">
        <f>INDEX(Sheet2!A:A,QUOTIENT(ROW()-1,19)+2)</f>
        <v>41165</v>
      </c>
      <c r="DJ815" s="4">
        <f>INDEX(Sheet2!C:C,QUOTIENT(ROW()-1,19)+2)</f>
        <v>42369</v>
      </c>
      <c r="DK815" s="4" t="e">
        <f>INDEX(Sheet2!$AA$2:$AS$228,QUOTIENT(ROW()-1,19)+1,MOD(ROW()-2,19)+1)</f>
        <v>#N/A</v>
      </c>
      <c r="DL815" t="str">
        <f>IFERROR(INDEX(Sheet2!$AU$2:$BM$228,QUOTIENT(ROW()-1,19)+1,MOD(ROW()-2,19)+1),NA())</f>
        <v/>
      </c>
      <c r="DM815" s="4" t="e">
        <f t="shared" si="57"/>
        <v>#N/A</v>
      </c>
      <c r="DN815" t="e">
        <f t="shared" si="58"/>
        <v>#N/A</v>
      </c>
      <c r="DO815" t="e">
        <f t="shared" si="59"/>
        <v>#N/A</v>
      </c>
    </row>
    <row r="816" spans="7:119" x14ac:dyDescent="0.25">
      <c r="G816"/>
      <c r="DI816" s="4">
        <f>INDEX(Sheet2!A:A,QUOTIENT(ROW()-1,19)+2)</f>
        <v>41165</v>
      </c>
      <c r="DJ816" s="4">
        <f>INDEX(Sheet2!C:C,QUOTIENT(ROW()-1,19)+2)</f>
        <v>42369</v>
      </c>
      <c r="DK816" s="4" t="e">
        <f>INDEX(Sheet2!$AA$2:$AS$228,QUOTIENT(ROW()-1,19)+1,MOD(ROW()-2,19)+1)</f>
        <v>#N/A</v>
      </c>
      <c r="DL816" t="str">
        <f>IFERROR(INDEX(Sheet2!$AU$2:$BM$228,QUOTIENT(ROW()-1,19)+1,MOD(ROW()-2,19)+1),NA())</f>
        <v/>
      </c>
      <c r="DM816" s="4" t="e">
        <f t="shared" si="57"/>
        <v>#N/A</v>
      </c>
      <c r="DN816" t="e">
        <f t="shared" si="58"/>
        <v>#N/A</v>
      </c>
      <c r="DO816" t="e">
        <f t="shared" si="59"/>
        <v>#N/A</v>
      </c>
    </row>
    <row r="817" spans="7:119" x14ac:dyDescent="0.25">
      <c r="G817"/>
      <c r="DI817" s="4">
        <f>INDEX(Sheet2!A:A,QUOTIENT(ROW()-1,19)+2)</f>
        <v>41165</v>
      </c>
      <c r="DJ817" s="4">
        <f>INDEX(Sheet2!C:C,QUOTIENT(ROW()-1,19)+2)</f>
        <v>42369</v>
      </c>
      <c r="DK817" s="4" t="e">
        <f>INDEX(Sheet2!$AA$2:$AS$228,QUOTIENT(ROW()-1,19)+1,MOD(ROW()-2,19)+1)</f>
        <v>#N/A</v>
      </c>
      <c r="DL817" t="str">
        <f>IFERROR(INDEX(Sheet2!$AU$2:$BM$228,QUOTIENT(ROW()-1,19)+1,MOD(ROW()-2,19)+1),NA())</f>
        <v/>
      </c>
      <c r="DM817" s="4" t="e">
        <f t="shared" si="57"/>
        <v>#N/A</v>
      </c>
      <c r="DN817" t="e">
        <f t="shared" si="58"/>
        <v>#N/A</v>
      </c>
      <c r="DO817" t="e">
        <f t="shared" si="59"/>
        <v>#N/A</v>
      </c>
    </row>
    <row r="818" spans="7:119" x14ac:dyDescent="0.25">
      <c r="G818"/>
      <c r="DI818" s="4">
        <f>INDEX(Sheet2!A:A,QUOTIENT(ROW()-1,19)+2)</f>
        <v>41165</v>
      </c>
      <c r="DJ818" s="4">
        <f>INDEX(Sheet2!C:C,QUOTIENT(ROW()-1,19)+2)</f>
        <v>42369</v>
      </c>
      <c r="DK818" s="4" t="e">
        <f>INDEX(Sheet2!$AA$2:$AS$228,QUOTIENT(ROW()-1,19)+1,MOD(ROW()-2,19)+1)</f>
        <v>#N/A</v>
      </c>
      <c r="DL818" t="str">
        <f>IFERROR(INDEX(Sheet2!$AU$2:$BM$228,QUOTIENT(ROW()-1,19)+1,MOD(ROW()-2,19)+1),NA())</f>
        <v/>
      </c>
      <c r="DM818" s="4" t="e">
        <f t="shared" si="57"/>
        <v>#N/A</v>
      </c>
      <c r="DN818" t="e">
        <f t="shared" si="58"/>
        <v>#N/A</v>
      </c>
      <c r="DO818" t="e">
        <f t="shared" si="59"/>
        <v>#N/A</v>
      </c>
    </row>
    <row r="819" spans="7:119" x14ac:dyDescent="0.25">
      <c r="G819"/>
      <c r="DI819" s="4">
        <f>INDEX(Sheet2!A:A,QUOTIENT(ROW()-1,19)+2)</f>
        <v>41165</v>
      </c>
      <c r="DJ819" s="4">
        <f>INDEX(Sheet2!C:C,QUOTIENT(ROW()-1,19)+2)</f>
        <v>42369</v>
      </c>
      <c r="DK819" s="4">
        <f>INDEX(Sheet2!$AA$2:$AS$228,QUOTIENT(ROW()-1,19)+1,MOD(ROW()-2,19)+1)</f>
        <v>42369</v>
      </c>
      <c r="DL819">
        <f>IFERROR(INDEX(Sheet2!$AU$2:$BM$228,QUOTIENT(ROW()-1,19)+1,MOD(ROW()-2,19)+1),NA())</f>
        <v>4</v>
      </c>
      <c r="DM819" s="4" t="e">
        <f t="shared" si="57"/>
        <v>#N/A</v>
      </c>
      <c r="DN819" t="e">
        <f t="shared" si="58"/>
        <v>#N/A</v>
      </c>
      <c r="DO819" t="e">
        <f t="shared" si="59"/>
        <v>#N/A</v>
      </c>
    </row>
    <row r="820" spans="7:119" x14ac:dyDescent="0.25">
      <c r="G820"/>
      <c r="DI820" s="4">
        <f>INDEX(Sheet2!A:A,QUOTIENT(ROW()-1,19)+2)</f>
        <v>41165</v>
      </c>
      <c r="DJ820" s="4">
        <f>INDEX(Sheet2!C:C,QUOTIENT(ROW()-1,19)+2)</f>
        <v>42369</v>
      </c>
      <c r="DK820" s="4" t="e">
        <f>INDEX(Sheet2!$AA$2:$AS$228,QUOTIENT(ROW()-1,19)+1,MOD(ROW()-2,19)+1)</f>
        <v>#N/A</v>
      </c>
      <c r="DL820" t="str">
        <f>IFERROR(INDEX(Sheet2!$AU$2:$BM$228,QUOTIENT(ROW()-1,19)+1,MOD(ROW()-2,19)+1),NA())</f>
        <v/>
      </c>
      <c r="DM820" s="4" t="e">
        <f t="shared" si="57"/>
        <v>#N/A</v>
      </c>
      <c r="DN820" t="e">
        <f t="shared" si="58"/>
        <v>#N/A</v>
      </c>
      <c r="DO820" t="e">
        <f t="shared" si="59"/>
        <v>#N/A</v>
      </c>
    </row>
    <row r="821" spans="7:119" x14ac:dyDescent="0.25">
      <c r="G821"/>
      <c r="DI821" s="4">
        <f>INDEX(Sheet2!A:A,QUOTIENT(ROW()-1,19)+2)</f>
        <v>41165</v>
      </c>
      <c r="DJ821" s="4">
        <f>INDEX(Sheet2!C:C,QUOTIENT(ROW()-1,19)+2)</f>
        <v>42369</v>
      </c>
      <c r="DK821" s="4" t="e">
        <f>INDEX(Sheet2!$AA$2:$AS$228,QUOTIENT(ROW()-1,19)+1,MOD(ROW()-2,19)+1)</f>
        <v>#N/A</v>
      </c>
      <c r="DL821" t="str">
        <f>IFERROR(INDEX(Sheet2!$AU$2:$BM$228,QUOTIENT(ROW()-1,19)+1,MOD(ROW()-2,19)+1),NA())</f>
        <v/>
      </c>
      <c r="DM821" s="4" t="e">
        <f t="shared" si="57"/>
        <v>#N/A</v>
      </c>
      <c r="DN821" t="e">
        <f t="shared" si="58"/>
        <v>#N/A</v>
      </c>
      <c r="DO821" t="e">
        <f t="shared" si="59"/>
        <v>#N/A</v>
      </c>
    </row>
    <row r="822" spans="7:119" x14ac:dyDescent="0.25">
      <c r="G822"/>
      <c r="DI822" s="4">
        <f>INDEX(Sheet2!A:A,QUOTIENT(ROW()-1,19)+2)</f>
        <v>41165</v>
      </c>
      <c r="DJ822" s="4">
        <f>INDEX(Sheet2!C:C,QUOTIENT(ROW()-1,19)+2)</f>
        <v>42369</v>
      </c>
      <c r="DK822" s="4" t="e">
        <f>INDEX(Sheet2!$AA$2:$AS$228,QUOTIENT(ROW()-1,19)+1,MOD(ROW()-2,19)+1)</f>
        <v>#N/A</v>
      </c>
      <c r="DL822" t="str">
        <f>IFERROR(INDEX(Sheet2!$AU$2:$BM$228,QUOTIENT(ROW()-1,19)+1,MOD(ROW()-2,19)+1),NA())</f>
        <v/>
      </c>
      <c r="DM822" s="4" t="e">
        <f t="shared" si="57"/>
        <v>#N/A</v>
      </c>
      <c r="DN822" t="e">
        <f t="shared" si="58"/>
        <v>#N/A</v>
      </c>
      <c r="DO822" t="e">
        <f t="shared" si="59"/>
        <v>#N/A</v>
      </c>
    </row>
    <row r="823" spans="7:119" x14ac:dyDescent="0.25">
      <c r="G823"/>
      <c r="DI823" s="4">
        <f>INDEX(Sheet2!A:A,QUOTIENT(ROW()-1,19)+2)</f>
        <v>41165</v>
      </c>
      <c r="DJ823" s="4">
        <f>INDEX(Sheet2!C:C,QUOTIENT(ROW()-1,19)+2)</f>
        <v>42369</v>
      </c>
      <c r="DK823" s="4" t="e">
        <f>INDEX(Sheet2!$AA$2:$AS$228,QUOTIENT(ROW()-1,19)+1,MOD(ROW()-2,19)+1)</f>
        <v>#N/A</v>
      </c>
      <c r="DL823" t="str">
        <f>IFERROR(INDEX(Sheet2!$AU$2:$BM$228,QUOTIENT(ROW()-1,19)+1,MOD(ROW()-2,19)+1),NA())</f>
        <v/>
      </c>
      <c r="DM823" s="4" t="e">
        <f t="shared" si="57"/>
        <v>#N/A</v>
      </c>
      <c r="DN823" t="e">
        <f t="shared" si="58"/>
        <v>#N/A</v>
      </c>
      <c r="DO823" t="e">
        <f t="shared" si="59"/>
        <v>#N/A</v>
      </c>
    </row>
    <row r="824" spans="7:119" x14ac:dyDescent="0.25">
      <c r="G824"/>
      <c r="DI824" s="4">
        <f>INDEX(Sheet2!A:A,QUOTIENT(ROW()-1,19)+2)</f>
        <v>41165</v>
      </c>
      <c r="DJ824" s="4">
        <f>INDEX(Sheet2!C:C,QUOTIENT(ROW()-1,19)+2)</f>
        <v>42369</v>
      </c>
      <c r="DK824" s="4" t="e">
        <f>INDEX(Sheet2!$AA$2:$AS$228,QUOTIENT(ROW()-1,19)+1,MOD(ROW()-2,19)+1)</f>
        <v>#N/A</v>
      </c>
      <c r="DL824" t="str">
        <f>IFERROR(INDEX(Sheet2!$AU$2:$BM$228,QUOTIENT(ROW()-1,19)+1,MOD(ROW()-2,19)+1),NA())</f>
        <v/>
      </c>
      <c r="DM824" s="4" t="e">
        <f t="shared" si="57"/>
        <v>#N/A</v>
      </c>
      <c r="DN824" t="e">
        <f t="shared" si="58"/>
        <v>#N/A</v>
      </c>
      <c r="DO824" t="e">
        <f t="shared" si="59"/>
        <v>#N/A</v>
      </c>
    </row>
    <row r="825" spans="7:119" x14ac:dyDescent="0.25">
      <c r="G825"/>
      <c r="DI825" s="4">
        <f>INDEX(Sheet2!A:A,QUOTIENT(ROW()-1,19)+2)</f>
        <v>41165</v>
      </c>
      <c r="DJ825" s="4">
        <f>INDEX(Sheet2!C:C,QUOTIENT(ROW()-1,19)+2)</f>
        <v>42369</v>
      </c>
      <c r="DK825" s="4" t="e">
        <f>INDEX(Sheet2!$AA$2:$AS$228,QUOTIENT(ROW()-1,19)+1,MOD(ROW()-2,19)+1)</f>
        <v>#N/A</v>
      </c>
      <c r="DL825" t="str">
        <f>IFERROR(INDEX(Sheet2!$AU$2:$BM$228,QUOTIENT(ROW()-1,19)+1,MOD(ROW()-2,19)+1),NA())</f>
        <v/>
      </c>
      <c r="DM825" s="4" t="e">
        <f t="shared" si="57"/>
        <v>#N/A</v>
      </c>
      <c r="DN825" t="e">
        <f t="shared" si="58"/>
        <v>#N/A</v>
      </c>
      <c r="DO825" t="e">
        <f t="shared" si="59"/>
        <v>#N/A</v>
      </c>
    </row>
    <row r="826" spans="7:119" x14ac:dyDescent="0.25">
      <c r="G826"/>
      <c r="DI826" s="4">
        <f>INDEX(Sheet2!A:A,QUOTIENT(ROW()-1,19)+2)</f>
        <v>41165</v>
      </c>
      <c r="DJ826" s="4">
        <f>INDEX(Sheet2!C:C,QUOTIENT(ROW()-1,19)+2)</f>
        <v>42369</v>
      </c>
      <c r="DK826" s="4" t="e">
        <f>INDEX(Sheet2!$AA$2:$AS$228,QUOTIENT(ROW()-1,19)+1,MOD(ROW()-2,19)+1)</f>
        <v>#N/A</v>
      </c>
      <c r="DL826" t="str">
        <f>IFERROR(INDEX(Sheet2!$AU$2:$BM$228,QUOTIENT(ROW()-1,19)+1,MOD(ROW()-2,19)+1),NA())</f>
        <v/>
      </c>
      <c r="DM826" s="4" t="e">
        <f t="shared" si="57"/>
        <v>#N/A</v>
      </c>
      <c r="DN826" t="e">
        <f t="shared" si="58"/>
        <v>#N/A</v>
      </c>
      <c r="DO826" t="e">
        <f t="shared" si="59"/>
        <v>#N/A</v>
      </c>
    </row>
    <row r="827" spans="7:119" x14ac:dyDescent="0.25">
      <c r="G827"/>
      <c r="DI827" s="4">
        <f>INDEX(Sheet2!A:A,QUOTIENT(ROW()-1,19)+2)</f>
        <v>41165</v>
      </c>
      <c r="DJ827" s="4">
        <f>INDEX(Sheet2!C:C,QUOTIENT(ROW()-1,19)+2)</f>
        <v>42369</v>
      </c>
      <c r="DK827" s="4" t="e">
        <f>INDEX(Sheet2!$AA$2:$AS$228,QUOTIENT(ROW()-1,19)+1,MOD(ROW()-2,19)+1)</f>
        <v>#N/A</v>
      </c>
      <c r="DL827" t="str">
        <f>IFERROR(INDEX(Sheet2!$AU$2:$BM$228,QUOTIENT(ROW()-1,19)+1,MOD(ROW()-2,19)+1),NA())</f>
        <v/>
      </c>
      <c r="DM827" s="4" t="e">
        <f t="shared" si="57"/>
        <v>#N/A</v>
      </c>
      <c r="DN827" t="e">
        <f t="shared" si="58"/>
        <v>#N/A</v>
      </c>
      <c r="DO827" t="e">
        <f t="shared" si="59"/>
        <v>#N/A</v>
      </c>
    </row>
    <row r="828" spans="7:119" x14ac:dyDescent="0.25">
      <c r="G828"/>
      <c r="DI828" s="4">
        <f>INDEX(Sheet2!A:A,QUOTIENT(ROW()-1,19)+2)</f>
        <v>41165</v>
      </c>
      <c r="DJ828" s="4">
        <f>INDEX(Sheet2!C:C,QUOTIENT(ROW()-1,19)+2)</f>
        <v>42369</v>
      </c>
      <c r="DK828" s="4" t="e">
        <f>INDEX(Sheet2!$AA$2:$AS$228,QUOTIENT(ROW()-1,19)+1,MOD(ROW()-2,19)+1)</f>
        <v>#N/A</v>
      </c>
      <c r="DL828" t="str">
        <f>IFERROR(INDEX(Sheet2!$AU$2:$BM$228,QUOTIENT(ROW()-1,19)+1,MOD(ROW()-2,19)+1),NA())</f>
        <v/>
      </c>
      <c r="DM828" s="4" t="e">
        <f t="shared" si="57"/>
        <v>#N/A</v>
      </c>
      <c r="DN828" t="e">
        <f t="shared" si="58"/>
        <v>#N/A</v>
      </c>
      <c r="DO828" t="e">
        <f t="shared" si="59"/>
        <v>#N/A</v>
      </c>
    </row>
    <row r="829" spans="7:119" x14ac:dyDescent="0.25">
      <c r="G829"/>
      <c r="DI829" s="4">
        <f>INDEX(Sheet2!A:A,QUOTIENT(ROW()-1,19)+2)</f>
        <v>41165</v>
      </c>
      <c r="DJ829" s="4">
        <f>INDEX(Sheet2!C:C,QUOTIENT(ROW()-1,19)+2)</f>
        <v>42369</v>
      </c>
      <c r="DK829" s="4" t="e">
        <f>INDEX(Sheet2!$AA$2:$AS$228,QUOTIENT(ROW()-1,19)+1,MOD(ROW()-2,19)+1)</f>
        <v>#N/A</v>
      </c>
      <c r="DL829" t="str">
        <f>IFERROR(INDEX(Sheet2!$AU$2:$BM$228,QUOTIENT(ROW()-1,19)+1,MOD(ROW()-2,19)+1),NA())</f>
        <v/>
      </c>
      <c r="DM829" s="4" t="e">
        <f t="shared" si="57"/>
        <v>#N/A</v>
      </c>
      <c r="DN829" t="e">
        <f t="shared" si="58"/>
        <v>#N/A</v>
      </c>
      <c r="DO829" t="e">
        <f t="shared" si="59"/>
        <v>#N/A</v>
      </c>
    </row>
    <row r="830" spans="7:119" x14ac:dyDescent="0.25">
      <c r="G830"/>
      <c r="DI830" s="4">
        <f>INDEX(Sheet2!A:A,QUOTIENT(ROW()-1,19)+2)</f>
        <v>41165</v>
      </c>
      <c r="DJ830" s="4">
        <f>INDEX(Sheet2!C:C,QUOTIENT(ROW()-1,19)+2)</f>
        <v>42369</v>
      </c>
      <c r="DK830" s="4" t="e">
        <f>INDEX(Sheet2!$AA$2:$AS$228,QUOTIENT(ROW()-1,19)+1,MOD(ROW()-2,19)+1)</f>
        <v>#N/A</v>
      </c>
      <c r="DL830" t="str">
        <f>IFERROR(INDEX(Sheet2!$AU$2:$BM$228,QUOTIENT(ROW()-1,19)+1,MOD(ROW()-2,19)+1),NA())</f>
        <v/>
      </c>
      <c r="DM830" s="4" t="e">
        <f t="shared" si="57"/>
        <v>#N/A</v>
      </c>
      <c r="DN830" t="e">
        <f t="shared" si="58"/>
        <v>#N/A</v>
      </c>
      <c r="DO830" t="e">
        <f t="shared" si="59"/>
        <v>#N/A</v>
      </c>
    </row>
    <row r="831" spans="7:119" x14ac:dyDescent="0.25">
      <c r="G831"/>
      <c r="DI831" s="4">
        <f>INDEX(Sheet2!A:A,QUOTIENT(ROW()-1,19)+2)</f>
        <v>41165</v>
      </c>
      <c r="DJ831" s="4">
        <f>INDEX(Sheet2!C:C,QUOTIENT(ROW()-1,19)+2)</f>
        <v>42369</v>
      </c>
      <c r="DK831" s="4" t="e">
        <f>INDEX(Sheet2!$AA$2:$AS$228,QUOTIENT(ROW()-1,19)+1,MOD(ROW()-2,19)+1)</f>
        <v>#N/A</v>
      </c>
      <c r="DL831" t="str">
        <f>IFERROR(INDEX(Sheet2!$AU$2:$BM$228,QUOTIENT(ROW()-1,19)+1,MOD(ROW()-2,19)+1),NA())</f>
        <v/>
      </c>
      <c r="DM831" s="4" t="e">
        <f t="shared" si="57"/>
        <v>#N/A</v>
      </c>
      <c r="DN831" t="e">
        <f t="shared" si="58"/>
        <v>#N/A</v>
      </c>
      <c r="DO831" t="e">
        <f t="shared" si="59"/>
        <v>#N/A</v>
      </c>
    </row>
    <row r="832" spans="7:119" x14ac:dyDescent="0.25">
      <c r="G832"/>
      <c r="DI832" s="4">
        <f>INDEX(Sheet2!A:A,QUOTIENT(ROW()-1,19)+2)</f>
        <v>41165</v>
      </c>
      <c r="DJ832" s="4">
        <f>INDEX(Sheet2!C:C,QUOTIENT(ROW()-1,19)+2)</f>
        <v>42369</v>
      </c>
      <c r="DK832" s="4" t="e">
        <f>INDEX(Sheet2!$AA$2:$AS$228,QUOTIENT(ROW()-1,19)+1,MOD(ROW()-2,19)+1)</f>
        <v>#N/A</v>
      </c>
      <c r="DL832" t="str">
        <f>IFERROR(INDEX(Sheet2!$AU$2:$BM$228,QUOTIENT(ROW()-1,19)+1,MOD(ROW()-2,19)+1),NA())</f>
        <v/>
      </c>
      <c r="DM832" s="4" t="e">
        <f t="shared" si="57"/>
        <v>#N/A</v>
      </c>
      <c r="DN832" t="e">
        <f t="shared" si="58"/>
        <v>#N/A</v>
      </c>
      <c r="DO832" t="e">
        <f t="shared" si="59"/>
        <v>#N/A</v>
      </c>
    </row>
    <row r="833" spans="7:119" x14ac:dyDescent="0.25">
      <c r="G833"/>
      <c r="DI833" s="4">
        <f>INDEX(Sheet2!A:A,QUOTIENT(ROW()-1,19)+2)</f>
        <v>41165</v>
      </c>
      <c r="DJ833" s="4">
        <f>INDEX(Sheet2!C:C,QUOTIENT(ROW()-1,19)+2)</f>
        <v>42369</v>
      </c>
      <c r="DK833" s="4" t="e">
        <f>INDEX(Sheet2!$AA$2:$AS$228,QUOTIENT(ROW()-1,19)+1,MOD(ROW()-2,19)+1)</f>
        <v>#N/A</v>
      </c>
      <c r="DL833" t="str">
        <f>IFERROR(INDEX(Sheet2!$AU$2:$BM$228,QUOTIENT(ROW()-1,19)+1,MOD(ROW()-2,19)+1),NA())</f>
        <v/>
      </c>
      <c r="DM833" s="4" t="e">
        <f t="shared" si="57"/>
        <v>#N/A</v>
      </c>
      <c r="DN833" t="e">
        <f t="shared" si="58"/>
        <v>#N/A</v>
      </c>
      <c r="DO833" t="e">
        <f t="shared" si="59"/>
        <v>#N/A</v>
      </c>
    </row>
    <row r="834" spans="7:119" x14ac:dyDescent="0.25">
      <c r="G834"/>
      <c r="DI834" s="4">
        <f>INDEX(Sheet2!A:A,QUOTIENT(ROW()-1,19)+2)</f>
        <v>41165</v>
      </c>
      <c r="DJ834" s="4">
        <f>INDEX(Sheet2!C:C,QUOTIENT(ROW()-1,19)+2)</f>
        <v>42369</v>
      </c>
      <c r="DK834" s="4" t="e">
        <f>INDEX(Sheet2!$AA$2:$AS$228,QUOTIENT(ROW()-1,19)+1,MOD(ROW()-2,19)+1)</f>
        <v>#N/A</v>
      </c>
      <c r="DL834" t="str">
        <f>IFERROR(INDEX(Sheet2!$AU$2:$BM$228,QUOTIENT(ROW()-1,19)+1,MOD(ROW()-2,19)+1),NA())</f>
        <v/>
      </c>
      <c r="DM834" s="4" t="e">
        <f t="shared" ref="DM834:DM897" si="60">+IF($C$2=$DI834,DK834,NA())</f>
        <v>#N/A</v>
      </c>
      <c r="DN834" t="e">
        <f t="shared" ref="DN834:DN897" si="61">+IF($C$2=$DI834,DL834,NA())</f>
        <v>#N/A</v>
      </c>
      <c r="DO834" t="e">
        <f t="shared" si="59"/>
        <v>#N/A</v>
      </c>
    </row>
    <row r="835" spans="7:119" x14ac:dyDescent="0.25">
      <c r="G835"/>
      <c r="DI835" s="4">
        <f>INDEX(Sheet2!A:A,QUOTIENT(ROW()-1,19)+2)</f>
        <v>41165</v>
      </c>
      <c r="DJ835" s="4">
        <f>INDEX(Sheet2!C:C,QUOTIENT(ROW()-1,19)+2)</f>
        <v>42369</v>
      </c>
      <c r="DK835" s="4" t="e">
        <f>INDEX(Sheet2!$AA$2:$AS$228,QUOTIENT(ROW()-1,19)+1,MOD(ROW()-2,19)+1)</f>
        <v>#N/A</v>
      </c>
      <c r="DL835" t="str">
        <f>IFERROR(INDEX(Sheet2!$AU$2:$BM$228,QUOTIENT(ROW()-1,19)+1,MOD(ROW()-2,19)+1),NA())</f>
        <v/>
      </c>
      <c r="DM835" s="4" t="e">
        <f t="shared" si="60"/>
        <v>#N/A</v>
      </c>
      <c r="DN835" t="e">
        <f t="shared" si="61"/>
        <v>#N/A</v>
      </c>
      <c r="DO835" t="e">
        <f t="shared" ref="DO835:DO898" si="62">IF(DN835="",NA(),DN835)</f>
        <v>#N/A</v>
      </c>
    </row>
    <row r="836" spans="7:119" x14ac:dyDescent="0.25">
      <c r="G836"/>
      <c r="DI836" s="4">
        <f>INDEX(Sheet2!A:A,QUOTIENT(ROW()-1,19)+2)</f>
        <v>41165</v>
      </c>
      <c r="DJ836" s="4">
        <f>INDEX(Sheet2!C:C,QUOTIENT(ROW()-1,19)+2)</f>
        <v>42369</v>
      </c>
      <c r="DK836" s="4" t="e">
        <f>INDEX(Sheet2!$AA$2:$AS$228,QUOTIENT(ROW()-1,19)+1,MOD(ROW()-2,19)+1)</f>
        <v>#N/A</v>
      </c>
      <c r="DL836" t="str">
        <f>IFERROR(INDEX(Sheet2!$AU$2:$BM$228,QUOTIENT(ROW()-1,19)+1,MOD(ROW()-2,19)+1),NA())</f>
        <v/>
      </c>
      <c r="DM836" s="4" t="e">
        <f t="shared" si="60"/>
        <v>#N/A</v>
      </c>
      <c r="DN836" t="e">
        <f t="shared" si="61"/>
        <v>#N/A</v>
      </c>
      <c r="DO836" t="e">
        <f t="shared" si="62"/>
        <v>#N/A</v>
      </c>
    </row>
    <row r="837" spans="7:119" x14ac:dyDescent="0.25">
      <c r="G837"/>
      <c r="DI837" s="4">
        <f>INDEX(Sheet2!A:A,QUOTIENT(ROW()-1,19)+2)</f>
        <v>41165</v>
      </c>
      <c r="DJ837" s="4">
        <f>INDEX(Sheet2!C:C,QUOTIENT(ROW()-1,19)+2)</f>
        <v>42369</v>
      </c>
      <c r="DK837" s="4" t="e">
        <f>INDEX(Sheet2!$AA$2:$AS$228,QUOTIENT(ROW()-1,19)+1,MOD(ROW()-2,19)+1)</f>
        <v>#N/A</v>
      </c>
      <c r="DL837" t="str">
        <f>IFERROR(INDEX(Sheet2!$AU$2:$BM$228,QUOTIENT(ROW()-1,19)+1,MOD(ROW()-2,19)+1),NA())</f>
        <v/>
      </c>
      <c r="DM837" s="4" t="e">
        <f t="shared" si="60"/>
        <v>#N/A</v>
      </c>
      <c r="DN837" t="e">
        <f t="shared" si="61"/>
        <v>#N/A</v>
      </c>
      <c r="DO837" t="e">
        <f t="shared" si="62"/>
        <v>#N/A</v>
      </c>
    </row>
    <row r="838" spans="7:119" x14ac:dyDescent="0.25">
      <c r="G838"/>
      <c r="DI838" s="4">
        <f>INDEX(Sheet2!A:A,QUOTIENT(ROW()-1,19)+2)</f>
        <v>41165</v>
      </c>
      <c r="DJ838" s="4">
        <f>INDEX(Sheet2!C:C,QUOTIENT(ROW()-1,19)+2)</f>
        <v>42369</v>
      </c>
      <c r="DK838" s="4">
        <f>INDEX(Sheet2!$AA$2:$AS$228,QUOTIENT(ROW()-1,19)+1,MOD(ROW()-2,19)+1)</f>
        <v>42369</v>
      </c>
      <c r="DL838">
        <f>IFERROR(INDEX(Sheet2!$AU$2:$BM$228,QUOTIENT(ROW()-1,19)+1,MOD(ROW()-2,19)+1),NA())</f>
        <v>4.5</v>
      </c>
      <c r="DM838" s="4" t="e">
        <f t="shared" si="60"/>
        <v>#N/A</v>
      </c>
      <c r="DN838" t="e">
        <f t="shared" si="61"/>
        <v>#N/A</v>
      </c>
      <c r="DO838" t="e">
        <f t="shared" si="62"/>
        <v>#N/A</v>
      </c>
    </row>
    <row r="839" spans="7:119" x14ac:dyDescent="0.25">
      <c r="G839"/>
      <c r="DI839" s="4">
        <f>INDEX(Sheet2!A:A,QUOTIENT(ROW()-1,19)+2)</f>
        <v>41165</v>
      </c>
      <c r="DJ839" s="4">
        <f>INDEX(Sheet2!C:C,QUOTIENT(ROW()-1,19)+2)</f>
        <v>42369</v>
      </c>
      <c r="DK839" s="4" t="e">
        <f>INDEX(Sheet2!$AA$2:$AS$228,QUOTIENT(ROW()-1,19)+1,MOD(ROW()-2,19)+1)</f>
        <v>#N/A</v>
      </c>
      <c r="DL839" t="str">
        <f>IFERROR(INDEX(Sheet2!$AU$2:$BM$228,QUOTIENT(ROW()-1,19)+1,MOD(ROW()-2,19)+1),NA())</f>
        <v/>
      </c>
      <c r="DM839" s="4" t="e">
        <f t="shared" si="60"/>
        <v>#N/A</v>
      </c>
      <c r="DN839" t="e">
        <f t="shared" si="61"/>
        <v>#N/A</v>
      </c>
      <c r="DO839" t="e">
        <f t="shared" si="62"/>
        <v>#N/A</v>
      </c>
    </row>
    <row r="840" spans="7:119" x14ac:dyDescent="0.25">
      <c r="G840"/>
      <c r="DI840" s="4">
        <f>INDEX(Sheet2!A:A,QUOTIENT(ROW()-1,19)+2)</f>
        <v>41165</v>
      </c>
      <c r="DJ840" s="4">
        <f>INDEX(Sheet2!C:C,QUOTIENT(ROW()-1,19)+2)</f>
        <v>42369</v>
      </c>
      <c r="DK840" s="4" t="e">
        <f>INDEX(Sheet2!$AA$2:$AS$228,QUOTIENT(ROW()-1,19)+1,MOD(ROW()-2,19)+1)</f>
        <v>#N/A</v>
      </c>
      <c r="DL840" t="str">
        <f>IFERROR(INDEX(Sheet2!$AU$2:$BM$228,QUOTIENT(ROW()-1,19)+1,MOD(ROW()-2,19)+1),NA())</f>
        <v/>
      </c>
      <c r="DM840" s="4" t="e">
        <f t="shared" si="60"/>
        <v>#N/A</v>
      </c>
      <c r="DN840" t="e">
        <f t="shared" si="61"/>
        <v>#N/A</v>
      </c>
      <c r="DO840" t="e">
        <f t="shared" si="62"/>
        <v>#N/A</v>
      </c>
    </row>
    <row r="841" spans="7:119" x14ac:dyDescent="0.25">
      <c r="G841"/>
      <c r="DI841" s="4">
        <f>INDEX(Sheet2!A:A,QUOTIENT(ROW()-1,19)+2)</f>
        <v>41165</v>
      </c>
      <c r="DJ841" s="4">
        <f>INDEX(Sheet2!C:C,QUOTIENT(ROW()-1,19)+2)</f>
        <v>42369</v>
      </c>
      <c r="DK841" s="4" t="e">
        <f>INDEX(Sheet2!$AA$2:$AS$228,QUOTIENT(ROW()-1,19)+1,MOD(ROW()-2,19)+1)</f>
        <v>#N/A</v>
      </c>
      <c r="DL841" t="str">
        <f>IFERROR(INDEX(Sheet2!$AU$2:$BM$228,QUOTIENT(ROW()-1,19)+1,MOD(ROW()-2,19)+1),NA())</f>
        <v/>
      </c>
      <c r="DM841" s="4" t="e">
        <f t="shared" si="60"/>
        <v>#N/A</v>
      </c>
      <c r="DN841" t="e">
        <f t="shared" si="61"/>
        <v>#N/A</v>
      </c>
      <c r="DO841" t="e">
        <f t="shared" si="62"/>
        <v>#N/A</v>
      </c>
    </row>
    <row r="842" spans="7:119" x14ac:dyDescent="0.25">
      <c r="G842"/>
      <c r="DI842" s="4">
        <f>INDEX(Sheet2!A:A,QUOTIENT(ROW()-1,19)+2)</f>
        <v>41165</v>
      </c>
      <c r="DJ842" s="4">
        <f>INDEX(Sheet2!C:C,QUOTIENT(ROW()-1,19)+2)</f>
        <v>42369</v>
      </c>
      <c r="DK842" s="4" t="e">
        <f>INDEX(Sheet2!$AA$2:$AS$228,QUOTIENT(ROW()-1,19)+1,MOD(ROW()-2,19)+1)</f>
        <v>#N/A</v>
      </c>
      <c r="DL842" t="str">
        <f>IFERROR(INDEX(Sheet2!$AU$2:$BM$228,QUOTIENT(ROW()-1,19)+1,MOD(ROW()-2,19)+1),NA())</f>
        <v/>
      </c>
      <c r="DM842" s="4" t="e">
        <f t="shared" si="60"/>
        <v>#N/A</v>
      </c>
      <c r="DN842" t="e">
        <f t="shared" si="61"/>
        <v>#N/A</v>
      </c>
      <c r="DO842" t="e">
        <f t="shared" si="62"/>
        <v>#N/A</v>
      </c>
    </row>
    <row r="843" spans="7:119" x14ac:dyDescent="0.25">
      <c r="G843"/>
      <c r="DI843" s="4">
        <f>INDEX(Sheet2!A:A,QUOTIENT(ROW()-1,19)+2)</f>
        <v>41165</v>
      </c>
      <c r="DJ843" s="4">
        <f>INDEX(Sheet2!C:C,QUOTIENT(ROW()-1,19)+2)</f>
        <v>42369</v>
      </c>
      <c r="DK843" s="4" t="e">
        <f>INDEX(Sheet2!$AA$2:$AS$228,QUOTIENT(ROW()-1,19)+1,MOD(ROW()-2,19)+1)</f>
        <v>#N/A</v>
      </c>
      <c r="DL843" t="str">
        <f>IFERROR(INDEX(Sheet2!$AU$2:$BM$228,QUOTIENT(ROW()-1,19)+1,MOD(ROW()-2,19)+1),NA())</f>
        <v/>
      </c>
      <c r="DM843" s="4" t="e">
        <f t="shared" si="60"/>
        <v>#N/A</v>
      </c>
      <c r="DN843" t="e">
        <f t="shared" si="61"/>
        <v>#N/A</v>
      </c>
      <c r="DO843" t="e">
        <f t="shared" si="62"/>
        <v>#N/A</v>
      </c>
    </row>
    <row r="844" spans="7:119" x14ac:dyDescent="0.25">
      <c r="G844"/>
      <c r="DI844" s="4">
        <f>INDEX(Sheet2!A:A,QUOTIENT(ROW()-1,19)+2)</f>
        <v>41165</v>
      </c>
      <c r="DJ844" s="4">
        <f>INDEX(Sheet2!C:C,QUOTIENT(ROW()-1,19)+2)</f>
        <v>42369</v>
      </c>
      <c r="DK844" s="4" t="e">
        <f>INDEX(Sheet2!$AA$2:$AS$228,QUOTIENT(ROW()-1,19)+1,MOD(ROW()-2,19)+1)</f>
        <v>#N/A</v>
      </c>
      <c r="DL844" t="str">
        <f>IFERROR(INDEX(Sheet2!$AU$2:$BM$228,QUOTIENT(ROW()-1,19)+1,MOD(ROW()-2,19)+1),NA())</f>
        <v/>
      </c>
      <c r="DM844" s="4" t="e">
        <f t="shared" si="60"/>
        <v>#N/A</v>
      </c>
      <c r="DN844" t="e">
        <f t="shared" si="61"/>
        <v>#N/A</v>
      </c>
      <c r="DO844" t="e">
        <f t="shared" si="62"/>
        <v>#N/A</v>
      </c>
    </row>
    <row r="845" spans="7:119" x14ac:dyDescent="0.25">
      <c r="G845"/>
      <c r="DI845" s="4">
        <f>INDEX(Sheet2!A:A,QUOTIENT(ROW()-1,19)+2)</f>
        <v>41165</v>
      </c>
      <c r="DJ845" s="4">
        <f>INDEX(Sheet2!C:C,QUOTIENT(ROW()-1,19)+2)</f>
        <v>42369</v>
      </c>
      <c r="DK845" s="4" t="e">
        <f>INDEX(Sheet2!$AA$2:$AS$228,QUOTIENT(ROW()-1,19)+1,MOD(ROW()-2,19)+1)</f>
        <v>#N/A</v>
      </c>
      <c r="DL845" t="str">
        <f>IFERROR(INDEX(Sheet2!$AU$2:$BM$228,QUOTIENT(ROW()-1,19)+1,MOD(ROW()-2,19)+1),NA())</f>
        <v/>
      </c>
      <c r="DM845" s="4" t="e">
        <f t="shared" si="60"/>
        <v>#N/A</v>
      </c>
      <c r="DN845" t="e">
        <f t="shared" si="61"/>
        <v>#N/A</v>
      </c>
      <c r="DO845" t="e">
        <f t="shared" si="62"/>
        <v>#N/A</v>
      </c>
    </row>
    <row r="846" spans="7:119" x14ac:dyDescent="0.25">
      <c r="G846"/>
      <c r="DI846" s="4">
        <f>INDEX(Sheet2!A:A,QUOTIENT(ROW()-1,19)+2)</f>
        <v>41165</v>
      </c>
      <c r="DJ846" s="4">
        <f>INDEX(Sheet2!C:C,QUOTIENT(ROW()-1,19)+2)</f>
        <v>42369</v>
      </c>
      <c r="DK846" s="4" t="e">
        <f>INDEX(Sheet2!$AA$2:$AS$228,QUOTIENT(ROW()-1,19)+1,MOD(ROW()-2,19)+1)</f>
        <v>#N/A</v>
      </c>
      <c r="DL846" t="str">
        <f>IFERROR(INDEX(Sheet2!$AU$2:$BM$228,QUOTIENT(ROW()-1,19)+1,MOD(ROW()-2,19)+1),NA())</f>
        <v/>
      </c>
      <c r="DM846" s="4" t="e">
        <f t="shared" si="60"/>
        <v>#N/A</v>
      </c>
      <c r="DN846" t="e">
        <f t="shared" si="61"/>
        <v>#N/A</v>
      </c>
      <c r="DO846" t="e">
        <f t="shared" si="62"/>
        <v>#N/A</v>
      </c>
    </row>
    <row r="847" spans="7:119" x14ac:dyDescent="0.25">
      <c r="G847"/>
      <c r="DI847" s="4">
        <f>INDEX(Sheet2!A:A,QUOTIENT(ROW()-1,19)+2)</f>
        <v>41165</v>
      </c>
      <c r="DJ847" s="4">
        <f>INDEX(Sheet2!C:C,QUOTIENT(ROW()-1,19)+2)</f>
        <v>42369</v>
      </c>
      <c r="DK847" s="4" t="e">
        <f>INDEX(Sheet2!$AA$2:$AS$228,QUOTIENT(ROW()-1,19)+1,MOD(ROW()-2,19)+1)</f>
        <v>#N/A</v>
      </c>
      <c r="DL847" t="str">
        <f>IFERROR(INDEX(Sheet2!$AU$2:$BM$228,QUOTIENT(ROW()-1,19)+1,MOD(ROW()-2,19)+1),NA())</f>
        <v/>
      </c>
      <c r="DM847" s="4" t="e">
        <f t="shared" si="60"/>
        <v>#N/A</v>
      </c>
      <c r="DN847" t="e">
        <f t="shared" si="61"/>
        <v>#N/A</v>
      </c>
      <c r="DO847" t="e">
        <f t="shared" si="62"/>
        <v>#N/A</v>
      </c>
    </row>
    <row r="848" spans="7:119" x14ac:dyDescent="0.25">
      <c r="G848"/>
      <c r="DI848" s="4">
        <f>INDEX(Sheet2!A:A,QUOTIENT(ROW()-1,19)+2)</f>
        <v>41165</v>
      </c>
      <c r="DJ848" s="4">
        <f>INDEX(Sheet2!C:C,QUOTIENT(ROW()-1,19)+2)</f>
        <v>42369</v>
      </c>
      <c r="DK848" s="4" t="e">
        <f>INDEX(Sheet2!$AA$2:$AS$228,QUOTIENT(ROW()-1,19)+1,MOD(ROW()-2,19)+1)</f>
        <v>#N/A</v>
      </c>
      <c r="DL848" t="str">
        <f>IFERROR(INDEX(Sheet2!$AU$2:$BM$228,QUOTIENT(ROW()-1,19)+1,MOD(ROW()-2,19)+1),NA())</f>
        <v/>
      </c>
      <c r="DM848" s="4" t="e">
        <f t="shared" si="60"/>
        <v>#N/A</v>
      </c>
      <c r="DN848" t="e">
        <f t="shared" si="61"/>
        <v>#N/A</v>
      </c>
      <c r="DO848" t="e">
        <f t="shared" si="62"/>
        <v>#N/A</v>
      </c>
    </row>
    <row r="849" spans="7:119" x14ac:dyDescent="0.25">
      <c r="G849"/>
      <c r="DI849" s="4">
        <f>INDEX(Sheet2!A:A,QUOTIENT(ROW()-1,19)+2)</f>
        <v>41165</v>
      </c>
      <c r="DJ849" s="4">
        <f>INDEX(Sheet2!C:C,QUOTIENT(ROW()-1,19)+2)</f>
        <v>42369</v>
      </c>
      <c r="DK849" s="4" t="e">
        <f>INDEX(Sheet2!$AA$2:$AS$228,QUOTIENT(ROW()-1,19)+1,MOD(ROW()-2,19)+1)</f>
        <v>#N/A</v>
      </c>
      <c r="DL849" t="str">
        <f>IFERROR(INDEX(Sheet2!$AU$2:$BM$228,QUOTIENT(ROW()-1,19)+1,MOD(ROW()-2,19)+1),NA())</f>
        <v/>
      </c>
      <c r="DM849" s="4" t="e">
        <f t="shared" si="60"/>
        <v>#N/A</v>
      </c>
      <c r="DN849" t="e">
        <f t="shared" si="61"/>
        <v>#N/A</v>
      </c>
      <c r="DO849" t="e">
        <f t="shared" si="62"/>
        <v>#N/A</v>
      </c>
    </row>
    <row r="850" spans="7:119" x14ac:dyDescent="0.25">
      <c r="G850"/>
      <c r="DI850" s="4">
        <f>INDEX(Sheet2!A:A,QUOTIENT(ROW()-1,19)+2)</f>
        <v>41165</v>
      </c>
      <c r="DJ850" s="4">
        <f>INDEX(Sheet2!C:C,QUOTIENT(ROW()-1,19)+2)</f>
        <v>42369</v>
      </c>
      <c r="DK850" s="4" t="e">
        <f>INDEX(Sheet2!$AA$2:$AS$228,QUOTIENT(ROW()-1,19)+1,MOD(ROW()-2,19)+1)</f>
        <v>#N/A</v>
      </c>
      <c r="DL850" t="str">
        <f>IFERROR(INDEX(Sheet2!$AU$2:$BM$228,QUOTIENT(ROW()-1,19)+1,MOD(ROW()-2,19)+1),NA())</f>
        <v/>
      </c>
      <c r="DM850" s="4" t="e">
        <f t="shared" si="60"/>
        <v>#N/A</v>
      </c>
      <c r="DN850" t="e">
        <f t="shared" si="61"/>
        <v>#N/A</v>
      </c>
      <c r="DO850" t="e">
        <f t="shared" si="62"/>
        <v>#N/A</v>
      </c>
    </row>
    <row r="851" spans="7:119" x14ac:dyDescent="0.25">
      <c r="G851"/>
      <c r="DI851" s="4">
        <f>INDEX(Sheet2!A:A,QUOTIENT(ROW()-1,19)+2)</f>
        <v>41165</v>
      </c>
      <c r="DJ851" s="4">
        <f>INDEX(Sheet2!C:C,QUOTIENT(ROW()-1,19)+2)</f>
        <v>42369</v>
      </c>
      <c r="DK851" s="4" t="e">
        <f>INDEX(Sheet2!$AA$2:$AS$228,QUOTIENT(ROW()-1,19)+1,MOD(ROW()-2,19)+1)</f>
        <v>#N/A</v>
      </c>
      <c r="DL851" t="str">
        <f>IFERROR(INDEX(Sheet2!$AU$2:$BM$228,QUOTIENT(ROW()-1,19)+1,MOD(ROW()-2,19)+1),NA())</f>
        <v/>
      </c>
      <c r="DM851" s="4" t="e">
        <f t="shared" si="60"/>
        <v>#N/A</v>
      </c>
      <c r="DN851" t="e">
        <f t="shared" si="61"/>
        <v>#N/A</v>
      </c>
      <c r="DO851" t="e">
        <f t="shared" si="62"/>
        <v>#N/A</v>
      </c>
    </row>
    <row r="852" spans="7:119" x14ac:dyDescent="0.25">
      <c r="G852"/>
      <c r="DI852" s="4">
        <f>INDEX(Sheet2!A:A,QUOTIENT(ROW()-1,19)+2)</f>
        <v>41165</v>
      </c>
      <c r="DJ852" s="4">
        <f>INDEX(Sheet2!C:C,QUOTIENT(ROW()-1,19)+2)</f>
        <v>42369</v>
      </c>
      <c r="DK852" s="4" t="e">
        <f>INDEX(Sheet2!$AA$2:$AS$228,QUOTIENT(ROW()-1,19)+1,MOD(ROW()-2,19)+1)</f>
        <v>#N/A</v>
      </c>
      <c r="DL852" t="str">
        <f>IFERROR(INDEX(Sheet2!$AU$2:$BM$228,QUOTIENT(ROW()-1,19)+1,MOD(ROW()-2,19)+1),NA())</f>
        <v/>
      </c>
      <c r="DM852" s="4" t="e">
        <f t="shared" si="60"/>
        <v>#N/A</v>
      </c>
      <c r="DN852" t="e">
        <f t="shared" si="61"/>
        <v>#N/A</v>
      </c>
      <c r="DO852" t="e">
        <f t="shared" si="62"/>
        <v>#N/A</v>
      </c>
    </row>
    <row r="853" spans="7:119" x14ac:dyDescent="0.25">
      <c r="G853"/>
      <c r="DI853" s="4">
        <f>INDEX(Sheet2!A:A,QUOTIENT(ROW()-1,19)+2)</f>
        <v>41165</v>
      </c>
      <c r="DJ853" s="4">
        <f>INDEX(Sheet2!C:C,QUOTIENT(ROW()-1,19)+2)</f>
        <v>42369</v>
      </c>
      <c r="DK853" s="4" t="e">
        <f>INDEX(Sheet2!$AA$2:$AS$228,QUOTIENT(ROW()-1,19)+1,MOD(ROW()-2,19)+1)</f>
        <v>#N/A</v>
      </c>
      <c r="DL853" t="str">
        <f>IFERROR(INDEX(Sheet2!$AU$2:$BM$228,QUOTIENT(ROW()-1,19)+1,MOD(ROW()-2,19)+1),NA())</f>
        <v/>
      </c>
      <c r="DM853" s="4" t="e">
        <f t="shared" si="60"/>
        <v>#N/A</v>
      </c>
      <c r="DN853" t="e">
        <f t="shared" si="61"/>
        <v>#N/A</v>
      </c>
      <c r="DO853" t="e">
        <f t="shared" si="62"/>
        <v>#N/A</v>
      </c>
    </row>
    <row r="854" spans="7:119" x14ac:dyDescent="0.25">
      <c r="G854"/>
      <c r="DI854" s="4">
        <f>INDEX(Sheet2!A:A,QUOTIENT(ROW()-1,19)+2)</f>
        <v>41165</v>
      </c>
      <c r="DJ854" s="4">
        <f>INDEX(Sheet2!C:C,QUOTIENT(ROW()-1,19)+2)</f>
        <v>42369</v>
      </c>
      <c r="DK854" s="4" t="e">
        <f>INDEX(Sheet2!$AA$2:$AS$228,QUOTIENT(ROW()-1,19)+1,MOD(ROW()-2,19)+1)</f>
        <v>#N/A</v>
      </c>
      <c r="DL854" t="str">
        <f>IFERROR(INDEX(Sheet2!$AU$2:$BM$228,QUOTIENT(ROW()-1,19)+1,MOD(ROW()-2,19)+1),NA())</f>
        <v/>
      </c>
      <c r="DM854" s="4" t="e">
        <f t="shared" si="60"/>
        <v>#N/A</v>
      </c>
      <c r="DN854" t="e">
        <f t="shared" si="61"/>
        <v>#N/A</v>
      </c>
      <c r="DO854" t="e">
        <f t="shared" si="62"/>
        <v>#N/A</v>
      </c>
    </row>
    <row r="855" spans="7:119" x14ac:dyDescent="0.25">
      <c r="G855"/>
      <c r="DI855" s="4">
        <f>INDEX(Sheet2!A:A,QUOTIENT(ROW()-1,19)+2)</f>
        <v>41165</v>
      </c>
      <c r="DJ855" s="4">
        <f>INDEX(Sheet2!C:C,QUOTIENT(ROW()-1,19)+2)</f>
        <v>42369</v>
      </c>
      <c r="DK855" s="4" t="e">
        <f>INDEX(Sheet2!$AA$2:$AS$228,QUOTIENT(ROW()-1,19)+1,MOD(ROW()-2,19)+1)</f>
        <v>#N/A</v>
      </c>
      <c r="DL855" t="str">
        <f>IFERROR(INDEX(Sheet2!$AU$2:$BM$228,QUOTIENT(ROW()-1,19)+1,MOD(ROW()-2,19)+1),NA())</f>
        <v/>
      </c>
      <c r="DM855" s="4" t="e">
        <f t="shared" si="60"/>
        <v>#N/A</v>
      </c>
      <c r="DN855" t="e">
        <f t="shared" si="61"/>
        <v>#N/A</v>
      </c>
      <c r="DO855" t="e">
        <f t="shared" si="62"/>
        <v>#N/A</v>
      </c>
    </row>
    <row r="856" spans="7:119" x14ac:dyDescent="0.25">
      <c r="G856"/>
      <c r="DI856" s="4">
        <f>INDEX(Sheet2!A:A,QUOTIENT(ROW()-1,19)+2)</f>
        <v>41165</v>
      </c>
      <c r="DJ856" s="4">
        <f>INDEX(Sheet2!C:C,QUOTIENT(ROW()-1,19)+2)</f>
        <v>43100</v>
      </c>
      <c r="DK856" s="4" t="e">
        <f>INDEX(Sheet2!$AA$2:$AS$228,QUOTIENT(ROW()-1,19)+1,MOD(ROW()-2,19)+1)</f>
        <v>#N/A</v>
      </c>
      <c r="DL856" t="str">
        <f>IFERROR(INDEX(Sheet2!$AU$2:$BM$228,QUOTIENT(ROW()-1,19)+1,MOD(ROW()-2,19)+1),NA())</f>
        <v/>
      </c>
      <c r="DM856" s="4" t="e">
        <f t="shared" si="60"/>
        <v>#N/A</v>
      </c>
      <c r="DN856" t="e">
        <f t="shared" si="61"/>
        <v>#N/A</v>
      </c>
      <c r="DO856" t="e">
        <f t="shared" si="62"/>
        <v>#N/A</v>
      </c>
    </row>
    <row r="857" spans="7:119" x14ac:dyDescent="0.25">
      <c r="G857"/>
      <c r="DI857" s="4">
        <f>INDEX(Sheet2!A:A,QUOTIENT(ROW()-1,19)+2)</f>
        <v>41165</v>
      </c>
      <c r="DJ857" s="4">
        <f>INDEX(Sheet2!C:C,QUOTIENT(ROW()-1,19)+2)</f>
        <v>43100</v>
      </c>
      <c r="DK857" s="4">
        <f>INDEX(Sheet2!$AA$2:$AS$228,QUOTIENT(ROW()-1,19)+1,MOD(ROW()-2,19)+1)</f>
        <v>43100</v>
      </c>
      <c r="DL857">
        <f>IFERROR(INDEX(Sheet2!$AU$2:$BM$228,QUOTIENT(ROW()-1,19)+1,MOD(ROW()-2,19)+1),NA())</f>
        <v>3</v>
      </c>
      <c r="DM857" s="4" t="e">
        <f t="shared" si="60"/>
        <v>#N/A</v>
      </c>
      <c r="DN857" t="e">
        <f t="shared" si="61"/>
        <v>#N/A</v>
      </c>
      <c r="DO857" t="e">
        <f t="shared" si="62"/>
        <v>#N/A</v>
      </c>
    </row>
    <row r="858" spans="7:119" x14ac:dyDescent="0.25">
      <c r="G858"/>
      <c r="DI858" s="4">
        <f>INDEX(Sheet2!A:A,QUOTIENT(ROW()-1,19)+2)</f>
        <v>41165</v>
      </c>
      <c r="DJ858" s="4">
        <f>INDEX(Sheet2!C:C,QUOTIENT(ROW()-1,19)+2)</f>
        <v>43100</v>
      </c>
      <c r="DK858" s="4" t="e">
        <f>INDEX(Sheet2!$AA$2:$AS$228,QUOTIENT(ROW()-1,19)+1,MOD(ROW()-2,19)+1)</f>
        <v>#N/A</v>
      </c>
      <c r="DL858" t="str">
        <f>IFERROR(INDEX(Sheet2!$AU$2:$BM$228,QUOTIENT(ROW()-1,19)+1,MOD(ROW()-2,19)+1),NA())</f>
        <v/>
      </c>
      <c r="DM858" s="4" t="e">
        <f t="shared" si="60"/>
        <v>#N/A</v>
      </c>
      <c r="DN858" t="e">
        <f t="shared" si="61"/>
        <v>#N/A</v>
      </c>
      <c r="DO858" t="e">
        <f t="shared" si="62"/>
        <v>#N/A</v>
      </c>
    </row>
    <row r="859" spans="7:119" x14ac:dyDescent="0.25">
      <c r="G859"/>
      <c r="DI859" s="4">
        <f>INDEX(Sheet2!A:A,QUOTIENT(ROW()-1,19)+2)</f>
        <v>41165</v>
      </c>
      <c r="DJ859" s="4">
        <f>INDEX(Sheet2!C:C,QUOTIENT(ROW()-1,19)+2)</f>
        <v>43100</v>
      </c>
      <c r="DK859" s="4" t="e">
        <f>INDEX(Sheet2!$AA$2:$AS$228,QUOTIENT(ROW()-1,19)+1,MOD(ROW()-2,19)+1)</f>
        <v>#N/A</v>
      </c>
      <c r="DL859" t="str">
        <f>IFERROR(INDEX(Sheet2!$AU$2:$BM$228,QUOTIENT(ROW()-1,19)+1,MOD(ROW()-2,19)+1),NA())</f>
        <v/>
      </c>
      <c r="DM859" s="4" t="e">
        <f t="shared" si="60"/>
        <v>#N/A</v>
      </c>
      <c r="DN859" t="e">
        <f t="shared" si="61"/>
        <v>#N/A</v>
      </c>
      <c r="DO859" t="e">
        <f t="shared" si="62"/>
        <v>#N/A</v>
      </c>
    </row>
    <row r="860" spans="7:119" x14ac:dyDescent="0.25">
      <c r="G860"/>
      <c r="DI860" s="4">
        <f>INDEX(Sheet2!A:A,QUOTIENT(ROW()-1,19)+2)</f>
        <v>41165</v>
      </c>
      <c r="DJ860" s="4">
        <f>INDEX(Sheet2!C:C,QUOTIENT(ROW()-1,19)+2)</f>
        <v>43100</v>
      </c>
      <c r="DK860" s="4" t="e">
        <f>INDEX(Sheet2!$AA$2:$AS$228,QUOTIENT(ROW()-1,19)+1,MOD(ROW()-2,19)+1)</f>
        <v>#N/A</v>
      </c>
      <c r="DL860" t="str">
        <f>IFERROR(INDEX(Sheet2!$AU$2:$BM$228,QUOTIENT(ROW()-1,19)+1,MOD(ROW()-2,19)+1),NA())</f>
        <v/>
      </c>
      <c r="DM860" s="4" t="e">
        <f t="shared" si="60"/>
        <v>#N/A</v>
      </c>
      <c r="DN860" t="e">
        <f t="shared" si="61"/>
        <v>#N/A</v>
      </c>
      <c r="DO860" t="e">
        <f t="shared" si="62"/>
        <v>#N/A</v>
      </c>
    </row>
    <row r="861" spans="7:119" x14ac:dyDescent="0.25">
      <c r="G861"/>
      <c r="DI861" s="4">
        <f>INDEX(Sheet2!A:A,QUOTIENT(ROW()-1,19)+2)</f>
        <v>41165</v>
      </c>
      <c r="DJ861" s="4">
        <f>INDEX(Sheet2!C:C,QUOTIENT(ROW()-1,19)+2)</f>
        <v>43100</v>
      </c>
      <c r="DK861" s="4" t="e">
        <f>INDEX(Sheet2!$AA$2:$AS$228,QUOTIENT(ROW()-1,19)+1,MOD(ROW()-2,19)+1)</f>
        <v>#N/A</v>
      </c>
      <c r="DL861" t="str">
        <f>IFERROR(INDEX(Sheet2!$AU$2:$BM$228,QUOTIENT(ROW()-1,19)+1,MOD(ROW()-2,19)+1),NA())</f>
        <v/>
      </c>
      <c r="DM861" s="4" t="e">
        <f t="shared" si="60"/>
        <v>#N/A</v>
      </c>
      <c r="DN861" t="e">
        <f t="shared" si="61"/>
        <v>#N/A</v>
      </c>
      <c r="DO861" t="e">
        <f t="shared" si="62"/>
        <v>#N/A</v>
      </c>
    </row>
    <row r="862" spans="7:119" x14ac:dyDescent="0.25">
      <c r="G862"/>
      <c r="DI862" s="4">
        <f>INDEX(Sheet2!A:A,QUOTIENT(ROW()-1,19)+2)</f>
        <v>41165</v>
      </c>
      <c r="DJ862" s="4">
        <f>INDEX(Sheet2!C:C,QUOTIENT(ROW()-1,19)+2)</f>
        <v>43100</v>
      </c>
      <c r="DK862" s="4" t="e">
        <f>INDEX(Sheet2!$AA$2:$AS$228,QUOTIENT(ROW()-1,19)+1,MOD(ROW()-2,19)+1)</f>
        <v>#N/A</v>
      </c>
      <c r="DL862" t="str">
        <f>IFERROR(INDEX(Sheet2!$AU$2:$BM$228,QUOTIENT(ROW()-1,19)+1,MOD(ROW()-2,19)+1),NA())</f>
        <v/>
      </c>
      <c r="DM862" s="4" t="e">
        <f t="shared" si="60"/>
        <v>#N/A</v>
      </c>
      <c r="DN862" t="e">
        <f t="shared" si="61"/>
        <v>#N/A</v>
      </c>
      <c r="DO862" t="e">
        <f t="shared" si="62"/>
        <v>#N/A</v>
      </c>
    </row>
    <row r="863" spans="7:119" x14ac:dyDescent="0.25">
      <c r="G863"/>
      <c r="DI863" s="4">
        <f>INDEX(Sheet2!A:A,QUOTIENT(ROW()-1,19)+2)</f>
        <v>41165</v>
      </c>
      <c r="DJ863" s="4">
        <f>INDEX(Sheet2!C:C,QUOTIENT(ROW()-1,19)+2)</f>
        <v>43100</v>
      </c>
      <c r="DK863" s="4" t="e">
        <f>INDEX(Sheet2!$AA$2:$AS$228,QUOTIENT(ROW()-1,19)+1,MOD(ROW()-2,19)+1)</f>
        <v>#N/A</v>
      </c>
      <c r="DL863" t="str">
        <f>IFERROR(INDEX(Sheet2!$AU$2:$BM$228,QUOTIENT(ROW()-1,19)+1,MOD(ROW()-2,19)+1),NA())</f>
        <v/>
      </c>
      <c r="DM863" s="4" t="e">
        <f t="shared" si="60"/>
        <v>#N/A</v>
      </c>
      <c r="DN863" t="e">
        <f t="shared" si="61"/>
        <v>#N/A</v>
      </c>
      <c r="DO863" t="e">
        <f t="shared" si="62"/>
        <v>#N/A</v>
      </c>
    </row>
    <row r="864" spans="7:119" x14ac:dyDescent="0.25">
      <c r="G864"/>
      <c r="DI864" s="4">
        <f>INDEX(Sheet2!A:A,QUOTIENT(ROW()-1,19)+2)</f>
        <v>41165</v>
      </c>
      <c r="DJ864" s="4">
        <f>INDEX(Sheet2!C:C,QUOTIENT(ROW()-1,19)+2)</f>
        <v>43100</v>
      </c>
      <c r="DK864" s="4" t="e">
        <f>INDEX(Sheet2!$AA$2:$AS$228,QUOTIENT(ROW()-1,19)+1,MOD(ROW()-2,19)+1)</f>
        <v>#N/A</v>
      </c>
      <c r="DL864" t="str">
        <f>IFERROR(INDEX(Sheet2!$AU$2:$BM$228,QUOTIENT(ROW()-1,19)+1,MOD(ROW()-2,19)+1),NA())</f>
        <v/>
      </c>
      <c r="DM864" s="4" t="e">
        <f t="shared" si="60"/>
        <v>#N/A</v>
      </c>
      <c r="DN864" t="e">
        <f t="shared" si="61"/>
        <v>#N/A</v>
      </c>
      <c r="DO864" t="e">
        <f t="shared" si="62"/>
        <v>#N/A</v>
      </c>
    </row>
    <row r="865" spans="7:119" x14ac:dyDescent="0.25">
      <c r="G865"/>
      <c r="DI865" s="4">
        <f>INDEX(Sheet2!A:A,QUOTIENT(ROW()-1,19)+2)</f>
        <v>41165</v>
      </c>
      <c r="DJ865" s="4">
        <f>INDEX(Sheet2!C:C,QUOTIENT(ROW()-1,19)+2)</f>
        <v>43100</v>
      </c>
      <c r="DK865" s="4" t="e">
        <f>INDEX(Sheet2!$AA$2:$AS$228,QUOTIENT(ROW()-1,19)+1,MOD(ROW()-2,19)+1)</f>
        <v>#N/A</v>
      </c>
      <c r="DL865" t="str">
        <f>IFERROR(INDEX(Sheet2!$AU$2:$BM$228,QUOTIENT(ROW()-1,19)+1,MOD(ROW()-2,19)+1),NA())</f>
        <v/>
      </c>
      <c r="DM865" s="4" t="e">
        <f t="shared" si="60"/>
        <v>#N/A</v>
      </c>
      <c r="DN865" t="e">
        <f t="shared" si="61"/>
        <v>#N/A</v>
      </c>
      <c r="DO865" t="e">
        <f t="shared" si="62"/>
        <v>#N/A</v>
      </c>
    </row>
    <row r="866" spans="7:119" x14ac:dyDescent="0.25">
      <c r="G866"/>
      <c r="DI866" s="4">
        <f>INDEX(Sheet2!A:A,QUOTIENT(ROW()-1,19)+2)</f>
        <v>41165</v>
      </c>
      <c r="DJ866" s="4">
        <f>INDEX(Sheet2!C:C,QUOTIENT(ROW()-1,19)+2)</f>
        <v>43100</v>
      </c>
      <c r="DK866" s="4" t="e">
        <f>INDEX(Sheet2!$AA$2:$AS$228,QUOTIENT(ROW()-1,19)+1,MOD(ROW()-2,19)+1)</f>
        <v>#N/A</v>
      </c>
      <c r="DL866" t="str">
        <f>IFERROR(INDEX(Sheet2!$AU$2:$BM$228,QUOTIENT(ROW()-1,19)+1,MOD(ROW()-2,19)+1),NA())</f>
        <v/>
      </c>
      <c r="DM866" s="4" t="e">
        <f t="shared" si="60"/>
        <v>#N/A</v>
      </c>
      <c r="DN866" t="e">
        <f t="shared" si="61"/>
        <v>#N/A</v>
      </c>
      <c r="DO866" t="e">
        <f t="shared" si="62"/>
        <v>#N/A</v>
      </c>
    </row>
    <row r="867" spans="7:119" x14ac:dyDescent="0.25">
      <c r="G867"/>
      <c r="DI867" s="4">
        <f>INDEX(Sheet2!A:A,QUOTIENT(ROW()-1,19)+2)</f>
        <v>41165</v>
      </c>
      <c r="DJ867" s="4">
        <f>INDEX(Sheet2!C:C,QUOTIENT(ROW()-1,19)+2)</f>
        <v>43100</v>
      </c>
      <c r="DK867" s="4" t="e">
        <f>INDEX(Sheet2!$AA$2:$AS$228,QUOTIENT(ROW()-1,19)+1,MOD(ROW()-2,19)+1)</f>
        <v>#N/A</v>
      </c>
      <c r="DL867" t="str">
        <f>IFERROR(INDEX(Sheet2!$AU$2:$BM$228,QUOTIENT(ROW()-1,19)+1,MOD(ROW()-2,19)+1),NA())</f>
        <v/>
      </c>
      <c r="DM867" s="4" t="e">
        <f t="shared" si="60"/>
        <v>#N/A</v>
      </c>
      <c r="DN867" t="e">
        <f t="shared" si="61"/>
        <v>#N/A</v>
      </c>
      <c r="DO867" t="e">
        <f t="shared" si="62"/>
        <v>#N/A</v>
      </c>
    </row>
    <row r="868" spans="7:119" x14ac:dyDescent="0.25">
      <c r="G868"/>
      <c r="DI868" s="4">
        <f>INDEX(Sheet2!A:A,QUOTIENT(ROW()-1,19)+2)</f>
        <v>41165</v>
      </c>
      <c r="DJ868" s="4">
        <f>INDEX(Sheet2!C:C,QUOTIENT(ROW()-1,19)+2)</f>
        <v>43100</v>
      </c>
      <c r="DK868" s="4" t="e">
        <f>INDEX(Sheet2!$AA$2:$AS$228,QUOTIENT(ROW()-1,19)+1,MOD(ROW()-2,19)+1)</f>
        <v>#N/A</v>
      </c>
      <c r="DL868" t="str">
        <f>IFERROR(INDEX(Sheet2!$AU$2:$BM$228,QUOTIENT(ROW()-1,19)+1,MOD(ROW()-2,19)+1),NA())</f>
        <v/>
      </c>
      <c r="DM868" s="4" t="e">
        <f t="shared" si="60"/>
        <v>#N/A</v>
      </c>
      <c r="DN868" t="e">
        <f t="shared" si="61"/>
        <v>#N/A</v>
      </c>
      <c r="DO868" t="e">
        <f t="shared" si="62"/>
        <v>#N/A</v>
      </c>
    </row>
    <row r="869" spans="7:119" x14ac:dyDescent="0.25">
      <c r="G869"/>
      <c r="DI869" s="4">
        <f>INDEX(Sheet2!A:A,QUOTIENT(ROW()-1,19)+2)</f>
        <v>41165</v>
      </c>
      <c r="DJ869" s="4">
        <f>INDEX(Sheet2!C:C,QUOTIENT(ROW()-1,19)+2)</f>
        <v>43100</v>
      </c>
      <c r="DK869" s="4" t="e">
        <f>INDEX(Sheet2!$AA$2:$AS$228,QUOTIENT(ROW()-1,19)+1,MOD(ROW()-2,19)+1)</f>
        <v>#N/A</v>
      </c>
      <c r="DL869" t="str">
        <f>IFERROR(INDEX(Sheet2!$AU$2:$BM$228,QUOTIENT(ROW()-1,19)+1,MOD(ROW()-2,19)+1),NA())</f>
        <v/>
      </c>
      <c r="DM869" s="4" t="e">
        <f t="shared" si="60"/>
        <v>#N/A</v>
      </c>
      <c r="DN869" t="e">
        <f t="shared" si="61"/>
        <v>#N/A</v>
      </c>
      <c r="DO869" t="e">
        <f t="shared" si="62"/>
        <v>#N/A</v>
      </c>
    </row>
    <row r="870" spans="7:119" x14ac:dyDescent="0.25">
      <c r="G870"/>
      <c r="DI870" s="4">
        <f>INDEX(Sheet2!A:A,QUOTIENT(ROW()-1,19)+2)</f>
        <v>41165</v>
      </c>
      <c r="DJ870" s="4">
        <f>INDEX(Sheet2!C:C,QUOTIENT(ROW()-1,19)+2)</f>
        <v>43100</v>
      </c>
      <c r="DK870" s="4" t="e">
        <f>INDEX(Sheet2!$AA$2:$AS$228,QUOTIENT(ROW()-1,19)+1,MOD(ROW()-2,19)+1)</f>
        <v>#N/A</v>
      </c>
      <c r="DL870" t="str">
        <f>IFERROR(INDEX(Sheet2!$AU$2:$BM$228,QUOTIENT(ROW()-1,19)+1,MOD(ROW()-2,19)+1),NA())</f>
        <v/>
      </c>
      <c r="DM870" s="4" t="e">
        <f t="shared" si="60"/>
        <v>#N/A</v>
      </c>
      <c r="DN870" t="e">
        <f t="shared" si="61"/>
        <v>#N/A</v>
      </c>
      <c r="DO870" t="e">
        <f t="shared" si="62"/>
        <v>#N/A</v>
      </c>
    </row>
    <row r="871" spans="7:119" x14ac:dyDescent="0.25">
      <c r="G871"/>
      <c r="DI871" s="4">
        <f>INDEX(Sheet2!A:A,QUOTIENT(ROW()-1,19)+2)</f>
        <v>41165</v>
      </c>
      <c r="DJ871" s="4">
        <f>INDEX(Sheet2!C:C,QUOTIENT(ROW()-1,19)+2)</f>
        <v>43100</v>
      </c>
      <c r="DK871" s="4" t="e">
        <f>INDEX(Sheet2!$AA$2:$AS$228,QUOTIENT(ROW()-1,19)+1,MOD(ROW()-2,19)+1)</f>
        <v>#N/A</v>
      </c>
      <c r="DL871" t="str">
        <f>IFERROR(INDEX(Sheet2!$AU$2:$BM$228,QUOTIENT(ROW()-1,19)+1,MOD(ROW()-2,19)+1),NA())</f>
        <v/>
      </c>
      <c r="DM871" s="4" t="e">
        <f t="shared" si="60"/>
        <v>#N/A</v>
      </c>
      <c r="DN871" t="e">
        <f t="shared" si="61"/>
        <v>#N/A</v>
      </c>
      <c r="DO871" t="e">
        <f t="shared" si="62"/>
        <v>#N/A</v>
      </c>
    </row>
    <row r="872" spans="7:119" x14ac:dyDescent="0.25">
      <c r="G872"/>
      <c r="DI872" s="4">
        <f>INDEX(Sheet2!A:A,QUOTIENT(ROW()-1,19)+2)</f>
        <v>41165</v>
      </c>
      <c r="DJ872" s="4">
        <f>INDEX(Sheet2!C:C,QUOTIENT(ROW()-1,19)+2)</f>
        <v>43100</v>
      </c>
      <c r="DK872" s="4" t="e">
        <f>INDEX(Sheet2!$AA$2:$AS$228,QUOTIENT(ROW()-1,19)+1,MOD(ROW()-2,19)+1)</f>
        <v>#N/A</v>
      </c>
      <c r="DL872" t="str">
        <f>IFERROR(INDEX(Sheet2!$AU$2:$BM$228,QUOTIENT(ROW()-1,19)+1,MOD(ROW()-2,19)+1),NA())</f>
        <v/>
      </c>
      <c r="DM872" s="4" t="e">
        <f t="shared" si="60"/>
        <v>#N/A</v>
      </c>
      <c r="DN872" t="e">
        <f t="shared" si="61"/>
        <v>#N/A</v>
      </c>
      <c r="DO872" t="e">
        <f t="shared" si="62"/>
        <v>#N/A</v>
      </c>
    </row>
    <row r="873" spans="7:119" x14ac:dyDescent="0.25">
      <c r="G873"/>
      <c r="DI873" s="4">
        <f>INDEX(Sheet2!A:A,QUOTIENT(ROW()-1,19)+2)</f>
        <v>41165</v>
      </c>
      <c r="DJ873" s="4">
        <f>INDEX(Sheet2!C:C,QUOTIENT(ROW()-1,19)+2)</f>
        <v>43100</v>
      </c>
      <c r="DK873" s="4" t="e">
        <f>INDEX(Sheet2!$AA$2:$AS$228,QUOTIENT(ROW()-1,19)+1,MOD(ROW()-2,19)+1)</f>
        <v>#N/A</v>
      </c>
      <c r="DL873" t="str">
        <f>IFERROR(INDEX(Sheet2!$AU$2:$BM$228,QUOTIENT(ROW()-1,19)+1,MOD(ROW()-2,19)+1),NA())</f>
        <v/>
      </c>
      <c r="DM873" s="4" t="e">
        <f t="shared" si="60"/>
        <v>#N/A</v>
      </c>
      <c r="DN873" t="e">
        <f t="shared" si="61"/>
        <v>#N/A</v>
      </c>
      <c r="DO873" t="e">
        <f t="shared" si="62"/>
        <v>#N/A</v>
      </c>
    </row>
    <row r="874" spans="7:119" x14ac:dyDescent="0.25">
      <c r="G874"/>
      <c r="DI874" s="4">
        <f>INDEX(Sheet2!A:A,QUOTIENT(ROW()-1,19)+2)</f>
        <v>41165</v>
      </c>
      <c r="DJ874" s="4">
        <f>INDEX(Sheet2!C:C,QUOTIENT(ROW()-1,19)+2)</f>
        <v>43100</v>
      </c>
      <c r="DK874" s="4" t="e">
        <f>INDEX(Sheet2!$AA$2:$AS$228,QUOTIENT(ROW()-1,19)+1,MOD(ROW()-2,19)+1)</f>
        <v>#N/A</v>
      </c>
      <c r="DL874" t="str">
        <f>IFERROR(INDEX(Sheet2!$AU$2:$BM$228,QUOTIENT(ROW()-1,19)+1,MOD(ROW()-2,19)+1),NA())</f>
        <v/>
      </c>
      <c r="DM874" s="4" t="e">
        <f t="shared" si="60"/>
        <v>#N/A</v>
      </c>
      <c r="DN874" t="e">
        <f t="shared" si="61"/>
        <v>#N/A</v>
      </c>
      <c r="DO874" t="e">
        <f t="shared" si="62"/>
        <v>#N/A</v>
      </c>
    </row>
    <row r="875" spans="7:119" x14ac:dyDescent="0.25">
      <c r="G875"/>
      <c r="DI875" s="4">
        <f>INDEX(Sheet2!A:A,QUOTIENT(ROW()-1,19)+2)</f>
        <v>41165</v>
      </c>
      <c r="DJ875" s="4">
        <f>INDEX(Sheet2!C:C,QUOTIENT(ROW()-1,19)+2)</f>
        <v>43100</v>
      </c>
      <c r="DK875" s="4" t="e">
        <f>INDEX(Sheet2!$AA$2:$AS$228,QUOTIENT(ROW()-1,19)+1,MOD(ROW()-2,19)+1)</f>
        <v>#N/A</v>
      </c>
      <c r="DL875" t="str">
        <f>IFERROR(INDEX(Sheet2!$AU$2:$BM$228,QUOTIENT(ROW()-1,19)+1,MOD(ROW()-2,19)+1),NA())</f>
        <v/>
      </c>
      <c r="DM875" s="4" t="e">
        <f t="shared" si="60"/>
        <v>#N/A</v>
      </c>
      <c r="DN875" t="e">
        <f t="shared" si="61"/>
        <v>#N/A</v>
      </c>
      <c r="DO875" t="e">
        <f t="shared" si="62"/>
        <v>#N/A</v>
      </c>
    </row>
    <row r="876" spans="7:119" x14ac:dyDescent="0.25">
      <c r="G876"/>
      <c r="DI876" s="4">
        <f>INDEX(Sheet2!A:A,QUOTIENT(ROW()-1,19)+2)</f>
        <v>41165</v>
      </c>
      <c r="DJ876" s="4">
        <f>INDEX(Sheet2!C:C,QUOTIENT(ROW()-1,19)+2)</f>
        <v>43100</v>
      </c>
      <c r="DK876" s="4">
        <f>INDEX(Sheet2!$AA$2:$AS$228,QUOTIENT(ROW()-1,19)+1,MOD(ROW()-2,19)+1)</f>
        <v>43100</v>
      </c>
      <c r="DL876">
        <f>IFERROR(INDEX(Sheet2!$AU$2:$BM$228,QUOTIENT(ROW()-1,19)+1,MOD(ROW()-2,19)+1),NA())</f>
        <v>3.5</v>
      </c>
      <c r="DM876" s="4" t="e">
        <f t="shared" si="60"/>
        <v>#N/A</v>
      </c>
      <c r="DN876" t="e">
        <f t="shared" si="61"/>
        <v>#N/A</v>
      </c>
      <c r="DO876" t="e">
        <f t="shared" si="62"/>
        <v>#N/A</v>
      </c>
    </row>
    <row r="877" spans="7:119" x14ac:dyDescent="0.25">
      <c r="G877"/>
      <c r="DI877" s="4">
        <f>INDEX(Sheet2!A:A,QUOTIENT(ROW()-1,19)+2)</f>
        <v>41165</v>
      </c>
      <c r="DJ877" s="4">
        <f>INDEX(Sheet2!C:C,QUOTIENT(ROW()-1,19)+2)</f>
        <v>43100</v>
      </c>
      <c r="DK877" s="4" t="e">
        <f>INDEX(Sheet2!$AA$2:$AS$228,QUOTIENT(ROW()-1,19)+1,MOD(ROW()-2,19)+1)</f>
        <v>#N/A</v>
      </c>
      <c r="DL877" t="str">
        <f>IFERROR(INDEX(Sheet2!$AU$2:$BM$228,QUOTIENT(ROW()-1,19)+1,MOD(ROW()-2,19)+1),NA())</f>
        <v/>
      </c>
      <c r="DM877" s="4" t="e">
        <f t="shared" si="60"/>
        <v>#N/A</v>
      </c>
      <c r="DN877" t="e">
        <f t="shared" si="61"/>
        <v>#N/A</v>
      </c>
      <c r="DO877" t="e">
        <f t="shared" si="62"/>
        <v>#N/A</v>
      </c>
    </row>
    <row r="878" spans="7:119" x14ac:dyDescent="0.25">
      <c r="G878"/>
      <c r="DI878" s="4">
        <f>INDEX(Sheet2!A:A,QUOTIENT(ROW()-1,19)+2)</f>
        <v>41165</v>
      </c>
      <c r="DJ878" s="4">
        <f>INDEX(Sheet2!C:C,QUOTIENT(ROW()-1,19)+2)</f>
        <v>43100</v>
      </c>
      <c r="DK878" s="4" t="e">
        <f>INDEX(Sheet2!$AA$2:$AS$228,QUOTIENT(ROW()-1,19)+1,MOD(ROW()-2,19)+1)</f>
        <v>#N/A</v>
      </c>
      <c r="DL878" t="str">
        <f>IFERROR(INDEX(Sheet2!$AU$2:$BM$228,QUOTIENT(ROW()-1,19)+1,MOD(ROW()-2,19)+1),NA())</f>
        <v/>
      </c>
      <c r="DM878" s="4" t="e">
        <f t="shared" si="60"/>
        <v>#N/A</v>
      </c>
      <c r="DN878" t="e">
        <f t="shared" si="61"/>
        <v>#N/A</v>
      </c>
      <c r="DO878" t="e">
        <f t="shared" si="62"/>
        <v>#N/A</v>
      </c>
    </row>
    <row r="879" spans="7:119" x14ac:dyDescent="0.25">
      <c r="G879"/>
      <c r="DI879" s="4">
        <f>INDEX(Sheet2!A:A,QUOTIENT(ROW()-1,19)+2)</f>
        <v>41165</v>
      </c>
      <c r="DJ879" s="4">
        <f>INDEX(Sheet2!C:C,QUOTIENT(ROW()-1,19)+2)</f>
        <v>43100</v>
      </c>
      <c r="DK879" s="4" t="e">
        <f>INDEX(Sheet2!$AA$2:$AS$228,QUOTIENT(ROW()-1,19)+1,MOD(ROW()-2,19)+1)</f>
        <v>#N/A</v>
      </c>
      <c r="DL879" t="str">
        <f>IFERROR(INDEX(Sheet2!$AU$2:$BM$228,QUOTIENT(ROW()-1,19)+1,MOD(ROW()-2,19)+1),NA())</f>
        <v/>
      </c>
      <c r="DM879" s="4" t="e">
        <f t="shared" si="60"/>
        <v>#N/A</v>
      </c>
      <c r="DN879" t="e">
        <f t="shared" si="61"/>
        <v>#N/A</v>
      </c>
      <c r="DO879" t="e">
        <f t="shared" si="62"/>
        <v>#N/A</v>
      </c>
    </row>
    <row r="880" spans="7:119" x14ac:dyDescent="0.25">
      <c r="G880"/>
      <c r="DI880" s="4">
        <f>INDEX(Sheet2!A:A,QUOTIENT(ROW()-1,19)+2)</f>
        <v>41165</v>
      </c>
      <c r="DJ880" s="4">
        <f>INDEX(Sheet2!C:C,QUOTIENT(ROW()-1,19)+2)</f>
        <v>43100</v>
      </c>
      <c r="DK880" s="4" t="e">
        <f>INDEX(Sheet2!$AA$2:$AS$228,QUOTIENT(ROW()-1,19)+1,MOD(ROW()-2,19)+1)</f>
        <v>#N/A</v>
      </c>
      <c r="DL880" t="str">
        <f>IFERROR(INDEX(Sheet2!$AU$2:$BM$228,QUOTIENT(ROW()-1,19)+1,MOD(ROW()-2,19)+1),NA())</f>
        <v/>
      </c>
      <c r="DM880" s="4" t="e">
        <f t="shared" si="60"/>
        <v>#N/A</v>
      </c>
      <c r="DN880" t="e">
        <f t="shared" si="61"/>
        <v>#N/A</v>
      </c>
      <c r="DO880" t="e">
        <f t="shared" si="62"/>
        <v>#N/A</v>
      </c>
    </row>
    <row r="881" spans="7:119" x14ac:dyDescent="0.25">
      <c r="G881"/>
      <c r="DI881" s="4">
        <f>INDEX(Sheet2!A:A,QUOTIENT(ROW()-1,19)+2)</f>
        <v>41165</v>
      </c>
      <c r="DJ881" s="4">
        <f>INDEX(Sheet2!C:C,QUOTIENT(ROW()-1,19)+2)</f>
        <v>43100</v>
      </c>
      <c r="DK881" s="4" t="e">
        <f>INDEX(Sheet2!$AA$2:$AS$228,QUOTIENT(ROW()-1,19)+1,MOD(ROW()-2,19)+1)</f>
        <v>#N/A</v>
      </c>
      <c r="DL881" t="str">
        <f>IFERROR(INDEX(Sheet2!$AU$2:$BM$228,QUOTIENT(ROW()-1,19)+1,MOD(ROW()-2,19)+1),NA())</f>
        <v/>
      </c>
      <c r="DM881" s="4" t="e">
        <f t="shared" si="60"/>
        <v>#N/A</v>
      </c>
      <c r="DN881" t="e">
        <f t="shared" si="61"/>
        <v>#N/A</v>
      </c>
      <c r="DO881" t="e">
        <f t="shared" si="62"/>
        <v>#N/A</v>
      </c>
    </row>
    <row r="882" spans="7:119" x14ac:dyDescent="0.25">
      <c r="G882"/>
      <c r="DI882" s="4">
        <f>INDEX(Sheet2!A:A,QUOTIENT(ROW()-1,19)+2)</f>
        <v>41165</v>
      </c>
      <c r="DJ882" s="4">
        <f>INDEX(Sheet2!C:C,QUOTIENT(ROW()-1,19)+2)</f>
        <v>43100</v>
      </c>
      <c r="DK882" s="4" t="e">
        <f>INDEX(Sheet2!$AA$2:$AS$228,QUOTIENT(ROW()-1,19)+1,MOD(ROW()-2,19)+1)</f>
        <v>#N/A</v>
      </c>
      <c r="DL882" t="str">
        <f>IFERROR(INDEX(Sheet2!$AU$2:$BM$228,QUOTIENT(ROW()-1,19)+1,MOD(ROW()-2,19)+1),NA())</f>
        <v/>
      </c>
      <c r="DM882" s="4" t="e">
        <f t="shared" si="60"/>
        <v>#N/A</v>
      </c>
      <c r="DN882" t="e">
        <f t="shared" si="61"/>
        <v>#N/A</v>
      </c>
      <c r="DO882" t="e">
        <f t="shared" si="62"/>
        <v>#N/A</v>
      </c>
    </row>
    <row r="883" spans="7:119" x14ac:dyDescent="0.25">
      <c r="G883"/>
      <c r="DI883" s="4">
        <f>INDEX(Sheet2!A:A,QUOTIENT(ROW()-1,19)+2)</f>
        <v>41165</v>
      </c>
      <c r="DJ883" s="4">
        <f>INDEX(Sheet2!C:C,QUOTIENT(ROW()-1,19)+2)</f>
        <v>43100</v>
      </c>
      <c r="DK883" s="4" t="e">
        <f>INDEX(Sheet2!$AA$2:$AS$228,QUOTIENT(ROW()-1,19)+1,MOD(ROW()-2,19)+1)</f>
        <v>#N/A</v>
      </c>
      <c r="DL883" t="str">
        <f>IFERROR(INDEX(Sheet2!$AU$2:$BM$228,QUOTIENT(ROW()-1,19)+1,MOD(ROW()-2,19)+1),NA())</f>
        <v/>
      </c>
      <c r="DM883" s="4" t="e">
        <f t="shared" si="60"/>
        <v>#N/A</v>
      </c>
      <c r="DN883" t="e">
        <f t="shared" si="61"/>
        <v>#N/A</v>
      </c>
      <c r="DO883" t="e">
        <f t="shared" si="62"/>
        <v>#N/A</v>
      </c>
    </row>
    <row r="884" spans="7:119" x14ac:dyDescent="0.25">
      <c r="G884"/>
      <c r="DI884" s="4">
        <f>INDEX(Sheet2!A:A,QUOTIENT(ROW()-1,19)+2)</f>
        <v>41165</v>
      </c>
      <c r="DJ884" s="4">
        <f>INDEX(Sheet2!C:C,QUOTIENT(ROW()-1,19)+2)</f>
        <v>43100</v>
      </c>
      <c r="DK884" s="4" t="e">
        <f>INDEX(Sheet2!$AA$2:$AS$228,QUOTIENT(ROW()-1,19)+1,MOD(ROW()-2,19)+1)</f>
        <v>#N/A</v>
      </c>
      <c r="DL884" t="str">
        <f>IFERROR(INDEX(Sheet2!$AU$2:$BM$228,QUOTIENT(ROW()-1,19)+1,MOD(ROW()-2,19)+1),NA())</f>
        <v/>
      </c>
      <c r="DM884" s="4" t="e">
        <f t="shared" si="60"/>
        <v>#N/A</v>
      </c>
      <c r="DN884" t="e">
        <f t="shared" si="61"/>
        <v>#N/A</v>
      </c>
      <c r="DO884" t="e">
        <f t="shared" si="62"/>
        <v>#N/A</v>
      </c>
    </row>
    <row r="885" spans="7:119" x14ac:dyDescent="0.25">
      <c r="G885"/>
      <c r="DI885" s="4">
        <f>INDEX(Sheet2!A:A,QUOTIENT(ROW()-1,19)+2)</f>
        <v>41165</v>
      </c>
      <c r="DJ885" s="4">
        <f>INDEX(Sheet2!C:C,QUOTIENT(ROW()-1,19)+2)</f>
        <v>43100</v>
      </c>
      <c r="DK885" s="4" t="e">
        <f>INDEX(Sheet2!$AA$2:$AS$228,QUOTIENT(ROW()-1,19)+1,MOD(ROW()-2,19)+1)</f>
        <v>#N/A</v>
      </c>
      <c r="DL885" t="str">
        <f>IFERROR(INDEX(Sheet2!$AU$2:$BM$228,QUOTIENT(ROW()-1,19)+1,MOD(ROW()-2,19)+1),NA())</f>
        <v/>
      </c>
      <c r="DM885" s="4" t="e">
        <f t="shared" si="60"/>
        <v>#N/A</v>
      </c>
      <c r="DN885" t="e">
        <f t="shared" si="61"/>
        <v>#N/A</v>
      </c>
      <c r="DO885" t="e">
        <f t="shared" si="62"/>
        <v>#N/A</v>
      </c>
    </row>
    <row r="886" spans="7:119" x14ac:dyDescent="0.25">
      <c r="G886"/>
      <c r="DI886" s="4">
        <f>INDEX(Sheet2!A:A,QUOTIENT(ROW()-1,19)+2)</f>
        <v>41165</v>
      </c>
      <c r="DJ886" s="4">
        <f>INDEX(Sheet2!C:C,QUOTIENT(ROW()-1,19)+2)</f>
        <v>43100</v>
      </c>
      <c r="DK886" s="4" t="e">
        <f>INDEX(Sheet2!$AA$2:$AS$228,QUOTIENT(ROW()-1,19)+1,MOD(ROW()-2,19)+1)</f>
        <v>#N/A</v>
      </c>
      <c r="DL886" t="str">
        <f>IFERROR(INDEX(Sheet2!$AU$2:$BM$228,QUOTIENT(ROW()-1,19)+1,MOD(ROW()-2,19)+1),NA())</f>
        <v/>
      </c>
      <c r="DM886" s="4" t="e">
        <f t="shared" si="60"/>
        <v>#N/A</v>
      </c>
      <c r="DN886" t="e">
        <f t="shared" si="61"/>
        <v>#N/A</v>
      </c>
      <c r="DO886" t="e">
        <f t="shared" si="62"/>
        <v>#N/A</v>
      </c>
    </row>
    <row r="887" spans="7:119" x14ac:dyDescent="0.25">
      <c r="G887"/>
      <c r="DI887" s="4">
        <f>INDEX(Sheet2!A:A,QUOTIENT(ROW()-1,19)+2)</f>
        <v>41165</v>
      </c>
      <c r="DJ887" s="4">
        <f>INDEX(Sheet2!C:C,QUOTIENT(ROW()-1,19)+2)</f>
        <v>43100</v>
      </c>
      <c r="DK887" s="4" t="e">
        <f>INDEX(Sheet2!$AA$2:$AS$228,QUOTIENT(ROW()-1,19)+1,MOD(ROW()-2,19)+1)</f>
        <v>#N/A</v>
      </c>
      <c r="DL887" t="str">
        <f>IFERROR(INDEX(Sheet2!$AU$2:$BM$228,QUOTIENT(ROW()-1,19)+1,MOD(ROW()-2,19)+1),NA())</f>
        <v/>
      </c>
      <c r="DM887" s="4" t="e">
        <f t="shared" si="60"/>
        <v>#N/A</v>
      </c>
      <c r="DN887" t="e">
        <f t="shared" si="61"/>
        <v>#N/A</v>
      </c>
      <c r="DO887" t="e">
        <f t="shared" si="62"/>
        <v>#N/A</v>
      </c>
    </row>
    <row r="888" spans="7:119" x14ac:dyDescent="0.25">
      <c r="G888"/>
      <c r="DI888" s="4">
        <f>INDEX(Sheet2!A:A,QUOTIENT(ROW()-1,19)+2)</f>
        <v>41165</v>
      </c>
      <c r="DJ888" s="4">
        <f>INDEX(Sheet2!C:C,QUOTIENT(ROW()-1,19)+2)</f>
        <v>43100</v>
      </c>
      <c r="DK888" s="4" t="e">
        <f>INDEX(Sheet2!$AA$2:$AS$228,QUOTIENT(ROW()-1,19)+1,MOD(ROW()-2,19)+1)</f>
        <v>#N/A</v>
      </c>
      <c r="DL888" t="str">
        <f>IFERROR(INDEX(Sheet2!$AU$2:$BM$228,QUOTIENT(ROW()-1,19)+1,MOD(ROW()-2,19)+1),NA())</f>
        <v/>
      </c>
      <c r="DM888" s="4" t="e">
        <f t="shared" si="60"/>
        <v>#N/A</v>
      </c>
      <c r="DN888" t="e">
        <f t="shared" si="61"/>
        <v>#N/A</v>
      </c>
      <c r="DO888" t="e">
        <f t="shared" si="62"/>
        <v>#N/A</v>
      </c>
    </row>
    <row r="889" spans="7:119" x14ac:dyDescent="0.25">
      <c r="G889"/>
      <c r="DI889" s="4">
        <f>INDEX(Sheet2!A:A,QUOTIENT(ROW()-1,19)+2)</f>
        <v>41165</v>
      </c>
      <c r="DJ889" s="4">
        <f>INDEX(Sheet2!C:C,QUOTIENT(ROW()-1,19)+2)</f>
        <v>43100</v>
      </c>
      <c r="DK889" s="4" t="e">
        <f>INDEX(Sheet2!$AA$2:$AS$228,QUOTIENT(ROW()-1,19)+1,MOD(ROW()-2,19)+1)</f>
        <v>#N/A</v>
      </c>
      <c r="DL889" t="str">
        <f>IFERROR(INDEX(Sheet2!$AU$2:$BM$228,QUOTIENT(ROW()-1,19)+1,MOD(ROW()-2,19)+1),NA())</f>
        <v/>
      </c>
      <c r="DM889" s="4" t="e">
        <f t="shared" si="60"/>
        <v>#N/A</v>
      </c>
      <c r="DN889" t="e">
        <f t="shared" si="61"/>
        <v>#N/A</v>
      </c>
      <c r="DO889" t="e">
        <f t="shared" si="62"/>
        <v>#N/A</v>
      </c>
    </row>
    <row r="890" spans="7:119" x14ac:dyDescent="0.25">
      <c r="G890"/>
      <c r="DI890" s="4">
        <f>INDEX(Sheet2!A:A,QUOTIENT(ROW()-1,19)+2)</f>
        <v>41165</v>
      </c>
      <c r="DJ890" s="4">
        <f>INDEX(Sheet2!C:C,QUOTIENT(ROW()-1,19)+2)</f>
        <v>43100</v>
      </c>
      <c r="DK890" s="4" t="e">
        <f>INDEX(Sheet2!$AA$2:$AS$228,QUOTIENT(ROW()-1,19)+1,MOD(ROW()-2,19)+1)</f>
        <v>#N/A</v>
      </c>
      <c r="DL890" t="str">
        <f>IFERROR(INDEX(Sheet2!$AU$2:$BM$228,QUOTIENT(ROW()-1,19)+1,MOD(ROW()-2,19)+1),NA())</f>
        <v/>
      </c>
      <c r="DM890" s="4" t="e">
        <f t="shared" si="60"/>
        <v>#N/A</v>
      </c>
      <c r="DN890" t="e">
        <f t="shared" si="61"/>
        <v>#N/A</v>
      </c>
      <c r="DO890" t="e">
        <f t="shared" si="62"/>
        <v>#N/A</v>
      </c>
    </row>
    <row r="891" spans="7:119" x14ac:dyDescent="0.25">
      <c r="G891"/>
      <c r="DI891" s="4">
        <f>INDEX(Sheet2!A:A,QUOTIENT(ROW()-1,19)+2)</f>
        <v>41165</v>
      </c>
      <c r="DJ891" s="4">
        <f>INDEX(Sheet2!C:C,QUOTIENT(ROW()-1,19)+2)</f>
        <v>43100</v>
      </c>
      <c r="DK891" s="4" t="e">
        <f>INDEX(Sheet2!$AA$2:$AS$228,QUOTIENT(ROW()-1,19)+1,MOD(ROW()-2,19)+1)</f>
        <v>#N/A</v>
      </c>
      <c r="DL891" t="str">
        <f>IFERROR(INDEX(Sheet2!$AU$2:$BM$228,QUOTIENT(ROW()-1,19)+1,MOD(ROW()-2,19)+1),NA())</f>
        <v/>
      </c>
      <c r="DM891" s="4" t="e">
        <f t="shared" si="60"/>
        <v>#N/A</v>
      </c>
      <c r="DN891" t="e">
        <f t="shared" si="61"/>
        <v>#N/A</v>
      </c>
      <c r="DO891" t="e">
        <f t="shared" si="62"/>
        <v>#N/A</v>
      </c>
    </row>
    <row r="892" spans="7:119" x14ac:dyDescent="0.25">
      <c r="G892"/>
      <c r="DI892" s="4">
        <f>INDEX(Sheet2!A:A,QUOTIENT(ROW()-1,19)+2)</f>
        <v>41165</v>
      </c>
      <c r="DJ892" s="4">
        <f>INDEX(Sheet2!C:C,QUOTIENT(ROW()-1,19)+2)</f>
        <v>43100</v>
      </c>
      <c r="DK892" s="4" t="e">
        <f>INDEX(Sheet2!$AA$2:$AS$228,QUOTIENT(ROW()-1,19)+1,MOD(ROW()-2,19)+1)</f>
        <v>#N/A</v>
      </c>
      <c r="DL892" t="str">
        <f>IFERROR(INDEX(Sheet2!$AU$2:$BM$228,QUOTIENT(ROW()-1,19)+1,MOD(ROW()-2,19)+1),NA())</f>
        <v/>
      </c>
      <c r="DM892" s="4" t="e">
        <f t="shared" si="60"/>
        <v>#N/A</v>
      </c>
      <c r="DN892" t="e">
        <f t="shared" si="61"/>
        <v>#N/A</v>
      </c>
      <c r="DO892" t="e">
        <f t="shared" si="62"/>
        <v>#N/A</v>
      </c>
    </row>
    <row r="893" spans="7:119" x14ac:dyDescent="0.25">
      <c r="G893"/>
      <c r="DI893" s="4">
        <f>INDEX(Sheet2!A:A,QUOTIENT(ROW()-1,19)+2)</f>
        <v>41165</v>
      </c>
      <c r="DJ893" s="4">
        <f>INDEX(Sheet2!C:C,QUOTIENT(ROW()-1,19)+2)</f>
        <v>43100</v>
      </c>
      <c r="DK893" s="4" t="e">
        <f>INDEX(Sheet2!$AA$2:$AS$228,QUOTIENT(ROW()-1,19)+1,MOD(ROW()-2,19)+1)</f>
        <v>#N/A</v>
      </c>
      <c r="DL893" t="str">
        <f>IFERROR(INDEX(Sheet2!$AU$2:$BM$228,QUOTIENT(ROW()-1,19)+1,MOD(ROW()-2,19)+1),NA())</f>
        <v/>
      </c>
      <c r="DM893" s="4" t="e">
        <f t="shared" si="60"/>
        <v>#N/A</v>
      </c>
      <c r="DN893" t="e">
        <f t="shared" si="61"/>
        <v>#N/A</v>
      </c>
      <c r="DO893" t="e">
        <f t="shared" si="62"/>
        <v>#N/A</v>
      </c>
    </row>
    <row r="894" spans="7:119" x14ac:dyDescent="0.25">
      <c r="G894"/>
      <c r="DI894" s="4">
        <f>INDEX(Sheet2!A:A,QUOTIENT(ROW()-1,19)+2)</f>
        <v>41165</v>
      </c>
      <c r="DJ894" s="4">
        <f>INDEX(Sheet2!C:C,QUOTIENT(ROW()-1,19)+2)</f>
        <v>43100</v>
      </c>
      <c r="DK894" s="4" t="e">
        <f>INDEX(Sheet2!$AA$2:$AS$228,QUOTIENT(ROW()-1,19)+1,MOD(ROW()-2,19)+1)</f>
        <v>#N/A</v>
      </c>
      <c r="DL894" t="str">
        <f>IFERROR(INDEX(Sheet2!$AU$2:$BM$228,QUOTIENT(ROW()-1,19)+1,MOD(ROW()-2,19)+1),NA())</f>
        <v/>
      </c>
      <c r="DM894" s="4" t="e">
        <f t="shared" si="60"/>
        <v>#N/A</v>
      </c>
      <c r="DN894" t="e">
        <f t="shared" si="61"/>
        <v>#N/A</v>
      </c>
      <c r="DO894" t="e">
        <f t="shared" si="62"/>
        <v>#N/A</v>
      </c>
    </row>
    <row r="895" spans="7:119" x14ac:dyDescent="0.25">
      <c r="G895"/>
      <c r="DI895" s="4">
        <f>INDEX(Sheet2!A:A,QUOTIENT(ROW()-1,19)+2)</f>
        <v>41165</v>
      </c>
      <c r="DJ895" s="4">
        <f>INDEX(Sheet2!C:C,QUOTIENT(ROW()-1,19)+2)</f>
        <v>43100</v>
      </c>
      <c r="DK895" s="4">
        <f>INDEX(Sheet2!$AA$2:$AS$228,QUOTIENT(ROW()-1,19)+1,MOD(ROW()-2,19)+1)</f>
        <v>43089.962500000001</v>
      </c>
      <c r="DL895">
        <f>IFERROR(INDEX(Sheet2!$AU$2:$BM$228,QUOTIENT(ROW()-1,19)+1,MOD(ROW()-2,19)+1),NA())</f>
        <v>3.75</v>
      </c>
      <c r="DM895" s="4" t="e">
        <f t="shared" si="60"/>
        <v>#N/A</v>
      </c>
      <c r="DN895" t="e">
        <f t="shared" si="61"/>
        <v>#N/A</v>
      </c>
      <c r="DO895" t="e">
        <f t="shared" si="62"/>
        <v>#N/A</v>
      </c>
    </row>
    <row r="896" spans="7:119" x14ac:dyDescent="0.25">
      <c r="G896"/>
      <c r="DI896" s="4">
        <f>INDEX(Sheet2!A:A,QUOTIENT(ROW()-1,19)+2)</f>
        <v>41165</v>
      </c>
      <c r="DJ896" s="4">
        <f>INDEX(Sheet2!C:C,QUOTIENT(ROW()-1,19)+2)</f>
        <v>43100</v>
      </c>
      <c r="DK896" s="4">
        <f>INDEX(Sheet2!$AA$2:$AS$228,QUOTIENT(ROW()-1,19)+1,MOD(ROW()-2,19)+1)</f>
        <v>43110.037500000006</v>
      </c>
      <c r="DL896">
        <f>IFERROR(INDEX(Sheet2!$AU$2:$BM$228,QUOTIENT(ROW()-1,19)+1,MOD(ROW()-2,19)+1),NA())</f>
        <v>3.75</v>
      </c>
      <c r="DM896" s="4" t="e">
        <f t="shared" si="60"/>
        <v>#N/A</v>
      </c>
      <c r="DN896" t="e">
        <f t="shared" si="61"/>
        <v>#N/A</v>
      </c>
      <c r="DO896" t="e">
        <f t="shared" si="62"/>
        <v>#N/A</v>
      </c>
    </row>
    <row r="897" spans="7:119" x14ac:dyDescent="0.25">
      <c r="G897"/>
      <c r="DI897" s="4">
        <f>INDEX(Sheet2!A:A,QUOTIENT(ROW()-1,19)+2)</f>
        <v>41165</v>
      </c>
      <c r="DJ897" s="4">
        <f>INDEX(Sheet2!C:C,QUOTIENT(ROW()-1,19)+2)</f>
        <v>43100</v>
      </c>
      <c r="DK897" s="4" t="e">
        <f>INDEX(Sheet2!$AA$2:$AS$228,QUOTIENT(ROW()-1,19)+1,MOD(ROW()-2,19)+1)</f>
        <v>#N/A</v>
      </c>
      <c r="DL897" t="str">
        <f>IFERROR(INDEX(Sheet2!$AU$2:$BM$228,QUOTIENT(ROW()-1,19)+1,MOD(ROW()-2,19)+1),NA())</f>
        <v/>
      </c>
      <c r="DM897" s="4" t="e">
        <f t="shared" si="60"/>
        <v>#N/A</v>
      </c>
      <c r="DN897" t="e">
        <f t="shared" si="61"/>
        <v>#N/A</v>
      </c>
      <c r="DO897" t="e">
        <f t="shared" si="62"/>
        <v>#N/A</v>
      </c>
    </row>
    <row r="898" spans="7:119" x14ac:dyDescent="0.25">
      <c r="G898"/>
      <c r="DI898" s="4">
        <f>INDEX(Sheet2!A:A,QUOTIENT(ROW()-1,19)+2)</f>
        <v>41165</v>
      </c>
      <c r="DJ898" s="4">
        <f>INDEX(Sheet2!C:C,QUOTIENT(ROW()-1,19)+2)</f>
        <v>43100</v>
      </c>
      <c r="DK898" s="4" t="e">
        <f>INDEX(Sheet2!$AA$2:$AS$228,QUOTIENT(ROW()-1,19)+1,MOD(ROW()-2,19)+1)</f>
        <v>#N/A</v>
      </c>
      <c r="DL898" t="str">
        <f>IFERROR(INDEX(Sheet2!$AU$2:$BM$228,QUOTIENT(ROW()-1,19)+1,MOD(ROW()-2,19)+1),NA())</f>
        <v/>
      </c>
      <c r="DM898" s="4" t="e">
        <f t="shared" ref="DM898:DM961" si="63">+IF($C$2=$DI898,DK898,NA())</f>
        <v>#N/A</v>
      </c>
      <c r="DN898" t="e">
        <f t="shared" ref="DN898:DN961" si="64">+IF($C$2=$DI898,DL898,NA())</f>
        <v>#N/A</v>
      </c>
      <c r="DO898" t="e">
        <f t="shared" si="62"/>
        <v>#N/A</v>
      </c>
    </row>
    <row r="899" spans="7:119" x14ac:dyDescent="0.25">
      <c r="G899"/>
      <c r="DI899" s="4">
        <f>INDEX(Sheet2!A:A,QUOTIENT(ROW()-1,19)+2)</f>
        <v>41165</v>
      </c>
      <c r="DJ899" s="4">
        <f>INDEX(Sheet2!C:C,QUOTIENT(ROW()-1,19)+2)</f>
        <v>43100</v>
      </c>
      <c r="DK899" s="4" t="e">
        <f>INDEX(Sheet2!$AA$2:$AS$228,QUOTIENT(ROW()-1,19)+1,MOD(ROW()-2,19)+1)</f>
        <v>#N/A</v>
      </c>
      <c r="DL899" t="str">
        <f>IFERROR(INDEX(Sheet2!$AU$2:$BM$228,QUOTIENT(ROW()-1,19)+1,MOD(ROW()-2,19)+1),NA())</f>
        <v/>
      </c>
      <c r="DM899" s="4" t="e">
        <f t="shared" si="63"/>
        <v>#N/A</v>
      </c>
      <c r="DN899" t="e">
        <f t="shared" si="64"/>
        <v>#N/A</v>
      </c>
      <c r="DO899" t="e">
        <f t="shared" ref="DO899:DO962" si="65">IF(DN899="",NA(),DN899)</f>
        <v>#N/A</v>
      </c>
    </row>
    <row r="900" spans="7:119" x14ac:dyDescent="0.25">
      <c r="G900"/>
      <c r="DI900" s="4">
        <f>INDEX(Sheet2!A:A,QUOTIENT(ROW()-1,19)+2)</f>
        <v>41165</v>
      </c>
      <c r="DJ900" s="4">
        <f>INDEX(Sheet2!C:C,QUOTIENT(ROW()-1,19)+2)</f>
        <v>43100</v>
      </c>
      <c r="DK900" s="4" t="e">
        <f>INDEX(Sheet2!$AA$2:$AS$228,QUOTIENT(ROW()-1,19)+1,MOD(ROW()-2,19)+1)</f>
        <v>#N/A</v>
      </c>
      <c r="DL900" t="str">
        <f>IFERROR(INDEX(Sheet2!$AU$2:$BM$228,QUOTIENT(ROW()-1,19)+1,MOD(ROW()-2,19)+1),NA())</f>
        <v/>
      </c>
      <c r="DM900" s="4" t="e">
        <f t="shared" si="63"/>
        <v>#N/A</v>
      </c>
      <c r="DN900" t="e">
        <f t="shared" si="64"/>
        <v>#N/A</v>
      </c>
      <c r="DO900" t="e">
        <f t="shared" si="65"/>
        <v>#N/A</v>
      </c>
    </row>
    <row r="901" spans="7:119" x14ac:dyDescent="0.25">
      <c r="G901"/>
      <c r="DI901" s="4">
        <f>INDEX(Sheet2!A:A,QUOTIENT(ROW()-1,19)+2)</f>
        <v>41165</v>
      </c>
      <c r="DJ901" s="4">
        <f>INDEX(Sheet2!C:C,QUOTIENT(ROW()-1,19)+2)</f>
        <v>43100</v>
      </c>
      <c r="DK901" s="4" t="e">
        <f>INDEX(Sheet2!$AA$2:$AS$228,QUOTIENT(ROW()-1,19)+1,MOD(ROW()-2,19)+1)</f>
        <v>#N/A</v>
      </c>
      <c r="DL901" t="str">
        <f>IFERROR(INDEX(Sheet2!$AU$2:$BM$228,QUOTIENT(ROW()-1,19)+1,MOD(ROW()-2,19)+1),NA())</f>
        <v/>
      </c>
      <c r="DM901" s="4" t="e">
        <f t="shared" si="63"/>
        <v>#N/A</v>
      </c>
      <c r="DN901" t="e">
        <f t="shared" si="64"/>
        <v>#N/A</v>
      </c>
      <c r="DO901" t="e">
        <f t="shared" si="65"/>
        <v>#N/A</v>
      </c>
    </row>
    <row r="902" spans="7:119" x14ac:dyDescent="0.25">
      <c r="G902"/>
      <c r="DI902" s="4">
        <f>INDEX(Sheet2!A:A,QUOTIENT(ROW()-1,19)+2)</f>
        <v>41165</v>
      </c>
      <c r="DJ902" s="4">
        <f>INDEX(Sheet2!C:C,QUOTIENT(ROW()-1,19)+2)</f>
        <v>43100</v>
      </c>
      <c r="DK902" s="4" t="e">
        <f>INDEX(Sheet2!$AA$2:$AS$228,QUOTIENT(ROW()-1,19)+1,MOD(ROW()-2,19)+1)</f>
        <v>#N/A</v>
      </c>
      <c r="DL902" t="str">
        <f>IFERROR(INDEX(Sheet2!$AU$2:$BM$228,QUOTIENT(ROW()-1,19)+1,MOD(ROW()-2,19)+1),NA())</f>
        <v/>
      </c>
      <c r="DM902" s="4" t="e">
        <f t="shared" si="63"/>
        <v>#N/A</v>
      </c>
      <c r="DN902" t="e">
        <f t="shared" si="64"/>
        <v>#N/A</v>
      </c>
      <c r="DO902" t="e">
        <f t="shared" si="65"/>
        <v>#N/A</v>
      </c>
    </row>
    <row r="903" spans="7:119" x14ac:dyDescent="0.25">
      <c r="G903"/>
      <c r="DI903" s="4">
        <f>INDEX(Sheet2!A:A,QUOTIENT(ROW()-1,19)+2)</f>
        <v>41165</v>
      </c>
      <c r="DJ903" s="4">
        <f>INDEX(Sheet2!C:C,QUOTIENT(ROW()-1,19)+2)</f>
        <v>43100</v>
      </c>
      <c r="DK903" s="4" t="e">
        <f>INDEX(Sheet2!$AA$2:$AS$228,QUOTIENT(ROW()-1,19)+1,MOD(ROW()-2,19)+1)</f>
        <v>#N/A</v>
      </c>
      <c r="DL903" t="str">
        <f>IFERROR(INDEX(Sheet2!$AU$2:$BM$228,QUOTIENT(ROW()-1,19)+1,MOD(ROW()-2,19)+1),NA())</f>
        <v/>
      </c>
      <c r="DM903" s="4" t="e">
        <f t="shared" si="63"/>
        <v>#N/A</v>
      </c>
      <c r="DN903" t="e">
        <f t="shared" si="64"/>
        <v>#N/A</v>
      </c>
      <c r="DO903" t="e">
        <f t="shared" si="65"/>
        <v>#N/A</v>
      </c>
    </row>
    <row r="904" spans="7:119" x14ac:dyDescent="0.25">
      <c r="G904"/>
      <c r="DI904" s="4">
        <f>INDEX(Sheet2!A:A,QUOTIENT(ROW()-1,19)+2)</f>
        <v>41165</v>
      </c>
      <c r="DJ904" s="4">
        <f>INDEX(Sheet2!C:C,QUOTIENT(ROW()-1,19)+2)</f>
        <v>43100</v>
      </c>
      <c r="DK904" s="4" t="e">
        <f>INDEX(Sheet2!$AA$2:$AS$228,QUOTIENT(ROW()-1,19)+1,MOD(ROW()-2,19)+1)</f>
        <v>#N/A</v>
      </c>
      <c r="DL904" t="str">
        <f>IFERROR(INDEX(Sheet2!$AU$2:$BM$228,QUOTIENT(ROW()-1,19)+1,MOD(ROW()-2,19)+1),NA())</f>
        <v/>
      </c>
      <c r="DM904" s="4" t="e">
        <f t="shared" si="63"/>
        <v>#N/A</v>
      </c>
      <c r="DN904" t="e">
        <f t="shared" si="64"/>
        <v>#N/A</v>
      </c>
      <c r="DO904" t="e">
        <f t="shared" si="65"/>
        <v>#N/A</v>
      </c>
    </row>
    <row r="905" spans="7:119" x14ac:dyDescent="0.25">
      <c r="G905"/>
      <c r="DI905" s="4">
        <f>INDEX(Sheet2!A:A,QUOTIENT(ROW()-1,19)+2)</f>
        <v>41165</v>
      </c>
      <c r="DJ905" s="4">
        <f>INDEX(Sheet2!C:C,QUOTIENT(ROW()-1,19)+2)</f>
        <v>43100</v>
      </c>
      <c r="DK905" s="4" t="e">
        <f>INDEX(Sheet2!$AA$2:$AS$228,QUOTIENT(ROW()-1,19)+1,MOD(ROW()-2,19)+1)</f>
        <v>#N/A</v>
      </c>
      <c r="DL905" t="str">
        <f>IFERROR(INDEX(Sheet2!$AU$2:$BM$228,QUOTIENT(ROW()-1,19)+1,MOD(ROW()-2,19)+1),NA())</f>
        <v/>
      </c>
      <c r="DM905" s="4" t="e">
        <f t="shared" si="63"/>
        <v>#N/A</v>
      </c>
      <c r="DN905" t="e">
        <f t="shared" si="64"/>
        <v>#N/A</v>
      </c>
      <c r="DO905" t="e">
        <f t="shared" si="65"/>
        <v>#N/A</v>
      </c>
    </row>
    <row r="906" spans="7:119" x14ac:dyDescent="0.25">
      <c r="G906"/>
      <c r="DI906" s="4">
        <f>INDEX(Sheet2!A:A,QUOTIENT(ROW()-1,19)+2)</f>
        <v>41165</v>
      </c>
      <c r="DJ906" s="4">
        <f>INDEX(Sheet2!C:C,QUOTIENT(ROW()-1,19)+2)</f>
        <v>43100</v>
      </c>
      <c r="DK906" s="4" t="e">
        <f>INDEX(Sheet2!$AA$2:$AS$228,QUOTIENT(ROW()-1,19)+1,MOD(ROW()-2,19)+1)</f>
        <v>#N/A</v>
      </c>
      <c r="DL906" t="str">
        <f>IFERROR(INDEX(Sheet2!$AU$2:$BM$228,QUOTIENT(ROW()-1,19)+1,MOD(ROW()-2,19)+1),NA())</f>
        <v/>
      </c>
      <c r="DM906" s="4" t="e">
        <f t="shared" si="63"/>
        <v>#N/A</v>
      </c>
      <c r="DN906" t="e">
        <f t="shared" si="64"/>
        <v>#N/A</v>
      </c>
      <c r="DO906" t="e">
        <f t="shared" si="65"/>
        <v>#N/A</v>
      </c>
    </row>
    <row r="907" spans="7:119" x14ac:dyDescent="0.25">
      <c r="G907"/>
      <c r="DI907" s="4">
        <f>INDEX(Sheet2!A:A,QUOTIENT(ROW()-1,19)+2)</f>
        <v>41165</v>
      </c>
      <c r="DJ907" s="4">
        <f>INDEX(Sheet2!C:C,QUOTIENT(ROW()-1,19)+2)</f>
        <v>43100</v>
      </c>
      <c r="DK907" s="4" t="e">
        <f>INDEX(Sheet2!$AA$2:$AS$228,QUOTIENT(ROW()-1,19)+1,MOD(ROW()-2,19)+1)</f>
        <v>#N/A</v>
      </c>
      <c r="DL907" t="str">
        <f>IFERROR(INDEX(Sheet2!$AU$2:$BM$228,QUOTIENT(ROW()-1,19)+1,MOD(ROW()-2,19)+1),NA())</f>
        <v/>
      </c>
      <c r="DM907" s="4" t="e">
        <f t="shared" si="63"/>
        <v>#N/A</v>
      </c>
      <c r="DN907" t="e">
        <f t="shared" si="64"/>
        <v>#N/A</v>
      </c>
      <c r="DO907" t="e">
        <f t="shared" si="65"/>
        <v>#N/A</v>
      </c>
    </row>
    <row r="908" spans="7:119" x14ac:dyDescent="0.25">
      <c r="G908"/>
      <c r="DI908" s="4">
        <f>INDEX(Sheet2!A:A,QUOTIENT(ROW()-1,19)+2)</f>
        <v>41165</v>
      </c>
      <c r="DJ908" s="4">
        <f>INDEX(Sheet2!C:C,QUOTIENT(ROW()-1,19)+2)</f>
        <v>43100</v>
      </c>
      <c r="DK908" s="4" t="e">
        <f>INDEX(Sheet2!$AA$2:$AS$228,QUOTIENT(ROW()-1,19)+1,MOD(ROW()-2,19)+1)</f>
        <v>#N/A</v>
      </c>
      <c r="DL908" t="str">
        <f>IFERROR(INDEX(Sheet2!$AU$2:$BM$228,QUOTIENT(ROW()-1,19)+1,MOD(ROW()-2,19)+1),NA())</f>
        <v/>
      </c>
      <c r="DM908" s="4" t="e">
        <f t="shared" si="63"/>
        <v>#N/A</v>
      </c>
      <c r="DN908" t="e">
        <f t="shared" si="64"/>
        <v>#N/A</v>
      </c>
      <c r="DO908" t="e">
        <f t="shared" si="65"/>
        <v>#N/A</v>
      </c>
    </row>
    <row r="909" spans="7:119" x14ac:dyDescent="0.25">
      <c r="G909"/>
      <c r="DI909" s="4">
        <f>INDEX(Sheet2!A:A,QUOTIENT(ROW()-1,19)+2)</f>
        <v>41165</v>
      </c>
      <c r="DJ909" s="4">
        <f>INDEX(Sheet2!C:C,QUOTIENT(ROW()-1,19)+2)</f>
        <v>43100</v>
      </c>
      <c r="DK909" s="4" t="e">
        <f>INDEX(Sheet2!$AA$2:$AS$228,QUOTIENT(ROW()-1,19)+1,MOD(ROW()-2,19)+1)</f>
        <v>#N/A</v>
      </c>
      <c r="DL909" t="str">
        <f>IFERROR(INDEX(Sheet2!$AU$2:$BM$228,QUOTIENT(ROW()-1,19)+1,MOD(ROW()-2,19)+1),NA())</f>
        <v/>
      </c>
      <c r="DM909" s="4" t="e">
        <f t="shared" si="63"/>
        <v>#N/A</v>
      </c>
      <c r="DN909" t="e">
        <f t="shared" si="64"/>
        <v>#N/A</v>
      </c>
      <c r="DO909" t="e">
        <f t="shared" si="65"/>
        <v>#N/A</v>
      </c>
    </row>
    <row r="910" spans="7:119" x14ac:dyDescent="0.25">
      <c r="G910"/>
      <c r="DI910" s="4">
        <f>INDEX(Sheet2!A:A,QUOTIENT(ROW()-1,19)+2)</f>
        <v>41165</v>
      </c>
      <c r="DJ910" s="4">
        <f>INDEX(Sheet2!C:C,QUOTIENT(ROW()-1,19)+2)</f>
        <v>43100</v>
      </c>
      <c r="DK910" s="4" t="e">
        <f>INDEX(Sheet2!$AA$2:$AS$228,QUOTIENT(ROW()-1,19)+1,MOD(ROW()-2,19)+1)</f>
        <v>#N/A</v>
      </c>
      <c r="DL910" t="str">
        <f>IFERROR(INDEX(Sheet2!$AU$2:$BM$228,QUOTIENT(ROW()-1,19)+1,MOD(ROW()-2,19)+1),NA())</f>
        <v/>
      </c>
      <c r="DM910" s="4" t="e">
        <f t="shared" si="63"/>
        <v>#N/A</v>
      </c>
      <c r="DN910" t="e">
        <f t="shared" si="64"/>
        <v>#N/A</v>
      </c>
      <c r="DO910" t="e">
        <f t="shared" si="65"/>
        <v>#N/A</v>
      </c>
    </row>
    <row r="911" spans="7:119" x14ac:dyDescent="0.25">
      <c r="G911"/>
      <c r="DI911" s="4">
        <f>INDEX(Sheet2!A:A,QUOTIENT(ROW()-1,19)+2)</f>
        <v>41165</v>
      </c>
      <c r="DJ911" s="4">
        <f>INDEX(Sheet2!C:C,QUOTIENT(ROW()-1,19)+2)</f>
        <v>43100</v>
      </c>
      <c r="DK911" s="4" t="e">
        <f>INDEX(Sheet2!$AA$2:$AS$228,QUOTIENT(ROW()-1,19)+1,MOD(ROW()-2,19)+1)</f>
        <v>#N/A</v>
      </c>
      <c r="DL911" t="str">
        <f>IFERROR(INDEX(Sheet2!$AU$2:$BM$228,QUOTIENT(ROW()-1,19)+1,MOD(ROW()-2,19)+1),NA())</f>
        <v/>
      </c>
      <c r="DM911" s="4" t="e">
        <f t="shared" si="63"/>
        <v>#N/A</v>
      </c>
      <c r="DN911" t="e">
        <f t="shared" si="64"/>
        <v>#N/A</v>
      </c>
      <c r="DO911" t="e">
        <f t="shared" si="65"/>
        <v>#N/A</v>
      </c>
    </row>
    <row r="912" spans="7:119" x14ac:dyDescent="0.25">
      <c r="G912"/>
      <c r="DI912" s="4">
        <f>INDEX(Sheet2!A:A,QUOTIENT(ROW()-1,19)+2)</f>
        <v>41165</v>
      </c>
      <c r="DJ912" s="4">
        <f>INDEX(Sheet2!C:C,QUOTIENT(ROW()-1,19)+2)</f>
        <v>43100</v>
      </c>
      <c r="DK912" s="4" t="e">
        <f>INDEX(Sheet2!$AA$2:$AS$228,QUOTIENT(ROW()-1,19)+1,MOD(ROW()-2,19)+1)</f>
        <v>#N/A</v>
      </c>
      <c r="DL912" t="str">
        <f>IFERROR(INDEX(Sheet2!$AU$2:$BM$228,QUOTIENT(ROW()-1,19)+1,MOD(ROW()-2,19)+1),NA())</f>
        <v/>
      </c>
      <c r="DM912" s="4" t="e">
        <f t="shared" si="63"/>
        <v>#N/A</v>
      </c>
      <c r="DN912" t="e">
        <f t="shared" si="64"/>
        <v>#N/A</v>
      </c>
      <c r="DO912" t="e">
        <f t="shared" si="65"/>
        <v>#N/A</v>
      </c>
    </row>
    <row r="913" spans="7:119" x14ac:dyDescent="0.25">
      <c r="G913"/>
      <c r="DI913" s="4">
        <f>INDEX(Sheet2!A:A,QUOTIENT(ROW()-1,19)+2)</f>
        <v>41165</v>
      </c>
      <c r="DJ913" s="4">
        <f>INDEX(Sheet2!C:C,QUOTIENT(ROW()-1,19)+2)</f>
        <v>43100</v>
      </c>
      <c r="DK913" s="4" t="e">
        <f>INDEX(Sheet2!$AA$2:$AS$228,QUOTIENT(ROW()-1,19)+1,MOD(ROW()-2,19)+1)</f>
        <v>#N/A</v>
      </c>
      <c r="DL913" t="str">
        <f>IFERROR(INDEX(Sheet2!$AU$2:$BM$228,QUOTIENT(ROW()-1,19)+1,MOD(ROW()-2,19)+1),NA())</f>
        <v/>
      </c>
      <c r="DM913" s="4" t="e">
        <f t="shared" si="63"/>
        <v>#N/A</v>
      </c>
      <c r="DN913" t="e">
        <f t="shared" si="64"/>
        <v>#N/A</v>
      </c>
      <c r="DO913" t="e">
        <f t="shared" si="65"/>
        <v>#N/A</v>
      </c>
    </row>
    <row r="914" spans="7:119" x14ac:dyDescent="0.25">
      <c r="G914"/>
      <c r="DI914" s="4">
        <f>INDEX(Sheet2!A:A,QUOTIENT(ROW()-1,19)+2)</f>
        <v>41165</v>
      </c>
      <c r="DJ914" s="4">
        <f>INDEX(Sheet2!C:C,QUOTIENT(ROW()-1,19)+2)</f>
        <v>43100</v>
      </c>
      <c r="DK914" s="4">
        <f>INDEX(Sheet2!$AA$2:$AS$228,QUOTIENT(ROW()-1,19)+1,MOD(ROW()-2,19)+1)</f>
        <v>43049.8125</v>
      </c>
      <c r="DL914">
        <f>IFERROR(INDEX(Sheet2!$AU$2:$BM$228,QUOTIENT(ROW()-1,19)+1,MOD(ROW()-2,19)+1),NA())</f>
        <v>4</v>
      </c>
      <c r="DM914" s="4" t="e">
        <f t="shared" si="63"/>
        <v>#N/A</v>
      </c>
      <c r="DN914" t="e">
        <f t="shared" si="64"/>
        <v>#N/A</v>
      </c>
      <c r="DO914" t="e">
        <f t="shared" si="65"/>
        <v>#N/A</v>
      </c>
    </row>
    <row r="915" spans="7:119" x14ac:dyDescent="0.25">
      <c r="G915"/>
      <c r="DI915" s="4">
        <f>INDEX(Sheet2!A:A,QUOTIENT(ROW()-1,19)+2)</f>
        <v>41165</v>
      </c>
      <c r="DJ915" s="4">
        <f>INDEX(Sheet2!C:C,QUOTIENT(ROW()-1,19)+2)</f>
        <v>43100</v>
      </c>
      <c r="DK915" s="4">
        <f>INDEX(Sheet2!$AA$2:$AS$228,QUOTIENT(ROW()-1,19)+1,MOD(ROW()-2,19)+1)</f>
        <v>43069.887500000004</v>
      </c>
      <c r="DL915">
        <f>IFERROR(INDEX(Sheet2!$AU$2:$BM$228,QUOTIENT(ROW()-1,19)+1,MOD(ROW()-2,19)+1),NA())</f>
        <v>4</v>
      </c>
      <c r="DM915" s="4" t="e">
        <f t="shared" si="63"/>
        <v>#N/A</v>
      </c>
      <c r="DN915" t="e">
        <f t="shared" si="64"/>
        <v>#N/A</v>
      </c>
      <c r="DO915" t="e">
        <f t="shared" si="65"/>
        <v>#N/A</v>
      </c>
    </row>
    <row r="916" spans="7:119" x14ac:dyDescent="0.25">
      <c r="G916"/>
      <c r="DI916" s="4">
        <f>INDEX(Sheet2!A:A,QUOTIENT(ROW()-1,19)+2)</f>
        <v>41165</v>
      </c>
      <c r="DJ916" s="4">
        <f>INDEX(Sheet2!C:C,QUOTIENT(ROW()-1,19)+2)</f>
        <v>43100</v>
      </c>
      <c r="DK916" s="4">
        <f>INDEX(Sheet2!$AA$2:$AS$228,QUOTIENT(ROW()-1,19)+1,MOD(ROW()-2,19)+1)</f>
        <v>43089.962500000001</v>
      </c>
      <c r="DL916">
        <f>IFERROR(INDEX(Sheet2!$AU$2:$BM$228,QUOTIENT(ROW()-1,19)+1,MOD(ROW()-2,19)+1),NA())</f>
        <v>4</v>
      </c>
      <c r="DM916" s="4" t="e">
        <f t="shared" si="63"/>
        <v>#N/A</v>
      </c>
      <c r="DN916" t="e">
        <f t="shared" si="64"/>
        <v>#N/A</v>
      </c>
      <c r="DO916" t="e">
        <f t="shared" si="65"/>
        <v>#N/A</v>
      </c>
    </row>
    <row r="917" spans="7:119" x14ac:dyDescent="0.25">
      <c r="G917"/>
      <c r="DI917" s="4">
        <f>INDEX(Sheet2!A:A,QUOTIENT(ROW()-1,19)+2)</f>
        <v>41165</v>
      </c>
      <c r="DJ917" s="4">
        <f>INDEX(Sheet2!C:C,QUOTIENT(ROW()-1,19)+2)</f>
        <v>43100</v>
      </c>
      <c r="DK917" s="4">
        <f>INDEX(Sheet2!$AA$2:$AS$228,QUOTIENT(ROW()-1,19)+1,MOD(ROW()-2,19)+1)</f>
        <v>43110.037500000006</v>
      </c>
      <c r="DL917">
        <f>IFERROR(INDEX(Sheet2!$AU$2:$BM$228,QUOTIENT(ROW()-1,19)+1,MOD(ROW()-2,19)+1),NA())</f>
        <v>4</v>
      </c>
      <c r="DM917" s="4" t="e">
        <f t="shared" si="63"/>
        <v>#N/A</v>
      </c>
      <c r="DN917" t="e">
        <f t="shared" si="64"/>
        <v>#N/A</v>
      </c>
      <c r="DO917" t="e">
        <f t="shared" si="65"/>
        <v>#N/A</v>
      </c>
    </row>
    <row r="918" spans="7:119" x14ac:dyDescent="0.25">
      <c r="G918"/>
      <c r="DI918" s="4">
        <f>INDEX(Sheet2!A:A,QUOTIENT(ROW()-1,19)+2)</f>
        <v>41165</v>
      </c>
      <c r="DJ918" s="4">
        <f>INDEX(Sheet2!C:C,QUOTIENT(ROW()-1,19)+2)</f>
        <v>43100</v>
      </c>
      <c r="DK918" s="4">
        <f>INDEX(Sheet2!$AA$2:$AS$228,QUOTIENT(ROW()-1,19)+1,MOD(ROW()-2,19)+1)</f>
        <v>43130.112500000003</v>
      </c>
      <c r="DL918">
        <f>IFERROR(INDEX(Sheet2!$AU$2:$BM$228,QUOTIENT(ROW()-1,19)+1,MOD(ROW()-2,19)+1),NA())</f>
        <v>4</v>
      </c>
      <c r="DM918" s="4" t="e">
        <f t="shared" si="63"/>
        <v>#N/A</v>
      </c>
      <c r="DN918" t="e">
        <f t="shared" si="64"/>
        <v>#N/A</v>
      </c>
      <c r="DO918" t="e">
        <f t="shared" si="65"/>
        <v>#N/A</v>
      </c>
    </row>
    <row r="919" spans="7:119" x14ac:dyDescent="0.25">
      <c r="G919"/>
      <c r="DI919" s="4">
        <f>INDEX(Sheet2!A:A,QUOTIENT(ROW()-1,19)+2)</f>
        <v>41165</v>
      </c>
      <c r="DJ919" s="4">
        <f>INDEX(Sheet2!C:C,QUOTIENT(ROW()-1,19)+2)</f>
        <v>43100</v>
      </c>
      <c r="DK919" s="4">
        <f>INDEX(Sheet2!$AA$2:$AS$228,QUOTIENT(ROW()-1,19)+1,MOD(ROW()-2,19)+1)</f>
        <v>43150.1875</v>
      </c>
      <c r="DL919">
        <f>IFERROR(INDEX(Sheet2!$AU$2:$BM$228,QUOTIENT(ROW()-1,19)+1,MOD(ROW()-2,19)+1),NA())</f>
        <v>4</v>
      </c>
      <c r="DM919" s="4" t="e">
        <f t="shared" si="63"/>
        <v>#N/A</v>
      </c>
      <c r="DN919" t="e">
        <f t="shared" si="64"/>
        <v>#N/A</v>
      </c>
      <c r="DO919" t="e">
        <f t="shared" si="65"/>
        <v>#N/A</v>
      </c>
    </row>
    <row r="920" spans="7:119" x14ac:dyDescent="0.25">
      <c r="G920"/>
      <c r="DI920" s="4">
        <f>INDEX(Sheet2!A:A,QUOTIENT(ROW()-1,19)+2)</f>
        <v>41165</v>
      </c>
      <c r="DJ920" s="4">
        <f>INDEX(Sheet2!C:C,QUOTIENT(ROW()-1,19)+2)</f>
        <v>43100</v>
      </c>
      <c r="DK920" s="4" t="e">
        <f>INDEX(Sheet2!$AA$2:$AS$228,QUOTIENT(ROW()-1,19)+1,MOD(ROW()-2,19)+1)</f>
        <v>#N/A</v>
      </c>
      <c r="DL920" t="str">
        <f>IFERROR(INDEX(Sheet2!$AU$2:$BM$228,QUOTIENT(ROW()-1,19)+1,MOD(ROW()-2,19)+1),NA())</f>
        <v/>
      </c>
      <c r="DM920" s="4" t="e">
        <f t="shared" si="63"/>
        <v>#N/A</v>
      </c>
      <c r="DN920" t="e">
        <f t="shared" si="64"/>
        <v>#N/A</v>
      </c>
      <c r="DO920" t="e">
        <f t="shared" si="65"/>
        <v>#N/A</v>
      </c>
    </row>
    <row r="921" spans="7:119" x14ac:dyDescent="0.25">
      <c r="G921"/>
      <c r="DI921" s="4">
        <f>INDEX(Sheet2!A:A,QUOTIENT(ROW()-1,19)+2)</f>
        <v>41165</v>
      </c>
      <c r="DJ921" s="4">
        <f>INDEX(Sheet2!C:C,QUOTIENT(ROW()-1,19)+2)</f>
        <v>43100</v>
      </c>
      <c r="DK921" s="4" t="e">
        <f>INDEX(Sheet2!$AA$2:$AS$228,QUOTIENT(ROW()-1,19)+1,MOD(ROW()-2,19)+1)</f>
        <v>#N/A</v>
      </c>
      <c r="DL921" t="str">
        <f>IFERROR(INDEX(Sheet2!$AU$2:$BM$228,QUOTIENT(ROW()-1,19)+1,MOD(ROW()-2,19)+1),NA())</f>
        <v/>
      </c>
      <c r="DM921" s="4" t="e">
        <f t="shared" si="63"/>
        <v>#N/A</v>
      </c>
      <c r="DN921" t="e">
        <f t="shared" si="64"/>
        <v>#N/A</v>
      </c>
      <c r="DO921" t="e">
        <f t="shared" si="65"/>
        <v>#N/A</v>
      </c>
    </row>
    <row r="922" spans="7:119" x14ac:dyDescent="0.25">
      <c r="G922"/>
      <c r="DI922" s="4">
        <f>INDEX(Sheet2!A:A,QUOTIENT(ROW()-1,19)+2)</f>
        <v>41165</v>
      </c>
      <c r="DJ922" s="4">
        <f>INDEX(Sheet2!C:C,QUOTIENT(ROW()-1,19)+2)</f>
        <v>43100</v>
      </c>
      <c r="DK922" s="4" t="e">
        <f>INDEX(Sheet2!$AA$2:$AS$228,QUOTIENT(ROW()-1,19)+1,MOD(ROW()-2,19)+1)</f>
        <v>#N/A</v>
      </c>
      <c r="DL922" t="str">
        <f>IFERROR(INDEX(Sheet2!$AU$2:$BM$228,QUOTIENT(ROW()-1,19)+1,MOD(ROW()-2,19)+1),NA())</f>
        <v/>
      </c>
      <c r="DM922" s="4" t="e">
        <f t="shared" si="63"/>
        <v>#N/A</v>
      </c>
      <c r="DN922" t="e">
        <f t="shared" si="64"/>
        <v>#N/A</v>
      </c>
      <c r="DO922" t="e">
        <f t="shared" si="65"/>
        <v>#N/A</v>
      </c>
    </row>
    <row r="923" spans="7:119" x14ac:dyDescent="0.25">
      <c r="G923"/>
      <c r="DI923" s="4">
        <f>INDEX(Sheet2!A:A,QUOTIENT(ROW()-1,19)+2)</f>
        <v>41165</v>
      </c>
      <c r="DJ923" s="4">
        <f>INDEX(Sheet2!C:C,QUOTIENT(ROW()-1,19)+2)</f>
        <v>43100</v>
      </c>
      <c r="DK923" s="4" t="e">
        <f>INDEX(Sheet2!$AA$2:$AS$228,QUOTIENT(ROW()-1,19)+1,MOD(ROW()-2,19)+1)</f>
        <v>#N/A</v>
      </c>
      <c r="DL923" t="str">
        <f>IFERROR(INDEX(Sheet2!$AU$2:$BM$228,QUOTIENT(ROW()-1,19)+1,MOD(ROW()-2,19)+1),NA())</f>
        <v/>
      </c>
      <c r="DM923" s="4" t="e">
        <f t="shared" si="63"/>
        <v>#N/A</v>
      </c>
      <c r="DN923" t="e">
        <f t="shared" si="64"/>
        <v>#N/A</v>
      </c>
      <c r="DO923" t="e">
        <f t="shared" si="65"/>
        <v>#N/A</v>
      </c>
    </row>
    <row r="924" spans="7:119" x14ac:dyDescent="0.25">
      <c r="G924"/>
      <c r="DI924" s="4">
        <f>INDEX(Sheet2!A:A,QUOTIENT(ROW()-1,19)+2)</f>
        <v>41165</v>
      </c>
      <c r="DJ924" s="4">
        <f>INDEX(Sheet2!C:C,QUOTIENT(ROW()-1,19)+2)</f>
        <v>43100</v>
      </c>
      <c r="DK924" s="4" t="e">
        <f>INDEX(Sheet2!$AA$2:$AS$228,QUOTIENT(ROW()-1,19)+1,MOD(ROW()-2,19)+1)</f>
        <v>#N/A</v>
      </c>
      <c r="DL924" t="str">
        <f>IFERROR(INDEX(Sheet2!$AU$2:$BM$228,QUOTIENT(ROW()-1,19)+1,MOD(ROW()-2,19)+1),NA())</f>
        <v/>
      </c>
      <c r="DM924" s="4" t="e">
        <f t="shared" si="63"/>
        <v>#N/A</v>
      </c>
      <c r="DN924" t="e">
        <f t="shared" si="64"/>
        <v>#N/A</v>
      </c>
      <c r="DO924" t="e">
        <f t="shared" si="65"/>
        <v>#N/A</v>
      </c>
    </row>
    <row r="925" spans="7:119" x14ac:dyDescent="0.25">
      <c r="G925"/>
      <c r="DI925" s="4">
        <f>INDEX(Sheet2!A:A,QUOTIENT(ROW()-1,19)+2)</f>
        <v>41165</v>
      </c>
      <c r="DJ925" s="4">
        <f>INDEX(Sheet2!C:C,QUOTIENT(ROW()-1,19)+2)</f>
        <v>43100</v>
      </c>
      <c r="DK925" s="4" t="e">
        <f>INDEX(Sheet2!$AA$2:$AS$228,QUOTIENT(ROW()-1,19)+1,MOD(ROW()-2,19)+1)</f>
        <v>#N/A</v>
      </c>
      <c r="DL925" t="str">
        <f>IFERROR(INDEX(Sheet2!$AU$2:$BM$228,QUOTIENT(ROW()-1,19)+1,MOD(ROW()-2,19)+1),NA())</f>
        <v/>
      </c>
      <c r="DM925" s="4" t="e">
        <f t="shared" si="63"/>
        <v>#N/A</v>
      </c>
      <c r="DN925" t="e">
        <f t="shared" si="64"/>
        <v>#N/A</v>
      </c>
      <c r="DO925" t="e">
        <f t="shared" si="65"/>
        <v>#N/A</v>
      </c>
    </row>
    <row r="926" spans="7:119" x14ac:dyDescent="0.25">
      <c r="G926"/>
      <c r="DI926" s="4">
        <f>INDEX(Sheet2!A:A,QUOTIENT(ROW()-1,19)+2)</f>
        <v>41165</v>
      </c>
      <c r="DJ926" s="4">
        <f>INDEX(Sheet2!C:C,QUOTIENT(ROW()-1,19)+2)</f>
        <v>43100</v>
      </c>
      <c r="DK926" s="4" t="e">
        <f>INDEX(Sheet2!$AA$2:$AS$228,QUOTIENT(ROW()-1,19)+1,MOD(ROW()-2,19)+1)</f>
        <v>#N/A</v>
      </c>
      <c r="DL926" t="str">
        <f>IFERROR(INDEX(Sheet2!$AU$2:$BM$228,QUOTIENT(ROW()-1,19)+1,MOD(ROW()-2,19)+1),NA())</f>
        <v/>
      </c>
      <c r="DM926" s="4" t="e">
        <f t="shared" si="63"/>
        <v>#N/A</v>
      </c>
      <c r="DN926" t="e">
        <f t="shared" si="64"/>
        <v>#N/A</v>
      </c>
      <c r="DO926" t="e">
        <f t="shared" si="65"/>
        <v>#N/A</v>
      </c>
    </row>
    <row r="927" spans="7:119" x14ac:dyDescent="0.25">
      <c r="G927"/>
      <c r="DI927" s="4">
        <f>INDEX(Sheet2!A:A,QUOTIENT(ROW()-1,19)+2)</f>
        <v>41165</v>
      </c>
      <c r="DJ927" s="4">
        <f>INDEX(Sheet2!C:C,QUOTIENT(ROW()-1,19)+2)</f>
        <v>43100</v>
      </c>
      <c r="DK927" s="4" t="e">
        <f>INDEX(Sheet2!$AA$2:$AS$228,QUOTIENT(ROW()-1,19)+1,MOD(ROW()-2,19)+1)</f>
        <v>#N/A</v>
      </c>
      <c r="DL927" t="str">
        <f>IFERROR(INDEX(Sheet2!$AU$2:$BM$228,QUOTIENT(ROW()-1,19)+1,MOD(ROW()-2,19)+1),NA())</f>
        <v/>
      </c>
      <c r="DM927" s="4" t="e">
        <f t="shared" si="63"/>
        <v>#N/A</v>
      </c>
      <c r="DN927" t="e">
        <f t="shared" si="64"/>
        <v>#N/A</v>
      </c>
      <c r="DO927" t="e">
        <f t="shared" si="65"/>
        <v>#N/A</v>
      </c>
    </row>
    <row r="928" spans="7:119" x14ac:dyDescent="0.25">
      <c r="G928"/>
      <c r="DI928" s="4">
        <f>INDEX(Sheet2!A:A,QUOTIENT(ROW()-1,19)+2)</f>
        <v>41165</v>
      </c>
      <c r="DJ928" s="4">
        <f>INDEX(Sheet2!C:C,QUOTIENT(ROW()-1,19)+2)</f>
        <v>43100</v>
      </c>
      <c r="DK928" s="4" t="e">
        <f>INDEX(Sheet2!$AA$2:$AS$228,QUOTIENT(ROW()-1,19)+1,MOD(ROW()-2,19)+1)</f>
        <v>#N/A</v>
      </c>
      <c r="DL928" t="str">
        <f>IFERROR(INDEX(Sheet2!$AU$2:$BM$228,QUOTIENT(ROW()-1,19)+1,MOD(ROW()-2,19)+1),NA())</f>
        <v/>
      </c>
      <c r="DM928" s="4" t="e">
        <f t="shared" si="63"/>
        <v>#N/A</v>
      </c>
      <c r="DN928" t="e">
        <f t="shared" si="64"/>
        <v>#N/A</v>
      </c>
      <c r="DO928" t="e">
        <f t="shared" si="65"/>
        <v>#N/A</v>
      </c>
    </row>
    <row r="929" spans="7:119" x14ac:dyDescent="0.25">
      <c r="G929"/>
      <c r="DI929" s="4">
        <f>INDEX(Sheet2!A:A,QUOTIENT(ROW()-1,19)+2)</f>
        <v>41165</v>
      </c>
      <c r="DJ929" s="4">
        <f>INDEX(Sheet2!C:C,QUOTIENT(ROW()-1,19)+2)</f>
        <v>43100</v>
      </c>
      <c r="DK929" s="4" t="e">
        <f>INDEX(Sheet2!$AA$2:$AS$228,QUOTIENT(ROW()-1,19)+1,MOD(ROW()-2,19)+1)</f>
        <v>#N/A</v>
      </c>
      <c r="DL929" t="str">
        <f>IFERROR(INDEX(Sheet2!$AU$2:$BM$228,QUOTIENT(ROW()-1,19)+1,MOD(ROW()-2,19)+1),NA())</f>
        <v/>
      </c>
      <c r="DM929" s="4" t="e">
        <f t="shared" si="63"/>
        <v>#N/A</v>
      </c>
      <c r="DN929" t="e">
        <f t="shared" si="64"/>
        <v>#N/A</v>
      </c>
      <c r="DO929" t="e">
        <f t="shared" si="65"/>
        <v>#N/A</v>
      </c>
    </row>
    <row r="930" spans="7:119" x14ac:dyDescent="0.25">
      <c r="G930"/>
      <c r="DI930" s="4">
        <f>INDEX(Sheet2!A:A,QUOTIENT(ROW()-1,19)+2)</f>
        <v>41165</v>
      </c>
      <c r="DJ930" s="4">
        <f>INDEX(Sheet2!C:C,QUOTIENT(ROW()-1,19)+2)</f>
        <v>43100</v>
      </c>
      <c r="DK930" s="4" t="e">
        <f>INDEX(Sheet2!$AA$2:$AS$228,QUOTIENT(ROW()-1,19)+1,MOD(ROW()-2,19)+1)</f>
        <v>#N/A</v>
      </c>
      <c r="DL930" t="str">
        <f>IFERROR(INDEX(Sheet2!$AU$2:$BM$228,QUOTIENT(ROW()-1,19)+1,MOD(ROW()-2,19)+1),NA())</f>
        <v/>
      </c>
      <c r="DM930" s="4" t="e">
        <f t="shared" si="63"/>
        <v>#N/A</v>
      </c>
      <c r="DN930" t="e">
        <f t="shared" si="64"/>
        <v>#N/A</v>
      </c>
      <c r="DO930" t="e">
        <f t="shared" si="65"/>
        <v>#N/A</v>
      </c>
    </row>
    <row r="931" spans="7:119" x14ac:dyDescent="0.25">
      <c r="G931"/>
      <c r="DI931" s="4">
        <f>INDEX(Sheet2!A:A,QUOTIENT(ROW()-1,19)+2)</f>
        <v>41165</v>
      </c>
      <c r="DJ931" s="4">
        <f>INDEX(Sheet2!C:C,QUOTIENT(ROW()-1,19)+2)</f>
        <v>43100</v>
      </c>
      <c r="DK931" s="4" t="e">
        <f>INDEX(Sheet2!$AA$2:$AS$228,QUOTIENT(ROW()-1,19)+1,MOD(ROW()-2,19)+1)</f>
        <v>#N/A</v>
      </c>
      <c r="DL931" t="str">
        <f>IFERROR(INDEX(Sheet2!$AU$2:$BM$228,QUOTIENT(ROW()-1,19)+1,MOD(ROW()-2,19)+1),NA())</f>
        <v/>
      </c>
      <c r="DM931" s="4" t="e">
        <f t="shared" si="63"/>
        <v>#N/A</v>
      </c>
      <c r="DN931" t="e">
        <f t="shared" si="64"/>
        <v>#N/A</v>
      </c>
      <c r="DO931" t="e">
        <f t="shared" si="65"/>
        <v>#N/A</v>
      </c>
    </row>
    <row r="932" spans="7:119" x14ac:dyDescent="0.25">
      <c r="G932"/>
      <c r="DI932" s="4">
        <f>INDEX(Sheet2!A:A,QUOTIENT(ROW()-1,19)+2)</f>
        <v>41165</v>
      </c>
      <c r="DJ932" s="4">
        <f>INDEX(Sheet2!C:C,QUOTIENT(ROW()-1,19)+2)</f>
        <v>43100</v>
      </c>
      <c r="DK932" s="4" t="e">
        <f>INDEX(Sheet2!$AA$2:$AS$228,QUOTIENT(ROW()-1,19)+1,MOD(ROW()-2,19)+1)</f>
        <v>#N/A</v>
      </c>
      <c r="DL932" t="str">
        <f>IFERROR(INDEX(Sheet2!$AU$2:$BM$228,QUOTIENT(ROW()-1,19)+1,MOD(ROW()-2,19)+1),NA())</f>
        <v/>
      </c>
      <c r="DM932" s="4" t="e">
        <f t="shared" si="63"/>
        <v>#N/A</v>
      </c>
      <c r="DN932" t="e">
        <f t="shared" si="64"/>
        <v>#N/A</v>
      </c>
      <c r="DO932" t="e">
        <f t="shared" si="65"/>
        <v>#N/A</v>
      </c>
    </row>
    <row r="933" spans="7:119" x14ac:dyDescent="0.25">
      <c r="G933"/>
      <c r="DI933" s="4">
        <f>INDEX(Sheet2!A:A,QUOTIENT(ROW()-1,19)+2)</f>
        <v>41165</v>
      </c>
      <c r="DJ933" s="4">
        <f>INDEX(Sheet2!C:C,QUOTIENT(ROW()-1,19)+2)</f>
        <v>43100</v>
      </c>
      <c r="DK933" s="4">
        <f>INDEX(Sheet2!$AA$2:$AS$228,QUOTIENT(ROW()-1,19)+1,MOD(ROW()-2,19)+1)</f>
        <v>43059.85</v>
      </c>
      <c r="DL933">
        <f>IFERROR(INDEX(Sheet2!$AU$2:$BM$228,QUOTIENT(ROW()-1,19)+1,MOD(ROW()-2,19)+1),NA())</f>
        <v>4.25</v>
      </c>
      <c r="DM933" s="4" t="e">
        <f t="shared" si="63"/>
        <v>#N/A</v>
      </c>
      <c r="DN933" t="e">
        <f t="shared" si="64"/>
        <v>#N/A</v>
      </c>
      <c r="DO933" t="e">
        <f t="shared" si="65"/>
        <v>#N/A</v>
      </c>
    </row>
    <row r="934" spans="7:119" x14ac:dyDescent="0.25">
      <c r="G934"/>
      <c r="DI934" s="4">
        <f>INDEX(Sheet2!A:A,QUOTIENT(ROW()-1,19)+2)</f>
        <v>41165</v>
      </c>
      <c r="DJ934" s="4">
        <f>INDEX(Sheet2!C:C,QUOTIENT(ROW()-1,19)+2)</f>
        <v>43100</v>
      </c>
      <c r="DK934" s="4">
        <f>INDEX(Sheet2!$AA$2:$AS$228,QUOTIENT(ROW()-1,19)+1,MOD(ROW()-2,19)+1)</f>
        <v>43079.925000000003</v>
      </c>
      <c r="DL934">
        <f>IFERROR(INDEX(Sheet2!$AU$2:$BM$228,QUOTIENT(ROW()-1,19)+1,MOD(ROW()-2,19)+1),NA())</f>
        <v>4.25</v>
      </c>
      <c r="DM934" s="4" t="e">
        <f t="shared" si="63"/>
        <v>#N/A</v>
      </c>
      <c r="DN934" t="e">
        <f t="shared" si="64"/>
        <v>#N/A</v>
      </c>
      <c r="DO934" t="e">
        <f t="shared" si="65"/>
        <v>#N/A</v>
      </c>
    </row>
    <row r="935" spans="7:119" x14ac:dyDescent="0.25">
      <c r="G935"/>
      <c r="DI935" s="4">
        <f>INDEX(Sheet2!A:A,QUOTIENT(ROW()-1,19)+2)</f>
        <v>41165</v>
      </c>
      <c r="DJ935" s="4">
        <f>INDEX(Sheet2!C:C,QUOTIENT(ROW()-1,19)+2)</f>
        <v>43100</v>
      </c>
      <c r="DK935" s="4">
        <f>INDEX(Sheet2!$AA$2:$AS$228,QUOTIENT(ROW()-1,19)+1,MOD(ROW()-2,19)+1)</f>
        <v>43100</v>
      </c>
      <c r="DL935">
        <f>IFERROR(INDEX(Sheet2!$AU$2:$BM$228,QUOTIENT(ROW()-1,19)+1,MOD(ROW()-2,19)+1),NA())</f>
        <v>4.25</v>
      </c>
      <c r="DM935" s="4" t="e">
        <f t="shared" si="63"/>
        <v>#N/A</v>
      </c>
      <c r="DN935" t="e">
        <f t="shared" si="64"/>
        <v>#N/A</v>
      </c>
      <c r="DO935" t="e">
        <f t="shared" si="65"/>
        <v>#N/A</v>
      </c>
    </row>
    <row r="936" spans="7:119" x14ac:dyDescent="0.25">
      <c r="G936"/>
      <c r="DI936" s="4">
        <f>INDEX(Sheet2!A:A,QUOTIENT(ROW()-1,19)+2)</f>
        <v>41165</v>
      </c>
      <c r="DJ936" s="4">
        <f>INDEX(Sheet2!C:C,QUOTIENT(ROW()-1,19)+2)</f>
        <v>43100</v>
      </c>
      <c r="DK936" s="4">
        <f>INDEX(Sheet2!$AA$2:$AS$228,QUOTIENT(ROW()-1,19)+1,MOD(ROW()-2,19)+1)</f>
        <v>43120.075000000004</v>
      </c>
      <c r="DL936">
        <f>IFERROR(INDEX(Sheet2!$AU$2:$BM$228,QUOTIENT(ROW()-1,19)+1,MOD(ROW()-2,19)+1),NA())</f>
        <v>4.25</v>
      </c>
      <c r="DM936" s="4" t="e">
        <f t="shared" si="63"/>
        <v>#N/A</v>
      </c>
      <c r="DN936" t="e">
        <f t="shared" si="64"/>
        <v>#N/A</v>
      </c>
      <c r="DO936" t="e">
        <f t="shared" si="65"/>
        <v>#N/A</v>
      </c>
    </row>
    <row r="937" spans="7:119" x14ac:dyDescent="0.25">
      <c r="G937"/>
      <c r="DI937" s="4">
        <f>INDEX(Sheet2!A:A,QUOTIENT(ROW()-1,19)+2)</f>
        <v>41165</v>
      </c>
      <c r="DJ937" s="4">
        <f>INDEX(Sheet2!C:C,QUOTIENT(ROW()-1,19)+2)</f>
        <v>43100</v>
      </c>
      <c r="DK937" s="4">
        <f>INDEX(Sheet2!$AA$2:$AS$228,QUOTIENT(ROW()-1,19)+1,MOD(ROW()-2,19)+1)</f>
        <v>43140.15</v>
      </c>
      <c r="DL937">
        <f>IFERROR(INDEX(Sheet2!$AU$2:$BM$228,QUOTIENT(ROW()-1,19)+1,MOD(ROW()-2,19)+1),NA())</f>
        <v>4.25</v>
      </c>
      <c r="DM937" s="4" t="e">
        <f t="shared" si="63"/>
        <v>#N/A</v>
      </c>
      <c r="DN937" t="e">
        <f t="shared" si="64"/>
        <v>#N/A</v>
      </c>
      <c r="DO937" t="e">
        <f t="shared" si="65"/>
        <v>#N/A</v>
      </c>
    </row>
    <row r="938" spans="7:119" x14ac:dyDescent="0.25">
      <c r="G938"/>
      <c r="DI938" s="4">
        <f>INDEX(Sheet2!A:A,QUOTIENT(ROW()-1,19)+2)</f>
        <v>41165</v>
      </c>
      <c r="DJ938" s="4">
        <f>INDEX(Sheet2!C:C,QUOTIENT(ROW()-1,19)+2)</f>
        <v>43100</v>
      </c>
      <c r="DK938" s="4" t="e">
        <f>INDEX(Sheet2!$AA$2:$AS$228,QUOTIENT(ROW()-1,19)+1,MOD(ROW()-2,19)+1)</f>
        <v>#N/A</v>
      </c>
      <c r="DL938" t="str">
        <f>IFERROR(INDEX(Sheet2!$AU$2:$BM$228,QUOTIENT(ROW()-1,19)+1,MOD(ROW()-2,19)+1),NA())</f>
        <v/>
      </c>
      <c r="DM938" s="4" t="e">
        <f t="shared" si="63"/>
        <v>#N/A</v>
      </c>
      <c r="DN938" t="e">
        <f t="shared" si="64"/>
        <v>#N/A</v>
      </c>
      <c r="DO938" t="e">
        <f t="shared" si="65"/>
        <v>#N/A</v>
      </c>
    </row>
    <row r="939" spans="7:119" x14ac:dyDescent="0.25">
      <c r="G939"/>
      <c r="DI939" s="4">
        <f>INDEX(Sheet2!A:A,QUOTIENT(ROW()-1,19)+2)</f>
        <v>41165</v>
      </c>
      <c r="DJ939" s="4">
        <f>INDEX(Sheet2!C:C,QUOTIENT(ROW()-1,19)+2)</f>
        <v>43100</v>
      </c>
      <c r="DK939" s="4" t="e">
        <f>INDEX(Sheet2!$AA$2:$AS$228,QUOTIENT(ROW()-1,19)+1,MOD(ROW()-2,19)+1)</f>
        <v>#N/A</v>
      </c>
      <c r="DL939" t="str">
        <f>IFERROR(INDEX(Sheet2!$AU$2:$BM$228,QUOTIENT(ROW()-1,19)+1,MOD(ROW()-2,19)+1),NA())</f>
        <v/>
      </c>
      <c r="DM939" s="4" t="e">
        <f t="shared" si="63"/>
        <v>#N/A</v>
      </c>
      <c r="DN939" t="e">
        <f t="shared" si="64"/>
        <v>#N/A</v>
      </c>
      <c r="DO939" t="e">
        <f t="shared" si="65"/>
        <v>#N/A</v>
      </c>
    </row>
    <row r="940" spans="7:119" x14ac:dyDescent="0.25">
      <c r="G940"/>
      <c r="DI940" s="4">
        <f>INDEX(Sheet2!A:A,QUOTIENT(ROW()-1,19)+2)</f>
        <v>41165</v>
      </c>
      <c r="DJ940" s="4">
        <f>INDEX(Sheet2!C:C,QUOTIENT(ROW()-1,19)+2)</f>
        <v>43100</v>
      </c>
      <c r="DK940" s="4" t="e">
        <f>INDEX(Sheet2!$AA$2:$AS$228,QUOTIENT(ROW()-1,19)+1,MOD(ROW()-2,19)+1)</f>
        <v>#N/A</v>
      </c>
      <c r="DL940" t="str">
        <f>IFERROR(INDEX(Sheet2!$AU$2:$BM$228,QUOTIENT(ROW()-1,19)+1,MOD(ROW()-2,19)+1),NA())</f>
        <v/>
      </c>
      <c r="DM940" s="4" t="e">
        <f t="shared" si="63"/>
        <v>#N/A</v>
      </c>
      <c r="DN940" t="e">
        <f t="shared" si="64"/>
        <v>#N/A</v>
      </c>
      <c r="DO940" t="e">
        <f t="shared" si="65"/>
        <v>#N/A</v>
      </c>
    </row>
    <row r="941" spans="7:119" x14ac:dyDescent="0.25">
      <c r="G941"/>
      <c r="DI941" s="4">
        <f>INDEX(Sheet2!A:A,QUOTIENT(ROW()-1,19)+2)</f>
        <v>41165</v>
      </c>
      <c r="DJ941" s="4">
        <f>INDEX(Sheet2!C:C,QUOTIENT(ROW()-1,19)+2)</f>
        <v>43100</v>
      </c>
      <c r="DK941" s="4" t="e">
        <f>INDEX(Sheet2!$AA$2:$AS$228,QUOTIENT(ROW()-1,19)+1,MOD(ROW()-2,19)+1)</f>
        <v>#N/A</v>
      </c>
      <c r="DL941" t="str">
        <f>IFERROR(INDEX(Sheet2!$AU$2:$BM$228,QUOTIENT(ROW()-1,19)+1,MOD(ROW()-2,19)+1),NA())</f>
        <v/>
      </c>
      <c r="DM941" s="4" t="e">
        <f t="shared" si="63"/>
        <v>#N/A</v>
      </c>
      <c r="DN941" t="e">
        <f t="shared" si="64"/>
        <v>#N/A</v>
      </c>
      <c r="DO941" t="e">
        <f t="shared" si="65"/>
        <v>#N/A</v>
      </c>
    </row>
    <row r="942" spans="7:119" x14ac:dyDescent="0.25">
      <c r="G942"/>
      <c r="DI942" s="4">
        <f>INDEX(Sheet2!A:A,QUOTIENT(ROW()-1,19)+2)</f>
        <v>41165</v>
      </c>
      <c r="DJ942" s="4">
        <f>INDEX(Sheet2!C:C,QUOTIENT(ROW()-1,19)+2)</f>
        <v>43100</v>
      </c>
      <c r="DK942" s="4" t="e">
        <f>INDEX(Sheet2!$AA$2:$AS$228,QUOTIENT(ROW()-1,19)+1,MOD(ROW()-2,19)+1)</f>
        <v>#N/A</v>
      </c>
      <c r="DL942" t="str">
        <f>IFERROR(INDEX(Sheet2!$AU$2:$BM$228,QUOTIENT(ROW()-1,19)+1,MOD(ROW()-2,19)+1),NA())</f>
        <v/>
      </c>
      <c r="DM942" s="4" t="e">
        <f t="shared" si="63"/>
        <v>#N/A</v>
      </c>
      <c r="DN942" t="e">
        <f t="shared" si="64"/>
        <v>#N/A</v>
      </c>
      <c r="DO942" t="e">
        <f t="shared" si="65"/>
        <v>#N/A</v>
      </c>
    </row>
    <row r="943" spans="7:119" x14ac:dyDescent="0.25">
      <c r="G943"/>
      <c r="DI943" s="4">
        <f>INDEX(Sheet2!A:A,QUOTIENT(ROW()-1,19)+2)</f>
        <v>41165</v>
      </c>
      <c r="DJ943" s="4">
        <f>INDEX(Sheet2!C:C,QUOTIENT(ROW()-1,19)+2)</f>
        <v>43100</v>
      </c>
      <c r="DK943" s="4" t="e">
        <f>INDEX(Sheet2!$AA$2:$AS$228,QUOTIENT(ROW()-1,19)+1,MOD(ROW()-2,19)+1)</f>
        <v>#N/A</v>
      </c>
      <c r="DL943" t="str">
        <f>IFERROR(INDEX(Sheet2!$AU$2:$BM$228,QUOTIENT(ROW()-1,19)+1,MOD(ROW()-2,19)+1),NA())</f>
        <v/>
      </c>
      <c r="DM943" s="4" t="e">
        <f t="shared" si="63"/>
        <v>#N/A</v>
      </c>
      <c r="DN943" t="e">
        <f t="shared" si="64"/>
        <v>#N/A</v>
      </c>
      <c r="DO943" t="e">
        <f t="shared" si="65"/>
        <v>#N/A</v>
      </c>
    </row>
    <row r="944" spans="7:119" x14ac:dyDescent="0.25">
      <c r="G944"/>
      <c r="DI944" s="4">
        <f>INDEX(Sheet2!A:A,QUOTIENT(ROW()-1,19)+2)</f>
        <v>41165</v>
      </c>
      <c r="DJ944" s="4">
        <f>INDEX(Sheet2!C:C,QUOTIENT(ROW()-1,19)+2)</f>
        <v>43100</v>
      </c>
      <c r="DK944" s="4" t="e">
        <f>INDEX(Sheet2!$AA$2:$AS$228,QUOTIENT(ROW()-1,19)+1,MOD(ROW()-2,19)+1)</f>
        <v>#N/A</v>
      </c>
      <c r="DL944" t="str">
        <f>IFERROR(INDEX(Sheet2!$AU$2:$BM$228,QUOTIENT(ROW()-1,19)+1,MOD(ROW()-2,19)+1),NA())</f>
        <v/>
      </c>
      <c r="DM944" s="4" t="e">
        <f t="shared" si="63"/>
        <v>#N/A</v>
      </c>
      <c r="DN944" t="e">
        <f t="shared" si="64"/>
        <v>#N/A</v>
      </c>
      <c r="DO944" t="e">
        <f t="shared" si="65"/>
        <v>#N/A</v>
      </c>
    </row>
    <row r="945" spans="7:119" x14ac:dyDescent="0.25">
      <c r="G945"/>
      <c r="DI945" s="4">
        <f>INDEX(Sheet2!A:A,QUOTIENT(ROW()-1,19)+2)</f>
        <v>41165</v>
      </c>
      <c r="DJ945" s="4">
        <f>INDEX(Sheet2!C:C,QUOTIENT(ROW()-1,19)+2)</f>
        <v>43100</v>
      </c>
      <c r="DK945" s="4" t="e">
        <f>INDEX(Sheet2!$AA$2:$AS$228,QUOTIENT(ROW()-1,19)+1,MOD(ROW()-2,19)+1)</f>
        <v>#N/A</v>
      </c>
      <c r="DL945" t="str">
        <f>IFERROR(INDEX(Sheet2!$AU$2:$BM$228,QUOTIENT(ROW()-1,19)+1,MOD(ROW()-2,19)+1),NA())</f>
        <v/>
      </c>
      <c r="DM945" s="4" t="e">
        <f t="shared" si="63"/>
        <v>#N/A</v>
      </c>
      <c r="DN945" t="e">
        <f t="shared" si="64"/>
        <v>#N/A</v>
      </c>
      <c r="DO945" t="e">
        <f t="shared" si="65"/>
        <v>#N/A</v>
      </c>
    </row>
    <row r="946" spans="7:119" x14ac:dyDescent="0.25">
      <c r="G946"/>
      <c r="DI946" s="4">
        <f>INDEX(Sheet2!A:A,QUOTIENT(ROW()-1,19)+2)</f>
        <v>41165</v>
      </c>
      <c r="DJ946" s="4">
        <f>INDEX(Sheet2!C:C,QUOTIENT(ROW()-1,19)+2)</f>
        <v>43100</v>
      </c>
      <c r="DK946" s="4" t="e">
        <f>INDEX(Sheet2!$AA$2:$AS$228,QUOTIENT(ROW()-1,19)+1,MOD(ROW()-2,19)+1)</f>
        <v>#N/A</v>
      </c>
      <c r="DL946" t="str">
        <f>IFERROR(INDEX(Sheet2!$AU$2:$BM$228,QUOTIENT(ROW()-1,19)+1,MOD(ROW()-2,19)+1),NA())</f>
        <v/>
      </c>
      <c r="DM946" s="4" t="e">
        <f t="shared" si="63"/>
        <v>#N/A</v>
      </c>
      <c r="DN946" t="e">
        <f t="shared" si="64"/>
        <v>#N/A</v>
      </c>
      <c r="DO946" t="e">
        <f t="shared" si="65"/>
        <v>#N/A</v>
      </c>
    </row>
    <row r="947" spans="7:119" x14ac:dyDescent="0.25">
      <c r="G947"/>
      <c r="DI947" s="4">
        <f>INDEX(Sheet2!A:A,QUOTIENT(ROW()-1,19)+2)</f>
        <v>41165</v>
      </c>
      <c r="DJ947" s="4">
        <f>INDEX(Sheet2!C:C,QUOTIENT(ROW()-1,19)+2)</f>
        <v>43100</v>
      </c>
      <c r="DK947" s="4" t="e">
        <f>INDEX(Sheet2!$AA$2:$AS$228,QUOTIENT(ROW()-1,19)+1,MOD(ROW()-2,19)+1)</f>
        <v>#N/A</v>
      </c>
      <c r="DL947" t="str">
        <f>IFERROR(INDEX(Sheet2!$AU$2:$BM$228,QUOTIENT(ROW()-1,19)+1,MOD(ROW()-2,19)+1),NA())</f>
        <v/>
      </c>
      <c r="DM947" s="4" t="e">
        <f t="shared" si="63"/>
        <v>#N/A</v>
      </c>
      <c r="DN947" t="e">
        <f t="shared" si="64"/>
        <v>#N/A</v>
      </c>
      <c r="DO947" t="e">
        <f t="shared" si="65"/>
        <v>#N/A</v>
      </c>
    </row>
    <row r="948" spans="7:119" x14ac:dyDescent="0.25">
      <c r="G948"/>
      <c r="DI948" s="4">
        <f>INDEX(Sheet2!A:A,QUOTIENT(ROW()-1,19)+2)</f>
        <v>41165</v>
      </c>
      <c r="DJ948" s="4">
        <f>INDEX(Sheet2!C:C,QUOTIENT(ROW()-1,19)+2)</f>
        <v>43100</v>
      </c>
      <c r="DK948" s="4" t="e">
        <f>INDEX(Sheet2!$AA$2:$AS$228,QUOTIENT(ROW()-1,19)+1,MOD(ROW()-2,19)+1)</f>
        <v>#N/A</v>
      </c>
      <c r="DL948" t="str">
        <f>IFERROR(INDEX(Sheet2!$AU$2:$BM$228,QUOTIENT(ROW()-1,19)+1,MOD(ROW()-2,19)+1),NA())</f>
        <v/>
      </c>
      <c r="DM948" s="4" t="e">
        <f t="shared" si="63"/>
        <v>#N/A</v>
      </c>
      <c r="DN948" t="e">
        <f t="shared" si="64"/>
        <v>#N/A</v>
      </c>
      <c r="DO948" t="e">
        <f t="shared" si="65"/>
        <v>#N/A</v>
      </c>
    </row>
    <row r="949" spans="7:119" x14ac:dyDescent="0.25">
      <c r="G949"/>
      <c r="DI949" s="4">
        <f>INDEX(Sheet2!A:A,QUOTIENT(ROW()-1,19)+2)</f>
        <v>41165</v>
      </c>
      <c r="DJ949" s="4">
        <f>INDEX(Sheet2!C:C,QUOTIENT(ROW()-1,19)+2)</f>
        <v>43100</v>
      </c>
      <c r="DK949" s="4" t="e">
        <f>INDEX(Sheet2!$AA$2:$AS$228,QUOTIENT(ROW()-1,19)+1,MOD(ROW()-2,19)+1)</f>
        <v>#N/A</v>
      </c>
      <c r="DL949" t="str">
        <f>IFERROR(INDEX(Sheet2!$AU$2:$BM$228,QUOTIENT(ROW()-1,19)+1,MOD(ROW()-2,19)+1),NA())</f>
        <v/>
      </c>
      <c r="DM949" s="4" t="e">
        <f t="shared" si="63"/>
        <v>#N/A</v>
      </c>
      <c r="DN949" t="e">
        <f t="shared" si="64"/>
        <v>#N/A</v>
      </c>
      <c r="DO949" t="e">
        <f t="shared" si="65"/>
        <v>#N/A</v>
      </c>
    </row>
    <row r="950" spans="7:119" x14ac:dyDescent="0.25">
      <c r="G950"/>
      <c r="DI950" s="4">
        <f>INDEX(Sheet2!A:A,QUOTIENT(ROW()-1,19)+2)</f>
        <v>41165</v>
      </c>
      <c r="DJ950" s="4">
        <f>INDEX(Sheet2!C:C,QUOTIENT(ROW()-1,19)+2)</f>
        <v>43100</v>
      </c>
      <c r="DK950" s="4" t="e">
        <f>INDEX(Sheet2!$AA$2:$AS$228,QUOTIENT(ROW()-1,19)+1,MOD(ROW()-2,19)+1)</f>
        <v>#N/A</v>
      </c>
      <c r="DL950" t="str">
        <f>IFERROR(INDEX(Sheet2!$AU$2:$BM$228,QUOTIENT(ROW()-1,19)+1,MOD(ROW()-2,19)+1),NA())</f>
        <v/>
      </c>
      <c r="DM950" s="4" t="e">
        <f t="shared" si="63"/>
        <v>#N/A</v>
      </c>
      <c r="DN950" t="e">
        <f t="shared" si="64"/>
        <v>#N/A</v>
      </c>
      <c r="DO950" t="e">
        <f t="shared" si="65"/>
        <v>#N/A</v>
      </c>
    </row>
    <row r="951" spans="7:119" x14ac:dyDescent="0.25">
      <c r="G951"/>
      <c r="DI951" s="4">
        <f>INDEX(Sheet2!A:A,QUOTIENT(ROW()-1,19)+2)</f>
        <v>41165</v>
      </c>
      <c r="DJ951" s="4">
        <f>INDEX(Sheet2!C:C,QUOTIENT(ROW()-1,19)+2)</f>
        <v>43100</v>
      </c>
      <c r="DK951" s="4" t="e">
        <f>INDEX(Sheet2!$AA$2:$AS$228,QUOTIENT(ROW()-1,19)+1,MOD(ROW()-2,19)+1)</f>
        <v>#N/A</v>
      </c>
      <c r="DL951" t="str">
        <f>IFERROR(INDEX(Sheet2!$AU$2:$BM$228,QUOTIENT(ROW()-1,19)+1,MOD(ROW()-2,19)+1),NA())</f>
        <v/>
      </c>
      <c r="DM951" s="4" t="e">
        <f t="shared" si="63"/>
        <v>#N/A</v>
      </c>
      <c r="DN951" t="e">
        <f t="shared" si="64"/>
        <v>#N/A</v>
      </c>
      <c r="DO951" t="e">
        <f t="shared" si="65"/>
        <v>#N/A</v>
      </c>
    </row>
    <row r="952" spans="7:119" x14ac:dyDescent="0.25">
      <c r="G952"/>
      <c r="DI952" s="4">
        <f>INDEX(Sheet2!A:A,QUOTIENT(ROW()-1,19)+2)</f>
        <v>41165</v>
      </c>
      <c r="DJ952" s="4">
        <f>INDEX(Sheet2!C:C,QUOTIENT(ROW()-1,19)+2)</f>
        <v>43100</v>
      </c>
      <c r="DK952" s="4">
        <f>INDEX(Sheet2!$AA$2:$AS$228,QUOTIENT(ROW()-1,19)+1,MOD(ROW()-2,19)+1)</f>
        <v>43069.887499999997</v>
      </c>
      <c r="DL952">
        <f>IFERROR(INDEX(Sheet2!$AU$2:$BM$228,QUOTIENT(ROW()-1,19)+1,MOD(ROW()-2,19)+1),NA())</f>
        <v>4.5</v>
      </c>
      <c r="DM952" s="4" t="e">
        <f t="shared" si="63"/>
        <v>#N/A</v>
      </c>
      <c r="DN952" t="e">
        <f t="shared" si="64"/>
        <v>#N/A</v>
      </c>
      <c r="DO952" t="e">
        <f t="shared" si="65"/>
        <v>#N/A</v>
      </c>
    </row>
    <row r="953" spans="7:119" x14ac:dyDescent="0.25">
      <c r="G953"/>
      <c r="DI953" s="4">
        <f>INDEX(Sheet2!A:A,QUOTIENT(ROW()-1,19)+2)</f>
        <v>41165</v>
      </c>
      <c r="DJ953" s="4">
        <f>INDEX(Sheet2!C:C,QUOTIENT(ROW()-1,19)+2)</f>
        <v>43100</v>
      </c>
      <c r="DK953" s="4">
        <f>INDEX(Sheet2!$AA$2:$AS$228,QUOTIENT(ROW()-1,19)+1,MOD(ROW()-2,19)+1)</f>
        <v>43089.962500000001</v>
      </c>
      <c r="DL953">
        <f>IFERROR(INDEX(Sheet2!$AU$2:$BM$228,QUOTIENT(ROW()-1,19)+1,MOD(ROW()-2,19)+1),NA())</f>
        <v>4.5</v>
      </c>
      <c r="DM953" s="4" t="e">
        <f t="shared" si="63"/>
        <v>#N/A</v>
      </c>
      <c r="DN953" t="e">
        <f t="shared" si="64"/>
        <v>#N/A</v>
      </c>
      <c r="DO953" t="e">
        <f t="shared" si="65"/>
        <v>#N/A</v>
      </c>
    </row>
    <row r="954" spans="7:119" x14ac:dyDescent="0.25">
      <c r="G954"/>
      <c r="DI954" s="4">
        <f>INDEX(Sheet2!A:A,QUOTIENT(ROW()-1,19)+2)</f>
        <v>41165</v>
      </c>
      <c r="DJ954" s="4">
        <f>INDEX(Sheet2!C:C,QUOTIENT(ROW()-1,19)+2)</f>
        <v>43100</v>
      </c>
      <c r="DK954" s="4">
        <f>INDEX(Sheet2!$AA$2:$AS$228,QUOTIENT(ROW()-1,19)+1,MOD(ROW()-2,19)+1)</f>
        <v>43110.037499999999</v>
      </c>
      <c r="DL954">
        <f>IFERROR(INDEX(Sheet2!$AU$2:$BM$228,QUOTIENT(ROW()-1,19)+1,MOD(ROW()-2,19)+1),NA())</f>
        <v>4.5</v>
      </c>
      <c r="DM954" s="4" t="e">
        <f t="shared" si="63"/>
        <v>#N/A</v>
      </c>
      <c r="DN954" t="e">
        <f t="shared" si="64"/>
        <v>#N/A</v>
      </c>
      <c r="DO954" t="e">
        <f t="shared" si="65"/>
        <v>#N/A</v>
      </c>
    </row>
    <row r="955" spans="7:119" x14ac:dyDescent="0.25">
      <c r="G955"/>
      <c r="DI955" s="4">
        <f>INDEX(Sheet2!A:A,QUOTIENT(ROW()-1,19)+2)</f>
        <v>41165</v>
      </c>
      <c r="DJ955" s="4">
        <f>INDEX(Sheet2!C:C,QUOTIENT(ROW()-1,19)+2)</f>
        <v>43100</v>
      </c>
      <c r="DK955" s="4">
        <f>INDEX(Sheet2!$AA$2:$AS$228,QUOTIENT(ROW()-1,19)+1,MOD(ROW()-2,19)+1)</f>
        <v>43130.112500000003</v>
      </c>
      <c r="DL955">
        <f>IFERROR(INDEX(Sheet2!$AU$2:$BM$228,QUOTIENT(ROW()-1,19)+1,MOD(ROW()-2,19)+1),NA())</f>
        <v>4.5</v>
      </c>
      <c r="DM955" s="4" t="e">
        <f t="shared" si="63"/>
        <v>#N/A</v>
      </c>
      <c r="DN955" t="e">
        <f t="shared" si="64"/>
        <v>#N/A</v>
      </c>
      <c r="DO955" t="e">
        <f t="shared" si="65"/>
        <v>#N/A</v>
      </c>
    </row>
    <row r="956" spans="7:119" x14ac:dyDescent="0.25">
      <c r="G956"/>
      <c r="DI956" s="4">
        <f>INDEX(Sheet2!A:A,QUOTIENT(ROW()-1,19)+2)</f>
        <v>41165</v>
      </c>
      <c r="DJ956" s="4">
        <f>INDEX(Sheet2!C:C,QUOTIENT(ROW()-1,19)+2)</f>
        <v>43100</v>
      </c>
      <c r="DK956" s="4" t="e">
        <f>INDEX(Sheet2!$AA$2:$AS$228,QUOTIENT(ROW()-1,19)+1,MOD(ROW()-2,19)+1)</f>
        <v>#N/A</v>
      </c>
      <c r="DL956" t="str">
        <f>IFERROR(INDEX(Sheet2!$AU$2:$BM$228,QUOTIENT(ROW()-1,19)+1,MOD(ROW()-2,19)+1),NA())</f>
        <v/>
      </c>
      <c r="DM956" s="4" t="e">
        <f t="shared" si="63"/>
        <v>#N/A</v>
      </c>
      <c r="DN956" t="e">
        <f t="shared" si="64"/>
        <v>#N/A</v>
      </c>
      <c r="DO956" t="e">
        <f t="shared" si="65"/>
        <v>#N/A</v>
      </c>
    </row>
    <row r="957" spans="7:119" x14ac:dyDescent="0.25">
      <c r="G957"/>
      <c r="DI957" s="4">
        <f>INDEX(Sheet2!A:A,QUOTIENT(ROW()-1,19)+2)</f>
        <v>41165</v>
      </c>
      <c r="DJ957" s="4">
        <f>INDEX(Sheet2!C:C,QUOTIENT(ROW()-1,19)+2)</f>
        <v>43100</v>
      </c>
      <c r="DK957" s="4" t="e">
        <f>INDEX(Sheet2!$AA$2:$AS$228,QUOTIENT(ROW()-1,19)+1,MOD(ROW()-2,19)+1)</f>
        <v>#N/A</v>
      </c>
      <c r="DL957" t="str">
        <f>IFERROR(INDEX(Sheet2!$AU$2:$BM$228,QUOTIENT(ROW()-1,19)+1,MOD(ROW()-2,19)+1),NA())</f>
        <v/>
      </c>
      <c r="DM957" s="4" t="e">
        <f t="shared" si="63"/>
        <v>#N/A</v>
      </c>
      <c r="DN957" t="e">
        <f t="shared" si="64"/>
        <v>#N/A</v>
      </c>
      <c r="DO957" t="e">
        <f t="shared" si="65"/>
        <v>#N/A</v>
      </c>
    </row>
    <row r="958" spans="7:119" x14ac:dyDescent="0.25">
      <c r="G958"/>
      <c r="DI958" s="4">
        <f>INDEX(Sheet2!A:A,QUOTIENT(ROW()-1,19)+2)</f>
        <v>41165</v>
      </c>
      <c r="DJ958" s="4">
        <f>INDEX(Sheet2!C:C,QUOTIENT(ROW()-1,19)+2)</f>
        <v>43100</v>
      </c>
      <c r="DK958" s="4" t="e">
        <f>INDEX(Sheet2!$AA$2:$AS$228,QUOTIENT(ROW()-1,19)+1,MOD(ROW()-2,19)+1)</f>
        <v>#N/A</v>
      </c>
      <c r="DL958" t="str">
        <f>IFERROR(INDEX(Sheet2!$AU$2:$BM$228,QUOTIENT(ROW()-1,19)+1,MOD(ROW()-2,19)+1),NA())</f>
        <v/>
      </c>
      <c r="DM958" s="4" t="e">
        <f t="shared" si="63"/>
        <v>#N/A</v>
      </c>
      <c r="DN958" t="e">
        <f t="shared" si="64"/>
        <v>#N/A</v>
      </c>
      <c r="DO958" t="e">
        <f t="shared" si="65"/>
        <v>#N/A</v>
      </c>
    </row>
    <row r="959" spans="7:119" x14ac:dyDescent="0.25">
      <c r="G959"/>
      <c r="DI959" s="4">
        <f>INDEX(Sheet2!A:A,QUOTIENT(ROW()-1,19)+2)</f>
        <v>41165</v>
      </c>
      <c r="DJ959" s="4">
        <f>INDEX(Sheet2!C:C,QUOTIENT(ROW()-1,19)+2)</f>
        <v>43100</v>
      </c>
      <c r="DK959" s="4" t="e">
        <f>INDEX(Sheet2!$AA$2:$AS$228,QUOTIENT(ROW()-1,19)+1,MOD(ROW()-2,19)+1)</f>
        <v>#N/A</v>
      </c>
      <c r="DL959" t="str">
        <f>IFERROR(INDEX(Sheet2!$AU$2:$BM$228,QUOTIENT(ROW()-1,19)+1,MOD(ROW()-2,19)+1),NA())</f>
        <v/>
      </c>
      <c r="DM959" s="4" t="e">
        <f t="shared" si="63"/>
        <v>#N/A</v>
      </c>
      <c r="DN959" t="e">
        <f t="shared" si="64"/>
        <v>#N/A</v>
      </c>
      <c r="DO959" t="e">
        <f t="shared" si="65"/>
        <v>#N/A</v>
      </c>
    </row>
    <row r="960" spans="7:119" x14ac:dyDescent="0.25">
      <c r="G960"/>
      <c r="DI960" s="4">
        <f>INDEX(Sheet2!A:A,QUOTIENT(ROW()-1,19)+2)</f>
        <v>41165</v>
      </c>
      <c r="DJ960" s="4">
        <f>INDEX(Sheet2!C:C,QUOTIENT(ROW()-1,19)+2)</f>
        <v>43100</v>
      </c>
      <c r="DK960" s="4" t="e">
        <f>INDEX(Sheet2!$AA$2:$AS$228,QUOTIENT(ROW()-1,19)+1,MOD(ROW()-2,19)+1)</f>
        <v>#N/A</v>
      </c>
      <c r="DL960" t="str">
        <f>IFERROR(INDEX(Sheet2!$AU$2:$BM$228,QUOTIENT(ROW()-1,19)+1,MOD(ROW()-2,19)+1),NA())</f>
        <v/>
      </c>
      <c r="DM960" s="4" t="e">
        <f t="shared" si="63"/>
        <v>#N/A</v>
      </c>
      <c r="DN960" t="e">
        <f t="shared" si="64"/>
        <v>#N/A</v>
      </c>
      <c r="DO960" t="e">
        <f t="shared" si="65"/>
        <v>#N/A</v>
      </c>
    </row>
    <row r="961" spans="7:119" x14ac:dyDescent="0.25">
      <c r="G961"/>
      <c r="DI961" s="4">
        <f>INDEX(Sheet2!A:A,QUOTIENT(ROW()-1,19)+2)</f>
        <v>41165</v>
      </c>
      <c r="DJ961" s="4">
        <f>INDEX(Sheet2!C:C,QUOTIENT(ROW()-1,19)+2)</f>
        <v>43100</v>
      </c>
      <c r="DK961" s="4" t="e">
        <f>INDEX(Sheet2!$AA$2:$AS$228,QUOTIENT(ROW()-1,19)+1,MOD(ROW()-2,19)+1)</f>
        <v>#N/A</v>
      </c>
      <c r="DL961" t="str">
        <f>IFERROR(INDEX(Sheet2!$AU$2:$BM$228,QUOTIENT(ROW()-1,19)+1,MOD(ROW()-2,19)+1),NA())</f>
        <v/>
      </c>
      <c r="DM961" s="4" t="e">
        <f t="shared" si="63"/>
        <v>#N/A</v>
      </c>
      <c r="DN961" t="e">
        <f t="shared" si="64"/>
        <v>#N/A</v>
      </c>
      <c r="DO961" t="e">
        <f t="shared" si="65"/>
        <v>#N/A</v>
      </c>
    </row>
    <row r="962" spans="7:119" x14ac:dyDescent="0.25">
      <c r="G962"/>
      <c r="DI962" s="4">
        <f>INDEX(Sheet2!A:A,QUOTIENT(ROW()-1,19)+2)</f>
        <v>41165</v>
      </c>
      <c r="DJ962" s="4">
        <f>INDEX(Sheet2!C:C,QUOTIENT(ROW()-1,19)+2)</f>
        <v>43100</v>
      </c>
      <c r="DK962" s="4" t="e">
        <f>INDEX(Sheet2!$AA$2:$AS$228,QUOTIENT(ROW()-1,19)+1,MOD(ROW()-2,19)+1)</f>
        <v>#N/A</v>
      </c>
      <c r="DL962" t="str">
        <f>IFERROR(INDEX(Sheet2!$AU$2:$BM$228,QUOTIENT(ROW()-1,19)+1,MOD(ROW()-2,19)+1),NA())</f>
        <v/>
      </c>
      <c r="DM962" s="4" t="e">
        <f t="shared" ref="DM962:DM1025" si="66">+IF($C$2=$DI962,DK962,NA())</f>
        <v>#N/A</v>
      </c>
      <c r="DN962" t="e">
        <f t="shared" ref="DN962:DN1025" si="67">+IF($C$2=$DI962,DL962,NA())</f>
        <v>#N/A</v>
      </c>
      <c r="DO962" t="e">
        <f t="shared" si="65"/>
        <v>#N/A</v>
      </c>
    </row>
    <row r="963" spans="7:119" x14ac:dyDescent="0.25">
      <c r="G963"/>
      <c r="DI963" s="4">
        <f>INDEX(Sheet2!A:A,QUOTIENT(ROW()-1,19)+2)</f>
        <v>41165</v>
      </c>
      <c r="DJ963" s="4">
        <f>INDEX(Sheet2!C:C,QUOTIENT(ROW()-1,19)+2)</f>
        <v>43100</v>
      </c>
      <c r="DK963" s="4" t="e">
        <f>INDEX(Sheet2!$AA$2:$AS$228,QUOTIENT(ROW()-1,19)+1,MOD(ROW()-2,19)+1)</f>
        <v>#N/A</v>
      </c>
      <c r="DL963" t="str">
        <f>IFERROR(INDEX(Sheet2!$AU$2:$BM$228,QUOTIENT(ROW()-1,19)+1,MOD(ROW()-2,19)+1),NA())</f>
        <v/>
      </c>
      <c r="DM963" s="4" t="e">
        <f t="shared" si="66"/>
        <v>#N/A</v>
      </c>
      <c r="DN963" t="e">
        <f t="shared" si="67"/>
        <v>#N/A</v>
      </c>
      <c r="DO963" t="e">
        <f t="shared" ref="DO963:DO1026" si="68">IF(DN963="",NA(),DN963)</f>
        <v>#N/A</v>
      </c>
    </row>
    <row r="964" spans="7:119" x14ac:dyDescent="0.25">
      <c r="G964"/>
      <c r="DI964" s="4">
        <f>INDEX(Sheet2!A:A,QUOTIENT(ROW()-1,19)+2)</f>
        <v>41165</v>
      </c>
      <c r="DJ964" s="4">
        <f>INDEX(Sheet2!C:C,QUOTIENT(ROW()-1,19)+2)</f>
        <v>43100</v>
      </c>
      <c r="DK964" s="4" t="e">
        <f>INDEX(Sheet2!$AA$2:$AS$228,QUOTIENT(ROW()-1,19)+1,MOD(ROW()-2,19)+1)</f>
        <v>#N/A</v>
      </c>
      <c r="DL964" t="str">
        <f>IFERROR(INDEX(Sheet2!$AU$2:$BM$228,QUOTIENT(ROW()-1,19)+1,MOD(ROW()-2,19)+1),NA())</f>
        <v/>
      </c>
      <c r="DM964" s="4" t="e">
        <f t="shared" si="66"/>
        <v>#N/A</v>
      </c>
      <c r="DN964" t="e">
        <f t="shared" si="67"/>
        <v>#N/A</v>
      </c>
      <c r="DO964" t="e">
        <f t="shared" si="68"/>
        <v>#N/A</v>
      </c>
    </row>
    <row r="965" spans="7:119" x14ac:dyDescent="0.25">
      <c r="G965"/>
      <c r="DI965" s="4">
        <f>INDEX(Sheet2!A:A,QUOTIENT(ROW()-1,19)+2)</f>
        <v>41165</v>
      </c>
      <c r="DJ965" s="4">
        <f>INDEX(Sheet2!C:C,QUOTIENT(ROW()-1,19)+2)</f>
        <v>43100</v>
      </c>
      <c r="DK965" s="4" t="e">
        <f>INDEX(Sheet2!$AA$2:$AS$228,QUOTIENT(ROW()-1,19)+1,MOD(ROW()-2,19)+1)</f>
        <v>#N/A</v>
      </c>
      <c r="DL965" t="str">
        <f>IFERROR(INDEX(Sheet2!$AU$2:$BM$228,QUOTIENT(ROW()-1,19)+1,MOD(ROW()-2,19)+1),NA())</f>
        <v/>
      </c>
      <c r="DM965" s="4" t="e">
        <f t="shared" si="66"/>
        <v>#N/A</v>
      </c>
      <c r="DN965" t="e">
        <f t="shared" si="67"/>
        <v>#N/A</v>
      </c>
      <c r="DO965" t="e">
        <f t="shared" si="68"/>
        <v>#N/A</v>
      </c>
    </row>
    <row r="966" spans="7:119" x14ac:dyDescent="0.25">
      <c r="G966"/>
      <c r="DI966" s="4">
        <f>INDEX(Sheet2!A:A,QUOTIENT(ROW()-1,19)+2)</f>
        <v>41165</v>
      </c>
      <c r="DJ966" s="4">
        <f>INDEX(Sheet2!C:C,QUOTIENT(ROW()-1,19)+2)</f>
        <v>43100</v>
      </c>
      <c r="DK966" s="4" t="e">
        <f>INDEX(Sheet2!$AA$2:$AS$228,QUOTIENT(ROW()-1,19)+1,MOD(ROW()-2,19)+1)</f>
        <v>#N/A</v>
      </c>
      <c r="DL966" t="str">
        <f>IFERROR(INDEX(Sheet2!$AU$2:$BM$228,QUOTIENT(ROW()-1,19)+1,MOD(ROW()-2,19)+1),NA())</f>
        <v/>
      </c>
      <c r="DM966" s="4" t="e">
        <f t="shared" si="66"/>
        <v>#N/A</v>
      </c>
      <c r="DN966" t="e">
        <f t="shared" si="67"/>
        <v>#N/A</v>
      </c>
      <c r="DO966" t="e">
        <f t="shared" si="68"/>
        <v>#N/A</v>
      </c>
    </row>
    <row r="967" spans="7:119" x14ac:dyDescent="0.25">
      <c r="G967"/>
      <c r="DI967" s="4">
        <f>INDEX(Sheet2!A:A,QUOTIENT(ROW()-1,19)+2)</f>
        <v>41165</v>
      </c>
      <c r="DJ967" s="4">
        <f>INDEX(Sheet2!C:C,QUOTIENT(ROW()-1,19)+2)</f>
        <v>43100</v>
      </c>
      <c r="DK967" s="4" t="e">
        <f>INDEX(Sheet2!$AA$2:$AS$228,QUOTIENT(ROW()-1,19)+1,MOD(ROW()-2,19)+1)</f>
        <v>#N/A</v>
      </c>
      <c r="DL967" t="str">
        <f>IFERROR(INDEX(Sheet2!$AU$2:$BM$228,QUOTIENT(ROW()-1,19)+1,MOD(ROW()-2,19)+1),NA())</f>
        <v/>
      </c>
      <c r="DM967" s="4" t="e">
        <f t="shared" si="66"/>
        <v>#N/A</v>
      </c>
      <c r="DN967" t="e">
        <f t="shared" si="67"/>
        <v>#N/A</v>
      </c>
      <c r="DO967" t="e">
        <f t="shared" si="68"/>
        <v>#N/A</v>
      </c>
    </row>
    <row r="968" spans="7:119" x14ac:dyDescent="0.25">
      <c r="G968"/>
      <c r="DI968" s="4">
        <f>INDEX(Sheet2!A:A,QUOTIENT(ROW()-1,19)+2)</f>
        <v>41165</v>
      </c>
      <c r="DJ968" s="4">
        <f>INDEX(Sheet2!C:C,QUOTIENT(ROW()-1,19)+2)</f>
        <v>43100</v>
      </c>
      <c r="DK968" s="4" t="e">
        <f>INDEX(Sheet2!$AA$2:$AS$228,QUOTIENT(ROW()-1,19)+1,MOD(ROW()-2,19)+1)</f>
        <v>#N/A</v>
      </c>
      <c r="DL968" t="str">
        <f>IFERROR(INDEX(Sheet2!$AU$2:$BM$228,QUOTIENT(ROW()-1,19)+1,MOD(ROW()-2,19)+1),NA())</f>
        <v/>
      </c>
      <c r="DM968" s="4" t="e">
        <f t="shared" si="66"/>
        <v>#N/A</v>
      </c>
      <c r="DN968" t="e">
        <f t="shared" si="67"/>
        <v>#N/A</v>
      </c>
      <c r="DO968" t="e">
        <f t="shared" si="68"/>
        <v>#N/A</v>
      </c>
    </row>
    <row r="969" spans="7:119" x14ac:dyDescent="0.25">
      <c r="G969"/>
      <c r="DI969" s="4">
        <f>INDEX(Sheet2!A:A,QUOTIENT(ROW()-1,19)+2)</f>
        <v>41165</v>
      </c>
      <c r="DJ969" s="4">
        <f>INDEX(Sheet2!C:C,QUOTIENT(ROW()-1,19)+2)</f>
        <v>43100</v>
      </c>
      <c r="DK969" s="4" t="e">
        <f>INDEX(Sheet2!$AA$2:$AS$228,QUOTIENT(ROW()-1,19)+1,MOD(ROW()-2,19)+1)</f>
        <v>#N/A</v>
      </c>
      <c r="DL969" t="str">
        <f>IFERROR(INDEX(Sheet2!$AU$2:$BM$228,QUOTIENT(ROW()-1,19)+1,MOD(ROW()-2,19)+1),NA())</f>
        <v/>
      </c>
      <c r="DM969" s="4" t="e">
        <f t="shared" si="66"/>
        <v>#N/A</v>
      </c>
      <c r="DN969" t="e">
        <f t="shared" si="67"/>
        <v>#N/A</v>
      </c>
      <c r="DO969" t="e">
        <f t="shared" si="68"/>
        <v>#N/A</v>
      </c>
    </row>
    <row r="970" spans="7:119" x14ac:dyDescent="0.25">
      <c r="G970"/>
      <c r="DI970" s="4">
        <f>INDEX(Sheet2!A:A,QUOTIENT(ROW()-1,19)+2)</f>
        <v>41255</v>
      </c>
      <c r="DJ970" s="4">
        <f>INDEX(Sheet2!C:C,QUOTIENT(ROW()-1,19)+2)</f>
        <v>41274</v>
      </c>
      <c r="DK970" s="4">
        <f>INDEX(Sheet2!$AA$2:$AS$228,QUOTIENT(ROW()-1,19)+1,MOD(ROW()-2,19)+1)</f>
        <v>41454.675000000003</v>
      </c>
      <c r="DL970">
        <f>IFERROR(INDEX(Sheet2!$AU$2:$BM$228,QUOTIENT(ROW()-1,19)+1,MOD(ROW()-2,19)+1),NA())</f>
        <v>0.25</v>
      </c>
      <c r="DM970" s="4" t="e">
        <f t="shared" si="66"/>
        <v>#N/A</v>
      </c>
      <c r="DN970" t="e">
        <f t="shared" si="67"/>
        <v>#N/A</v>
      </c>
      <c r="DO970" t="e">
        <f t="shared" si="68"/>
        <v>#N/A</v>
      </c>
    </row>
    <row r="971" spans="7:119" x14ac:dyDescent="0.25">
      <c r="G971"/>
      <c r="DI971" s="4">
        <f>INDEX(Sheet2!A:A,QUOTIENT(ROW()-1,19)+2)</f>
        <v>41255</v>
      </c>
      <c r="DJ971" s="4">
        <f>INDEX(Sheet2!C:C,QUOTIENT(ROW()-1,19)+2)</f>
        <v>41274</v>
      </c>
      <c r="DK971" s="4">
        <f>INDEX(Sheet2!$AA$2:$AS$228,QUOTIENT(ROW()-1,19)+1,MOD(ROW()-2,19)+1)</f>
        <v>41093.324999999997</v>
      </c>
      <c r="DL971">
        <f>IFERROR(INDEX(Sheet2!$AU$2:$BM$228,QUOTIENT(ROW()-1,19)+1,MOD(ROW()-2,19)+1),NA())</f>
        <v>0.25</v>
      </c>
      <c r="DM971" s="4" t="e">
        <f t="shared" si="66"/>
        <v>#N/A</v>
      </c>
      <c r="DN971" t="e">
        <f t="shared" si="67"/>
        <v>#N/A</v>
      </c>
      <c r="DO971" t="e">
        <f t="shared" si="68"/>
        <v>#N/A</v>
      </c>
    </row>
    <row r="972" spans="7:119" x14ac:dyDescent="0.25">
      <c r="G972"/>
      <c r="DI972" s="4">
        <f>INDEX(Sheet2!A:A,QUOTIENT(ROW()-1,19)+2)</f>
        <v>41255</v>
      </c>
      <c r="DJ972" s="4">
        <f>INDEX(Sheet2!C:C,QUOTIENT(ROW()-1,19)+2)</f>
        <v>41274</v>
      </c>
      <c r="DK972" s="4">
        <f>INDEX(Sheet2!$AA$2:$AS$228,QUOTIENT(ROW()-1,19)+1,MOD(ROW()-2,19)+1)</f>
        <v>41113.4</v>
      </c>
      <c r="DL972">
        <f>IFERROR(INDEX(Sheet2!$AU$2:$BM$228,QUOTIENT(ROW()-1,19)+1,MOD(ROW()-2,19)+1),NA())</f>
        <v>0.25</v>
      </c>
      <c r="DM972" s="4" t="e">
        <f t="shared" si="66"/>
        <v>#N/A</v>
      </c>
      <c r="DN972" t="e">
        <f t="shared" si="67"/>
        <v>#N/A</v>
      </c>
      <c r="DO972" t="e">
        <f t="shared" si="68"/>
        <v>#N/A</v>
      </c>
    </row>
    <row r="973" spans="7:119" x14ac:dyDescent="0.25">
      <c r="G973"/>
      <c r="DI973" s="4">
        <f>INDEX(Sheet2!A:A,QUOTIENT(ROW()-1,19)+2)</f>
        <v>41255</v>
      </c>
      <c r="DJ973" s="4">
        <f>INDEX(Sheet2!C:C,QUOTIENT(ROW()-1,19)+2)</f>
        <v>41274</v>
      </c>
      <c r="DK973" s="4">
        <f>INDEX(Sheet2!$AA$2:$AS$228,QUOTIENT(ROW()-1,19)+1,MOD(ROW()-2,19)+1)</f>
        <v>41133.474999999999</v>
      </c>
      <c r="DL973">
        <f>IFERROR(INDEX(Sheet2!$AU$2:$BM$228,QUOTIENT(ROW()-1,19)+1,MOD(ROW()-2,19)+1),NA())</f>
        <v>0.25</v>
      </c>
      <c r="DM973" s="4" t="e">
        <f t="shared" si="66"/>
        <v>#N/A</v>
      </c>
      <c r="DN973" t="e">
        <f t="shared" si="67"/>
        <v>#N/A</v>
      </c>
      <c r="DO973" t="e">
        <f t="shared" si="68"/>
        <v>#N/A</v>
      </c>
    </row>
    <row r="974" spans="7:119" x14ac:dyDescent="0.25">
      <c r="G974"/>
      <c r="DI974" s="4">
        <f>INDEX(Sheet2!A:A,QUOTIENT(ROW()-1,19)+2)</f>
        <v>41255</v>
      </c>
      <c r="DJ974" s="4">
        <f>INDEX(Sheet2!C:C,QUOTIENT(ROW()-1,19)+2)</f>
        <v>41274</v>
      </c>
      <c r="DK974" s="4">
        <f>INDEX(Sheet2!$AA$2:$AS$228,QUOTIENT(ROW()-1,19)+1,MOD(ROW()-2,19)+1)</f>
        <v>41153.550000000003</v>
      </c>
      <c r="DL974">
        <f>IFERROR(INDEX(Sheet2!$AU$2:$BM$228,QUOTIENT(ROW()-1,19)+1,MOD(ROW()-2,19)+1),NA())</f>
        <v>0.25</v>
      </c>
      <c r="DM974" s="4" t="e">
        <f t="shared" si="66"/>
        <v>#N/A</v>
      </c>
      <c r="DN974" t="e">
        <f t="shared" si="67"/>
        <v>#N/A</v>
      </c>
      <c r="DO974" t="e">
        <f t="shared" si="68"/>
        <v>#N/A</v>
      </c>
    </row>
    <row r="975" spans="7:119" x14ac:dyDescent="0.25">
      <c r="G975"/>
      <c r="DI975" s="4">
        <f>INDEX(Sheet2!A:A,QUOTIENT(ROW()-1,19)+2)</f>
        <v>41255</v>
      </c>
      <c r="DJ975" s="4">
        <f>INDEX(Sheet2!C:C,QUOTIENT(ROW()-1,19)+2)</f>
        <v>41274</v>
      </c>
      <c r="DK975" s="4">
        <f>INDEX(Sheet2!$AA$2:$AS$228,QUOTIENT(ROW()-1,19)+1,MOD(ROW()-2,19)+1)</f>
        <v>41173.625</v>
      </c>
      <c r="DL975">
        <f>IFERROR(INDEX(Sheet2!$AU$2:$BM$228,QUOTIENT(ROW()-1,19)+1,MOD(ROW()-2,19)+1),NA())</f>
        <v>0.25</v>
      </c>
      <c r="DM975" s="4" t="e">
        <f t="shared" si="66"/>
        <v>#N/A</v>
      </c>
      <c r="DN975" t="e">
        <f t="shared" si="67"/>
        <v>#N/A</v>
      </c>
      <c r="DO975" t="e">
        <f t="shared" si="68"/>
        <v>#N/A</v>
      </c>
    </row>
    <row r="976" spans="7:119" x14ac:dyDescent="0.25">
      <c r="G976"/>
      <c r="DI976" s="4">
        <f>INDEX(Sheet2!A:A,QUOTIENT(ROW()-1,19)+2)</f>
        <v>41255</v>
      </c>
      <c r="DJ976" s="4">
        <f>INDEX(Sheet2!C:C,QUOTIENT(ROW()-1,19)+2)</f>
        <v>41274</v>
      </c>
      <c r="DK976" s="4">
        <f>INDEX(Sheet2!$AA$2:$AS$228,QUOTIENT(ROW()-1,19)+1,MOD(ROW()-2,19)+1)</f>
        <v>41193.699999999997</v>
      </c>
      <c r="DL976">
        <f>IFERROR(INDEX(Sheet2!$AU$2:$BM$228,QUOTIENT(ROW()-1,19)+1,MOD(ROW()-2,19)+1),NA())</f>
        <v>0.25</v>
      </c>
      <c r="DM976" s="4" t="e">
        <f t="shared" si="66"/>
        <v>#N/A</v>
      </c>
      <c r="DN976" t="e">
        <f t="shared" si="67"/>
        <v>#N/A</v>
      </c>
      <c r="DO976" t="e">
        <f t="shared" si="68"/>
        <v>#N/A</v>
      </c>
    </row>
    <row r="977" spans="7:119" x14ac:dyDescent="0.25">
      <c r="G977"/>
      <c r="DI977" s="4">
        <f>INDEX(Sheet2!A:A,QUOTIENT(ROW()-1,19)+2)</f>
        <v>41255</v>
      </c>
      <c r="DJ977" s="4">
        <f>INDEX(Sheet2!C:C,QUOTIENT(ROW()-1,19)+2)</f>
        <v>41274</v>
      </c>
      <c r="DK977" s="4">
        <f>INDEX(Sheet2!$AA$2:$AS$228,QUOTIENT(ROW()-1,19)+1,MOD(ROW()-2,19)+1)</f>
        <v>41213.775000000001</v>
      </c>
      <c r="DL977">
        <f>IFERROR(INDEX(Sheet2!$AU$2:$BM$228,QUOTIENT(ROW()-1,19)+1,MOD(ROW()-2,19)+1),NA())</f>
        <v>0.25</v>
      </c>
      <c r="DM977" s="4" t="e">
        <f t="shared" si="66"/>
        <v>#N/A</v>
      </c>
      <c r="DN977" t="e">
        <f t="shared" si="67"/>
        <v>#N/A</v>
      </c>
      <c r="DO977" t="e">
        <f t="shared" si="68"/>
        <v>#N/A</v>
      </c>
    </row>
    <row r="978" spans="7:119" x14ac:dyDescent="0.25">
      <c r="G978"/>
      <c r="DI978" s="4">
        <f>INDEX(Sheet2!A:A,QUOTIENT(ROW()-1,19)+2)</f>
        <v>41255</v>
      </c>
      <c r="DJ978" s="4">
        <f>INDEX(Sheet2!C:C,QUOTIENT(ROW()-1,19)+2)</f>
        <v>41274</v>
      </c>
      <c r="DK978" s="4">
        <f>INDEX(Sheet2!$AA$2:$AS$228,QUOTIENT(ROW()-1,19)+1,MOD(ROW()-2,19)+1)</f>
        <v>41233.85</v>
      </c>
      <c r="DL978">
        <f>IFERROR(INDEX(Sheet2!$AU$2:$BM$228,QUOTIENT(ROW()-1,19)+1,MOD(ROW()-2,19)+1),NA())</f>
        <v>0.25</v>
      </c>
      <c r="DM978" s="4" t="e">
        <f t="shared" si="66"/>
        <v>#N/A</v>
      </c>
      <c r="DN978" t="e">
        <f t="shared" si="67"/>
        <v>#N/A</v>
      </c>
      <c r="DO978" t="e">
        <f t="shared" si="68"/>
        <v>#N/A</v>
      </c>
    </row>
    <row r="979" spans="7:119" x14ac:dyDescent="0.25">
      <c r="G979"/>
      <c r="DI979" s="4">
        <f>INDEX(Sheet2!A:A,QUOTIENT(ROW()-1,19)+2)</f>
        <v>41255</v>
      </c>
      <c r="DJ979" s="4">
        <f>INDEX(Sheet2!C:C,QUOTIENT(ROW()-1,19)+2)</f>
        <v>41274</v>
      </c>
      <c r="DK979" s="4">
        <f>INDEX(Sheet2!$AA$2:$AS$228,QUOTIENT(ROW()-1,19)+1,MOD(ROW()-2,19)+1)</f>
        <v>41253.925000000003</v>
      </c>
      <c r="DL979">
        <f>IFERROR(INDEX(Sheet2!$AU$2:$BM$228,QUOTIENT(ROW()-1,19)+1,MOD(ROW()-2,19)+1),NA())</f>
        <v>0.25</v>
      </c>
      <c r="DM979" s="4" t="e">
        <f t="shared" si="66"/>
        <v>#N/A</v>
      </c>
      <c r="DN979" t="e">
        <f t="shared" si="67"/>
        <v>#N/A</v>
      </c>
      <c r="DO979" t="e">
        <f t="shared" si="68"/>
        <v>#N/A</v>
      </c>
    </row>
    <row r="980" spans="7:119" x14ac:dyDescent="0.25">
      <c r="G980"/>
      <c r="DI980" s="4">
        <f>INDEX(Sheet2!A:A,QUOTIENT(ROW()-1,19)+2)</f>
        <v>41255</v>
      </c>
      <c r="DJ980" s="4">
        <f>INDEX(Sheet2!C:C,QUOTIENT(ROW()-1,19)+2)</f>
        <v>41274</v>
      </c>
      <c r="DK980" s="4">
        <f>INDEX(Sheet2!$AA$2:$AS$228,QUOTIENT(ROW()-1,19)+1,MOD(ROW()-2,19)+1)</f>
        <v>41274</v>
      </c>
      <c r="DL980">
        <f>IFERROR(INDEX(Sheet2!$AU$2:$BM$228,QUOTIENT(ROW()-1,19)+1,MOD(ROW()-2,19)+1),NA())</f>
        <v>0.25</v>
      </c>
      <c r="DM980" s="4" t="e">
        <f t="shared" si="66"/>
        <v>#N/A</v>
      </c>
      <c r="DN980" t="e">
        <f t="shared" si="67"/>
        <v>#N/A</v>
      </c>
      <c r="DO980" t="e">
        <f t="shared" si="68"/>
        <v>#N/A</v>
      </c>
    </row>
    <row r="981" spans="7:119" x14ac:dyDescent="0.25">
      <c r="G981"/>
      <c r="DI981" s="4">
        <f>INDEX(Sheet2!A:A,QUOTIENT(ROW()-1,19)+2)</f>
        <v>41255</v>
      </c>
      <c r="DJ981" s="4">
        <f>INDEX(Sheet2!C:C,QUOTIENT(ROW()-1,19)+2)</f>
        <v>41274</v>
      </c>
      <c r="DK981" s="4">
        <f>INDEX(Sheet2!$AA$2:$AS$228,QUOTIENT(ROW()-1,19)+1,MOD(ROW()-2,19)+1)</f>
        <v>41294.074999999997</v>
      </c>
      <c r="DL981">
        <f>IFERROR(INDEX(Sheet2!$AU$2:$BM$228,QUOTIENT(ROW()-1,19)+1,MOD(ROW()-2,19)+1),NA())</f>
        <v>0.25</v>
      </c>
      <c r="DM981" s="4" t="e">
        <f t="shared" si="66"/>
        <v>#N/A</v>
      </c>
      <c r="DN981" t="e">
        <f t="shared" si="67"/>
        <v>#N/A</v>
      </c>
      <c r="DO981" t="e">
        <f t="shared" si="68"/>
        <v>#N/A</v>
      </c>
    </row>
    <row r="982" spans="7:119" x14ac:dyDescent="0.25">
      <c r="G982"/>
      <c r="DI982" s="4">
        <f>INDEX(Sheet2!A:A,QUOTIENT(ROW()-1,19)+2)</f>
        <v>41255</v>
      </c>
      <c r="DJ982" s="4">
        <f>INDEX(Sheet2!C:C,QUOTIENT(ROW()-1,19)+2)</f>
        <v>41274</v>
      </c>
      <c r="DK982" s="4">
        <f>INDEX(Sheet2!$AA$2:$AS$228,QUOTIENT(ROW()-1,19)+1,MOD(ROW()-2,19)+1)</f>
        <v>41314.15</v>
      </c>
      <c r="DL982">
        <f>IFERROR(INDEX(Sheet2!$AU$2:$BM$228,QUOTIENT(ROW()-1,19)+1,MOD(ROW()-2,19)+1),NA())</f>
        <v>0.25</v>
      </c>
      <c r="DM982" s="4" t="e">
        <f t="shared" si="66"/>
        <v>#N/A</v>
      </c>
      <c r="DN982" t="e">
        <f t="shared" si="67"/>
        <v>#N/A</v>
      </c>
      <c r="DO982" t="e">
        <f t="shared" si="68"/>
        <v>#N/A</v>
      </c>
    </row>
    <row r="983" spans="7:119" x14ac:dyDescent="0.25">
      <c r="G983"/>
      <c r="DI983" s="4">
        <f>INDEX(Sheet2!A:A,QUOTIENT(ROW()-1,19)+2)</f>
        <v>41255</v>
      </c>
      <c r="DJ983" s="4">
        <f>INDEX(Sheet2!C:C,QUOTIENT(ROW()-1,19)+2)</f>
        <v>41274</v>
      </c>
      <c r="DK983" s="4">
        <f>INDEX(Sheet2!$AA$2:$AS$228,QUOTIENT(ROW()-1,19)+1,MOD(ROW()-2,19)+1)</f>
        <v>41334.224999999999</v>
      </c>
      <c r="DL983">
        <f>IFERROR(INDEX(Sheet2!$AU$2:$BM$228,QUOTIENT(ROW()-1,19)+1,MOD(ROW()-2,19)+1),NA())</f>
        <v>0.25</v>
      </c>
      <c r="DM983" s="4" t="e">
        <f t="shared" si="66"/>
        <v>#N/A</v>
      </c>
      <c r="DN983" t="e">
        <f t="shared" si="67"/>
        <v>#N/A</v>
      </c>
      <c r="DO983" t="e">
        <f t="shared" si="68"/>
        <v>#N/A</v>
      </c>
    </row>
    <row r="984" spans="7:119" x14ac:dyDescent="0.25">
      <c r="G984"/>
      <c r="DI984" s="4">
        <f>INDEX(Sheet2!A:A,QUOTIENT(ROW()-1,19)+2)</f>
        <v>41255</v>
      </c>
      <c r="DJ984" s="4">
        <f>INDEX(Sheet2!C:C,QUOTIENT(ROW()-1,19)+2)</f>
        <v>41274</v>
      </c>
      <c r="DK984" s="4">
        <f>INDEX(Sheet2!$AA$2:$AS$228,QUOTIENT(ROW()-1,19)+1,MOD(ROW()-2,19)+1)</f>
        <v>41354.300000000003</v>
      </c>
      <c r="DL984">
        <f>IFERROR(INDEX(Sheet2!$AU$2:$BM$228,QUOTIENT(ROW()-1,19)+1,MOD(ROW()-2,19)+1),NA())</f>
        <v>0.25</v>
      </c>
      <c r="DM984" s="4" t="e">
        <f t="shared" si="66"/>
        <v>#N/A</v>
      </c>
      <c r="DN984" t="e">
        <f t="shared" si="67"/>
        <v>#N/A</v>
      </c>
      <c r="DO984" t="e">
        <f t="shared" si="68"/>
        <v>#N/A</v>
      </c>
    </row>
    <row r="985" spans="7:119" x14ac:dyDescent="0.25">
      <c r="G985"/>
      <c r="DI985" s="4">
        <f>INDEX(Sheet2!A:A,QUOTIENT(ROW()-1,19)+2)</f>
        <v>41255</v>
      </c>
      <c r="DJ985" s="4">
        <f>INDEX(Sheet2!C:C,QUOTIENT(ROW()-1,19)+2)</f>
        <v>41274</v>
      </c>
      <c r="DK985" s="4">
        <f>INDEX(Sheet2!$AA$2:$AS$228,QUOTIENT(ROW()-1,19)+1,MOD(ROW()-2,19)+1)</f>
        <v>41374.375</v>
      </c>
      <c r="DL985">
        <f>IFERROR(INDEX(Sheet2!$AU$2:$BM$228,QUOTIENT(ROW()-1,19)+1,MOD(ROW()-2,19)+1),NA())</f>
        <v>0.25</v>
      </c>
      <c r="DM985" s="4" t="e">
        <f t="shared" si="66"/>
        <v>#N/A</v>
      </c>
      <c r="DN985" t="e">
        <f t="shared" si="67"/>
        <v>#N/A</v>
      </c>
      <c r="DO985" t="e">
        <f t="shared" si="68"/>
        <v>#N/A</v>
      </c>
    </row>
    <row r="986" spans="7:119" x14ac:dyDescent="0.25">
      <c r="G986"/>
      <c r="DI986" s="4">
        <f>INDEX(Sheet2!A:A,QUOTIENT(ROW()-1,19)+2)</f>
        <v>41255</v>
      </c>
      <c r="DJ986" s="4">
        <f>INDEX(Sheet2!C:C,QUOTIENT(ROW()-1,19)+2)</f>
        <v>41274</v>
      </c>
      <c r="DK986" s="4">
        <f>INDEX(Sheet2!$AA$2:$AS$228,QUOTIENT(ROW()-1,19)+1,MOD(ROW()-2,19)+1)</f>
        <v>41394.449999999997</v>
      </c>
      <c r="DL986">
        <f>IFERROR(INDEX(Sheet2!$AU$2:$BM$228,QUOTIENT(ROW()-1,19)+1,MOD(ROW()-2,19)+1),NA())</f>
        <v>0.25</v>
      </c>
      <c r="DM986" s="4" t="e">
        <f t="shared" si="66"/>
        <v>#N/A</v>
      </c>
      <c r="DN986" t="e">
        <f t="shared" si="67"/>
        <v>#N/A</v>
      </c>
      <c r="DO986" t="e">
        <f t="shared" si="68"/>
        <v>#N/A</v>
      </c>
    </row>
    <row r="987" spans="7:119" x14ac:dyDescent="0.25">
      <c r="G987"/>
      <c r="DI987" s="4">
        <f>INDEX(Sheet2!A:A,QUOTIENT(ROW()-1,19)+2)</f>
        <v>41255</v>
      </c>
      <c r="DJ987" s="4">
        <f>INDEX(Sheet2!C:C,QUOTIENT(ROW()-1,19)+2)</f>
        <v>41274</v>
      </c>
      <c r="DK987" s="4">
        <f>INDEX(Sheet2!$AA$2:$AS$228,QUOTIENT(ROW()-1,19)+1,MOD(ROW()-2,19)+1)</f>
        <v>41414.525000000001</v>
      </c>
      <c r="DL987">
        <f>IFERROR(INDEX(Sheet2!$AU$2:$BM$228,QUOTIENT(ROW()-1,19)+1,MOD(ROW()-2,19)+1),NA())</f>
        <v>0.25</v>
      </c>
      <c r="DM987" s="4" t="e">
        <f t="shared" si="66"/>
        <v>#N/A</v>
      </c>
      <c r="DN987" t="e">
        <f t="shared" si="67"/>
        <v>#N/A</v>
      </c>
      <c r="DO987" t="e">
        <f t="shared" si="68"/>
        <v>#N/A</v>
      </c>
    </row>
    <row r="988" spans="7:119" x14ac:dyDescent="0.25">
      <c r="G988"/>
      <c r="DI988" s="4">
        <f>INDEX(Sheet2!A:A,QUOTIENT(ROW()-1,19)+2)</f>
        <v>41255</v>
      </c>
      <c r="DJ988" s="4">
        <f>INDEX(Sheet2!C:C,QUOTIENT(ROW()-1,19)+2)</f>
        <v>41274</v>
      </c>
      <c r="DK988" s="4">
        <f>INDEX(Sheet2!$AA$2:$AS$228,QUOTIENT(ROW()-1,19)+1,MOD(ROW()-2,19)+1)</f>
        <v>41434.6</v>
      </c>
      <c r="DL988">
        <f>IFERROR(INDEX(Sheet2!$AU$2:$BM$228,QUOTIENT(ROW()-1,19)+1,MOD(ROW()-2,19)+1),NA())</f>
        <v>0.25</v>
      </c>
      <c r="DM988" s="4" t="e">
        <f t="shared" si="66"/>
        <v>#N/A</v>
      </c>
      <c r="DN988" t="e">
        <f t="shared" si="67"/>
        <v>#N/A</v>
      </c>
      <c r="DO988" t="e">
        <f t="shared" si="68"/>
        <v>#N/A</v>
      </c>
    </row>
    <row r="989" spans="7:119" x14ac:dyDescent="0.25">
      <c r="G989"/>
      <c r="DI989" s="4">
        <f>INDEX(Sheet2!A:A,QUOTIENT(ROW()-1,19)+2)</f>
        <v>41255</v>
      </c>
      <c r="DJ989" s="4">
        <f>INDEX(Sheet2!C:C,QUOTIENT(ROW()-1,19)+2)</f>
        <v>41639</v>
      </c>
      <c r="DK989" s="4" t="e">
        <f>INDEX(Sheet2!$AA$2:$AS$228,QUOTIENT(ROW()-1,19)+1,MOD(ROW()-2,19)+1)</f>
        <v>#N/A</v>
      </c>
      <c r="DL989" t="str">
        <f>IFERROR(INDEX(Sheet2!$AU$2:$BM$228,QUOTIENT(ROW()-1,19)+1,MOD(ROW()-2,19)+1),NA())</f>
        <v/>
      </c>
      <c r="DM989" s="4" t="e">
        <f t="shared" si="66"/>
        <v>#N/A</v>
      </c>
      <c r="DN989" t="e">
        <f t="shared" si="67"/>
        <v>#N/A</v>
      </c>
      <c r="DO989" t="e">
        <f t="shared" si="68"/>
        <v>#N/A</v>
      </c>
    </row>
    <row r="990" spans="7:119" x14ac:dyDescent="0.25">
      <c r="G990"/>
      <c r="DI990" s="4">
        <f>INDEX(Sheet2!A:A,QUOTIENT(ROW()-1,19)+2)</f>
        <v>41255</v>
      </c>
      <c r="DJ990" s="4">
        <f>INDEX(Sheet2!C:C,QUOTIENT(ROW()-1,19)+2)</f>
        <v>41639</v>
      </c>
      <c r="DK990" s="4">
        <f>INDEX(Sheet2!$AA$2:$AS$228,QUOTIENT(ROW()-1,19)+1,MOD(ROW()-2,19)+1)</f>
        <v>41478.400000000001</v>
      </c>
      <c r="DL990">
        <f>IFERROR(INDEX(Sheet2!$AU$2:$BM$228,QUOTIENT(ROW()-1,19)+1,MOD(ROW()-2,19)+1),NA())</f>
        <v>0.25</v>
      </c>
      <c r="DM990" s="4" t="e">
        <f t="shared" si="66"/>
        <v>#N/A</v>
      </c>
      <c r="DN990" t="e">
        <f t="shared" si="67"/>
        <v>#N/A</v>
      </c>
      <c r="DO990" t="e">
        <f t="shared" si="68"/>
        <v>#N/A</v>
      </c>
    </row>
    <row r="991" spans="7:119" x14ac:dyDescent="0.25">
      <c r="G991"/>
      <c r="DI991" s="4">
        <f>INDEX(Sheet2!A:A,QUOTIENT(ROW()-1,19)+2)</f>
        <v>41255</v>
      </c>
      <c r="DJ991" s="4">
        <f>INDEX(Sheet2!C:C,QUOTIENT(ROW()-1,19)+2)</f>
        <v>41639</v>
      </c>
      <c r="DK991" s="4">
        <f>INDEX(Sheet2!$AA$2:$AS$228,QUOTIENT(ROW()-1,19)+1,MOD(ROW()-2,19)+1)</f>
        <v>41498.475000000006</v>
      </c>
      <c r="DL991">
        <f>IFERROR(INDEX(Sheet2!$AU$2:$BM$228,QUOTIENT(ROW()-1,19)+1,MOD(ROW()-2,19)+1),NA())</f>
        <v>0.25</v>
      </c>
      <c r="DM991" s="4" t="e">
        <f t="shared" si="66"/>
        <v>#N/A</v>
      </c>
      <c r="DN991" t="e">
        <f t="shared" si="67"/>
        <v>#N/A</v>
      </c>
      <c r="DO991" t="e">
        <f t="shared" si="68"/>
        <v>#N/A</v>
      </c>
    </row>
    <row r="992" spans="7:119" x14ac:dyDescent="0.25">
      <c r="G992"/>
      <c r="DI992" s="4">
        <f>INDEX(Sheet2!A:A,QUOTIENT(ROW()-1,19)+2)</f>
        <v>41255</v>
      </c>
      <c r="DJ992" s="4">
        <f>INDEX(Sheet2!C:C,QUOTIENT(ROW()-1,19)+2)</f>
        <v>41639</v>
      </c>
      <c r="DK992" s="4">
        <f>INDEX(Sheet2!$AA$2:$AS$228,QUOTIENT(ROW()-1,19)+1,MOD(ROW()-2,19)+1)</f>
        <v>41518.550000000003</v>
      </c>
      <c r="DL992">
        <f>IFERROR(INDEX(Sheet2!$AU$2:$BM$228,QUOTIENT(ROW()-1,19)+1,MOD(ROW()-2,19)+1),NA())</f>
        <v>0.25</v>
      </c>
      <c r="DM992" s="4" t="e">
        <f t="shared" si="66"/>
        <v>#N/A</v>
      </c>
      <c r="DN992" t="e">
        <f t="shared" si="67"/>
        <v>#N/A</v>
      </c>
      <c r="DO992" t="e">
        <f t="shared" si="68"/>
        <v>#N/A</v>
      </c>
    </row>
    <row r="993" spans="7:119" x14ac:dyDescent="0.25">
      <c r="G993"/>
      <c r="DI993" s="4">
        <f>INDEX(Sheet2!A:A,QUOTIENT(ROW()-1,19)+2)</f>
        <v>41255</v>
      </c>
      <c r="DJ993" s="4">
        <f>INDEX(Sheet2!C:C,QUOTIENT(ROW()-1,19)+2)</f>
        <v>41639</v>
      </c>
      <c r="DK993" s="4">
        <f>INDEX(Sheet2!$AA$2:$AS$228,QUOTIENT(ROW()-1,19)+1,MOD(ROW()-2,19)+1)</f>
        <v>41538.625000000007</v>
      </c>
      <c r="DL993">
        <f>IFERROR(INDEX(Sheet2!$AU$2:$BM$228,QUOTIENT(ROW()-1,19)+1,MOD(ROW()-2,19)+1),NA())</f>
        <v>0.25</v>
      </c>
      <c r="DM993" s="4" t="e">
        <f t="shared" si="66"/>
        <v>#N/A</v>
      </c>
      <c r="DN993" t="e">
        <f t="shared" si="67"/>
        <v>#N/A</v>
      </c>
      <c r="DO993" t="e">
        <f t="shared" si="68"/>
        <v>#N/A</v>
      </c>
    </row>
    <row r="994" spans="7:119" x14ac:dyDescent="0.25">
      <c r="G994"/>
      <c r="DI994" s="4">
        <f>INDEX(Sheet2!A:A,QUOTIENT(ROW()-1,19)+2)</f>
        <v>41255</v>
      </c>
      <c r="DJ994" s="4">
        <f>INDEX(Sheet2!C:C,QUOTIENT(ROW()-1,19)+2)</f>
        <v>41639</v>
      </c>
      <c r="DK994" s="4">
        <f>INDEX(Sheet2!$AA$2:$AS$228,QUOTIENT(ROW()-1,19)+1,MOD(ROW()-2,19)+1)</f>
        <v>41558.700000000004</v>
      </c>
      <c r="DL994">
        <f>IFERROR(INDEX(Sheet2!$AU$2:$BM$228,QUOTIENT(ROW()-1,19)+1,MOD(ROW()-2,19)+1),NA())</f>
        <v>0.25</v>
      </c>
      <c r="DM994" s="4" t="e">
        <f t="shared" si="66"/>
        <v>#N/A</v>
      </c>
      <c r="DN994" t="e">
        <f t="shared" si="67"/>
        <v>#N/A</v>
      </c>
      <c r="DO994" t="e">
        <f t="shared" si="68"/>
        <v>#N/A</v>
      </c>
    </row>
    <row r="995" spans="7:119" x14ac:dyDescent="0.25">
      <c r="G995"/>
      <c r="DI995" s="4">
        <f>INDEX(Sheet2!A:A,QUOTIENT(ROW()-1,19)+2)</f>
        <v>41255</v>
      </c>
      <c r="DJ995" s="4">
        <f>INDEX(Sheet2!C:C,QUOTIENT(ROW()-1,19)+2)</f>
        <v>41639</v>
      </c>
      <c r="DK995" s="4">
        <f>INDEX(Sheet2!$AA$2:$AS$228,QUOTIENT(ROW()-1,19)+1,MOD(ROW()-2,19)+1)</f>
        <v>41578.775000000001</v>
      </c>
      <c r="DL995">
        <f>IFERROR(INDEX(Sheet2!$AU$2:$BM$228,QUOTIENT(ROW()-1,19)+1,MOD(ROW()-2,19)+1),NA())</f>
        <v>0.25</v>
      </c>
      <c r="DM995" s="4" t="e">
        <f t="shared" si="66"/>
        <v>#N/A</v>
      </c>
      <c r="DN995" t="e">
        <f t="shared" si="67"/>
        <v>#N/A</v>
      </c>
      <c r="DO995" t="e">
        <f t="shared" si="68"/>
        <v>#N/A</v>
      </c>
    </row>
    <row r="996" spans="7:119" x14ac:dyDescent="0.25">
      <c r="G996"/>
      <c r="DI996" s="4">
        <f>INDEX(Sheet2!A:A,QUOTIENT(ROW()-1,19)+2)</f>
        <v>41255</v>
      </c>
      <c r="DJ996" s="4">
        <f>INDEX(Sheet2!C:C,QUOTIENT(ROW()-1,19)+2)</f>
        <v>41639</v>
      </c>
      <c r="DK996" s="4">
        <f>INDEX(Sheet2!$AA$2:$AS$228,QUOTIENT(ROW()-1,19)+1,MOD(ROW()-2,19)+1)</f>
        <v>41598.850000000006</v>
      </c>
      <c r="DL996">
        <f>IFERROR(INDEX(Sheet2!$AU$2:$BM$228,QUOTIENT(ROW()-1,19)+1,MOD(ROW()-2,19)+1),NA())</f>
        <v>0.25</v>
      </c>
      <c r="DM996" s="4" t="e">
        <f t="shared" si="66"/>
        <v>#N/A</v>
      </c>
      <c r="DN996" t="e">
        <f t="shared" si="67"/>
        <v>#N/A</v>
      </c>
      <c r="DO996" t="e">
        <f t="shared" si="68"/>
        <v>#N/A</v>
      </c>
    </row>
    <row r="997" spans="7:119" x14ac:dyDescent="0.25">
      <c r="G997"/>
      <c r="DI997" s="4">
        <f>INDEX(Sheet2!A:A,QUOTIENT(ROW()-1,19)+2)</f>
        <v>41255</v>
      </c>
      <c r="DJ997" s="4">
        <f>INDEX(Sheet2!C:C,QUOTIENT(ROW()-1,19)+2)</f>
        <v>41639</v>
      </c>
      <c r="DK997" s="4">
        <f>INDEX(Sheet2!$AA$2:$AS$228,QUOTIENT(ROW()-1,19)+1,MOD(ROW()-2,19)+1)</f>
        <v>41618.925000000003</v>
      </c>
      <c r="DL997">
        <f>IFERROR(INDEX(Sheet2!$AU$2:$BM$228,QUOTIENT(ROW()-1,19)+1,MOD(ROW()-2,19)+1),NA())</f>
        <v>0.25</v>
      </c>
      <c r="DM997" s="4" t="e">
        <f t="shared" si="66"/>
        <v>#N/A</v>
      </c>
      <c r="DN997" t="e">
        <f t="shared" si="67"/>
        <v>#N/A</v>
      </c>
      <c r="DO997" t="e">
        <f t="shared" si="68"/>
        <v>#N/A</v>
      </c>
    </row>
    <row r="998" spans="7:119" x14ac:dyDescent="0.25">
      <c r="G998"/>
      <c r="DI998" s="4">
        <f>INDEX(Sheet2!A:A,QUOTIENT(ROW()-1,19)+2)</f>
        <v>41255</v>
      </c>
      <c r="DJ998" s="4">
        <f>INDEX(Sheet2!C:C,QUOTIENT(ROW()-1,19)+2)</f>
        <v>41639</v>
      </c>
      <c r="DK998" s="4">
        <f>INDEX(Sheet2!$AA$2:$AS$228,QUOTIENT(ROW()-1,19)+1,MOD(ROW()-2,19)+1)</f>
        <v>41639.000000000007</v>
      </c>
      <c r="DL998">
        <f>IFERROR(INDEX(Sheet2!$AU$2:$BM$228,QUOTIENT(ROW()-1,19)+1,MOD(ROW()-2,19)+1),NA())</f>
        <v>0.25</v>
      </c>
      <c r="DM998" s="4" t="e">
        <f t="shared" si="66"/>
        <v>#N/A</v>
      </c>
      <c r="DN998" t="e">
        <f t="shared" si="67"/>
        <v>#N/A</v>
      </c>
      <c r="DO998" t="e">
        <f t="shared" si="68"/>
        <v>#N/A</v>
      </c>
    </row>
    <row r="999" spans="7:119" x14ac:dyDescent="0.25">
      <c r="G999"/>
      <c r="DI999" s="4">
        <f>INDEX(Sheet2!A:A,QUOTIENT(ROW()-1,19)+2)</f>
        <v>41255</v>
      </c>
      <c r="DJ999" s="4">
        <f>INDEX(Sheet2!C:C,QUOTIENT(ROW()-1,19)+2)</f>
        <v>41639</v>
      </c>
      <c r="DK999" s="4">
        <f>INDEX(Sheet2!$AA$2:$AS$228,QUOTIENT(ROW()-1,19)+1,MOD(ROW()-2,19)+1)</f>
        <v>41659.075000000004</v>
      </c>
      <c r="DL999">
        <f>IFERROR(INDEX(Sheet2!$AU$2:$BM$228,QUOTIENT(ROW()-1,19)+1,MOD(ROW()-2,19)+1),NA())</f>
        <v>0.25</v>
      </c>
      <c r="DM999" s="4" t="e">
        <f t="shared" si="66"/>
        <v>#N/A</v>
      </c>
      <c r="DN999" t="e">
        <f t="shared" si="67"/>
        <v>#N/A</v>
      </c>
      <c r="DO999" t="e">
        <f t="shared" si="68"/>
        <v>#N/A</v>
      </c>
    </row>
    <row r="1000" spans="7:119" x14ac:dyDescent="0.25">
      <c r="G1000"/>
      <c r="DI1000" s="4">
        <f>INDEX(Sheet2!A:A,QUOTIENT(ROW()-1,19)+2)</f>
        <v>41255</v>
      </c>
      <c r="DJ1000" s="4">
        <f>INDEX(Sheet2!C:C,QUOTIENT(ROW()-1,19)+2)</f>
        <v>41639</v>
      </c>
      <c r="DK1000" s="4">
        <f>INDEX(Sheet2!$AA$2:$AS$228,QUOTIENT(ROW()-1,19)+1,MOD(ROW()-2,19)+1)</f>
        <v>41679.15</v>
      </c>
      <c r="DL1000">
        <f>IFERROR(INDEX(Sheet2!$AU$2:$BM$228,QUOTIENT(ROW()-1,19)+1,MOD(ROW()-2,19)+1),NA())</f>
        <v>0.25</v>
      </c>
      <c r="DM1000" s="4" t="e">
        <f t="shared" si="66"/>
        <v>#N/A</v>
      </c>
      <c r="DN1000" t="e">
        <f t="shared" si="67"/>
        <v>#N/A</v>
      </c>
      <c r="DO1000" t="e">
        <f t="shared" si="68"/>
        <v>#N/A</v>
      </c>
    </row>
    <row r="1001" spans="7:119" x14ac:dyDescent="0.25">
      <c r="G1001"/>
      <c r="DI1001" s="4">
        <f>INDEX(Sheet2!A:A,QUOTIENT(ROW()-1,19)+2)</f>
        <v>41255</v>
      </c>
      <c r="DJ1001" s="4">
        <f>INDEX(Sheet2!C:C,QUOTIENT(ROW()-1,19)+2)</f>
        <v>41639</v>
      </c>
      <c r="DK1001" s="4">
        <f>INDEX(Sheet2!$AA$2:$AS$228,QUOTIENT(ROW()-1,19)+1,MOD(ROW()-2,19)+1)</f>
        <v>41699.225000000006</v>
      </c>
      <c r="DL1001">
        <f>IFERROR(INDEX(Sheet2!$AU$2:$BM$228,QUOTIENT(ROW()-1,19)+1,MOD(ROW()-2,19)+1),NA())</f>
        <v>0.25</v>
      </c>
      <c r="DM1001" s="4" t="e">
        <f t="shared" si="66"/>
        <v>#N/A</v>
      </c>
      <c r="DN1001" t="e">
        <f t="shared" si="67"/>
        <v>#N/A</v>
      </c>
      <c r="DO1001" t="e">
        <f t="shared" si="68"/>
        <v>#N/A</v>
      </c>
    </row>
    <row r="1002" spans="7:119" x14ac:dyDescent="0.25">
      <c r="G1002"/>
      <c r="DI1002" s="4">
        <f>INDEX(Sheet2!A:A,QUOTIENT(ROW()-1,19)+2)</f>
        <v>41255</v>
      </c>
      <c r="DJ1002" s="4">
        <f>INDEX(Sheet2!C:C,QUOTIENT(ROW()-1,19)+2)</f>
        <v>41639</v>
      </c>
      <c r="DK1002" s="4">
        <f>INDEX(Sheet2!$AA$2:$AS$228,QUOTIENT(ROW()-1,19)+1,MOD(ROW()-2,19)+1)</f>
        <v>41719.300000000003</v>
      </c>
      <c r="DL1002">
        <f>IFERROR(INDEX(Sheet2!$AU$2:$BM$228,QUOTIENT(ROW()-1,19)+1,MOD(ROW()-2,19)+1),NA())</f>
        <v>0.25</v>
      </c>
      <c r="DM1002" s="4" t="e">
        <f t="shared" si="66"/>
        <v>#N/A</v>
      </c>
      <c r="DN1002" t="e">
        <f t="shared" si="67"/>
        <v>#N/A</v>
      </c>
      <c r="DO1002" t="e">
        <f t="shared" si="68"/>
        <v>#N/A</v>
      </c>
    </row>
    <row r="1003" spans="7:119" x14ac:dyDescent="0.25">
      <c r="G1003"/>
      <c r="DI1003" s="4">
        <f>INDEX(Sheet2!A:A,QUOTIENT(ROW()-1,19)+2)</f>
        <v>41255</v>
      </c>
      <c r="DJ1003" s="4">
        <f>INDEX(Sheet2!C:C,QUOTIENT(ROW()-1,19)+2)</f>
        <v>41639</v>
      </c>
      <c r="DK1003" s="4">
        <f>INDEX(Sheet2!$AA$2:$AS$228,QUOTIENT(ROW()-1,19)+1,MOD(ROW()-2,19)+1)</f>
        <v>41739.375000000007</v>
      </c>
      <c r="DL1003">
        <f>IFERROR(INDEX(Sheet2!$AU$2:$BM$228,QUOTIENT(ROW()-1,19)+1,MOD(ROW()-2,19)+1),NA())</f>
        <v>0.25</v>
      </c>
      <c r="DM1003" s="4" t="e">
        <f t="shared" si="66"/>
        <v>#N/A</v>
      </c>
      <c r="DN1003" t="e">
        <f t="shared" si="67"/>
        <v>#N/A</v>
      </c>
      <c r="DO1003" t="e">
        <f t="shared" si="68"/>
        <v>#N/A</v>
      </c>
    </row>
    <row r="1004" spans="7:119" x14ac:dyDescent="0.25">
      <c r="G1004"/>
      <c r="DI1004" s="4">
        <f>INDEX(Sheet2!A:A,QUOTIENT(ROW()-1,19)+2)</f>
        <v>41255</v>
      </c>
      <c r="DJ1004" s="4">
        <f>INDEX(Sheet2!C:C,QUOTIENT(ROW()-1,19)+2)</f>
        <v>41639</v>
      </c>
      <c r="DK1004" s="4">
        <f>INDEX(Sheet2!$AA$2:$AS$228,QUOTIENT(ROW()-1,19)+1,MOD(ROW()-2,19)+1)</f>
        <v>41759.450000000004</v>
      </c>
      <c r="DL1004">
        <f>IFERROR(INDEX(Sheet2!$AU$2:$BM$228,QUOTIENT(ROW()-1,19)+1,MOD(ROW()-2,19)+1),NA())</f>
        <v>0.25</v>
      </c>
      <c r="DM1004" s="4" t="e">
        <f t="shared" si="66"/>
        <v>#N/A</v>
      </c>
      <c r="DN1004" t="e">
        <f t="shared" si="67"/>
        <v>#N/A</v>
      </c>
      <c r="DO1004" t="e">
        <f t="shared" si="68"/>
        <v>#N/A</v>
      </c>
    </row>
    <row r="1005" spans="7:119" x14ac:dyDescent="0.25">
      <c r="G1005"/>
      <c r="DI1005" s="4">
        <f>INDEX(Sheet2!A:A,QUOTIENT(ROW()-1,19)+2)</f>
        <v>41255</v>
      </c>
      <c r="DJ1005" s="4">
        <f>INDEX(Sheet2!C:C,QUOTIENT(ROW()-1,19)+2)</f>
        <v>41639</v>
      </c>
      <c r="DK1005" s="4">
        <f>INDEX(Sheet2!$AA$2:$AS$228,QUOTIENT(ROW()-1,19)+1,MOD(ROW()-2,19)+1)</f>
        <v>41779.525000000001</v>
      </c>
      <c r="DL1005">
        <f>IFERROR(INDEX(Sheet2!$AU$2:$BM$228,QUOTIENT(ROW()-1,19)+1,MOD(ROW()-2,19)+1),NA())</f>
        <v>0.25</v>
      </c>
      <c r="DM1005" s="4" t="e">
        <f t="shared" si="66"/>
        <v>#N/A</v>
      </c>
      <c r="DN1005" t="e">
        <f t="shared" si="67"/>
        <v>#N/A</v>
      </c>
      <c r="DO1005" t="e">
        <f t="shared" si="68"/>
        <v>#N/A</v>
      </c>
    </row>
    <row r="1006" spans="7:119" x14ac:dyDescent="0.25">
      <c r="G1006"/>
      <c r="DI1006" s="4">
        <f>INDEX(Sheet2!A:A,QUOTIENT(ROW()-1,19)+2)</f>
        <v>41255</v>
      </c>
      <c r="DJ1006" s="4">
        <f>INDEX(Sheet2!C:C,QUOTIENT(ROW()-1,19)+2)</f>
        <v>41639</v>
      </c>
      <c r="DK1006" s="4">
        <f>INDEX(Sheet2!$AA$2:$AS$228,QUOTIENT(ROW()-1,19)+1,MOD(ROW()-2,19)+1)</f>
        <v>41799.600000000006</v>
      </c>
      <c r="DL1006">
        <f>IFERROR(INDEX(Sheet2!$AU$2:$BM$228,QUOTIENT(ROW()-1,19)+1,MOD(ROW()-2,19)+1),NA())</f>
        <v>0.25</v>
      </c>
      <c r="DM1006" s="4" t="e">
        <f t="shared" si="66"/>
        <v>#N/A</v>
      </c>
      <c r="DN1006" t="e">
        <f t="shared" si="67"/>
        <v>#N/A</v>
      </c>
      <c r="DO1006" t="e">
        <f t="shared" si="68"/>
        <v>#N/A</v>
      </c>
    </row>
    <row r="1007" spans="7:119" x14ac:dyDescent="0.25">
      <c r="G1007"/>
      <c r="DI1007" s="4">
        <f>INDEX(Sheet2!A:A,QUOTIENT(ROW()-1,19)+2)</f>
        <v>41255</v>
      </c>
      <c r="DJ1007" s="4">
        <f>INDEX(Sheet2!C:C,QUOTIENT(ROW()-1,19)+2)</f>
        <v>41639</v>
      </c>
      <c r="DK1007" s="4" t="e">
        <f>INDEX(Sheet2!$AA$2:$AS$228,QUOTIENT(ROW()-1,19)+1,MOD(ROW()-2,19)+1)</f>
        <v>#N/A</v>
      </c>
      <c r="DL1007" t="str">
        <f>IFERROR(INDEX(Sheet2!$AU$2:$BM$228,QUOTIENT(ROW()-1,19)+1,MOD(ROW()-2,19)+1),NA())</f>
        <v/>
      </c>
      <c r="DM1007" s="4" t="e">
        <f t="shared" si="66"/>
        <v>#N/A</v>
      </c>
      <c r="DN1007" t="e">
        <f t="shared" si="67"/>
        <v>#N/A</v>
      </c>
      <c r="DO1007" t="e">
        <f t="shared" si="68"/>
        <v>#N/A</v>
      </c>
    </row>
    <row r="1008" spans="7:119" x14ac:dyDescent="0.25">
      <c r="G1008"/>
      <c r="DI1008" s="4">
        <f>INDEX(Sheet2!A:A,QUOTIENT(ROW()-1,19)+2)</f>
        <v>41255</v>
      </c>
      <c r="DJ1008" s="4">
        <f>INDEX(Sheet2!C:C,QUOTIENT(ROW()-1,19)+2)</f>
        <v>41639</v>
      </c>
      <c r="DK1008" s="4" t="e">
        <f>INDEX(Sheet2!$AA$2:$AS$228,QUOTIENT(ROW()-1,19)+1,MOD(ROW()-2,19)+1)</f>
        <v>#N/A</v>
      </c>
      <c r="DL1008" t="str">
        <f>IFERROR(INDEX(Sheet2!$AU$2:$BM$228,QUOTIENT(ROW()-1,19)+1,MOD(ROW()-2,19)+1),NA())</f>
        <v/>
      </c>
      <c r="DM1008" s="4" t="e">
        <f t="shared" si="66"/>
        <v>#N/A</v>
      </c>
      <c r="DN1008" t="e">
        <f t="shared" si="67"/>
        <v>#N/A</v>
      </c>
      <c r="DO1008" t="e">
        <f t="shared" si="68"/>
        <v>#N/A</v>
      </c>
    </row>
    <row r="1009" spans="7:119" x14ac:dyDescent="0.25">
      <c r="G1009"/>
      <c r="DI1009" s="4">
        <f>INDEX(Sheet2!A:A,QUOTIENT(ROW()-1,19)+2)</f>
        <v>41255</v>
      </c>
      <c r="DJ1009" s="4">
        <f>INDEX(Sheet2!C:C,QUOTIENT(ROW()-1,19)+2)</f>
        <v>41639</v>
      </c>
      <c r="DK1009" s="4">
        <f>INDEX(Sheet2!$AA$2:$AS$228,QUOTIENT(ROW()-1,19)+1,MOD(ROW()-2,19)+1)</f>
        <v>41639</v>
      </c>
      <c r="DL1009">
        <f>IFERROR(INDEX(Sheet2!$AU$2:$BM$228,QUOTIENT(ROW()-1,19)+1,MOD(ROW()-2,19)+1),NA())</f>
        <v>0.5</v>
      </c>
      <c r="DM1009" s="4" t="e">
        <f t="shared" si="66"/>
        <v>#N/A</v>
      </c>
      <c r="DN1009" t="e">
        <f t="shared" si="67"/>
        <v>#N/A</v>
      </c>
      <c r="DO1009" t="e">
        <f t="shared" si="68"/>
        <v>#N/A</v>
      </c>
    </row>
    <row r="1010" spans="7:119" x14ac:dyDescent="0.25">
      <c r="G1010"/>
      <c r="DI1010" s="4">
        <f>INDEX(Sheet2!A:A,QUOTIENT(ROW()-1,19)+2)</f>
        <v>41255</v>
      </c>
      <c r="DJ1010" s="4">
        <f>INDEX(Sheet2!C:C,QUOTIENT(ROW()-1,19)+2)</f>
        <v>41639</v>
      </c>
      <c r="DK1010" s="4" t="e">
        <f>INDEX(Sheet2!$AA$2:$AS$228,QUOTIENT(ROW()-1,19)+1,MOD(ROW()-2,19)+1)</f>
        <v>#N/A</v>
      </c>
      <c r="DL1010" t="str">
        <f>IFERROR(INDEX(Sheet2!$AU$2:$BM$228,QUOTIENT(ROW()-1,19)+1,MOD(ROW()-2,19)+1),NA())</f>
        <v/>
      </c>
      <c r="DM1010" s="4" t="e">
        <f t="shared" si="66"/>
        <v>#N/A</v>
      </c>
      <c r="DN1010" t="e">
        <f t="shared" si="67"/>
        <v>#N/A</v>
      </c>
      <c r="DO1010" t="e">
        <f t="shared" si="68"/>
        <v>#N/A</v>
      </c>
    </row>
    <row r="1011" spans="7:119" x14ac:dyDescent="0.25">
      <c r="G1011"/>
      <c r="DI1011" s="4">
        <f>INDEX(Sheet2!A:A,QUOTIENT(ROW()-1,19)+2)</f>
        <v>41255</v>
      </c>
      <c r="DJ1011" s="4">
        <f>INDEX(Sheet2!C:C,QUOTIENT(ROW()-1,19)+2)</f>
        <v>41639</v>
      </c>
      <c r="DK1011" s="4" t="e">
        <f>INDEX(Sheet2!$AA$2:$AS$228,QUOTIENT(ROW()-1,19)+1,MOD(ROW()-2,19)+1)</f>
        <v>#N/A</v>
      </c>
      <c r="DL1011" t="str">
        <f>IFERROR(INDEX(Sheet2!$AU$2:$BM$228,QUOTIENT(ROW()-1,19)+1,MOD(ROW()-2,19)+1),NA())</f>
        <v/>
      </c>
      <c r="DM1011" s="4" t="e">
        <f t="shared" si="66"/>
        <v>#N/A</v>
      </c>
      <c r="DN1011" t="e">
        <f t="shared" si="67"/>
        <v>#N/A</v>
      </c>
      <c r="DO1011" t="e">
        <f t="shared" si="68"/>
        <v>#N/A</v>
      </c>
    </row>
    <row r="1012" spans="7:119" x14ac:dyDescent="0.25">
      <c r="G1012"/>
      <c r="DI1012" s="4">
        <f>INDEX(Sheet2!A:A,QUOTIENT(ROW()-1,19)+2)</f>
        <v>41255</v>
      </c>
      <c r="DJ1012" s="4">
        <f>INDEX(Sheet2!C:C,QUOTIENT(ROW()-1,19)+2)</f>
        <v>41639</v>
      </c>
      <c r="DK1012" s="4" t="e">
        <f>INDEX(Sheet2!$AA$2:$AS$228,QUOTIENT(ROW()-1,19)+1,MOD(ROW()-2,19)+1)</f>
        <v>#N/A</v>
      </c>
      <c r="DL1012" t="str">
        <f>IFERROR(INDEX(Sheet2!$AU$2:$BM$228,QUOTIENT(ROW()-1,19)+1,MOD(ROW()-2,19)+1),NA())</f>
        <v/>
      </c>
      <c r="DM1012" s="4" t="e">
        <f t="shared" si="66"/>
        <v>#N/A</v>
      </c>
      <c r="DN1012" t="e">
        <f t="shared" si="67"/>
        <v>#N/A</v>
      </c>
      <c r="DO1012" t="e">
        <f t="shared" si="68"/>
        <v>#N/A</v>
      </c>
    </row>
    <row r="1013" spans="7:119" x14ac:dyDescent="0.25">
      <c r="G1013"/>
      <c r="DI1013" s="4">
        <f>INDEX(Sheet2!A:A,QUOTIENT(ROW()-1,19)+2)</f>
        <v>41255</v>
      </c>
      <c r="DJ1013" s="4">
        <f>INDEX(Sheet2!C:C,QUOTIENT(ROW()-1,19)+2)</f>
        <v>41639</v>
      </c>
      <c r="DK1013" s="4" t="e">
        <f>INDEX(Sheet2!$AA$2:$AS$228,QUOTIENT(ROW()-1,19)+1,MOD(ROW()-2,19)+1)</f>
        <v>#N/A</v>
      </c>
      <c r="DL1013" t="str">
        <f>IFERROR(INDEX(Sheet2!$AU$2:$BM$228,QUOTIENT(ROW()-1,19)+1,MOD(ROW()-2,19)+1),NA())</f>
        <v/>
      </c>
      <c r="DM1013" s="4" t="e">
        <f t="shared" si="66"/>
        <v>#N/A</v>
      </c>
      <c r="DN1013" t="e">
        <f t="shared" si="67"/>
        <v>#N/A</v>
      </c>
      <c r="DO1013" t="e">
        <f t="shared" si="68"/>
        <v>#N/A</v>
      </c>
    </row>
    <row r="1014" spans="7:119" x14ac:dyDescent="0.25">
      <c r="G1014"/>
      <c r="DI1014" s="4">
        <f>INDEX(Sheet2!A:A,QUOTIENT(ROW()-1,19)+2)</f>
        <v>41255</v>
      </c>
      <c r="DJ1014" s="4">
        <f>INDEX(Sheet2!C:C,QUOTIENT(ROW()-1,19)+2)</f>
        <v>41639</v>
      </c>
      <c r="DK1014" s="4" t="e">
        <f>INDEX(Sheet2!$AA$2:$AS$228,QUOTIENT(ROW()-1,19)+1,MOD(ROW()-2,19)+1)</f>
        <v>#N/A</v>
      </c>
      <c r="DL1014" t="str">
        <f>IFERROR(INDEX(Sheet2!$AU$2:$BM$228,QUOTIENT(ROW()-1,19)+1,MOD(ROW()-2,19)+1),NA())</f>
        <v/>
      </c>
      <c r="DM1014" s="4" t="e">
        <f t="shared" si="66"/>
        <v>#N/A</v>
      </c>
      <c r="DN1014" t="e">
        <f t="shared" si="67"/>
        <v>#N/A</v>
      </c>
      <c r="DO1014" t="e">
        <f t="shared" si="68"/>
        <v>#N/A</v>
      </c>
    </row>
    <row r="1015" spans="7:119" x14ac:dyDescent="0.25">
      <c r="G1015"/>
      <c r="DI1015" s="4">
        <f>INDEX(Sheet2!A:A,QUOTIENT(ROW()-1,19)+2)</f>
        <v>41255</v>
      </c>
      <c r="DJ1015" s="4">
        <f>INDEX(Sheet2!C:C,QUOTIENT(ROW()-1,19)+2)</f>
        <v>41639</v>
      </c>
      <c r="DK1015" s="4" t="e">
        <f>INDEX(Sheet2!$AA$2:$AS$228,QUOTIENT(ROW()-1,19)+1,MOD(ROW()-2,19)+1)</f>
        <v>#N/A</v>
      </c>
      <c r="DL1015" t="str">
        <f>IFERROR(INDEX(Sheet2!$AU$2:$BM$228,QUOTIENT(ROW()-1,19)+1,MOD(ROW()-2,19)+1),NA())</f>
        <v/>
      </c>
      <c r="DM1015" s="4" t="e">
        <f t="shared" si="66"/>
        <v>#N/A</v>
      </c>
      <c r="DN1015" t="e">
        <f t="shared" si="67"/>
        <v>#N/A</v>
      </c>
      <c r="DO1015" t="e">
        <f t="shared" si="68"/>
        <v>#N/A</v>
      </c>
    </row>
    <row r="1016" spans="7:119" x14ac:dyDescent="0.25">
      <c r="G1016"/>
      <c r="DI1016" s="4">
        <f>INDEX(Sheet2!A:A,QUOTIENT(ROW()-1,19)+2)</f>
        <v>41255</v>
      </c>
      <c r="DJ1016" s="4">
        <f>INDEX(Sheet2!C:C,QUOTIENT(ROW()-1,19)+2)</f>
        <v>41639</v>
      </c>
      <c r="DK1016" s="4" t="e">
        <f>INDEX(Sheet2!$AA$2:$AS$228,QUOTIENT(ROW()-1,19)+1,MOD(ROW()-2,19)+1)</f>
        <v>#N/A</v>
      </c>
      <c r="DL1016" t="str">
        <f>IFERROR(INDEX(Sheet2!$AU$2:$BM$228,QUOTIENT(ROW()-1,19)+1,MOD(ROW()-2,19)+1),NA())</f>
        <v/>
      </c>
      <c r="DM1016" s="4" t="e">
        <f t="shared" si="66"/>
        <v>#N/A</v>
      </c>
      <c r="DN1016" t="e">
        <f t="shared" si="67"/>
        <v>#N/A</v>
      </c>
      <c r="DO1016" t="e">
        <f t="shared" si="68"/>
        <v>#N/A</v>
      </c>
    </row>
    <row r="1017" spans="7:119" x14ac:dyDescent="0.25">
      <c r="G1017"/>
      <c r="DI1017" s="4">
        <f>INDEX(Sheet2!A:A,QUOTIENT(ROW()-1,19)+2)</f>
        <v>41255</v>
      </c>
      <c r="DJ1017" s="4">
        <f>INDEX(Sheet2!C:C,QUOTIENT(ROW()-1,19)+2)</f>
        <v>41639</v>
      </c>
      <c r="DK1017" s="4" t="e">
        <f>INDEX(Sheet2!$AA$2:$AS$228,QUOTIENT(ROW()-1,19)+1,MOD(ROW()-2,19)+1)</f>
        <v>#N/A</v>
      </c>
      <c r="DL1017" t="str">
        <f>IFERROR(INDEX(Sheet2!$AU$2:$BM$228,QUOTIENT(ROW()-1,19)+1,MOD(ROW()-2,19)+1),NA())</f>
        <v/>
      </c>
      <c r="DM1017" s="4" t="e">
        <f t="shared" si="66"/>
        <v>#N/A</v>
      </c>
      <c r="DN1017" t="e">
        <f t="shared" si="67"/>
        <v>#N/A</v>
      </c>
      <c r="DO1017" t="e">
        <f t="shared" si="68"/>
        <v>#N/A</v>
      </c>
    </row>
    <row r="1018" spans="7:119" x14ac:dyDescent="0.25">
      <c r="G1018"/>
      <c r="DI1018" s="4">
        <f>INDEX(Sheet2!A:A,QUOTIENT(ROW()-1,19)+2)</f>
        <v>41255</v>
      </c>
      <c r="DJ1018" s="4">
        <f>INDEX(Sheet2!C:C,QUOTIENT(ROW()-1,19)+2)</f>
        <v>41639</v>
      </c>
      <c r="DK1018" s="4" t="e">
        <f>INDEX(Sheet2!$AA$2:$AS$228,QUOTIENT(ROW()-1,19)+1,MOD(ROW()-2,19)+1)</f>
        <v>#N/A</v>
      </c>
      <c r="DL1018" t="str">
        <f>IFERROR(INDEX(Sheet2!$AU$2:$BM$228,QUOTIENT(ROW()-1,19)+1,MOD(ROW()-2,19)+1),NA())</f>
        <v/>
      </c>
      <c r="DM1018" s="4" t="e">
        <f t="shared" si="66"/>
        <v>#N/A</v>
      </c>
      <c r="DN1018" t="e">
        <f t="shared" si="67"/>
        <v>#N/A</v>
      </c>
      <c r="DO1018" t="e">
        <f t="shared" si="68"/>
        <v>#N/A</v>
      </c>
    </row>
    <row r="1019" spans="7:119" x14ac:dyDescent="0.25">
      <c r="G1019"/>
      <c r="DI1019" s="4">
        <f>INDEX(Sheet2!A:A,QUOTIENT(ROW()-1,19)+2)</f>
        <v>41255</v>
      </c>
      <c r="DJ1019" s="4">
        <f>INDEX(Sheet2!C:C,QUOTIENT(ROW()-1,19)+2)</f>
        <v>41639</v>
      </c>
      <c r="DK1019" s="4" t="e">
        <f>INDEX(Sheet2!$AA$2:$AS$228,QUOTIENT(ROW()-1,19)+1,MOD(ROW()-2,19)+1)</f>
        <v>#N/A</v>
      </c>
      <c r="DL1019" t="str">
        <f>IFERROR(INDEX(Sheet2!$AU$2:$BM$228,QUOTIENT(ROW()-1,19)+1,MOD(ROW()-2,19)+1),NA())</f>
        <v/>
      </c>
      <c r="DM1019" s="4" t="e">
        <f t="shared" si="66"/>
        <v>#N/A</v>
      </c>
      <c r="DN1019" t="e">
        <f t="shared" si="67"/>
        <v>#N/A</v>
      </c>
      <c r="DO1019" t="e">
        <f t="shared" si="68"/>
        <v>#N/A</v>
      </c>
    </row>
    <row r="1020" spans="7:119" x14ac:dyDescent="0.25">
      <c r="G1020"/>
      <c r="DI1020" s="4">
        <f>INDEX(Sheet2!A:A,QUOTIENT(ROW()-1,19)+2)</f>
        <v>41255</v>
      </c>
      <c r="DJ1020" s="4">
        <f>INDEX(Sheet2!C:C,QUOTIENT(ROW()-1,19)+2)</f>
        <v>41639</v>
      </c>
      <c r="DK1020" s="4" t="e">
        <f>INDEX(Sheet2!$AA$2:$AS$228,QUOTIENT(ROW()-1,19)+1,MOD(ROW()-2,19)+1)</f>
        <v>#N/A</v>
      </c>
      <c r="DL1020" t="str">
        <f>IFERROR(INDEX(Sheet2!$AU$2:$BM$228,QUOTIENT(ROW()-1,19)+1,MOD(ROW()-2,19)+1),NA())</f>
        <v/>
      </c>
      <c r="DM1020" s="4" t="e">
        <f t="shared" si="66"/>
        <v>#N/A</v>
      </c>
      <c r="DN1020" t="e">
        <f t="shared" si="67"/>
        <v>#N/A</v>
      </c>
      <c r="DO1020" t="e">
        <f t="shared" si="68"/>
        <v>#N/A</v>
      </c>
    </row>
    <row r="1021" spans="7:119" x14ac:dyDescent="0.25">
      <c r="G1021"/>
      <c r="DI1021" s="4">
        <f>INDEX(Sheet2!A:A,QUOTIENT(ROW()-1,19)+2)</f>
        <v>41255</v>
      </c>
      <c r="DJ1021" s="4">
        <f>INDEX(Sheet2!C:C,QUOTIENT(ROW()-1,19)+2)</f>
        <v>41639</v>
      </c>
      <c r="DK1021" s="4" t="e">
        <f>INDEX(Sheet2!$AA$2:$AS$228,QUOTIENT(ROW()-1,19)+1,MOD(ROW()-2,19)+1)</f>
        <v>#N/A</v>
      </c>
      <c r="DL1021" t="str">
        <f>IFERROR(INDEX(Sheet2!$AU$2:$BM$228,QUOTIENT(ROW()-1,19)+1,MOD(ROW()-2,19)+1),NA())</f>
        <v/>
      </c>
      <c r="DM1021" s="4" t="e">
        <f t="shared" si="66"/>
        <v>#N/A</v>
      </c>
      <c r="DN1021" t="e">
        <f t="shared" si="67"/>
        <v>#N/A</v>
      </c>
      <c r="DO1021" t="e">
        <f t="shared" si="68"/>
        <v>#N/A</v>
      </c>
    </row>
    <row r="1022" spans="7:119" x14ac:dyDescent="0.25">
      <c r="G1022"/>
      <c r="DI1022" s="4">
        <f>INDEX(Sheet2!A:A,QUOTIENT(ROW()-1,19)+2)</f>
        <v>41255</v>
      </c>
      <c r="DJ1022" s="4">
        <f>INDEX(Sheet2!C:C,QUOTIENT(ROW()-1,19)+2)</f>
        <v>41639</v>
      </c>
      <c r="DK1022" s="4" t="e">
        <f>INDEX(Sheet2!$AA$2:$AS$228,QUOTIENT(ROW()-1,19)+1,MOD(ROW()-2,19)+1)</f>
        <v>#N/A</v>
      </c>
      <c r="DL1022" t="str">
        <f>IFERROR(INDEX(Sheet2!$AU$2:$BM$228,QUOTIENT(ROW()-1,19)+1,MOD(ROW()-2,19)+1),NA())</f>
        <v/>
      </c>
      <c r="DM1022" s="4" t="e">
        <f t="shared" si="66"/>
        <v>#N/A</v>
      </c>
      <c r="DN1022" t="e">
        <f t="shared" si="67"/>
        <v>#N/A</v>
      </c>
      <c r="DO1022" t="e">
        <f t="shared" si="68"/>
        <v>#N/A</v>
      </c>
    </row>
    <row r="1023" spans="7:119" x14ac:dyDescent="0.25">
      <c r="G1023"/>
      <c r="DI1023" s="4">
        <f>INDEX(Sheet2!A:A,QUOTIENT(ROW()-1,19)+2)</f>
        <v>41255</v>
      </c>
      <c r="DJ1023" s="4">
        <f>INDEX(Sheet2!C:C,QUOTIENT(ROW()-1,19)+2)</f>
        <v>41639</v>
      </c>
      <c r="DK1023" s="4" t="e">
        <f>INDEX(Sheet2!$AA$2:$AS$228,QUOTIENT(ROW()-1,19)+1,MOD(ROW()-2,19)+1)</f>
        <v>#N/A</v>
      </c>
      <c r="DL1023" t="str">
        <f>IFERROR(INDEX(Sheet2!$AU$2:$BM$228,QUOTIENT(ROW()-1,19)+1,MOD(ROW()-2,19)+1),NA())</f>
        <v/>
      </c>
      <c r="DM1023" s="4" t="e">
        <f t="shared" si="66"/>
        <v>#N/A</v>
      </c>
      <c r="DN1023" t="e">
        <f t="shared" si="67"/>
        <v>#N/A</v>
      </c>
      <c r="DO1023" t="e">
        <f t="shared" si="68"/>
        <v>#N/A</v>
      </c>
    </row>
    <row r="1024" spans="7:119" x14ac:dyDescent="0.25">
      <c r="G1024"/>
      <c r="DI1024" s="4">
        <f>INDEX(Sheet2!A:A,QUOTIENT(ROW()-1,19)+2)</f>
        <v>41255</v>
      </c>
      <c r="DJ1024" s="4">
        <f>INDEX(Sheet2!C:C,QUOTIENT(ROW()-1,19)+2)</f>
        <v>41639</v>
      </c>
      <c r="DK1024" s="4" t="e">
        <f>INDEX(Sheet2!$AA$2:$AS$228,QUOTIENT(ROW()-1,19)+1,MOD(ROW()-2,19)+1)</f>
        <v>#N/A</v>
      </c>
      <c r="DL1024" t="str">
        <f>IFERROR(INDEX(Sheet2!$AU$2:$BM$228,QUOTIENT(ROW()-1,19)+1,MOD(ROW()-2,19)+1),NA())</f>
        <v/>
      </c>
      <c r="DM1024" s="4" t="e">
        <f t="shared" si="66"/>
        <v>#N/A</v>
      </c>
      <c r="DN1024" t="e">
        <f t="shared" si="67"/>
        <v>#N/A</v>
      </c>
      <c r="DO1024" t="e">
        <f t="shared" si="68"/>
        <v>#N/A</v>
      </c>
    </row>
    <row r="1025" spans="7:119" x14ac:dyDescent="0.25">
      <c r="G1025"/>
      <c r="DI1025" s="4">
        <f>INDEX(Sheet2!A:A,QUOTIENT(ROW()-1,19)+2)</f>
        <v>41255</v>
      </c>
      <c r="DJ1025" s="4">
        <f>INDEX(Sheet2!C:C,QUOTIENT(ROW()-1,19)+2)</f>
        <v>41639</v>
      </c>
      <c r="DK1025" s="4" t="e">
        <f>INDEX(Sheet2!$AA$2:$AS$228,QUOTIENT(ROW()-1,19)+1,MOD(ROW()-2,19)+1)</f>
        <v>#N/A</v>
      </c>
      <c r="DL1025" t="str">
        <f>IFERROR(INDEX(Sheet2!$AU$2:$BM$228,QUOTIENT(ROW()-1,19)+1,MOD(ROW()-2,19)+1),NA())</f>
        <v/>
      </c>
      <c r="DM1025" s="4" t="e">
        <f t="shared" si="66"/>
        <v>#N/A</v>
      </c>
      <c r="DN1025" t="e">
        <f t="shared" si="67"/>
        <v>#N/A</v>
      </c>
      <c r="DO1025" t="e">
        <f t="shared" si="68"/>
        <v>#N/A</v>
      </c>
    </row>
    <row r="1026" spans="7:119" x14ac:dyDescent="0.25">
      <c r="G1026"/>
      <c r="DI1026" s="4">
        <f>INDEX(Sheet2!A:A,QUOTIENT(ROW()-1,19)+2)</f>
        <v>41255</v>
      </c>
      <c r="DJ1026" s="4">
        <f>INDEX(Sheet2!C:C,QUOTIENT(ROW()-1,19)+2)</f>
        <v>41639</v>
      </c>
      <c r="DK1026" s="4" t="e">
        <f>INDEX(Sheet2!$AA$2:$AS$228,QUOTIENT(ROW()-1,19)+1,MOD(ROW()-2,19)+1)</f>
        <v>#N/A</v>
      </c>
      <c r="DL1026" t="str">
        <f>IFERROR(INDEX(Sheet2!$AU$2:$BM$228,QUOTIENT(ROW()-1,19)+1,MOD(ROW()-2,19)+1),NA())</f>
        <v/>
      </c>
      <c r="DM1026" s="4" t="e">
        <f t="shared" ref="DM1026:DM1089" si="69">+IF($C$2=$DI1026,DK1026,NA())</f>
        <v>#N/A</v>
      </c>
      <c r="DN1026" t="e">
        <f t="shared" ref="DN1026:DN1089" si="70">+IF($C$2=$DI1026,DL1026,NA())</f>
        <v>#N/A</v>
      </c>
      <c r="DO1026" t="e">
        <f t="shared" si="68"/>
        <v>#N/A</v>
      </c>
    </row>
    <row r="1027" spans="7:119" x14ac:dyDescent="0.25">
      <c r="G1027"/>
      <c r="DI1027" s="4">
        <f>INDEX(Sheet2!A:A,QUOTIENT(ROW()-1,19)+2)</f>
        <v>41255</v>
      </c>
      <c r="DJ1027" s="4">
        <f>INDEX(Sheet2!C:C,QUOTIENT(ROW()-1,19)+2)</f>
        <v>41639</v>
      </c>
      <c r="DK1027" s="4" t="e">
        <f>INDEX(Sheet2!$AA$2:$AS$228,QUOTIENT(ROW()-1,19)+1,MOD(ROW()-2,19)+1)</f>
        <v>#N/A</v>
      </c>
      <c r="DL1027" t="str">
        <f>IFERROR(INDEX(Sheet2!$AU$2:$BM$228,QUOTIENT(ROW()-1,19)+1,MOD(ROW()-2,19)+1),NA())</f>
        <v/>
      </c>
      <c r="DM1027" s="4" t="e">
        <f t="shared" si="69"/>
        <v>#N/A</v>
      </c>
      <c r="DN1027" t="e">
        <f t="shared" si="70"/>
        <v>#N/A</v>
      </c>
      <c r="DO1027" t="e">
        <f t="shared" ref="DO1027:DO1090" si="71">IF(DN1027="",NA(),DN1027)</f>
        <v>#N/A</v>
      </c>
    </row>
    <row r="1028" spans="7:119" x14ac:dyDescent="0.25">
      <c r="G1028"/>
      <c r="DI1028" s="4">
        <f>INDEX(Sheet2!A:A,QUOTIENT(ROW()-1,19)+2)</f>
        <v>41255</v>
      </c>
      <c r="DJ1028" s="4">
        <f>INDEX(Sheet2!C:C,QUOTIENT(ROW()-1,19)+2)</f>
        <v>41639</v>
      </c>
      <c r="DK1028" s="4">
        <f>INDEX(Sheet2!$AA$2:$AS$228,QUOTIENT(ROW()-1,19)+1,MOD(ROW()-2,19)+1)</f>
        <v>41639</v>
      </c>
      <c r="DL1028">
        <f>IFERROR(INDEX(Sheet2!$AU$2:$BM$228,QUOTIENT(ROW()-1,19)+1,MOD(ROW()-2,19)+1),NA())</f>
        <v>1</v>
      </c>
      <c r="DM1028" s="4" t="e">
        <f t="shared" si="69"/>
        <v>#N/A</v>
      </c>
      <c r="DN1028" t="e">
        <f t="shared" si="70"/>
        <v>#N/A</v>
      </c>
      <c r="DO1028" t="e">
        <f t="shared" si="71"/>
        <v>#N/A</v>
      </c>
    </row>
    <row r="1029" spans="7:119" x14ac:dyDescent="0.25">
      <c r="G1029"/>
      <c r="DI1029" s="4">
        <f>INDEX(Sheet2!A:A,QUOTIENT(ROW()-1,19)+2)</f>
        <v>41255</v>
      </c>
      <c r="DJ1029" s="4">
        <f>INDEX(Sheet2!C:C,QUOTIENT(ROW()-1,19)+2)</f>
        <v>41639</v>
      </c>
      <c r="DK1029" s="4" t="e">
        <f>INDEX(Sheet2!$AA$2:$AS$228,QUOTIENT(ROW()-1,19)+1,MOD(ROW()-2,19)+1)</f>
        <v>#N/A</v>
      </c>
      <c r="DL1029" t="str">
        <f>IFERROR(INDEX(Sheet2!$AU$2:$BM$228,QUOTIENT(ROW()-1,19)+1,MOD(ROW()-2,19)+1),NA())</f>
        <v/>
      </c>
      <c r="DM1029" s="4" t="e">
        <f t="shared" si="69"/>
        <v>#N/A</v>
      </c>
      <c r="DN1029" t="e">
        <f t="shared" si="70"/>
        <v>#N/A</v>
      </c>
      <c r="DO1029" t="e">
        <f t="shared" si="71"/>
        <v>#N/A</v>
      </c>
    </row>
    <row r="1030" spans="7:119" x14ac:dyDescent="0.25">
      <c r="G1030"/>
      <c r="DI1030" s="4">
        <f>INDEX(Sheet2!A:A,QUOTIENT(ROW()-1,19)+2)</f>
        <v>41255</v>
      </c>
      <c r="DJ1030" s="4">
        <f>INDEX(Sheet2!C:C,QUOTIENT(ROW()-1,19)+2)</f>
        <v>41639</v>
      </c>
      <c r="DK1030" s="4" t="e">
        <f>INDEX(Sheet2!$AA$2:$AS$228,QUOTIENT(ROW()-1,19)+1,MOD(ROW()-2,19)+1)</f>
        <v>#N/A</v>
      </c>
      <c r="DL1030" t="str">
        <f>IFERROR(INDEX(Sheet2!$AU$2:$BM$228,QUOTIENT(ROW()-1,19)+1,MOD(ROW()-2,19)+1),NA())</f>
        <v/>
      </c>
      <c r="DM1030" s="4" t="e">
        <f t="shared" si="69"/>
        <v>#N/A</v>
      </c>
      <c r="DN1030" t="e">
        <f t="shared" si="70"/>
        <v>#N/A</v>
      </c>
      <c r="DO1030" t="e">
        <f t="shared" si="71"/>
        <v>#N/A</v>
      </c>
    </row>
    <row r="1031" spans="7:119" x14ac:dyDescent="0.25">
      <c r="G1031"/>
      <c r="DI1031" s="4">
        <f>INDEX(Sheet2!A:A,QUOTIENT(ROW()-1,19)+2)</f>
        <v>41255</v>
      </c>
      <c r="DJ1031" s="4">
        <f>INDEX(Sheet2!C:C,QUOTIENT(ROW()-1,19)+2)</f>
        <v>41639</v>
      </c>
      <c r="DK1031" s="4" t="e">
        <f>INDEX(Sheet2!$AA$2:$AS$228,QUOTIENT(ROW()-1,19)+1,MOD(ROW()-2,19)+1)</f>
        <v>#N/A</v>
      </c>
      <c r="DL1031" t="str">
        <f>IFERROR(INDEX(Sheet2!$AU$2:$BM$228,QUOTIENT(ROW()-1,19)+1,MOD(ROW()-2,19)+1),NA())</f>
        <v/>
      </c>
      <c r="DM1031" s="4" t="e">
        <f t="shared" si="69"/>
        <v>#N/A</v>
      </c>
      <c r="DN1031" t="e">
        <f t="shared" si="70"/>
        <v>#N/A</v>
      </c>
      <c r="DO1031" t="e">
        <f t="shared" si="71"/>
        <v>#N/A</v>
      </c>
    </row>
    <row r="1032" spans="7:119" x14ac:dyDescent="0.25">
      <c r="G1032"/>
      <c r="DI1032" s="4">
        <f>INDEX(Sheet2!A:A,QUOTIENT(ROW()-1,19)+2)</f>
        <v>41255</v>
      </c>
      <c r="DJ1032" s="4">
        <f>INDEX(Sheet2!C:C,QUOTIENT(ROW()-1,19)+2)</f>
        <v>41639</v>
      </c>
      <c r="DK1032" s="4" t="e">
        <f>INDEX(Sheet2!$AA$2:$AS$228,QUOTIENT(ROW()-1,19)+1,MOD(ROW()-2,19)+1)</f>
        <v>#N/A</v>
      </c>
      <c r="DL1032" t="str">
        <f>IFERROR(INDEX(Sheet2!$AU$2:$BM$228,QUOTIENT(ROW()-1,19)+1,MOD(ROW()-2,19)+1),NA())</f>
        <v/>
      </c>
      <c r="DM1032" s="4" t="e">
        <f t="shared" si="69"/>
        <v>#N/A</v>
      </c>
      <c r="DN1032" t="e">
        <f t="shared" si="70"/>
        <v>#N/A</v>
      </c>
      <c r="DO1032" t="e">
        <f t="shared" si="71"/>
        <v>#N/A</v>
      </c>
    </row>
    <row r="1033" spans="7:119" x14ac:dyDescent="0.25">
      <c r="G1033"/>
      <c r="DI1033" s="4">
        <f>INDEX(Sheet2!A:A,QUOTIENT(ROW()-1,19)+2)</f>
        <v>41255</v>
      </c>
      <c r="DJ1033" s="4">
        <f>INDEX(Sheet2!C:C,QUOTIENT(ROW()-1,19)+2)</f>
        <v>41639</v>
      </c>
      <c r="DK1033" s="4" t="e">
        <f>INDEX(Sheet2!$AA$2:$AS$228,QUOTIENT(ROW()-1,19)+1,MOD(ROW()-2,19)+1)</f>
        <v>#N/A</v>
      </c>
      <c r="DL1033" t="str">
        <f>IFERROR(INDEX(Sheet2!$AU$2:$BM$228,QUOTIENT(ROW()-1,19)+1,MOD(ROW()-2,19)+1),NA())</f>
        <v/>
      </c>
      <c r="DM1033" s="4" t="e">
        <f t="shared" si="69"/>
        <v>#N/A</v>
      </c>
      <c r="DN1033" t="e">
        <f t="shared" si="70"/>
        <v>#N/A</v>
      </c>
      <c r="DO1033" t="e">
        <f t="shared" si="71"/>
        <v>#N/A</v>
      </c>
    </row>
    <row r="1034" spans="7:119" x14ac:dyDescent="0.25">
      <c r="G1034"/>
      <c r="DI1034" s="4">
        <f>INDEX(Sheet2!A:A,QUOTIENT(ROW()-1,19)+2)</f>
        <v>41255</v>
      </c>
      <c r="DJ1034" s="4">
        <f>INDEX(Sheet2!C:C,QUOTIENT(ROW()-1,19)+2)</f>
        <v>41639</v>
      </c>
      <c r="DK1034" s="4" t="e">
        <f>INDEX(Sheet2!$AA$2:$AS$228,QUOTIENT(ROW()-1,19)+1,MOD(ROW()-2,19)+1)</f>
        <v>#N/A</v>
      </c>
      <c r="DL1034" t="str">
        <f>IFERROR(INDEX(Sheet2!$AU$2:$BM$228,QUOTIENT(ROW()-1,19)+1,MOD(ROW()-2,19)+1),NA())</f>
        <v/>
      </c>
      <c r="DM1034" s="4" t="e">
        <f t="shared" si="69"/>
        <v>#N/A</v>
      </c>
      <c r="DN1034" t="e">
        <f t="shared" si="70"/>
        <v>#N/A</v>
      </c>
      <c r="DO1034" t="e">
        <f t="shared" si="71"/>
        <v>#N/A</v>
      </c>
    </row>
    <row r="1035" spans="7:119" x14ac:dyDescent="0.25">
      <c r="G1035"/>
      <c r="DI1035" s="4">
        <f>INDEX(Sheet2!A:A,QUOTIENT(ROW()-1,19)+2)</f>
        <v>41255</v>
      </c>
      <c r="DJ1035" s="4">
        <f>INDEX(Sheet2!C:C,QUOTIENT(ROW()-1,19)+2)</f>
        <v>41639</v>
      </c>
      <c r="DK1035" s="4" t="e">
        <f>INDEX(Sheet2!$AA$2:$AS$228,QUOTIENT(ROW()-1,19)+1,MOD(ROW()-2,19)+1)</f>
        <v>#N/A</v>
      </c>
      <c r="DL1035" t="str">
        <f>IFERROR(INDEX(Sheet2!$AU$2:$BM$228,QUOTIENT(ROW()-1,19)+1,MOD(ROW()-2,19)+1),NA())</f>
        <v/>
      </c>
      <c r="DM1035" s="4" t="e">
        <f t="shared" si="69"/>
        <v>#N/A</v>
      </c>
      <c r="DN1035" t="e">
        <f t="shared" si="70"/>
        <v>#N/A</v>
      </c>
      <c r="DO1035" t="e">
        <f t="shared" si="71"/>
        <v>#N/A</v>
      </c>
    </row>
    <row r="1036" spans="7:119" x14ac:dyDescent="0.25">
      <c r="G1036"/>
      <c r="DI1036" s="4">
        <f>INDEX(Sheet2!A:A,QUOTIENT(ROW()-1,19)+2)</f>
        <v>41255</v>
      </c>
      <c r="DJ1036" s="4">
        <f>INDEX(Sheet2!C:C,QUOTIENT(ROW()-1,19)+2)</f>
        <v>41639</v>
      </c>
      <c r="DK1036" s="4" t="e">
        <f>INDEX(Sheet2!$AA$2:$AS$228,QUOTIENT(ROW()-1,19)+1,MOD(ROW()-2,19)+1)</f>
        <v>#N/A</v>
      </c>
      <c r="DL1036" t="str">
        <f>IFERROR(INDEX(Sheet2!$AU$2:$BM$228,QUOTIENT(ROW()-1,19)+1,MOD(ROW()-2,19)+1),NA())</f>
        <v/>
      </c>
      <c r="DM1036" s="4" t="e">
        <f t="shared" si="69"/>
        <v>#N/A</v>
      </c>
      <c r="DN1036" t="e">
        <f t="shared" si="70"/>
        <v>#N/A</v>
      </c>
      <c r="DO1036" t="e">
        <f t="shared" si="71"/>
        <v>#N/A</v>
      </c>
    </row>
    <row r="1037" spans="7:119" x14ac:dyDescent="0.25">
      <c r="G1037"/>
      <c r="DI1037" s="4">
        <f>INDEX(Sheet2!A:A,QUOTIENT(ROW()-1,19)+2)</f>
        <v>41255</v>
      </c>
      <c r="DJ1037" s="4">
        <f>INDEX(Sheet2!C:C,QUOTIENT(ROW()-1,19)+2)</f>
        <v>41639</v>
      </c>
      <c r="DK1037" s="4" t="e">
        <f>INDEX(Sheet2!$AA$2:$AS$228,QUOTIENT(ROW()-1,19)+1,MOD(ROW()-2,19)+1)</f>
        <v>#N/A</v>
      </c>
      <c r="DL1037" t="str">
        <f>IFERROR(INDEX(Sheet2!$AU$2:$BM$228,QUOTIENT(ROW()-1,19)+1,MOD(ROW()-2,19)+1),NA())</f>
        <v/>
      </c>
      <c r="DM1037" s="4" t="e">
        <f t="shared" si="69"/>
        <v>#N/A</v>
      </c>
      <c r="DN1037" t="e">
        <f t="shared" si="70"/>
        <v>#N/A</v>
      </c>
      <c r="DO1037" t="e">
        <f t="shared" si="71"/>
        <v>#N/A</v>
      </c>
    </row>
    <row r="1038" spans="7:119" x14ac:dyDescent="0.25">
      <c r="G1038"/>
      <c r="DI1038" s="4">
        <f>INDEX(Sheet2!A:A,QUOTIENT(ROW()-1,19)+2)</f>
        <v>41255</v>
      </c>
      <c r="DJ1038" s="4">
        <f>INDEX(Sheet2!C:C,QUOTIENT(ROW()-1,19)+2)</f>
        <v>41639</v>
      </c>
      <c r="DK1038" s="4" t="e">
        <f>INDEX(Sheet2!$AA$2:$AS$228,QUOTIENT(ROW()-1,19)+1,MOD(ROW()-2,19)+1)</f>
        <v>#N/A</v>
      </c>
      <c r="DL1038" t="str">
        <f>IFERROR(INDEX(Sheet2!$AU$2:$BM$228,QUOTIENT(ROW()-1,19)+1,MOD(ROW()-2,19)+1),NA())</f>
        <v/>
      </c>
      <c r="DM1038" s="4" t="e">
        <f t="shared" si="69"/>
        <v>#N/A</v>
      </c>
      <c r="DN1038" t="e">
        <f t="shared" si="70"/>
        <v>#N/A</v>
      </c>
      <c r="DO1038" t="e">
        <f t="shared" si="71"/>
        <v>#N/A</v>
      </c>
    </row>
    <row r="1039" spans="7:119" x14ac:dyDescent="0.25">
      <c r="G1039"/>
      <c r="DI1039" s="4">
        <f>INDEX(Sheet2!A:A,QUOTIENT(ROW()-1,19)+2)</f>
        <v>41255</v>
      </c>
      <c r="DJ1039" s="4">
        <f>INDEX(Sheet2!C:C,QUOTIENT(ROW()-1,19)+2)</f>
        <v>41639</v>
      </c>
      <c r="DK1039" s="4" t="e">
        <f>INDEX(Sheet2!$AA$2:$AS$228,QUOTIENT(ROW()-1,19)+1,MOD(ROW()-2,19)+1)</f>
        <v>#N/A</v>
      </c>
      <c r="DL1039" t="str">
        <f>IFERROR(INDEX(Sheet2!$AU$2:$BM$228,QUOTIENT(ROW()-1,19)+1,MOD(ROW()-2,19)+1),NA())</f>
        <v/>
      </c>
      <c r="DM1039" s="4" t="e">
        <f t="shared" si="69"/>
        <v>#N/A</v>
      </c>
      <c r="DN1039" t="e">
        <f t="shared" si="70"/>
        <v>#N/A</v>
      </c>
      <c r="DO1039" t="e">
        <f t="shared" si="71"/>
        <v>#N/A</v>
      </c>
    </row>
    <row r="1040" spans="7:119" x14ac:dyDescent="0.25">
      <c r="G1040"/>
      <c r="DI1040" s="4">
        <f>INDEX(Sheet2!A:A,QUOTIENT(ROW()-1,19)+2)</f>
        <v>41255</v>
      </c>
      <c r="DJ1040" s="4">
        <f>INDEX(Sheet2!C:C,QUOTIENT(ROW()-1,19)+2)</f>
        <v>41639</v>
      </c>
      <c r="DK1040" s="4" t="e">
        <f>INDEX(Sheet2!$AA$2:$AS$228,QUOTIENT(ROW()-1,19)+1,MOD(ROW()-2,19)+1)</f>
        <v>#N/A</v>
      </c>
      <c r="DL1040" t="str">
        <f>IFERROR(INDEX(Sheet2!$AU$2:$BM$228,QUOTIENT(ROW()-1,19)+1,MOD(ROW()-2,19)+1),NA())</f>
        <v/>
      </c>
      <c r="DM1040" s="4" t="e">
        <f t="shared" si="69"/>
        <v>#N/A</v>
      </c>
      <c r="DN1040" t="e">
        <f t="shared" si="70"/>
        <v>#N/A</v>
      </c>
      <c r="DO1040" t="e">
        <f t="shared" si="71"/>
        <v>#N/A</v>
      </c>
    </row>
    <row r="1041" spans="7:119" x14ac:dyDescent="0.25">
      <c r="G1041"/>
      <c r="DI1041" s="4">
        <f>INDEX(Sheet2!A:A,QUOTIENT(ROW()-1,19)+2)</f>
        <v>41255</v>
      </c>
      <c r="DJ1041" s="4">
        <f>INDEX(Sheet2!C:C,QUOTIENT(ROW()-1,19)+2)</f>
        <v>41639</v>
      </c>
      <c r="DK1041" s="4" t="e">
        <f>INDEX(Sheet2!$AA$2:$AS$228,QUOTIENT(ROW()-1,19)+1,MOD(ROW()-2,19)+1)</f>
        <v>#N/A</v>
      </c>
      <c r="DL1041" t="str">
        <f>IFERROR(INDEX(Sheet2!$AU$2:$BM$228,QUOTIENT(ROW()-1,19)+1,MOD(ROW()-2,19)+1),NA())</f>
        <v/>
      </c>
      <c r="DM1041" s="4" t="e">
        <f t="shared" si="69"/>
        <v>#N/A</v>
      </c>
      <c r="DN1041" t="e">
        <f t="shared" si="70"/>
        <v>#N/A</v>
      </c>
      <c r="DO1041" t="e">
        <f t="shared" si="71"/>
        <v>#N/A</v>
      </c>
    </row>
    <row r="1042" spans="7:119" x14ac:dyDescent="0.25">
      <c r="G1042"/>
      <c r="DI1042" s="4">
        <f>INDEX(Sheet2!A:A,QUOTIENT(ROW()-1,19)+2)</f>
        <v>41255</v>
      </c>
      <c r="DJ1042" s="4">
        <f>INDEX(Sheet2!C:C,QUOTIENT(ROW()-1,19)+2)</f>
        <v>41639</v>
      </c>
      <c r="DK1042" s="4" t="e">
        <f>INDEX(Sheet2!$AA$2:$AS$228,QUOTIENT(ROW()-1,19)+1,MOD(ROW()-2,19)+1)</f>
        <v>#N/A</v>
      </c>
      <c r="DL1042" t="str">
        <f>IFERROR(INDEX(Sheet2!$AU$2:$BM$228,QUOTIENT(ROW()-1,19)+1,MOD(ROW()-2,19)+1),NA())</f>
        <v/>
      </c>
      <c r="DM1042" s="4" t="e">
        <f t="shared" si="69"/>
        <v>#N/A</v>
      </c>
      <c r="DN1042" t="e">
        <f t="shared" si="70"/>
        <v>#N/A</v>
      </c>
      <c r="DO1042" t="e">
        <f t="shared" si="71"/>
        <v>#N/A</v>
      </c>
    </row>
    <row r="1043" spans="7:119" x14ac:dyDescent="0.25">
      <c r="G1043"/>
      <c r="DI1043" s="4">
        <f>INDEX(Sheet2!A:A,QUOTIENT(ROW()-1,19)+2)</f>
        <v>41255</v>
      </c>
      <c r="DJ1043" s="4">
        <f>INDEX(Sheet2!C:C,QUOTIENT(ROW()-1,19)+2)</f>
        <v>41639</v>
      </c>
      <c r="DK1043" s="4" t="e">
        <f>INDEX(Sheet2!$AA$2:$AS$228,QUOTIENT(ROW()-1,19)+1,MOD(ROW()-2,19)+1)</f>
        <v>#N/A</v>
      </c>
      <c r="DL1043" t="str">
        <f>IFERROR(INDEX(Sheet2!$AU$2:$BM$228,QUOTIENT(ROW()-1,19)+1,MOD(ROW()-2,19)+1),NA())</f>
        <v/>
      </c>
      <c r="DM1043" s="4" t="e">
        <f t="shared" si="69"/>
        <v>#N/A</v>
      </c>
      <c r="DN1043" t="e">
        <f t="shared" si="70"/>
        <v>#N/A</v>
      </c>
      <c r="DO1043" t="e">
        <f t="shared" si="71"/>
        <v>#N/A</v>
      </c>
    </row>
    <row r="1044" spans="7:119" x14ac:dyDescent="0.25">
      <c r="G1044"/>
      <c r="DI1044" s="4">
        <f>INDEX(Sheet2!A:A,QUOTIENT(ROW()-1,19)+2)</f>
        <v>41255</v>
      </c>
      <c r="DJ1044" s="4">
        <f>INDEX(Sheet2!C:C,QUOTIENT(ROW()-1,19)+2)</f>
        <v>41639</v>
      </c>
      <c r="DK1044" s="4" t="e">
        <f>INDEX(Sheet2!$AA$2:$AS$228,QUOTIENT(ROW()-1,19)+1,MOD(ROW()-2,19)+1)</f>
        <v>#N/A</v>
      </c>
      <c r="DL1044" t="str">
        <f>IFERROR(INDEX(Sheet2!$AU$2:$BM$228,QUOTIENT(ROW()-1,19)+1,MOD(ROW()-2,19)+1),NA())</f>
        <v/>
      </c>
      <c r="DM1044" s="4" t="e">
        <f t="shared" si="69"/>
        <v>#N/A</v>
      </c>
      <c r="DN1044" t="e">
        <f t="shared" si="70"/>
        <v>#N/A</v>
      </c>
      <c r="DO1044" t="e">
        <f t="shared" si="71"/>
        <v>#N/A</v>
      </c>
    </row>
    <row r="1045" spans="7:119" x14ac:dyDescent="0.25">
      <c r="G1045"/>
      <c r="DI1045" s="4">
        <f>INDEX(Sheet2!A:A,QUOTIENT(ROW()-1,19)+2)</f>
        <v>41255</v>
      </c>
      <c r="DJ1045" s="4">
        <f>INDEX(Sheet2!C:C,QUOTIENT(ROW()-1,19)+2)</f>
        <v>41639</v>
      </c>
      <c r="DK1045" s="4" t="e">
        <f>INDEX(Sheet2!$AA$2:$AS$228,QUOTIENT(ROW()-1,19)+1,MOD(ROW()-2,19)+1)</f>
        <v>#N/A</v>
      </c>
      <c r="DL1045" t="str">
        <f>IFERROR(INDEX(Sheet2!$AU$2:$BM$228,QUOTIENT(ROW()-1,19)+1,MOD(ROW()-2,19)+1),NA())</f>
        <v/>
      </c>
      <c r="DM1045" s="4" t="e">
        <f t="shared" si="69"/>
        <v>#N/A</v>
      </c>
      <c r="DN1045" t="e">
        <f t="shared" si="70"/>
        <v>#N/A</v>
      </c>
      <c r="DO1045" t="e">
        <f t="shared" si="71"/>
        <v>#N/A</v>
      </c>
    </row>
    <row r="1046" spans="7:119" x14ac:dyDescent="0.25">
      <c r="G1046"/>
      <c r="DI1046" s="4">
        <f>INDEX(Sheet2!A:A,QUOTIENT(ROW()-1,19)+2)</f>
        <v>41255</v>
      </c>
      <c r="DJ1046" s="4">
        <f>INDEX(Sheet2!C:C,QUOTIENT(ROW()-1,19)+2)</f>
        <v>42004</v>
      </c>
      <c r="DK1046" s="4" t="e">
        <f>INDEX(Sheet2!$AA$2:$AS$228,QUOTIENT(ROW()-1,19)+1,MOD(ROW()-2,19)+1)</f>
        <v>#N/A</v>
      </c>
      <c r="DL1046" t="str">
        <f>IFERROR(INDEX(Sheet2!$AU$2:$BM$228,QUOTIENT(ROW()-1,19)+1,MOD(ROW()-2,19)+1),NA())</f>
        <v/>
      </c>
      <c r="DM1046" s="4" t="e">
        <f t="shared" si="69"/>
        <v>#N/A</v>
      </c>
      <c r="DN1046" t="e">
        <f t="shared" si="70"/>
        <v>#N/A</v>
      </c>
      <c r="DO1046" t="e">
        <f t="shared" si="71"/>
        <v>#N/A</v>
      </c>
    </row>
    <row r="1047" spans="7:119" x14ac:dyDescent="0.25">
      <c r="G1047"/>
      <c r="DI1047" s="4">
        <f>INDEX(Sheet2!A:A,QUOTIENT(ROW()-1,19)+2)</f>
        <v>41255</v>
      </c>
      <c r="DJ1047" s="4">
        <f>INDEX(Sheet2!C:C,QUOTIENT(ROW()-1,19)+2)</f>
        <v>42004</v>
      </c>
      <c r="DK1047" s="4">
        <f>INDEX(Sheet2!$AA$2:$AS$228,QUOTIENT(ROW()-1,19)+1,MOD(ROW()-2,19)+1)</f>
        <v>41873.512499999997</v>
      </c>
      <c r="DL1047">
        <f>IFERROR(INDEX(Sheet2!$AU$2:$BM$228,QUOTIENT(ROW()-1,19)+1,MOD(ROW()-2,19)+1),NA())</f>
        <v>0.25</v>
      </c>
      <c r="DM1047" s="4" t="e">
        <f t="shared" si="69"/>
        <v>#N/A</v>
      </c>
      <c r="DN1047" t="e">
        <f t="shared" si="70"/>
        <v>#N/A</v>
      </c>
      <c r="DO1047" t="e">
        <f t="shared" si="71"/>
        <v>#N/A</v>
      </c>
    </row>
    <row r="1048" spans="7:119" x14ac:dyDescent="0.25">
      <c r="G1048"/>
      <c r="DI1048" s="4">
        <f>INDEX(Sheet2!A:A,QUOTIENT(ROW()-1,19)+2)</f>
        <v>41255</v>
      </c>
      <c r="DJ1048" s="4">
        <f>INDEX(Sheet2!C:C,QUOTIENT(ROW()-1,19)+2)</f>
        <v>42004</v>
      </c>
      <c r="DK1048" s="4">
        <f>INDEX(Sheet2!$AA$2:$AS$228,QUOTIENT(ROW()-1,19)+1,MOD(ROW()-2,19)+1)</f>
        <v>41893.587500000001</v>
      </c>
      <c r="DL1048">
        <f>IFERROR(INDEX(Sheet2!$AU$2:$BM$228,QUOTIENT(ROW()-1,19)+1,MOD(ROW()-2,19)+1),NA())</f>
        <v>0.25</v>
      </c>
      <c r="DM1048" s="4" t="e">
        <f t="shared" si="69"/>
        <v>#N/A</v>
      </c>
      <c r="DN1048" t="e">
        <f t="shared" si="70"/>
        <v>#N/A</v>
      </c>
      <c r="DO1048" t="e">
        <f t="shared" si="71"/>
        <v>#N/A</v>
      </c>
    </row>
    <row r="1049" spans="7:119" x14ac:dyDescent="0.25">
      <c r="G1049"/>
      <c r="DI1049" s="4">
        <f>INDEX(Sheet2!A:A,QUOTIENT(ROW()-1,19)+2)</f>
        <v>41255</v>
      </c>
      <c r="DJ1049" s="4">
        <f>INDEX(Sheet2!C:C,QUOTIENT(ROW()-1,19)+2)</f>
        <v>42004</v>
      </c>
      <c r="DK1049" s="4">
        <f>INDEX(Sheet2!$AA$2:$AS$228,QUOTIENT(ROW()-1,19)+1,MOD(ROW()-2,19)+1)</f>
        <v>41913.662499999999</v>
      </c>
      <c r="DL1049">
        <f>IFERROR(INDEX(Sheet2!$AU$2:$BM$228,QUOTIENT(ROW()-1,19)+1,MOD(ROW()-2,19)+1),NA())</f>
        <v>0.25</v>
      </c>
      <c r="DM1049" s="4" t="e">
        <f t="shared" si="69"/>
        <v>#N/A</v>
      </c>
      <c r="DN1049" t="e">
        <f t="shared" si="70"/>
        <v>#N/A</v>
      </c>
      <c r="DO1049" t="e">
        <f t="shared" si="71"/>
        <v>#N/A</v>
      </c>
    </row>
    <row r="1050" spans="7:119" x14ac:dyDescent="0.25">
      <c r="G1050"/>
      <c r="DI1050" s="4">
        <f>INDEX(Sheet2!A:A,QUOTIENT(ROW()-1,19)+2)</f>
        <v>41255</v>
      </c>
      <c r="DJ1050" s="4">
        <f>INDEX(Sheet2!C:C,QUOTIENT(ROW()-1,19)+2)</f>
        <v>42004</v>
      </c>
      <c r="DK1050" s="4">
        <f>INDEX(Sheet2!$AA$2:$AS$228,QUOTIENT(ROW()-1,19)+1,MOD(ROW()-2,19)+1)</f>
        <v>41933.737500000003</v>
      </c>
      <c r="DL1050">
        <f>IFERROR(INDEX(Sheet2!$AU$2:$BM$228,QUOTIENT(ROW()-1,19)+1,MOD(ROW()-2,19)+1),NA())</f>
        <v>0.25</v>
      </c>
      <c r="DM1050" s="4" t="e">
        <f t="shared" si="69"/>
        <v>#N/A</v>
      </c>
      <c r="DN1050" t="e">
        <f t="shared" si="70"/>
        <v>#N/A</v>
      </c>
      <c r="DO1050" t="e">
        <f t="shared" si="71"/>
        <v>#N/A</v>
      </c>
    </row>
    <row r="1051" spans="7:119" x14ac:dyDescent="0.25">
      <c r="G1051"/>
      <c r="DI1051" s="4">
        <f>INDEX(Sheet2!A:A,QUOTIENT(ROW()-1,19)+2)</f>
        <v>41255</v>
      </c>
      <c r="DJ1051" s="4">
        <f>INDEX(Sheet2!C:C,QUOTIENT(ROW()-1,19)+2)</f>
        <v>42004</v>
      </c>
      <c r="DK1051" s="4">
        <f>INDEX(Sheet2!$AA$2:$AS$228,QUOTIENT(ROW()-1,19)+1,MOD(ROW()-2,19)+1)</f>
        <v>41953.8125</v>
      </c>
      <c r="DL1051">
        <f>IFERROR(INDEX(Sheet2!$AU$2:$BM$228,QUOTIENT(ROW()-1,19)+1,MOD(ROW()-2,19)+1),NA())</f>
        <v>0.25</v>
      </c>
      <c r="DM1051" s="4" t="e">
        <f t="shared" si="69"/>
        <v>#N/A</v>
      </c>
      <c r="DN1051" t="e">
        <f t="shared" si="70"/>
        <v>#N/A</v>
      </c>
      <c r="DO1051" t="e">
        <f t="shared" si="71"/>
        <v>#N/A</v>
      </c>
    </row>
    <row r="1052" spans="7:119" x14ac:dyDescent="0.25">
      <c r="G1052"/>
      <c r="DI1052" s="4">
        <f>INDEX(Sheet2!A:A,QUOTIENT(ROW()-1,19)+2)</f>
        <v>41255</v>
      </c>
      <c r="DJ1052" s="4">
        <f>INDEX(Sheet2!C:C,QUOTIENT(ROW()-1,19)+2)</f>
        <v>42004</v>
      </c>
      <c r="DK1052" s="4">
        <f>INDEX(Sheet2!$AA$2:$AS$228,QUOTIENT(ROW()-1,19)+1,MOD(ROW()-2,19)+1)</f>
        <v>41973.887499999997</v>
      </c>
      <c r="DL1052">
        <f>IFERROR(INDEX(Sheet2!$AU$2:$BM$228,QUOTIENT(ROW()-1,19)+1,MOD(ROW()-2,19)+1),NA())</f>
        <v>0.25</v>
      </c>
      <c r="DM1052" s="4" t="e">
        <f t="shared" si="69"/>
        <v>#N/A</v>
      </c>
      <c r="DN1052" t="e">
        <f t="shared" si="70"/>
        <v>#N/A</v>
      </c>
      <c r="DO1052" t="e">
        <f t="shared" si="71"/>
        <v>#N/A</v>
      </c>
    </row>
    <row r="1053" spans="7:119" x14ac:dyDescent="0.25">
      <c r="G1053"/>
      <c r="DI1053" s="4">
        <f>INDEX(Sheet2!A:A,QUOTIENT(ROW()-1,19)+2)</f>
        <v>41255</v>
      </c>
      <c r="DJ1053" s="4">
        <f>INDEX(Sheet2!C:C,QUOTIENT(ROW()-1,19)+2)</f>
        <v>42004</v>
      </c>
      <c r="DK1053" s="4">
        <f>INDEX(Sheet2!$AA$2:$AS$228,QUOTIENT(ROW()-1,19)+1,MOD(ROW()-2,19)+1)</f>
        <v>41993.962500000001</v>
      </c>
      <c r="DL1053">
        <f>IFERROR(INDEX(Sheet2!$AU$2:$BM$228,QUOTIENT(ROW()-1,19)+1,MOD(ROW()-2,19)+1),NA())</f>
        <v>0.25</v>
      </c>
      <c r="DM1053" s="4" t="e">
        <f t="shared" si="69"/>
        <v>#N/A</v>
      </c>
      <c r="DN1053" t="e">
        <f t="shared" si="70"/>
        <v>#N/A</v>
      </c>
      <c r="DO1053" t="e">
        <f t="shared" si="71"/>
        <v>#N/A</v>
      </c>
    </row>
    <row r="1054" spans="7:119" x14ac:dyDescent="0.25">
      <c r="G1054"/>
      <c r="DI1054" s="4">
        <f>INDEX(Sheet2!A:A,QUOTIENT(ROW()-1,19)+2)</f>
        <v>41255</v>
      </c>
      <c r="DJ1054" s="4">
        <f>INDEX(Sheet2!C:C,QUOTIENT(ROW()-1,19)+2)</f>
        <v>42004</v>
      </c>
      <c r="DK1054" s="4">
        <f>INDEX(Sheet2!$AA$2:$AS$228,QUOTIENT(ROW()-1,19)+1,MOD(ROW()-2,19)+1)</f>
        <v>42014.037499999999</v>
      </c>
      <c r="DL1054">
        <f>IFERROR(INDEX(Sheet2!$AU$2:$BM$228,QUOTIENT(ROW()-1,19)+1,MOD(ROW()-2,19)+1),NA())</f>
        <v>0.25</v>
      </c>
      <c r="DM1054" s="4" t="e">
        <f t="shared" si="69"/>
        <v>#N/A</v>
      </c>
      <c r="DN1054" t="e">
        <f t="shared" si="70"/>
        <v>#N/A</v>
      </c>
      <c r="DO1054" t="e">
        <f t="shared" si="71"/>
        <v>#N/A</v>
      </c>
    </row>
    <row r="1055" spans="7:119" x14ac:dyDescent="0.25">
      <c r="G1055"/>
      <c r="DI1055" s="4">
        <f>INDEX(Sheet2!A:A,QUOTIENT(ROW()-1,19)+2)</f>
        <v>41255</v>
      </c>
      <c r="DJ1055" s="4">
        <f>INDEX(Sheet2!C:C,QUOTIENT(ROW()-1,19)+2)</f>
        <v>42004</v>
      </c>
      <c r="DK1055" s="4">
        <f>INDEX(Sheet2!$AA$2:$AS$228,QUOTIENT(ROW()-1,19)+1,MOD(ROW()-2,19)+1)</f>
        <v>42034.112500000003</v>
      </c>
      <c r="DL1055">
        <f>IFERROR(INDEX(Sheet2!$AU$2:$BM$228,QUOTIENT(ROW()-1,19)+1,MOD(ROW()-2,19)+1),NA())</f>
        <v>0.25</v>
      </c>
      <c r="DM1055" s="4" t="e">
        <f t="shared" si="69"/>
        <v>#N/A</v>
      </c>
      <c r="DN1055" t="e">
        <f t="shared" si="70"/>
        <v>#N/A</v>
      </c>
      <c r="DO1055" t="e">
        <f t="shared" si="71"/>
        <v>#N/A</v>
      </c>
    </row>
    <row r="1056" spans="7:119" x14ac:dyDescent="0.25">
      <c r="G1056"/>
      <c r="DI1056" s="4">
        <f>INDEX(Sheet2!A:A,QUOTIENT(ROW()-1,19)+2)</f>
        <v>41255</v>
      </c>
      <c r="DJ1056" s="4">
        <f>INDEX(Sheet2!C:C,QUOTIENT(ROW()-1,19)+2)</f>
        <v>42004</v>
      </c>
      <c r="DK1056" s="4">
        <f>INDEX(Sheet2!$AA$2:$AS$228,QUOTIENT(ROW()-1,19)+1,MOD(ROW()-2,19)+1)</f>
        <v>42054.1875</v>
      </c>
      <c r="DL1056">
        <f>IFERROR(INDEX(Sheet2!$AU$2:$BM$228,QUOTIENT(ROW()-1,19)+1,MOD(ROW()-2,19)+1),NA())</f>
        <v>0.25</v>
      </c>
      <c r="DM1056" s="4" t="e">
        <f t="shared" si="69"/>
        <v>#N/A</v>
      </c>
      <c r="DN1056" t="e">
        <f t="shared" si="70"/>
        <v>#N/A</v>
      </c>
      <c r="DO1056" t="e">
        <f t="shared" si="71"/>
        <v>#N/A</v>
      </c>
    </row>
    <row r="1057" spans="7:119" x14ac:dyDescent="0.25">
      <c r="G1057"/>
      <c r="DI1057" s="4">
        <f>INDEX(Sheet2!A:A,QUOTIENT(ROW()-1,19)+2)</f>
        <v>41255</v>
      </c>
      <c r="DJ1057" s="4">
        <f>INDEX(Sheet2!C:C,QUOTIENT(ROW()-1,19)+2)</f>
        <v>42004</v>
      </c>
      <c r="DK1057" s="4">
        <f>INDEX(Sheet2!$AA$2:$AS$228,QUOTIENT(ROW()-1,19)+1,MOD(ROW()-2,19)+1)</f>
        <v>42074.262499999997</v>
      </c>
      <c r="DL1057">
        <f>IFERROR(INDEX(Sheet2!$AU$2:$BM$228,QUOTIENT(ROW()-1,19)+1,MOD(ROW()-2,19)+1),NA())</f>
        <v>0.25</v>
      </c>
      <c r="DM1057" s="4" t="e">
        <f t="shared" si="69"/>
        <v>#N/A</v>
      </c>
      <c r="DN1057" t="e">
        <f t="shared" si="70"/>
        <v>#N/A</v>
      </c>
      <c r="DO1057" t="e">
        <f t="shared" si="71"/>
        <v>#N/A</v>
      </c>
    </row>
    <row r="1058" spans="7:119" x14ac:dyDescent="0.25">
      <c r="G1058"/>
      <c r="DI1058" s="4">
        <f>INDEX(Sheet2!A:A,QUOTIENT(ROW()-1,19)+2)</f>
        <v>41255</v>
      </c>
      <c r="DJ1058" s="4">
        <f>INDEX(Sheet2!C:C,QUOTIENT(ROW()-1,19)+2)</f>
        <v>42004</v>
      </c>
      <c r="DK1058" s="4">
        <f>INDEX(Sheet2!$AA$2:$AS$228,QUOTIENT(ROW()-1,19)+1,MOD(ROW()-2,19)+1)</f>
        <v>42094.337500000001</v>
      </c>
      <c r="DL1058">
        <f>IFERROR(INDEX(Sheet2!$AU$2:$BM$228,QUOTIENT(ROW()-1,19)+1,MOD(ROW()-2,19)+1),NA())</f>
        <v>0.25</v>
      </c>
      <c r="DM1058" s="4" t="e">
        <f t="shared" si="69"/>
        <v>#N/A</v>
      </c>
      <c r="DN1058" t="e">
        <f t="shared" si="70"/>
        <v>#N/A</v>
      </c>
      <c r="DO1058" t="e">
        <f t="shared" si="71"/>
        <v>#N/A</v>
      </c>
    </row>
    <row r="1059" spans="7:119" x14ac:dyDescent="0.25">
      <c r="G1059"/>
      <c r="DI1059" s="4">
        <f>INDEX(Sheet2!A:A,QUOTIENT(ROW()-1,19)+2)</f>
        <v>41255</v>
      </c>
      <c r="DJ1059" s="4">
        <f>INDEX(Sheet2!C:C,QUOTIENT(ROW()-1,19)+2)</f>
        <v>42004</v>
      </c>
      <c r="DK1059" s="4">
        <f>INDEX(Sheet2!$AA$2:$AS$228,QUOTIENT(ROW()-1,19)+1,MOD(ROW()-2,19)+1)</f>
        <v>42114.412499999999</v>
      </c>
      <c r="DL1059">
        <f>IFERROR(INDEX(Sheet2!$AU$2:$BM$228,QUOTIENT(ROW()-1,19)+1,MOD(ROW()-2,19)+1),NA())</f>
        <v>0.25</v>
      </c>
      <c r="DM1059" s="4" t="e">
        <f t="shared" si="69"/>
        <v>#N/A</v>
      </c>
      <c r="DN1059" t="e">
        <f t="shared" si="70"/>
        <v>#N/A</v>
      </c>
      <c r="DO1059" t="e">
        <f t="shared" si="71"/>
        <v>#N/A</v>
      </c>
    </row>
    <row r="1060" spans="7:119" x14ac:dyDescent="0.25">
      <c r="G1060"/>
      <c r="DI1060" s="4">
        <f>INDEX(Sheet2!A:A,QUOTIENT(ROW()-1,19)+2)</f>
        <v>41255</v>
      </c>
      <c r="DJ1060" s="4">
        <f>INDEX(Sheet2!C:C,QUOTIENT(ROW()-1,19)+2)</f>
        <v>42004</v>
      </c>
      <c r="DK1060" s="4">
        <f>INDEX(Sheet2!$AA$2:$AS$228,QUOTIENT(ROW()-1,19)+1,MOD(ROW()-2,19)+1)</f>
        <v>42134.487500000003</v>
      </c>
      <c r="DL1060">
        <f>IFERROR(INDEX(Sheet2!$AU$2:$BM$228,QUOTIENT(ROW()-1,19)+1,MOD(ROW()-2,19)+1),NA())</f>
        <v>0.25</v>
      </c>
      <c r="DM1060" s="4" t="e">
        <f t="shared" si="69"/>
        <v>#N/A</v>
      </c>
      <c r="DN1060" t="e">
        <f t="shared" si="70"/>
        <v>#N/A</v>
      </c>
      <c r="DO1060" t="e">
        <f t="shared" si="71"/>
        <v>#N/A</v>
      </c>
    </row>
    <row r="1061" spans="7:119" x14ac:dyDescent="0.25">
      <c r="G1061"/>
      <c r="DI1061" s="4">
        <f>INDEX(Sheet2!A:A,QUOTIENT(ROW()-1,19)+2)</f>
        <v>41255</v>
      </c>
      <c r="DJ1061" s="4">
        <f>INDEX(Sheet2!C:C,QUOTIENT(ROW()-1,19)+2)</f>
        <v>42004</v>
      </c>
      <c r="DK1061" s="4" t="e">
        <f>INDEX(Sheet2!$AA$2:$AS$228,QUOTIENT(ROW()-1,19)+1,MOD(ROW()-2,19)+1)</f>
        <v>#N/A</v>
      </c>
      <c r="DL1061" t="str">
        <f>IFERROR(INDEX(Sheet2!$AU$2:$BM$228,QUOTIENT(ROW()-1,19)+1,MOD(ROW()-2,19)+1),NA())</f>
        <v/>
      </c>
      <c r="DM1061" s="4" t="e">
        <f t="shared" si="69"/>
        <v>#N/A</v>
      </c>
      <c r="DN1061" t="e">
        <f t="shared" si="70"/>
        <v>#N/A</v>
      </c>
      <c r="DO1061" t="e">
        <f t="shared" si="71"/>
        <v>#N/A</v>
      </c>
    </row>
    <row r="1062" spans="7:119" x14ac:dyDescent="0.25">
      <c r="G1062"/>
      <c r="DI1062" s="4">
        <f>INDEX(Sheet2!A:A,QUOTIENT(ROW()-1,19)+2)</f>
        <v>41255</v>
      </c>
      <c r="DJ1062" s="4">
        <f>INDEX(Sheet2!C:C,QUOTIENT(ROW()-1,19)+2)</f>
        <v>42004</v>
      </c>
      <c r="DK1062" s="4" t="e">
        <f>INDEX(Sheet2!$AA$2:$AS$228,QUOTIENT(ROW()-1,19)+1,MOD(ROW()-2,19)+1)</f>
        <v>#N/A</v>
      </c>
      <c r="DL1062" t="str">
        <f>IFERROR(INDEX(Sheet2!$AU$2:$BM$228,QUOTIENT(ROW()-1,19)+1,MOD(ROW()-2,19)+1),NA())</f>
        <v/>
      </c>
      <c r="DM1062" s="4" t="e">
        <f t="shared" si="69"/>
        <v>#N/A</v>
      </c>
      <c r="DN1062" t="e">
        <f t="shared" si="70"/>
        <v>#N/A</v>
      </c>
      <c r="DO1062" t="e">
        <f t="shared" si="71"/>
        <v>#N/A</v>
      </c>
    </row>
    <row r="1063" spans="7:119" x14ac:dyDescent="0.25">
      <c r="G1063"/>
      <c r="DI1063" s="4">
        <f>INDEX(Sheet2!A:A,QUOTIENT(ROW()-1,19)+2)</f>
        <v>41255</v>
      </c>
      <c r="DJ1063" s="4">
        <f>INDEX(Sheet2!C:C,QUOTIENT(ROW()-1,19)+2)</f>
        <v>42004</v>
      </c>
      <c r="DK1063" s="4" t="e">
        <f>INDEX(Sheet2!$AA$2:$AS$228,QUOTIENT(ROW()-1,19)+1,MOD(ROW()-2,19)+1)</f>
        <v>#N/A</v>
      </c>
      <c r="DL1063" t="str">
        <f>IFERROR(INDEX(Sheet2!$AU$2:$BM$228,QUOTIENT(ROW()-1,19)+1,MOD(ROW()-2,19)+1),NA())</f>
        <v/>
      </c>
      <c r="DM1063" s="4" t="e">
        <f t="shared" si="69"/>
        <v>#N/A</v>
      </c>
      <c r="DN1063" t="e">
        <f t="shared" si="70"/>
        <v>#N/A</v>
      </c>
      <c r="DO1063" t="e">
        <f t="shared" si="71"/>
        <v>#N/A</v>
      </c>
    </row>
    <row r="1064" spans="7:119" x14ac:dyDescent="0.25">
      <c r="G1064"/>
      <c r="DI1064" s="4">
        <f>INDEX(Sheet2!A:A,QUOTIENT(ROW()-1,19)+2)</f>
        <v>41255</v>
      </c>
      <c r="DJ1064" s="4">
        <f>INDEX(Sheet2!C:C,QUOTIENT(ROW()-1,19)+2)</f>
        <v>42004</v>
      </c>
      <c r="DK1064" s="4" t="e">
        <f>INDEX(Sheet2!$AA$2:$AS$228,QUOTIENT(ROW()-1,19)+1,MOD(ROW()-2,19)+1)</f>
        <v>#N/A</v>
      </c>
      <c r="DL1064" t="str">
        <f>IFERROR(INDEX(Sheet2!$AU$2:$BM$228,QUOTIENT(ROW()-1,19)+1,MOD(ROW()-2,19)+1),NA())</f>
        <v/>
      </c>
      <c r="DM1064" s="4" t="e">
        <f t="shared" si="69"/>
        <v>#N/A</v>
      </c>
      <c r="DN1064" t="e">
        <f t="shared" si="70"/>
        <v>#N/A</v>
      </c>
      <c r="DO1064" t="e">
        <f t="shared" si="71"/>
        <v>#N/A</v>
      </c>
    </row>
    <row r="1065" spans="7:119" x14ac:dyDescent="0.25">
      <c r="G1065"/>
      <c r="DI1065" s="4">
        <f>INDEX(Sheet2!A:A,QUOTIENT(ROW()-1,19)+2)</f>
        <v>41255</v>
      </c>
      <c r="DJ1065" s="4">
        <f>INDEX(Sheet2!C:C,QUOTIENT(ROW()-1,19)+2)</f>
        <v>42004</v>
      </c>
      <c r="DK1065" s="4" t="e">
        <f>INDEX(Sheet2!$AA$2:$AS$228,QUOTIENT(ROW()-1,19)+1,MOD(ROW()-2,19)+1)</f>
        <v>#N/A</v>
      </c>
      <c r="DL1065" t="str">
        <f>IFERROR(INDEX(Sheet2!$AU$2:$BM$228,QUOTIENT(ROW()-1,19)+1,MOD(ROW()-2,19)+1),NA())</f>
        <v/>
      </c>
      <c r="DM1065" s="4" t="e">
        <f t="shared" si="69"/>
        <v>#N/A</v>
      </c>
      <c r="DN1065" t="e">
        <f t="shared" si="70"/>
        <v>#N/A</v>
      </c>
      <c r="DO1065" t="e">
        <f t="shared" si="71"/>
        <v>#N/A</v>
      </c>
    </row>
    <row r="1066" spans="7:119" x14ac:dyDescent="0.25">
      <c r="G1066"/>
      <c r="DI1066" s="4">
        <f>INDEX(Sheet2!A:A,QUOTIENT(ROW()-1,19)+2)</f>
        <v>41255</v>
      </c>
      <c r="DJ1066" s="4">
        <f>INDEX(Sheet2!C:C,QUOTIENT(ROW()-1,19)+2)</f>
        <v>42004</v>
      </c>
      <c r="DK1066" s="4">
        <f>INDEX(Sheet2!$AA$2:$AS$228,QUOTIENT(ROW()-1,19)+1,MOD(ROW()-2,19)+1)</f>
        <v>42004</v>
      </c>
      <c r="DL1066">
        <f>IFERROR(INDEX(Sheet2!$AU$2:$BM$228,QUOTIENT(ROW()-1,19)+1,MOD(ROW()-2,19)+1),NA())</f>
        <v>0.5</v>
      </c>
      <c r="DM1066" s="4" t="e">
        <f t="shared" si="69"/>
        <v>#N/A</v>
      </c>
      <c r="DN1066" t="e">
        <f t="shared" si="70"/>
        <v>#N/A</v>
      </c>
      <c r="DO1066" t="e">
        <f t="shared" si="71"/>
        <v>#N/A</v>
      </c>
    </row>
    <row r="1067" spans="7:119" x14ac:dyDescent="0.25">
      <c r="G1067"/>
      <c r="DI1067" s="4">
        <f>INDEX(Sheet2!A:A,QUOTIENT(ROW()-1,19)+2)</f>
        <v>41255</v>
      </c>
      <c r="DJ1067" s="4">
        <f>INDEX(Sheet2!C:C,QUOTIENT(ROW()-1,19)+2)</f>
        <v>42004</v>
      </c>
      <c r="DK1067" s="4" t="e">
        <f>INDEX(Sheet2!$AA$2:$AS$228,QUOTIENT(ROW()-1,19)+1,MOD(ROW()-2,19)+1)</f>
        <v>#N/A</v>
      </c>
      <c r="DL1067" t="str">
        <f>IFERROR(INDEX(Sheet2!$AU$2:$BM$228,QUOTIENT(ROW()-1,19)+1,MOD(ROW()-2,19)+1),NA())</f>
        <v/>
      </c>
      <c r="DM1067" s="4" t="e">
        <f t="shared" si="69"/>
        <v>#N/A</v>
      </c>
      <c r="DN1067" t="e">
        <f t="shared" si="70"/>
        <v>#N/A</v>
      </c>
      <c r="DO1067" t="e">
        <f t="shared" si="71"/>
        <v>#N/A</v>
      </c>
    </row>
    <row r="1068" spans="7:119" x14ac:dyDescent="0.25">
      <c r="G1068"/>
      <c r="DI1068" s="4">
        <f>INDEX(Sheet2!A:A,QUOTIENT(ROW()-1,19)+2)</f>
        <v>41255</v>
      </c>
      <c r="DJ1068" s="4">
        <f>INDEX(Sheet2!C:C,QUOTIENT(ROW()-1,19)+2)</f>
        <v>42004</v>
      </c>
      <c r="DK1068" s="4" t="e">
        <f>INDEX(Sheet2!$AA$2:$AS$228,QUOTIENT(ROW()-1,19)+1,MOD(ROW()-2,19)+1)</f>
        <v>#N/A</v>
      </c>
      <c r="DL1068" t="str">
        <f>IFERROR(INDEX(Sheet2!$AU$2:$BM$228,QUOTIENT(ROW()-1,19)+1,MOD(ROW()-2,19)+1),NA())</f>
        <v/>
      </c>
      <c r="DM1068" s="4" t="e">
        <f t="shared" si="69"/>
        <v>#N/A</v>
      </c>
      <c r="DN1068" t="e">
        <f t="shared" si="70"/>
        <v>#N/A</v>
      </c>
      <c r="DO1068" t="e">
        <f t="shared" si="71"/>
        <v>#N/A</v>
      </c>
    </row>
    <row r="1069" spans="7:119" x14ac:dyDescent="0.25">
      <c r="G1069"/>
      <c r="DI1069" s="4">
        <f>INDEX(Sheet2!A:A,QUOTIENT(ROW()-1,19)+2)</f>
        <v>41255</v>
      </c>
      <c r="DJ1069" s="4">
        <f>INDEX(Sheet2!C:C,QUOTIENT(ROW()-1,19)+2)</f>
        <v>42004</v>
      </c>
      <c r="DK1069" s="4" t="e">
        <f>INDEX(Sheet2!$AA$2:$AS$228,QUOTIENT(ROW()-1,19)+1,MOD(ROW()-2,19)+1)</f>
        <v>#N/A</v>
      </c>
      <c r="DL1069" t="str">
        <f>IFERROR(INDEX(Sheet2!$AU$2:$BM$228,QUOTIENT(ROW()-1,19)+1,MOD(ROW()-2,19)+1),NA())</f>
        <v/>
      </c>
      <c r="DM1069" s="4" t="e">
        <f t="shared" si="69"/>
        <v>#N/A</v>
      </c>
      <c r="DN1069" t="e">
        <f t="shared" si="70"/>
        <v>#N/A</v>
      </c>
      <c r="DO1069" t="e">
        <f t="shared" si="71"/>
        <v>#N/A</v>
      </c>
    </row>
    <row r="1070" spans="7:119" x14ac:dyDescent="0.25">
      <c r="G1070"/>
      <c r="DI1070" s="4">
        <f>INDEX(Sheet2!A:A,QUOTIENT(ROW()-1,19)+2)</f>
        <v>41255</v>
      </c>
      <c r="DJ1070" s="4">
        <f>INDEX(Sheet2!C:C,QUOTIENT(ROW()-1,19)+2)</f>
        <v>42004</v>
      </c>
      <c r="DK1070" s="4" t="e">
        <f>INDEX(Sheet2!$AA$2:$AS$228,QUOTIENT(ROW()-1,19)+1,MOD(ROW()-2,19)+1)</f>
        <v>#N/A</v>
      </c>
      <c r="DL1070" t="str">
        <f>IFERROR(INDEX(Sheet2!$AU$2:$BM$228,QUOTIENT(ROW()-1,19)+1,MOD(ROW()-2,19)+1),NA())</f>
        <v/>
      </c>
      <c r="DM1070" s="4" t="e">
        <f t="shared" si="69"/>
        <v>#N/A</v>
      </c>
      <c r="DN1070" t="e">
        <f t="shared" si="70"/>
        <v>#N/A</v>
      </c>
      <c r="DO1070" t="e">
        <f t="shared" si="71"/>
        <v>#N/A</v>
      </c>
    </row>
    <row r="1071" spans="7:119" x14ac:dyDescent="0.25">
      <c r="G1071"/>
      <c r="DI1071" s="4">
        <f>INDEX(Sheet2!A:A,QUOTIENT(ROW()-1,19)+2)</f>
        <v>41255</v>
      </c>
      <c r="DJ1071" s="4">
        <f>INDEX(Sheet2!C:C,QUOTIENT(ROW()-1,19)+2)</f>
        <v>42004</v>
      </c>
      <c r="DK1071" s="4" t="e">
        <f>INDEX(Sheet2!$AA$2:$AS$228,QUOTIENT(ROW()-1,19)+1,MOD(ROW()-2,19)+1)</f>
        <v>#N/A</v>
      </c>
      <c r="DL1071" t="str">
        <f>IFERROR(INDEX(Sheet2!$AU$2:$BM$228,QUOTIENT(ROW()-1,19)+1,MOD(ROW()-2,19)+1),NA())</f>
        <v/>
      </c>
      <c r="DM1071" s="4" t="e">
        <f t="shared" si="69"/>
        <v>#N/A</v>
      </c>
      <c r="DN1071" t="e">
        <f t="shared" si="70"/>
        <v>#N/A</v>
      </c>
      <c r="DO1071" t="e">
        <f t="shared" si="71"/>
        <v>#N/A</v>
      </c>
    </row>
    <row r="1072" spans="7:119" x14ac:dyDescent="0.25">
      <c r="G1072"/>
      <c r="DI1072" s="4">
        <f>INDEX(Sheet2!A:A,QUOTIENT(ROW()-1,19)+2)</f>
        <v>41255</v>
      </c>
      <c r="DJ1072" s="4">
        <f>INDEX(Sheet2!C:C,QUOTIENT(ROW()-1,19)+2)</f>
        <v>42004</v>
      </c>
      <c r="DK1072" s="4" t="e">
        <f>INDEX(Sheet2!$AA$2:$AS$228,QUOTIENT(ROW()-1,19)+1,MOD(ROW()-2,19)+1)</f>
        <v>#N/A</v>
      </c>
      <c r="DL1072" t="str">
        <f>IFERROR(INDEX(Sheet2!$AU$2:$BM$228,QUOTIENT(ROW()-1,19)+1,MOD(ROW()-2,19)+1),NA())</f>
        <v/>
      </c>
      <c r="DM1072" s="4" t="e">
        <f t="shared" si="69"/>
        <v>#N/A</v>
      </c>
      <c r="DN1072" t="e">
        <f t="shared" si="70"/>
        <v>#N/A</v>
      </c>
      <c r="DO1072" t="e">
        <f t="shared" si="71"/>
        <v>#N/A</v>
      </c>
    </row>
    <row r="1073" spans="7:119" x14ac:dyDescent="0.25">
      <c r="G1073"/>
      <c r="DI1073" s="4">
        <f>INDEX(Sheet2!A:A,QUOTIENT(ROW()-1,19)+2)</f>
        <v>41255</v>
      </c>
      <c r="DJ1073" s="4">
        <f>INDEX(Sheet2!C:C,QUOTIENT(ROW()-1,19)+2)</f>
        <v>42004</v>
      </c>
      <c r="DK1073" s="4" t="e">
        <f>INDEX(Sheet2!$AA$2:$AS$228,QUOTIENT(ROW()-1,19)+1,MOD(ROW()-2,19)+1)</f>
        <v>#N/A</v>
      </c>
      <c r="DL1073" t="str">
        <f>IFERROR(INDEX(Sheet2!$AU$2:$BM$228,QUOTIENT(ROW()-1,19)+1,MOD(ROW()-2,19)+1),NA())</f>
        <v/>
      </c>
      <c r="DM1073" s="4" t="e">
        <f t="shared" si="69"/>
        <v>#N/A</v>
      </c>
      <c r="DN1073" t="e">
        <f t="shared" si="70"/>
        <v>#N/A</v>
      </c>
      <c r="DO1073" t="e">
        <f t="shared" si="71"/>
        <v>#N/A</v>
      </c>
    </row>
    <row r="1074" spans="7:119" x14ac:dyDescent="0.25">
      <c r="G1074"/>
      <c r="DI1074" s="4">
        <f>INDEX(Sheet2!A:A,QUOTIENT(ROW()-1,19)+2)</f>
        <v>41255</v>
      </c>
      <c r="DJ1074" s="4">
        <f>INDEX(Sheet2!C:C,QUOTIENT(ROW()-1,19)+2)</f>
        <v>42004</v>
      </c>
      <c r="DK1074" s="4" t="e">
        <f>INDEX(Sheet2!$AA$2:$AS$228,QUOTIENT(ROW()-1,19)+1,MOD(ROW()-2,19)+1)</f>
        <v>#N/A</v>
      </c>
      <c r="DL1074" t="str">
        <f>IFERROR(INDEX(Sheet2!$AU$2:$BM$228,QUOTIENT(ROW()-1,19)+1,MOD(ROW()-2,19)+1),NA())</f>
        <v/>
      </c>
      <c r="DM1074" s="4" t="e">
        <f t="shared" si="69"/>
        <v>#N/A</v>
      </c>
      <c r="DN1074" t="e">
        <f t="shared" si="70"/>
        <v>#N/A</v>
      </c>
      <c r="DO1074" t="e">
        <f t="shared" si="71"/>
        <v>#N/A</v>
      </c>
    </row>
    <row r="1075" spans="7:119" x14ac:dyDescent="0.25">
      <c r="G1075"/>
      <c r="DI1075" s="4">
        <f>INDEX(Sheet2!A:A,QUOTIENT(ROW()-1,19)+2)</f>
        <v>41255</v>
      </c>
      <c r="DJ1075" s="4">
        <f>INDEX(Sheet2!C:C,QUOTIENT(ROW()-1,19)+2)</f>
        <v>42004</v>
      </c>
      <c r="DK1075" s="4" t="e">
        <f>INDEX(Sheet2!$AA$2:$AS$228,QUOTIENT(ROW()-1,19)+1,MOD(ROW()-2,19)+1)</f>
        <v>#N/A</v>
      </c>
      <c r="DL1075" t="str">
        <f>IFERROR(INDEX(Sheet2!$AU$2:$BM$228,QUOTIENT(ROW()-1,19)+1,MOD(ROW()-2,19)+1),NA())</f>
        <v/>
      </c>
      <c r="DM1075" s="4" t="e">
        <f t="shared" si="69"/>
        <v>#N/A</v>
      </c>
      <c r="DN1075" t="e">
        <f t="shared" si="70"/>
        <v>#N/A</v>
      </c>
      <c r="DO1075" t="e">
        <f t="shared" si="71"/>
        <v>#N/A</v>
      </c>
    </row>
    <row r="1076" spans="7:119" x14ac:dyDescent="0.25">
      <c r="G1076"/>
      <c r="DI1076" s="4">
        <f>INDEX(Sheet2!A:A,QUOTIENT(ROW()-1,19)+2)</f>
        <v>41255</v>
      </c>
      <c r="DJ1076" s="4">
        <f>INDEX(Sheet2!C:C,QUOTIENT(ROW()-1,19)+2)</f>
        <v>42004</v>
      </c>
      <c r="DK1076" s="4" t="e">
        <f>INDEX(Sheet2!$AA$2:$AS$228,QUOTIENT(ROW()-1,19)+1,MOD(ROW()-2,19)+1)</f>
        <v>#N/A</v>
      </c>
      <c r="DL1076" t="str">
        <f>IFERROR(INDEX(Sheet2!$AU$2:$BM$228,QUOTIENT(ROW()-1,19)+1,MOD(ROW()-2,19)+1),NA())</f>
        <v/>
      </c>
      <c r="DM1076" s="4" t="e">
        <f t="shared" si="69"/>
        <v>#N/A</v>
      </c>
      <c r="DN1076" t="e">
        <f t="shared" si="70"/>
        <v>#N/A</v>
      </c>
      <c r="DO1076" t="e">
        <f t="shared" si="71"/>
        <v>#N/A</v>
      </c>
    </row>
    <row r="1077" spans="7:119" x14ac:dyDescent="0.25">
      <c r="G1077"/>
      <c r="DI1077" s="4">
        <f>INDEX(Sheet2!A:A,QUOTIENT(ROW()-1,19)+2)</f>
        <v>41255</v>
      </c>
      <c r="DJ1077" s="4">
        <f>INDEX(Sheet2!C:C,QUOTIENT(ROW()-1,19)+2)</f>
        <v>42004</v>
      </c>
      <c r="DK1077" s="4" t="e">
        <f>INDEX(Sheet2!$AA$2:$AS$228,QUOTIENT(ROW()-1,19)+1,MOD(ROW()-2,19)+1)</f>
        <v>#N/A</v>
      </c>
      <c r="DL1077" t="str">
        <f>IFERROR(INDEX(Sheet2!$AU$2:$BM$228,QUOTIENT(ROW()-1,19)+1,MOD(ROW()-2,19)+1),NA())</f>
        <v/>
      </c>
      <c r="DM1077" s="4" t="e">
        <f t="shared" si="69"/>
        <v>#N/A</v>
      </c>
      <c r="DN1077" t="e">
        <f t="shared" si="70"/>
        <v>#N/A</v>
      </c>
      <c r="DO1077" t="e">
        <f t="shared" si="71"/>
        <v>#N/A</v>
      </c>
    </row>
    <row r="1078" spans="7:119" x14ac:dyDescent="0.25">
      <c r="G1078"/>
      <c r="DI1078" s="4">
        <f>INDEX(Sheet2!A:A,QUOTIENT(ROW()-1,19)+2)</f>
        <v>41255</v>
      </c>
      <c r="DJ1078" s="4">
        <f>INDEX(Sheet2!C:C,QUOTIENT(ROW()-1,19)+2)</f>
        <v>42004</v>
      </c>
      <c r="DK1078" s="4" t="e">
        <f>INDEX(Sheet2!$AA$2:$AS$228,QUOTIENT(ROW()-1,19)+1,MOD(ROW()-2,19)+1)</f>
        <v>#N/A</v>
      </c>
      <c r="DL1078" t="str">
        <f>IFERROR(INDEX(Sheet2!$AU$2:$BM$228,QUOTIENT(ROW()-1,19)+1,MOD(ROW()-2,19)+1),NA())</f>
        <v/>
      </c>
      <c r="DM1078" s="4" t="e">
        <f t="shared" si="69"/>
        <v>#N/A</v>
      </c>
      <c r="DN1078" t="e">
        <f t="shared" si="70"/>
        <v>#N/A</v>
      </c>
      <c r="DO1078" t="e">
        <f t="shared" si="71"/>
        <v>#N/A</v>
      </c>
    </row>
    <row r="1079" spans="7:119" x14ac:dyDescent="0.25">
      <c r="G1079"/>
      <c r="DI1079" s="4">
        <f>INDEX(Sheet2!A:A,QUOTIENT(ROW()-1,19)+2)</f>
        <v>41255</v>
      </c>
      <c r="DJ1079" s="4">
        <f>INDEX(Sheet2!C:C,QUOTIENT(ROW()-1,19)+2)</f>
        <v>42004</v>
      </c>
      <c r="DK1079" s="4" t="e">
        <f>INDEX(Sheet2!$AA$2:$AS$228,QUOTIENT(ROW()-1,19)+1,MOD(ROW()-2,19)+1)</f>
        <v>#N/A</v>
      </c>
      <c r="DL1079" t="str">
        <f>IFERROR(INDEX(Sheet2!$AU$2:$BM$228,QUOTIENT(ROW()-1,19)+1,MOD(ROW()-2,19)+1),NA())</f>
        <v/>
      </c>
      <c r="DM1079" s="4" t="e">
        <f t="shared" si="69"/>
        <v>#N/A</v>
      </c>
      <c r="DN1079" t="e">
        <f t="shared" si="70"/>
        <v>#N/A</v>
      </c>
      <c r="DO1079" t="e">
        <f t="shared" si="71"/>
        <v>#N/A</v>
      </c>
    </row>
    <row r="1080" spans="7:119" x14ac:dyDescent="0.25">
      <c r="G1080"/>
      <c r="DI1080" s="4">
        <f>INDEX(Sheet2!A:A,QUOTIENT(ROW()-1,19)+2)</f>
        <v>41255</v>
      </c>
      <c r="DJ1080" s="4">
        <f>INDEX(Sheet2!C:C,QUOTIENT(ROW()-1,19)+2)</f>
        <v>42004</v>
      </c>
      <c r="DK1080" s="4" t="e">
        <f>INDEX(Sheet2!$AA$2:$AS$228,QUOTIENT(ROW()-1,19)+1,MOD(ROW()-2,19)+1)</f>
        <v>#N/A</v>
      </c>
      <c r="DL1080" t="str">
        <f>IFERROR(INDEX(Sheet2!$AU$2:$BM$228,QUOTIENT(ROW()-1,19)+1,MOD(ROW()-2,19)+1),NA())</f>
        <v/>
      </c>
      <c r="DM1080" s="4" t="e">
        <f t="shared" si="69"/>
        <v>#N/A</v>
      </c>
      <c r="DN1080" t="e">
        <f t="shared" si="70"/>
        <v>#N/A</v>
      </c>
      <c r="DO1080" t="e">
        <f t="shared" si="71"/>
        <v>#N/A</v>
      </c>
    </row>
    <row r="1081" spans="7:119" x14ac:dyDescent="0.25">
      <c r="G1081"/>
      <c r="DI1081" s="4">
        <f>INDEX(Sheet2!A:A,QUOTIENT(ROW()-1,19)+2)</f>
        <v>41255</v>
      </c>
      <c r="DJ1081" s="4">
        <f>INDEX(Sheet2!C:C,QUOTIENT(ROW()-1,19)+2)</f>
        <v>42004</v>
      </c>
      <c r="DK1081" s="4" t="e">
        <f>INDEX(Sheet2!$AA$2:$AS$228,QUOTIENT(ROW()-1,19)+1,MOD(ROW()-2,19)+1)</f>
        <v>#N/A</v>
      </c>
      <c r="DL1081" t="str">
        <f>IFERROR(INDEX(Sheet2!$AU$2:$BM$228,QUOTIENT(ROW()-1,19)+1,MOD(ROW()-2,19)+1),NA())</f>
        <v/>
      </c>
      <c r="DM1081" s="4" t="e">
        <f t="shared" si="69"/>
        <v>#N/A</v>
      </c>
      <c r="DN1081" t="e">
        <f t="shared" si="70"/>
        <v>#N/A</v>
      </c>
      <c r="DO1081" t="e">
        <f t="shared" si="71"/>
        <v>#N/A</v>
      </c>
    </row>
    <row r="1082" spans="7:119" x14ac:dyDescent="0.25">
      <c r="G1082"/>
      <c r="DI1082" s="4">
        <f>INDEX(Sheet2!A:A,QUOTIENT(ROW()-1,19)+2)</f>
        <v>41255</v>
      </c>
      <c r="DJ1082" s="4">
        <f>INDEX(Sheet2!C:C,QUOTIENT(ROW()-1,19)+2)</f>
        <v>42004</v>
      </c>
      <c r="DK1082" s="4" t="e">
        <f>INDEX(Sheet2!$AA$2:$AS$228,QUOTIENT(ROW()-1,19)+1,MOD(ROW()-2,19)+1)</f>
        <v>#N/A</v>
      </c>
      <c r="DL1082" t="str">
        <f>IFERROR(INDEX(Sheet2!$AU$2:$BM$228,QUOTIENT(ROW()-1,19)+1,MOD(ROW()-2,19)+1),NA())</f>
        <v/>
      </c>
      <c r="DM1082" s="4" t="e">
        <f t="shared" si="69"/>
        <v>#N/A</v>
      </c>
      <c r="DN1082" t="e">
        <f t="shared" si="70"/>
        <v>#N/A</v>
      </c>
      <c r="DO1082" t="e">
        <f t="shared" si="71"/>
        <v>#N/A</v>
      </c>
    </row>
    <row r="1083" spans="7:119" x14ac:dyDescent="0.25">
      <c r="G1083"/>
      <c r="DI1083" s="4">
        <f>INDEX(Sheet2!A:A,QUOTIENT(ROW()-1,19)+2)</f>
        <v>41255</v>
      </c>
      <c r="DJ1083" s="4">
        <f>INDEX(Sheet2!C:C,QUOTIENT(ROW()-1,19)+2)</f>
        <v>42004</v>
      </c>
      <c r="DK1083" s="4" t="e">
        <f>INDEX(Sheet2!$AA$2:$AS$228,QUOTIENT(ROW()-1,19)+1,MOD(ROW()-2,19)+1)</f>
        <v>#N/A</v>
      </c>
      <c r="DL1083" t="str">
        <f>IFERROR(INDEX(Sheet2!$AU$2:$BM$228,QUOTIENT(ROW()-1,19)+1,MOD(ROW()-2,19)+1),NA())</f>
        <v/>
      </c>
      <c r="DM1083" s="4" t="e">
        <f t="shared" si="69"/>
        <v>#N/A</v>
      </c>
      <c r="DN1083" t="e">
        <f t="shared" si="70"/>
        <v>#N/A</v>
      </c>
      <c r="DO1083" t="e">
        <f t="shared" si="71"/>
        <v>#N/A</v>
      </c>
    </row>
    <row r="1084" spans="7:119" x14ac:dyDescent="0.25">
      <c r="G1084"/>
      <c r="DI1084" s="4">
        <f>INDEX(Sheet2!A:A,QUOTIENT(ROW()-1,19)+2)</f>
        <v>41255</v>
      </c>
      <c r="DJ1084" s="4">
        <f>INDEX(Sheet2!C:C,QUOTIENT(ROW()-1,19)+2)</f>
        <v>42004</v>
      </c>
      <c r="DK1084" s="4" t="e">
        <f>INDEX(Sheet2!$AA$2:$AS$228,QUOTIENT(ROW()-1,19)+1,MOD(ROW()-2,19)+1)</f>
        <v>#N/A</v>
      </c>
      <c r="DL1084" t="str">
        <f>IFERROR(INDEX(Sheet2!$AU$2:$BM$228,QUOTIENT(ROW()-1,19)+1,MOD(ROW()-2,19)+1),NA())</f>
        <v/>
      </c>
      <c r="DM1084" s="4" t="e">
        <f t="shared" si="69"/>
        <v>#N/A</v>
      </c>
      <c r="DN1084" t="e">
        <f t="shared" si="70"/>
        <v>#N/A</v>
      </c>
      <c r="DO1084" t="e">
        <f t="shared" si="71"/>
        <v>#N/A</v>
      </c>
    </row>
    <row r="1085" spans="7:119" x14ac:dyDescent="0.25">
      <c r="G1085"/>
      <c r="DI1085" s="4">
        <f>INDEX(Sheet2!A:A,QUOTIENT(ROW()-1,19)+2)</f>
        <v>41255</v>
      </c>
      <c r="DJ1085" s="4">
        <f>INDEX(Sheet2!C:C,QUOTIENT(ROW()-1,19)+2)</f>
        <v>42004</v>
      </c>
      <c r="DK1085" s="4">
        <f>INDEX(Sheet2!$AA$2:$AS$228,QUOTIENT(ROW()-1,19)+1,MOD(ROW()-2,19)+1)</f>
        <v>41993.962500000001</v>
      </c>
      <c r="DL1085">
        <f>IFERROR(INDEX(Sheet2!$AU$2:$BM$228,QUOTIENT(ROW()-1,19)+1,MOD(ROW()-2,19)+1),NA())</f>
        <v>1.5</v>
      </c>
      <c r="DM1085" s="4" t="e">
        <f t="shared" si="69"/>
        <v>#N/A</v>
      </c>
      <c r="DN1085" t="e">
        <f t="shared" si="70"/>
        <v>#N/A</v>
      </c>
      <c r="DO1085" t="e">
        <f t="shared" si="71"/>
        <v>#N/A</v>
      </c>
    </row>
    <row r="1086" spans="7:119" x14ac:dyDescent="0.25">
      <c r="G1086"/>
      <c r="DI1086" s="4">
        <f>INDEX(Sheet2!A:A,QUOTIENT(ROW()-1,19)+2)</f>
        <v>41255</v>
      </c>
      <c r="DJ1086" s="4">
        <f>INDEX(Sheet2!C:C,QUOTIENT(ROW()-1,19)+2)</f>
        <v>42004</v>
      </c>
      <c r="DK1086" s="4">
        <f>INDEX(Sheet2!$AA$2:$AS$228,QUOTIENT(ROW()-1,19)+1,MOD(ROW()-2,19)+1)</f>
        <v>42014.037500000006</v>
      </c>
      <c r="DL1086">
        <f>IFERROR(INDEX(Sheet2!$AU$2:$BM$228,QUOTIENT(ROW()-1,19)+1,MOD(ROW()-2,19)+1),NA())</f>
        <v>1.5</v>
      </c>
      <c r="DM1086" s="4" t="e">
        <f t="shared" si="69"/>
        <v>#N/A</v>
      </c>
      <c r="DN1086" t="e">
        <f t="shared" si="70"/>
        <v>#N/A</v>
      </c>
      <c r="DO1086" t="e">
        <f t="shared" si="71"/>
        <v>#N/A</v>
      </c>
    </row>
    <row r="1087" spans="7:119" x14ac:dyDescent="0.25">
      <c r="G1087"/>
      <c r="DI1087" s="4">
        <f>INDEX(Sheet2!A:A,QUOTIENT(ROW()-1,19)+2)</f>
        <v>41255</v>
      </c>
      <c r="DJ1087" s="4">
        <f>INDEX(Sheet2!C:C,QUOTIENT(ROW()-1,19)+2)</f>
        <v>42004</v>
      </c>
      <c r="DK1087" s="4" t="e">
        <f>INDEX(Sheet2!$AA$2:$AS$228,QUOTIENT(ROW()-1,19)+1,MOD(ROW()-2,19)+1)</f>
        <v>#N/A</v>
      </c>
      <c r="DL1087" t="str">
        <f>IFERROR(INDEX(Sheet2!$AU$2:$BM$228,QUOTIENT(ROW()-1,19)+1,MOD(ROW()-2,19)+1),NA())</f>
        <v/>
      </c>
      <c r="DM1087" s="4" t="e">
        <f t="shared" si="69"/>
        <v>#N/A</v>
      </c>
      <c r="DN1087" t="e">
        <f t="shared" si="70"/>
        <v>#N/A</v>
      </c>
      <c r="DO1087" t="e">
        <f t="shared" si="71"/>
        <v>#N/A</v>
      </c>
    </row>
    <row r="1088" spans="7:119" x14ac:dyDescent="0.25">
      <c r="G1088"/>
      <c r="DI1088" s="4">
        <f>INDEX(Sheet2!A:A,QUOTIENT(ROW()-1,19)+2)</f>
        <v>41255</v>
      </c>
      <c r="DJ1088" s="4">
        <f>INDEX(Sheet2!C:C,QUOTIENT(ROW()-1,19)+2)</f>
        <v>42004</v>
      </c>
      <c r="DK1088" s="4" t="e">
        <f>INDEX(Sheet2!$AA$2:$AS$228,QUOTIENT(ROW()-1,19)+1,MOD(ROW()-2,19)+1)</f>
        <v>#N/A</v>
      </c>
      <c r="DL1088" t="str">
        <f>IFERROR(INDEX(Sheet2!$AU$2:$BM$228,QUOTIENT(ROW()-1,19)+1,MOD(ROW()-2,19)+1),NA())</f>
        <v/>
      </c>
      <c r="DM1088" s="4" t="e">
        <f t="shared" si="69"/>
        <v>#N/A</v>
      </c>
      <c r="DN1088" t="e">
        <f t="shared" si="70"/>
        <v>#N/A</v>
      </c>
      <c r="DO1088" t="e">
        <f t="shared" si="71"/>
        <v>#N/A</v>
      </c>
    </row>
    <row r="1089" spans="7:119" x14ac:dyDescent="0.25">
      <c r="G1089"/>
      <c r="DI1089" s="4">
        <f>INDEX(Sheet2!A:A,QUOTIENT(ROW()-1,19)+2)</f>
        <v>41255</v>
      </c>
      <c r="DJ1089" s="4">
        <f>INDEX(Sheet2!C:C,QUOTIENT(ROW()-1,19)+2)</f>
        <v>42004</v>
      </c>
      <c r="DK1089" s="4" t="e">
        <f>INDEX(Sheet2!$AA$2:$AS$228,QUOTIENT(ROW()-1,19)+1,MOD(ROW()-2,19)+1)</f>
        <v>#N/A</v>
      </c>
      <c r="DL1089" t="str">
        <f>IFERROR(INDEX(Sheet2!$AU$2:$BM$228,QUOTIENT(ROW()-1,19)+1,MOD(ROW()-2,19)+1),NA())</f>
        <v/>
      </c>
      <c r="DM1089" s="4" t="e">
        <f t="shared" si="69"/>
        <v>#N/A</v>
      </c>
      <c r="DN1089" t="e">
        <f t="shared" si="70"/>
        <v>#N/A</v>
      </c>
      <c r="DO1089" t="e">
        <f t="shared" si="71"/>
        <v>#N/A</v>
      </c>
    </row>
    <row r="1090" spans="7:119" x14ac:dyDescent="0.25">
      <c r="G1090"/>
      <c r="DI1090" s="4">
        <f>INDEX(Sheet2!A:A,QUOTIENT(ROW()-1,19)+2)</f>
        <v>41255</v>
      </c>
      <c r="DJ1090" s="4">
        <f>INDEX(Sheet2!C:C,QUOTIENT(ROW()-1,19)+2)</f>
        <v>42004</v>
      </c>
      <c r="DK1090" s="4" t="e">
        <f>INDEX(Sheet2!$AA$2:$AS$228,QUOTIENT(ROW()-1,19)+1,MOD(ROW()-2,19)+1)</f>
        <v>#N/A</v>
      </c>
      <c r="DL1090" t="str">
        <f>IFERROR(INDEX(Sheet2!$AU$2:$BM$228,QUOTIENT(ROW()-1,19)+1,MOD(ROW()-2,19)+1),NA())</f>
        <v/>
      </c>
      <c r="DM1090" s="4" t="e">
        <f t="shared" ref="DM1090:DM1153" si="72">+IF($C$2=$DI1090,DK1090,NA())</f>
        <v>#N/A</v>
      </c>
      <c r="DN1090" t="e">
        <f t="shared" ref="DN1090:DN1153" si="73">+IF($C$2=$DI1090,DL1090,NA())</f>
        <v>#N/A</v>
      </c>
      <c r="DO1090" t="e">
        <f t="shared" si="71"/>
        <v>#N/A</v>
      </c>
    </row>
    <row r="1091" spans="7:119" x14ac:dyDescent="0.25">
      <c r="G1091"/>
      <c r="DI1091" s="4">
        <f>INDEX(Sheet2!A:A,QUOTIENT(ROW()-1,19)+2)</f>
        <v>41255</v>
      </c>
      <c r="DJ1091" s="4">
        <f>INDEX(Sheet2!C:C,QUOTIENT(ROW()-1,19)+2)</f>
        <v>42004</v>
      </c>
      <c r="DK1091" s="4" t="e">
        <f>INDEX(Sheet2!$AA$2:$AS$228,QUOTIENT(ROW()-1,19)+1,MOD(ROW()-2,19)+1)</f>
        <v>#N/A</v>
      </c>
      <c r="DL1091" t="str">
        <f>IFERROR(INDEX(Sheet2!$AU$2:$BM$228,QUOTIENT(ROW()-1,19)+1,MOD(ROW()-2,19)+1),NA())</f>
        <v/>
      </c>
      <c r="DM1091" s="4" t="e">
        <f t="shared" si="72"/>
        <v>#N/A</v>
      </c>
      <c r="DN1091" t="e">
        <f t="shared" si="73"/>
        <v>#N/A</v>
      </c>
      <c r="DO1091" t="e">
        <f t="shared" ref="DO1091:DO1154" si="74">IF(DN1091="",NA(),DN1091)</f>
        <v>#N/A</v>
      </c>
    </row>
    <row r="1092" spans="7:119" x14ac:dyDescent="0.25">
      <c r="G1092"/>
      <c r="DI1092" s="4">
        <f>INDEX(Sheet2!A:A,QUOTIENT(ROW()-1,19)+2)</f>
        <v>41255</v>
      </c>
      <c r="DJ1092" s="4">
        <f>INDEX(Sheet2!C:C,QUOTIENT(ROW()-1,19)+2)</f>
        <v>42004</v>
      </c>
      <c r="DK1092" s="4" t="e">
        <f>INDEX(Sheet2!$AA$2:$AS$228,QUOTIENT(ROW()-1,19)+1,MOD(ROW()-2,19)+1)</f>
        <v>#N/A</v>
      </c>
      <c r="DL1092" t="str">
        <f>IFERROR(INDEX(Sheet2!$AU$2:$BM$228,QUOTIENT(ROW()-1,19)+1,MOD(ROW()-2,19)+1),NA())</f>
        <v/>
      </c>
      <c r="DM1092" s="4" t="e">
        <f t="shared" si="72"/>
        <v>#N/A</v>
      </c>
      <c r="DN1092" t="e">
        <f t="shared" si="73"/>
        <v>#N/A</v>
      </c>
      <c r="DO1092" t="e">
        <f t="shared" si="74"/>
        <v>#N/A</v>
      </c>
    </row>
    <row r="1093" spans="7:119" x14ac:dyDescent="0.25">
      <c r="G1093"/>
      <c r="DI1093" s="4">
        <f>INDEX(Sheet2!A:A,QUOTIENT(ROW()-1,19)+2)</f>
        <v>41255</v>
      </c>
      <c r="DJ1093" s="4">
        <f>INDEX(Sheet2!C:C,QUOTIENT(ROW()-1,19)+2)</f>
        <v>42004</v>
      </c>
      <c r="DK1093" s="4" t="e">
        <f>INDEX(Sheet2!$AA$2:$AS$228,QUOTIENT(ROW()-1,19)+1,MOD(ROW()-2,19)+1)</f>
        <v>#N/A</v>
      </c>
      <c r="DL1093" t="str">
        <f>IFERROR(INDEX(Sheet2!$AU$2:$BM$228,QUOTIENT(ROW()-1,19)+1,MOD(ROW()-2,19)+1),NA())</f>
        <v/>
      </c>
      <c r="DM1093" s="4" t="e">
        <f t="shared" si="72"/>
        <v>#N/A</v>
      </c>
      <c r="DN1093" t="e">
        <f t="shared" si="73"/>
        <v>#N/A</v>
      </c>
      <c r="DO1093" t="e">
        <f t="shared" si="74"/>
        <v>#N/A</v>
      </c>
    </row>
    <row r="1094" spans="7:119" x14ac:dyDescent="0.25">
      <c r="G1094"/>
      <c r="DI1094" s="4">
        <f>INDEX(Sheet2!A:A,QUOTIENT(ROW()-1,19)+2)</f>
        <v>41255</v>
      </c>
      <c r="DJ1094" s="4">
        <f>INDEX(Sheet2!C:C,QUOTIENT(ROW()-1,19)+2)</f>
        <v>42004</v>
      </c>
      <c r="DK1094" s="4" t="e">
        <f>INDEX(Sheet2!$AA$2:$AS$228,QUOTIENT(ROW()-1,19)+1,MOD(ROW()-2,19)+1)</f>
        <v>#N/A</v>
      </c>
      <c r="DL1094" t="str">
        <f>IFERROR(INDEX(Sheet2!$AU$2:$BM$228,QUOTIENT(ROW()-1,19)+1,MOD(ROW()-2,19)+1),NA())</f>
        <v/>
      </c>
      <c r="DM1094" s="4" t="e">
        <f t="shared" si="72"/>
        <v>#N/A</v>
      </c>
      <c r="DN1094" t="e">
        <f t="shared" si="73"/>
        <v>#N/A</v>
      </c>
      <c r="DO1094" t="e">
        <f t="shared" si="74"/>
        <v>#N/A</v>
      </c>
    </row>
    <row r="1095" spans="7:119" x14ac:dyDescent="0.25">
      <c r="G1095"/>
      <c r="DI1095" s="4">
        <f>INDEX(Sheet2!A:A,QUOTIENT(ROW()-1,19)+2)</f>
        <v>41255</v>
      </c>
      <c r="DJ1095" s="4">
        <f>INDEX(Sheet2!C:C,QUOTIENT(ROW()-1,19)+2)</f>
        <v>42004</v>
      </c>
      <c r="DK1095" s="4" t="e">
        <f>INDEX(Sheet2!$AA$2:$AS$228,QUOTIENT(ROW()-1,19)+1,MOD(ROW()-2,19)+1)</f>
        <v>#N/A</v>
      </c>
      <c r="DL1095" t="str">
        <f>IFERROR(INDEX(Sheet2!$AU$2:$BM$228,QUOTIENT(ROW()-1,19)+1,MOD(ROW()-2,19)+1),NA())</f>
        <v/>
      </c>
      <c r="DM1095" s="4" t="e">
        <f t="shared" si="72"/>
        <v>#N/A</v>
      </c>
      <c r="DN1095" t="e">
        <f t="shared" si="73"/>
        <v>#N/A</v>
      </c>
      <c r="DO1095" t="e">
        <f t="shared" si="74"/>
        <v>#N/A</v>
      </c>
    </row>
    <row r="1096" spans="7:119" x14ac:dyDescent="0.25">
      <c r="G1096"/>
      <c r="DI1096" s="4">
        <f>INDEX(Sheet2!A:A,QUOTIENT(ROW()-1,19)+2)</f>
        <v>41255</v>
      </c>
      <c r="DJ1096" s="4">
        <f>INDEX(Sheet2!C:C,QUOTIENT(ROW()-1,19)+2)</f>
        <v>42004</v>
      </c>
      <c r="DK1096" s="4" t="e">
        <f>INDEX(Sheet2!$AA$2:$AS$228,QUOTIENT(ROW()-1,19)+1,MOD(ROW()-2,19)+1)</f>
        <v>#N/A</v>
      </c>
      <c r="DL1096" t="str">
        <f>IFERROR(INDEX(Sheet2!$AU$2:$BM$228,QUOTIENT(ROW()-1,19)+1,MOD(ROW()-2,19)+1),NA())</f>
        <v/>
      </c>
      <c r="DM1096" s="4" t="e">
        <f t="shared" si="72"/>
        <v>#N/A</v>
      </c>
      <c r="DN1096" t="e">
        <f t="shared" si="73"/>
        <v>#N/A</v>
      </c>
      <c r="DO1096" t="e">
        <f t="shared" si="74"/>
        <v>#N/A</v>
      </c>
    </row>
    <row r="1097" spans="7:119" x14ac:dyDescent="0.25">
      <c r="G1097"/>
      <c r="DI1097" s="4">
        <f>INDEX(Sheet2!A:A,QUOTIENT(ROW()-1,19)+2)</f>
        <v>41255</v>
      </c>
      <c r="DJ1097" s="4">
        <f>INDEX(Sheet2!C:C,QUOTIENT(ROW()-1,19)+2)</f>
        <v>42004</v>
      </c>
      <c r="DK1097" s="4" t="e">
        <f>INDEX(Sheet2!$AA$2:$AS$228,QUOTIENT(ROW()-1,19)+1,MOD(ROW()-2,19)+1)</f>
        <v>#N/A</v>
      </c>
      <c r="DL1097" t="str">
        <f>IFERROR(INDEX(Sheet2!$AU$2:$BM$228,QUOTIENT(ROW()-1,19)+1,MOD(ROW()-2,19)+1),NA())</f>
        <v/>
      </c>
      <c r="DM1097" s="4" t="e">
        <f t="shared" si="72"/>
        <v>#N/A</v>
      </c>
      <c r="DN1097" t="e">
        <f t="shared" si="73"/>
        <v>#N/A</v>
      </c>
      <c r="DO1097" t="e">
        <f t="shared" si="74"/>
        <v>#N/A</v>
      </c>
    </row>
    <row r="1098" spans="7:119" x14ac:dyDescent="0.25">
      <c r="G1098"/>
      <c r="DI1098" s="4">
        <f>INDEX(Sheet2!A:A,QUOTIENT(ROW()-1,19)+2)</f>
        <v>41255</v>
      </c>
      <c r="DJ1098" s="4">
        <f>INDEX(Sheet2!C:C,QUOTIENT(ROW()-1,19)+2)</f>
        <v>42004</v>
      </c>
      <c r="DK1098" s="4" t="e">
        <f>INDEX(Sheet2!$AA$2:$AS$228,QUOTIENT(ROW()-1,19)+1,MOD(ROW()-2,19)+1)</f>
        <v>#N/A</v>
      </c>
      <c r="DL1098" t="str">
        <f>IFERROR(INDEX(Sheet2!$AU$2:$BM$228,QUOTIENT(ROW()-1,19)+1,MOD(ROW()-2,19)+1),NA())</f>
        <v/>
      </c>
      <c r="DM1098" s="4" t="e">
        <f t="shared" si="72"/>
        <v>#N/A</v>
      </c>
      <c r="DN1098" t="e">
        <f t="shared" si="73"/>
        <v>#N/A</v>
      </c>
      <c r="DO1098" t="e">
        <f t="shared" si="74"/>
        <v>#N/A</v>
      </c>
    </row>
    <row r="1099" spans="7:119" x14ac:dyDescent="0.25">
      <c r="G1099"/>
      <c r="DI1099" s="4">
        <f>INDEX(Sheet2!A:A,QUOTIENT(ROW()-1,19)+2)</f>
        <v>41255</v>
      </c>
      <c r="DJ1099" s="4">
        <f>INDEX(Sheet2!C:C,QUOTIENT(ROW()-1,19)+2)</f>
        <v>42004</v>
      </c>
      <c r="DK1099" s="4" t="e">
        <f>INDEX(Sheet2!$AA$2:$AS$228,QUOTIENT(ROW()-1,19)+1,MOD(ROW()-2,19)+1)</f>
        <v>#N/A</v>
      </c>
      <c r="DL1099" t="str">
        <f>IFERROR(INDEX(Sheet2!$AU$2:$BM$228,QUOTIENT(ROW()-1,19)+1,MOD(ROW()-2,19)+1),NA())</f>
        <v/>
      </c>
      <c r="DM1099" s="4" t="e">
        <f t="shared" si="72"/>
        <v>#N/A</v>
      </c>
      <c r="DN1099" t="e">
        <f t="shared" si="73"/>
        <v>#N/A</v>
      </c>
      <c r="DO1099" t="e">
        <f t="shared" si="74"/>
        <v>#N/A</v>
      </c>
    </row>
    <row r="1100" spans="7:119" x14ac:dyDescent="0.25">
      <c r="G1100"/>
      <c r="DI1100" s="4">
        <f>INDEX(Sheet2!A:A,QUOTIENT(ROW()-1,19)+2)</f>
        <v>41255</v>
      </c>
      <c r="DJ1100" s="4">
        <f>INDEX(Sheet2!C:C,QUOTIENT(ROW()-1,19)+2)</f>
        <v>42004</v>
      </c>
      <c r="DK1100" s="4" t="e">
        <f>INDEX(Sheet2!$AA$2:$AS$228,QUOTIENT(ROW()-1,19)+1,MOD(ROW()-2,19)+1)</f>
        <v>#N/A</v>
      </c>
      <c r="DL1100" t="str">
        <f>IFERROR(INDEX(Sheet2!$AU$2:$BM$228,QUOTIENT(ROW()-1,19)+1,MOD(ROW()-2,19)+1),NA())</f>
        <v/>
      </c>
      <c r="DM1100" s="4" t="e">
        <f t="shared" si="72"/>
        <v>#N/A</v>
      </c>
      <c r="DN1100" t="e">
        <f t="shared" si="73"/>
        <v>#N/A</v>
      </c>
      <c r="DO1100" t="e">
        <f t="shared" si="74"/>
        <v>#N/A</v>
      </c>
    </row>
    <row r="1101" spans="7:119" x14ac:dyDescent="0.25">
      <c r="G1101"/>
      <c r="DI1101" s="4">
        <f>INDEX(Sheet2!A:A,QUOTIENT(ROW()-1,19)+2)</f>
        <v>41255</v>
      </c>
      <c r="DJ1101" s="4">
        <f>INDEX(Sheet2!C:C,QUOTIENT(ROW()-1,19)+2)</f>
        <v>42004</v>
      </c>
      <c r="DK1101" s="4" t="e">
        <f>INDEX(Sheet2!$AA$2:$AS$228,QUOTIENT(ROW()-1,19)+1,MOD(ROW()-2,19)+1)</f>
        <v>#N/A</v>
      </c>
      <c r="DL1101" t="str">
        <f>IFERROR(INDEX(Sheet2!$AU$2:$BM$228,QUOTIENT(ROW()-1,19)+1,MOD(ROW()-2,19)+1),NA())</f>
        <v/>
      </c>
      <c r="DM1101" s="4" t="e">
        <f t="shared" si="72"/>
        <v>#N/A</v>
      </c>
      <c r="DN1101" t="e">
        <f t="shared" si="73"/>
        <v>#N/A</v>
      </c>
      <c r="DO1101" t="e">
        <f t="shared" si="74"/>
        <v>#N/A</v>
      </c>
    </row>
    <row r="1102" spans="7:119" x14ac:dyDescent="0.25">
      <c r="G1102"/>
      <c r="DI1102" s="4">
        <f>INDEX(Sheet2!A:A,QUOTIENT(ROW()-1,19)+2)</f>
        <v>41255</v>
      </c>
      <c r="DJ1102" s="4">
        <f>INDEX(Sheet2!C:C,QUOTIENT(ROW()-1,19)+2)</f>
        <v>42004</v>
      </c>
      <c r="DK1102" s="4" t="e">
        <f>INDEX(Sheet2!$AA$2:$AS$228,QUOTIENT(ROW()-1,19)+1,MOD(ROW()-2,19)+1)</f>
        <v>#N/A</v>
      </c>
      <c r="DL1102" t="str">
        <f>IFERROR(INDEX(Sheet2!$AU$2:$BM$228,QUOTIENT(ROW()-1,19)+1,MOD(ROW()-2,19)+1),NA())</f>
        <v/>
      </c>
      <c r="DM1102" s="4" t="e">
        <f t="shared" si="72"/>
        <v>#N/A</v>
      </c>
      <c r="DN1102" t="e">
        <f t="shared" si="73"/>
        <v>#N/A</v>
      </c>
      <c r="DO1102" t="e">
        <f t="shared" si="74"/>
        <v>#N/A</v>
      </c>
    </row>
    <row r="1103" spans="7:119" x14ac:dyDescent="0.25">
      <c r="G1103"/>
      <c r="DI1103" s="4">
        <f>INDEX(Sheet2!A:A,QUOTIENT(ROW()-1,19)+2)</f>
        <v>41255</v>
      </c>
      <c r="DJ1103" s="4">
        <f>INDEX(Sheet2!C:C,QUOTIENT(ROW()-1,19)+2)</f>
        <v>42004</v>
      </c>
      <c r="DK1103" s="4" t="e">
        <f>INDEX(Sheet2!$AA$2:$AS$228,QUOTIENT(ROW()-1,19)+1,MOD(ROW()-2,19)+1)</f>
        <v>#N/A</v>
      </c>
      <c r="DL1103" t="str">
        <f>IFERROR(INDEX(Sheet2!$AU$2:$BM$228,QUOTIENT(ROW()-1,19)+1,MOD(ROW()-2,19)+1),NA())</f>
        <v/>
      </c>
      <c r="DM1103" s="4" t="e">
        <f t="shared" si="72"/>
        <v>#N/A</v>
      </c>
      <c r="DN1103" t="e">
        <f t="shared" si="73"/>
        <v>#N/A</v>
      </c>
      <c r="DO1103" t="e">
        <f t="shared" si="74"/>
        <v>#N/A</v>
      </c>
    </row>
    <row r="1104" spans="7:119" x14ac:dyDescent="0.25">
      <c r="G1104"/>
      <c r="DI1104" s="4">
        <f>INDEX(Sheet2!A:A,QUOTIENT(ROW()-1,19)+2)</f>
        <v>41255</v>
      </c>
      <c r="DJ1104" s="4">
        <f>INDEX(Sheet2!C:C,QUOTIENT(ROW()-1,19)+2)</f>
        <v>42004</v>
      </c>
      <c r="DK1104" s="4">
        <f>INDEX(Sheet2!$AA$2:$AS$228,QUOTIENT(ROW()-1,19)+1,MOD(ROW()-2,19)+1)</f>
        <v>42004</v>
      </c>
      <c r="DL1104">
        <f>IFERROR(INDEX(Sheet2!$AU$2:$BM$228,QUOTIENT(ROW()-1,19)+1,MOD(ROW()-2,19)+1),NA())</f>
        <v>1.75</v>
      </c>
      <c r="DM1104" s="4" t="e">
        <f t="shared" si="72"/>
        <v>#N/A</v>
      </c>
      <c r="DN1104" t="e">
        <f t="shared" si="73"/>
        <v>#N/A</v>
      </c>
      <c r="DO1104" t="e">
        <f t="shared" si="74"/>
        <v>#N/A</v>
      </c>
    </row>
    <row r="1105" spans="7:119" x14ac:dyDescent="0.25">
      <c r="G1105"/>
      <c r="DI1105" s="4">
        <f>INDEX(Sheet2!A:A,QUOTIENT(ROW()-1,19)+2)</f>
        <v>41255</v>
      </c>
      <c r="DJ1105" s="4">
        <f>INDEX(Sheet2!C:C,QUOTIENT(ROW()-1,19)+2)</f>
        <v>42004</v>
      </c>
      <c r="DK1105" s="4" t="e">
        <f>INDEX(Sheet2!$AA$2:$AS$228,QUOTIENT(ROW()-1,19)+1,MOD(ROW()-2,19)+1)</f>
        <v>#N/A</v>
      </c>
      <c r="DL1105" t="str">
        <f>IFERROR(INDEX(Sheet2!$AU$2:$BM$228,QUOTIENT(ROW()-1,19)+1,MOD(ROW()-2,19)+1),NA())</f>
        <v/>
      </c>
      <c r="DM1105" s="4" t="e">
        <f t="shared" si="72"/>
        <v>#N/A</v>
      </c>
      <c r="DN1105" t="e">
        <f t="shared" si="73"/>
        <v>#N/A</v>
      </c>
      <c r="DO1105" t="e">
        <f t="shared" si="74"/>
        <v>#N/A</v>
      </c>
    </row>
    <row r="1106" spans="7:119" x14ac:dyDescent="0.25">
      <c r="G1106"/>
      <c r="DI1106" s="4">
        <f>INDEX(Sheet2!A:A,QUOTIENT(ROW()-1,19)+2)</f>
        <v>41255</v>
      </c>
      <c r="DJ1106" s="4">
        <f>INDEX(Sheet2!C:C,QUOTIENT(ROW()-1,19)+2)</f>
        <v>42004</v>
      </c>
      <c r="DK1106" s="4" t="e">
        <f>INDEX(Sheet2!$AA$2:$AS$228,QUOTIENT(ROW()-1,19)+1,MOD(ROW()-2,19)+1)</f>
        <v>#N/A</v>
      </c>
      <c r="DL1106" t="str">
        <f>IFERROR(INDEX(Sheet2!$AU$2:$BM$228,QUOTIENT(ROW()-1,19)+1,MOD(ROW()-2,19)+1),NA())</f>
        <v/>
      </c>
      <c r="DM1106" s="4" t="e">
        <f t="shared" si="72"/>
        <v>#N/A</v>
      </c>
      <c r="DN1106" t="e">
        <f t="shared" si="73"/>
        <v>#N/A</v>
      </c>
      <c r="DO1106" t="e">
        <f t="shared" si="74"/>
        <v>#N/A</v>
      </c>
    </row>
    <row r="1107" spans="7:119" x14ac:dyDescent="0.25">
      <c r="G1107"/>
      <c r="DI1107" s="4">
        <f>INDEX(Sheet2!A:A,QUOTIENT(ROW()-1,19)+2)</f>
        <v>41255</v>
      </c>
      <c r="DJ1107" s="4">
        <f>INDEX(Sheet2!C:C,QUOTIENT(ROW()-1,19)+2)</f>
        <v>42004</v>
      </c>
      <c r="DK1107" s="4" t="e">
        <f>INDEX(Sheet2!$AA$2:$AS$228,QUOTIENT(ROW()-1,19)+1,MOD(ROW()-2,19)+1)</f>
        <v>#N/A</v>
      </c>
      <c r="DL1107" t="str">
        <f>IFERROR(INDEX(Sheet2!$AU$2:$BM$228,QUOTIENT(ROW()-1,19)+1,MOD(ROW()-2,19)+1),NA())</f>
        <v/>
      </c>
      <c r="DM1107" s="4" t="e">
        <f t="shared" si="72"/>
        <v>#N/A</v>
      </c>
      <c r="DN1107" t="e">
        <f t="shared" si="73"/>
        <v>#N/A</v>
      </c>
      <c r="DO1107" t="e">
        <f t="shared" si="74"/>
        <v>#N/A</v>
      </c>
    </row>
    <row r="1108" spans="7:119" x14ac:dyDescent="0.25">
      <c r="G1108"/>
      <c r="DI1108" s="4">
        <f>INDEX(Sheet2!A:A,QUOTIENT(ROW()-1,19)+2)</f>
        <v>41255</v>
      </c>
      <c r="DJ1108" s="4">
        <f>INDEX(Sheet2!C:C,QUOTIENT(ROW()-1,19)+2)</f>
        <v>42004</v>
      </c>
      <c r="DK1108" s="4" t="e">
        <f>INDEX(Sheet2!$AA$2:$AS$228,QUOTIENT(ROW()-1,19)+1,MOD(ROW()-2,19)+1)</f>
        <v>#N/A</v>
      </c>
      <c r="DL1108" t="str">
        <f>IFERROR(INDEX(Sheet2!$AU$2:$BM$228,QUOTIENT(ROW()-1,19)+1,MOD(ROW()-2,19)+1),NA())</f>
        <v/>
      </c>
      <c r="DM1108" s="4" t="e">
        <f t="shared" si="72"/>
        <v>#N/A</v>
      </c>
      <c r="DN1108" t="e">
        <f t="shared" si="73"/>
        <v>#N/A</v>
      </c>
      <c r="DO1108" t="e">
        <f t="shared" si="74"/>
        <v>#N/A</v>
      </c>
    </row>
    <row r="1109" spans="7:119" x14ac:dyDescent="0.25">
      <c r="G1109"/>
      <c r="DI1109" s="4">
        <f>INDEX(Sheet2!A:A,QUOTIENT(ROW()-1,19)+2)</f>
        <v>41255</v>
      </c>
      <c r="DJ1109" s="4">
        <f>INDEX(Sheet2!C:C,QUOTIENT(ROW()-1,19)+2)</f>
        <v>42004</v>
      </c>
      <c r="DK1109" s="4" t="e">
        <f>INDEX(Sheet2!$AA$2:$AS$228,QUOTIENT(ROW()-1,19)+1,MOD(ROW()-2,19)+1)</f>
        <v>#N/A</v>
      </c>
      <c r="DL1109" t="str">
        <f>IFERROR(INDEX(Sheet2!$AU$2:$BM$228,QUOTIENT(ROW()-1,19)+1,MOD(ROW()-2,19)+1),NA())</f>
        <v/>
      </c>
      <c r="DM1109" s="4" t="e">
        <f t="shared" si="72"/>
        <v>#N/A</v>
      </c>
      <c r="DN1109" t="e">
        <f t="shared" si="73"/>
        <v>#N/A</v>
      </c>
      <c r="DO1109" t="e">
        <f t="shared" si="74"/>
        <v>#N/A</v>
      </c>
    </row>
    <row r="1110" spans="7:119" x14ac:dyDescent="0.25">
      <c r="G1110"/>
      <c r="DI1110" s="4">
        <f>INDEX(Sheet2!A:A,QUOTIENT(ROW()-1,19)+2)</f>
        <v>41255</v>
      </c>
      <c r="DJ1110" s="4">
        <f>INDEX(Sheet2!C:C,QUOTIENT(ROW()-1,19)+2)</f>
        <v>42004</v>
      </c>
      <c r="DK1110" s="4" t="e">
        <f>INDEX(Sheet2!$AA$2:$AS$228,QUOTIENT(ROW()-1,19)+1,MOD(ROW()-2,19)+1)</f>
        <v>#N/A</v>
      </c>
      <c r="DL1110" t="str">
        <f>IFERROR(INDEX(Sheet2!$AU$2:$BM$228,QUOTIENT(ROW()-1,19)+1,MOD(ROW()-2,19)+1),NA())</f>
        <v/>
      </c>
      <c r="DM1110" s="4" t="e">
        <f t="shared" si="72"/>
        <v>#N/A</v>
      </c>
      <c r="DN1110" t="e">
        <f t="shared" si="73"/>
        <v>#N/A</v>
      </c>
      <c r="DO1110" t="e">
        <f t="shared" si="74"/>
        <v>#N/A</v>
      </c>
    </row>
    <row r="1111" spans="7:119" x14ac:dyDescent="0.25">
      <c r="G1111"/>
      <c r="DI1111" s="4">
        <f>INDEX(Sheet2!A:A,QUOTIENT(ROW()-1,19)+2)</f>
        <v>41255</v>
      </c>
      <c r="DJ1111" s="4">
        <f>INDEX(Sheet2!C:C,QUOTIENT(ROW()-1,19)+2)</f>
        <v>42004</v>
      </c>
      <c r="DK1111" s="4" t="e">
        <f>INDEX(Sheet2!$AA$2:$AS$228,QUOTIENT(ROW()-1,19)+1,MOD(ROW()-2,19)+1)</f>
        <v>#N/A</v>
      </c>
      <c r="DL1111" t="str">
        <f>IFERROR(INDEX(Sheet2!$AU$2:$BM$228,QUOTIENT(ROW()-1,19)+1,MOD(ROW()-2,19)+1),NA())</f>
        <v/>
      </c>
      <c r="DM1111" s="4" t="e">
        <f t="shared" si="72"/>
        <v>#N/A</v>
      </c>
      <c r="DN1111" t="e">
        <f t="shared" si="73"/>
        <v>#N/A</v>
      </c>
      <c r="DO1111" t="e">
        <f t="shared" si="74"/>
        <v>#N/A</v>
      </c>
    </row>
    <row r="1112" spans="7:119" x14ac:dyDescent="0.25">
      <c r="G1112"/>
      <c r="DI1112" s="4">
        <f>INDEX(Sheet2!A:A,QUOTIENT(ROW()-1,19)+2)</f>
        <v>41255</v>
      </c>
      <c r="DJ1112" s="4">
        <f>INDEX(Sheet2!C:C,QUOTIENT(ROW()-1,19)+2)</f>
        <v>42004</v>
      </c>
      <c r="DK1112" s="4" t="e">
        <f>INDEX(Sheet2!$AA$2:$AS$228,QUOTIENT(ROW()-1,19)+1,MOD(ROW()-2,19)+1)</f>
        <v>#N/A</v>
      </c>
      <c r="DL1112" t="str">
        <f>IFERROR(INDEX(Sheet2!$AU$2:$BM$228,QUOTIENT(ROW()-1,19)+1,MOD(ROW()-2,19)+1),NA())</f>
        <v/>
      </c>
      <c r="DM1112" s="4" t="e">
        <f t="shared" si="72"/>
        <v>#N/A</v>
      </c>
      <c r="DN1112" t="e">
        <f t="shared" si="73"/>
        <v>#N/A</v>
      </c>
      <c r="DO1112" t="e">
        <f t="shared" si="74"/>
        <v>#N/A</v>
      </c>
    </row>
    <row r="1113" spans="7:119" x14ac:dyDescent="0.25">
      <c r="G1113"/>
      <c r="DI1113" s="4">
        <f>INDEX(Sheet2!A:A,QUOTIENT(ROW()-1,19)+2)</f>
        <v>41255</v>
      </c>
      <c r="DJ1113" s="4">
        <f>INDEX(Sheet2!C:C,QUOTIENT(ROW()-1,19)+2)</f>
        <v>42004</v>
      </c>
      <c r="DK1113" s="4" t="e">
        <f>INDEX(Sheet2!$AA$2:$AS$228,QUOTIENT(ROW()-1,19)+1,MOD(ROW()-2,19)+1)</f>
        <v>#N/A</v>
      </c>
      <c r="DL1113" t="str">
        <f>IFERROR(INDEX(Sheet2!$AU$2:$BM$228,QUOTIENT(ROW()-1,19)+1,MOD(ROW()-2,19)+1),NA())</f>
        <v/>
      </c>
      <c r="DM1113" s="4" t="e">
        <f t="shared" si="72"/>
        <v>#N/A</v>
      </c>
      <c r="DN1113" t="e">
        <f t="shared" si="73"/>
        <v>#N/A</v>
      </c>
      <c r="DO1113" t="e">
        <f t="shared" si="74"/>
        <v>#N/A</v>
      </c>
    </row>
    <row r="1114" spans="7:119" x14ac:dyDescent="0.25">
      <c r="G1114"/>
      <c r="DI1114" s="4">
        <f>INDEX(Sheet2!A:A,QUOTIENT(ROW()-1,19)+2)</f>
        <v>41255</v>
      </c>
      <c r="DJ1114" s="4">
        <f>INDEX(Sheet2!C:C,QUOTIENT(ROW()-1,19)+2)</f>
        <v>42004</v>
      </c>
      <c r="DK1114" s="4" t="e">
        <f>INDEX(Sheet2!$AA$2:$AS$228,QUOTIENT(ROW()-1,19)+1,MOD(ROW()-2,19)+1)</f>
        <v>#N/A</v>
      </c>
      <c r="DL1114" t="str">
        <f>IFERROR(INDEX(Sheet2!$AU$2:$BM$228,QUOTIENT(ROW()-1,19)+1,MOD(ROW()-2,19)+1),NA())</f>
        <v/>
      </c>
      <c r="DM1114" s="4" t="e">
        <f t="shared" si="72"/>
        <v>#N/A</v>
      </c>
      <c r="DN1114" t="e">
        <f t="shared" si="73"/>
        <v>#N/A</v>
      </c>
      <c r="DO1114" t="e">
        <f t="shared" si="74"/>
        <v>#N/A</v>
      </c>
    </row>
    <row r="1115" spans="7:119" x14ac:dyDescent="0.25">
      <c r="G1115"/>
      <c r="DI1115" s="4">
        <f>INDEX(Sheet2!A:A,QUOTIENT(ROW()-1,19)+2)</f>
        <v>41255</v>
      </c>
      <c r="DJ1115" s="4">
        <f>INDEX(Sheet2!C:C,QUOTIENT(ROW()-1,19)+2)</f>
        <v>42004</v>
      </c>
      <c r="DK1115" s="4" t="e">
        <f>INDEX(Sheet2!$AA$2:$AS$228,QUOTIENT(ROW()-1,19)+1,MOD(ROW()-2,19)+1)</f>
        <v>#N/A</v>
      </c>
      <c r="DL1115" t="str">
        <f>IFERROR(INDEX(Sheet2!$AU$2:$BM$228,QUOTIENT(ROW()-1,19)+1,MOD(ROW()-2,19)+1),NA())</f>
        <v/>
      </c>
      <c r="DM1115" s="4" t="e">
        <f t="shared" si="72"/>
        <v>#N/A</v>
      </c>
      <c r="DN1115" t="e">
        <f t="shared" si="73"/>
        <v>#N/A</v>
      </c>
      <c r="DO1115" t="e">
        <f t="shared" si="74"/>
        <v>#N/A</v>
      </c>
    </row>
    <row r="1116" spans="7:119" x14ac:dyDescent="0.25">
      <c r="G1116"/>
      <c r="DI1116" s="4">
        <f>INDEX(Sheet2!A:A,QUOTIENT(ROW()-1,19)+2)</f>
        <v>41255</v>
      </c>
      <c r="DJ1116" s="4">
        <f>INDEX(Sheet2!C:C,QUOTIENT(ROW()-1,19)+2)</f>
        <v>42004</v>
      </c>
      <c r="DK1116" s="4" t="e">
        <f>INDEX(Sheet2!$AA$2:$AS$228,QUOTIENT(ROW()-1,19)+1,MOD(ROW()-2,19)+1)</f>
        <v>#N/A</v>
      </c>
      <c r="DL1116" t="str">
        <f>IFERROR(INDEX(Sheet2!$AU$2:$BM$228,QUOTIENT(ROW()-1,19)+1,MOD(ROW()-2,19)+1),NA())</f>
        <v/>
      </c>
      <c r="DM1116" s="4" t="e">
        <f t="shared" si="72"/>
        <v>#N/A</v>
      </c>
      <c r="DN1116" t="e">
        <f t="shared" si="73"/>
        <v>#N/A</v>
      </c>
      <c r="DO1116" t="e">
        <f t="shared" si="74"/>
        <v>#N/A</v>
      </c>
    </row>
    <row r="1117" spans="7:119" x14ac:dyDescent="0.25">
      <c r="G1117"/>
      <c r="DI1117" s="4">
        <f>INDEX(Sheet2!A:A,QUOTIENT(ROW()-1,19)+2)</f>
        <v>41255</v>
      </c>
      <c r="DJ1117" s="4">
        <f>INDEX(Sheet2!C:C,QUOTIENT(ROW()-1,19)+2)</f>
        <v>42004</v>
      </c>
      <c r="DK1117" s="4" t="e">
        <f>INDEX(Sheet2!$AA$2:$AS$228,QUOTIENT(ROW()-1,19)+1,MOD(ROW()-2,19)+1)</f>
        <v>#N/A</v>
      </c>
      <c r="DL1117" t="str">
        <f>IFERROR(INDEX(Sheet2!$AU$2:$BM$228,QUOTIENT(ROW()-1,19)+1,MOD(ROW()-2,19)+1),NA())</f>
        <v/>
      </c>
      <c r="DM1117" s="4" t="e">
        <f t="shared" si="72"/>
        <v>#N/A</v>
      </c>
      <c r="DN1117" t="e">
        <f t="shared" si="73"/>
        <v>#N/A</v>
      </c>
      <c r="DO1117" t="e">
        <f t="shared" si="74"/>
        <v>#N/A</v>
      </c>
    </row>
    <row r="1118" spans="7:119" x14ac:dyDescent="0.25">
      <c r="G1118"/>
      <c r="DI1118" s="4">
        <f>INDEX(Sheet2!A:A,QUOTIENT(ROW()-1,19)+2)</f>
        <v>41255</v>
      </c>
      <c r="DJ1118" s="4">
        <f>INDEX(Sheet2!C:C,QUOTIENT(ROW()-1,19)+2)</f>
        <v>42004</v>
      </c>
      <c r="DK1118" s="4" t="e">
        <f>INDEX(Sheet2!$AA$2:$AS$228,QUOTIENT(ROW()-1,19)+1,MOD(ROW()-2,19)+1)</f>
        <v>#N/A</v>
      </c>
      <c r="DL1118" t="str">
        <f>IFERROR(INDEX(Sheet2!$AU$2:$BM$228,QUOTIENT(ROW()-1,19)+1,MOD(ROW()-2,19)+1),NA())</f>
        <v/>
      </c>
      <c r="DM1118" s="4" t="e">
        <f t="shared" si="72"/>
        <v>#N/A</v>
      </c>
      <c r="DN1118" t="e">
        <f t="shared" si="73"/>
        <v>#N/A</v>
      </c>
      <c r="DO1118" t="e">
        <f t="shared" si="74"/>
        <v>#N/A</v>
      </c>
    </row>
    <row r="1119" spans="7:119" x14ac:dyDescent="0.25">
      <c r="G1119"/>
      <c r="DI1119" s="4">
        <f>INDEX(Sheet2!A:A,QUOTIENT(ROW()-1,19)+2)</f>
        <v>41255</v>
      </c>
      <c r="DJ1119" s="4">
        <f>INDEX(Sheet2!C:C,QUOTIENT(ROW()-1,19)+2)</f>
        <v>42004</v>
      </c>
      <c r="DK1119" s="4" t="e">
        <f>INDEX(Sheet2!$AA$2:$AS$228,QUOTIENT(ROW()-1,19)+1,MOD(ROW()-2,19)+1)</f>
        <v>#N/A</v>
      </c>
      <c r="DL1119" t="str">
        <f>IFERROR(INDEX(Sheet2!$AU$2:$BM$228,QUOTIENT(ROW()-1,19)+1,MOD(ROW()-2,19)+1),NA())</f>
        <v/>
      </c>
      <c r="DM1119" s="4" t="e">
        <f t="shared" si="72"/>
        <v>#N/A</v>
      </c>
      <c r="DN1119" t="e">
        <f t="shared" si="73"/>
        <v>#N/A</v>
      </c>
      <c r="DO1119" t="e">
        <f t="shared" si="74"/>
        <v>#N/A</v>
      </c>
    </row>
    <row r="1120" spans="7:119" x14ac:dyDescent="0.25">
      <c r="G1120"/>
      <c r="DI1120" s="4">
        <f>INDEX(Sheet2!A:A,QUOTIENT(ROW()-1,19)+2)</f>
        <v>41255</v>
      </c>
      <c r="DJ1120" s="4">
        <f>INDEX(Sheet2!C:C,QUOTIENT(ROW()-1,19)+2)</f>
        <v>42004</v>
      </c>
      <c r="DK1120" s="4" t="e">
        <f>INDEX(Sheet2!$AA$2:$AS$228,QUOTIENT(ROW()-1,19)+1,MOD(ROW()-2,19)+1)</f>
        <v>#N/A</v>
      </c>
      <c r="DL1120" t="str">
        <f>IFERROR(INDEX(Sheet2!$AU$2:$BM$228,QUOTIENT(ROW()-1,19)+1,MOD(ROW()-2,19)+1),NA())</f>
        <v/>
      </c>
      <c r="DM1120" s="4" t="e">
        <f t="shared" si="72"/>
        <v>#N/A</v>
      </c>
      <c r="DN1120" t="e">
        <f t="shared" si="73"/>
        <v>#N/A</v>
      </c>
      <c r="DO1120" t="e">
        <f t="shared" si="74"/>
        <v>#N/A</v>
      </c>
    </row>
    <row r="1121" spans="7:119" x14ac:dyDescent="0.25">
      <c r="G1121"/>
      <c r="DI1121" s="4">
        <f>INDEX(Sheet2!A:A,QUOTIENT(ROW()-1,19)+2)</f>
        <v>41255</v>
      </c>
      <c r="DJ1121" s="4">
        <f>INDEX(Sheet2!C:C,QUOTIENT(ROW()-1,19)+2)</f>
        <v>42004</v>
      </c>
      <c r="DK1121" s="4" t="e">
        <f>INDEX(Sheet2!$AA$2:$AS$228,QUOTIENT(ROW()-1,19)+1,MOD(ROW()-2,19)+1)</f>
        <v>#N/A</v>
      </c>
      <c r="DL1121" t="str">
        <f>IFERROR(INDEX(Sheet2!$AU$2:$BM$228,QUOTIENT(ROW()-1,19)+1,MOD(ROW()-2,19)+1),NA())</f>
        <v/>
      </c>
      <c r="DM1121" s="4" t="e">
        <f t="shared" si="72"/>
        <v>#N/A</v>
      </c>
      <c r="DN1121" t="e">
        <f t="shared" si="73"/>
        <v>#N/A</v>
      </c>
      <c r="DO1121" t="e">
        <f t="shared" si="74"/>
        <v>#N/A</v>
      </c>
    </row>
    <row r="1122" spans="7:119" x14ac:dyDescent="0.25">
      <c r="G1122"/>
      <c r="DI1122" s="4">
        <f>INDEX(Sheet2!A:A,QUOTIENT(ROW()-1,19)+2)</f>
        <v>41255</v>
      </c>
      <c r="DJ1122" s="4">
        <f>INDEX(Sheet2!C:C,QUOTIENT(ROW()-1,19)+2)</f>
        <v>42004</v>
      </c>
      <c r="DK1122" s="4" t="e">
        <f>INDEX(Sheet2!$AA$2:$AS$228,QUOTIENT(ROW()-1,19)+1,MOD(ROW()-2,19)+1)</f>
        <v>#N/A</v>
      </c>
      <c r="DL1122" t="str">
        <f>IFERROR(INDEX(Sheet2!$AU$2:$BM$228,QUOTIENT(ROW()-1,19)+1,MOD(ROW()-2,19)+1),NA())</f>
        <v/>
      </c>
      <c r="DM1122" s="4" t="e">
        <f t="shared" si="72"/>
        <v>#N/A</v>
      </c>
      <c r="DN1122" t="e">
        <f t="shared" si="73"/>
        <v>#N/A</v>
      </c>
      <c r="DO1122" t="e">
        <f t="shared" si="74"/>
        <v>#N/A</v>
      </c>
    </row>
    <row r="1123" spans="7:119" x14ac:dyDescent="0.25">
      <c r="G1123"/>
      <c r="DI1123" s="4">
        <f>INDEX(Sheet2!A:A,QUOTIENT(ROW()-1,19)+2)</f>
        <v>41255</v>
      </c>
      <c r="DJ1123" s="4">
        <f>INDEX(Sheet2!C:C,QUOTIENT(ROW()-1,19)+2)</f>
        <v>42004</v>
      </c>
      <c r="DK1123" s="4">
        <f>INDEX(Sheet2!$AA$2:$AS$228,QUOTIENT(ROW()-1,19)+1,MOD(ROW()-2,19)+1)</f>
        <v>42004</v>
      </c>
      <c r="DL1123">
        <f>IFERROR(INDEX(Sheet2!$AU$2:$BM$228,QUOTIENT(ROW()-1,19)+1,MOD(ROW()-2,19)+1),NA())</f>
        <v>2.75</v>
      </c>
      <c r="DM1123" s="4" t="e">
        <f t="shared" si="72"/>
        <v>#N/A</v>
      </c>
      <c r="DN1123" t="e">
        <f t="shared" si="73"/>
        <v>#N/A</v>
      </c>
      <c r="DO1123" t="e">
        <f t="shared" si="74"/>
        <v>#N/A</v>
      </c>
    </row>
    <row r="1124" spans="7:119" x14ac:dyDescent="0.25">
      <c r="G1124"/>
      <c r="DI1124" s="4">
        <f>INDEX(Sheet2!A:A,QUOTIENT(ROW()-1,19)+2)</f>
        <v>41255</v>
      </c>
      <c r="DJ1124" s="4">
        <f>INDEX(Sheet2!C:C,QUOTIENT(ROW()-1,19)+2)</f>
        <v>42004</v>
      </c>
      <c r="DK1124" s="4" t="e">
        <f>INDEX(Sheet2!$AA$2:$AS$228,QUOTIENT(ROW()-1,19)+1,MOD(ROW()-2,19)+1)</f>
        <v>#N/A</v>
      </c>
      <c r="DL1124" t="str">
        <f>IFERROR(INDEX(Sheet2!$AU$2:$BM$228,QUOTIENT(ROW()-1,19)+1,MOD(ROW()-2,19)+1),NA())</f>
        <v/>
      </c>
      <c r="DM1124" s="4" t="e">
        <f t="shared" si="72"/>
        <v>#N/A</v>
      </c>
      <c r="DN1124" t="e">
        <f t="shared" si="73"/>
        <v>#N/A</v>
      </c>
      <c r="DO1124" t="e">
        <f t="shared" si="74"/>
        <v>#N/A</v>
      </c>
    </row>
    <row r="1125" spans="7:119" x14ac:dyDescent="0.25">
      <c r="G1125"/>
      <c r="DI1125" s="4">
        <f>INDEX(Sheet2!A:A,QUOTIENT(ROW()-1,19)+2)</f>
        <v>41255</v>
      </c>
      <c r="DJ1125" s="4">
        <f>INDEX(Sheet2!C:C,QUOTIENT(ROW()-1,19)+2)</f>
        <v>42004</v>
      </c>
      <c r="DK1125" s="4" t="e">
        <f>INDEX(Sheet2!$AA$2:$AS$228,QUOTIENT(ROW()-1,19)+1,MOD(ROW()-2,19)+1)</f>
        <v>#N/A</v>
      </c>
      <c r="DL1125" t="str">
        <f>IFERROR(INDEX(Sheet2!$AU$2:$BM$228,QUOTIENT(ROW()-1,19)+1,MOD(ROW()-2,19)+1),NA())</f>
        <v/>
      </c>
      <c r="DM1125" s="4" t="e">
        <f t="shared" si="72"/>
        <v>#N/A</v>
      </c>
      <c r="DN1125" t="e">
        <f t="shared" si="73"/>
        <v>#N/A</v>
      </c>
      <c r="DO1125" t="e">
        <f t="shared" si="74"/>
        <v>#N/A</v>
      </c>
    </row>
    <row r="1126" spans="7:119" x14ac:dyDescent="0.25">
      <c r="G1126"/>
      <c r="DI1126" s="4">
        <f>INDEX(Sheet2!A:A,QUOTIENT(ROW()-1,19)+2)</f>
        <v>41255</v>
      </c>
      <c r="DJ1126" s="4">
        <f>INDEX(Sheet2!C:C,QUOTIENT(ROW()-1,19)+2)</f>
        <v>42004</v>
      </c>
      <c r="DK1126" s="4" t="e">
        <f>INDEX(Sheet2!$AA$2:$AS$228,QUOTIENT(ROW()-1,19)+1,MOD(ROW()-2,19)+1)</f>
        <v>#N/A</v>
      </c>
      <c r="DL1126" t="str">
        <f>IFERROR(INDEX(Sheet2!$AU$2:$BM$228,QUOTIENT(ROW()-1,19)+1,MOD(ROW()-2,19)+1),NA())</f>
        <v/>
      </c>
      <c r="DM1126" s="4" t="e">
        <f t="shared" si="72"/>
        <v>#N/A</v>
      </c>
      <c r="DN1126" t="e">
        <f t="shared" si="73"/>
        <v>#N/A</v>
      </c>
      <c r="DO1126" t="e">
        <f t="shared" si="74"/>
        <v>#N/A</v>
      </c>
    </row>
    <row r="1127" spans="7:119" x14ac:dyDescent="0.25">
      <c r="G1127"/>
      <c r="DI1127" s="4">
        <f>INDEX(Sheet2!A:A,QUOTIENT(ROW()-1,19)+2)</f>
        <v>41255</v>
      </c>
      <c r="DJ1127" s="4">
        <f>INDEX(Sheet2!C:C,QUOTIENT(ROW()-1,19)+2)</f>
        <v>42004</v>
      </c>
      <c r="DK1127" s="4" t="e">
        <f>INDEX(Sheet2!$AA$2:$AS$228,QUOTIENT(ROW()-1,19)+1,MOD(ROW()-2,19)+1)</f>
        <v>#N/A</v>
      </c>
      <c r="DL1127" t="str">
        <f>IFERROR(INDEX(Sheet2!$AU$2:$BM$228,QUOTIENT(ROW()-1,19)+1,MOD(ROW()-2,19)+1),NA())</f>
        <v/>
      </c>
      <c r="DM1127" s="4" t="e">
        <f t="shared" si="72"/>
        <v>#N/A</v>
      </c>
      <c r="DN1127" t="e">
        <f t="shared" si="73"/>
        <v>#N/A</v>
      </c>
      <c r="DO1127" t="e">
        <f t="shared" si="74"/>
        <v>#N/A</v>
      </c>
    </row>
    <row r="1128" spans="7:119" x14ac:dyDescent="0.25">
      <c r="G1128"/>
      <c r="DI1128" s="4">
        <f>INDEX(Sheet2!A:A,QUOTIENT(ROW()-1,19)+2)</f>
        <v>41255</v>
      </c>
      <c r="DJ1128" s="4">
        <f>INDEX(Sheet2!C:C,QUOTIENT(ROW()-1,19)+2)</f>
        <v>42004</v>
      </c>
      <c r="DK1128" s="4" t="e">
        <f>INDEX(Sheet2!$AA$2:$AS$228,QUOTIENT(ROW()-1,19)+1,MOD(ROW()-2,19)+1)</f>
        <v>#N/A</v>
      </c>
      <c r="DL1128" t="str">
        <f>IFERROR(INDEX(Sheet2!$AU$2:$BM$228,QUOTIENT(ROW()-1,19)+1,MOD(ROW()-2,19)+1),NA())</f>
        <v/>
      </c>
      <c r="DM1128" s="4" t="e">
        <f t="shared" si="72"/>
        <v>#N/A</v>
      </c>
      <c r="DN1128" t="e">
        <f t="shared" si="73"/>
        <v>#N/A</v>
      </c>
      <c r="DO1128" t="e">
        <f t="shared" si="74"/>
        <v>#N/A</v>
      </c>
    </row>
    <row r="1129" spans="7:119" x14ac:dyDescent="0.25">
      <c r="G1129"/>
      <c r="DI1129" s="4">
        <f>INDEX(Sheet2!A:A,QUOTIENT(ROW()-1,19)+2)</f>
        <v>41255</v>
      </c>
      <c r="DJ1129" s="4">
        <f>INDEX(Sheet2!C:C,QUOTIENT(ROW()-1,19)+2)</f>
        <v>42004</v>
      </c>
      <c r="DK1129" s="4" t="e">
        <f>INDEX(Sheet2!$AA$2:$AS$228,QUOTIENT(ROW()-1,19)+1,MOD(ROW()-2,19)+1)</f>
        <v>#N/A</v>
      </c>
      <c r="DL1129" t="str">
        <f>IFERROR(INDEX(Sheet2!$AU$2:$BM$228,QUOTIENT(ROW()-1,19)+1,MOD(ROW()-2,19)+1),NA())</f>
        <v/>
      </c>
      <c r="DM1129" s="4" t="e">
        <f t="shared" si="72"/>
        <v>#N/A</v>
      </c>
      <c r="DN1129" t="e">
        <f t="shared" si="73"/>
        <v>#N/A</v>
      </c>
      <c r="DO1129" t="e">
        <f t="shared" si="74"/>
        <v>#N/A</v>
      </c>
    </row>
    <row r="1130" spans="7:119" x14ac:dyDescent="0.25">
      <c r="G1130"/>
      <c r="DI1130" s="4">
        <f>INDEX(Sheet2!A:A,QUOTIENT(ROW()-1,19)+2)</f>
        <v>41255</v>
      </c>
      <c r="DJ1130" s="4">
        <f>INDEX(Sheet2!C:C,QUOTIENT(ROW()-1,19)+2)</f>
        <v>42004</v>
      </c>
      <c r="DK1130" s="4" t="e">
        <f>INDEX(Sheet2!$AA$2:$AS$228,QUOTIENT(ROW()-1,19)+1,MOD(ROW()-2,19)+1)</f>
        <v>#N/A</v>
      </c>
      <c r="DL1130" t="str">
        <f>IFERROR(INDEX(Sheet2!$AU$2:$BM$228,QUOTIENT(ROW()-1,19)+1,MOD(ROW()-2,19)+1),NA())</f>
        <v/>
      </c>
      <c r="DM1130" s="4" t="e">
        <f t="shared" si="72"/>
        <v>#N/A</v>
      </c>
      <c r="DN1130" t="e">
        <f t="shared" si="73"/>
        <v>#N/A</v>
      </c>
      <c r="DO1130" t="e">
        <f t="shared" si="74"/>
        <v>#N/A</v>
      </c>
    </row>
    <row r="1131" spans="7:119" x14ac:dyDescent="0.25">
      <c r="G1131"/>
      <c r="DI1131" s="4">
        <f>INDEX(Sheet2!A:A,QUOTIENT(ROW()-1,19)+2)</f>
        <v>41255</v>
      </c>
      <c r="DJ1131" s="4">
        <f>INDEX(Sheet2!C:C,QUOTIENT(ROW()-1,19)+2)</f>
        <v>42004</v>
      </c>
      <c r="DK1131" s="4" t="e">
        <f>INDEX(Sheet2!$AA$2:$AS$228,QUOTIENT(ROW()-1,19)+1,MOD(ROW()-2,19)+1)</f>
        <v>#N/A</v>
      </c>
      <c r="DL1131" t="str">
        <f>IFERROR(INDEX(Sheet2!$AU$2:$BM$228,QUOTIENT(ROW()-1,19)+1,MOD(ROW()-2,19)+1),NA())</f>
        <v/>
      </c>
      <c r="DM1131" s="4" t="e">
        <f t="shared" si="72"/>
        <v>#N/A</v>
      </c>
      <c r="DN1131" t="e">
        <f t="shared" si="73"/>
        <v>#N/A</v>
      </c>
      <c r="DO1131" t="e">
        <f t="shared" si="74"/>
        <v>#N/A</v>
      </c>
    </row>
    <row r="1132" spans="7:119" x14ac:dyDescent="0.25">
      <c r="G1132"/>
      <c r="DI1132" s="4">
        <f>INDEX(Sheet2!A:A,QUOTIENT(ROW()-1,19)+2)</f>
        <v>41255</v>
      </c>
      <c r="DJ1132" s="4">
        <f>INDEX(Sheet2!C:C,QUOTIENT(ROW()-1,19)+2)</f>
        <v>42004</v>
      </c>
      <c r="DK1132" s="4" t="e">
        <f>INDEX(Sheet2!$AA$2:$AS$228,QUOTIENT(ROW()-1,19)+1,MOD(ROW()-2,19)+1)</f>
        <v>#N/A</v>
      </c>
      <c r="DL1132" t="str">
        <f>IFERROR(INDEX(Sheet2!$AU$2:$BM$228,QUOTIENT(ROW()-1,19)+1,MOD(ROW()-2,19)+1),NA())</f>
        <v/>
      </c>
      <c r="DM1132" s="4" t="e">
        <f t="shared" si="72"/>
        <v>#N/A</v>
      </c>
      <c r="DN1132" t="e">
        <f t="shared" si="73"/>
        <v>#N/A</v>
      </c>
      <c r="DO1132" t="e">
        <f t="shared" si="74"/>
        <v>#N/A</v>
      </c>
    </row>
    <row r="1133" spans="7:119" x14ac:dyDescent="0.25">
      <c r="G1133"/>
      <c r="DI1133" s="4">
        <f>INDEX(Sheet2!A:A,QUOTIENT(ROW()-1,19)+2)</f>
        <v>41255</v>
      </c>
      <c r="DJ1133" s="4">
        <f>INDEX(Sheet2!C:C,QUOTIENT(ROW()-1,19)+2)</f>
        <v>42004</v>
      </c>
      <c r="DK1133" s="4" t="e">
        <f>INDEX(Sheet2!$AA$2:$AS$228,QUOTIENT(ROW()-1,19)+1,MOD(ROW()-2,19)+1)</f>
        <v>#N/A</v>
      </c>
      <c r="DL1133" t="str">
        <f>IFERROR(INDEX(Sheet2!$AU$2:$BM$228,QUOTIENT(ROW()-1,19)+1,MOD(ROW()-2,19)+1),NA())</f>
        <v/>
      </c>
      <c r="DM1133" s="4" t="e">
        <f t="shared" si="72"/>
        <v>#N/A</v>
      </c>
      <c r="DN1133" t="e">
        <f t="shared" si="73"/>
        <v>#N/A</v>
      </c>
      <c r="DO1133" t="e">
        <f t="shared" si="74"/>
        <v>#N/A</v>
      </c>
    </row>
    <row r="1134" spans="7:119" x14ac:dyDescent="0.25">
      <c r="G1134"/>
      <c r="DI1134" s="4">
        <f>INDEX(Sheet2!A:A,QUOTIENT(ROW()-1,19)+2)</f>
        <v>41255</v>
      </c>
      <c r="DJ1134" s="4">
        <f>INDEX(Sheet2!C:C,QUOTIENT(ROW()-1,19)+2)</f>
        <v>42004</v>
      </c>
      <c r="DK1134" s="4" t="e">
        <f>INDEX(Sheet2!$AA$2:$AS$228,QUOTIENT(ROW()-1,19)+1,MOD(ROW()-2,19)+1)</f>
        <v>#N/A</v>
      </c>
      <c r="DL1134" t="str">
        <f>IFERROR(INDEX(Sheet2!$AU$2:$BM$228,QUOTIENT(ROW()-1,19)+1,MOD(ROW()-2,19)+1),NA())</f>
        <v/>
      </c>
      <c r="DM1134" s="4" t="e">
        <f t="shared" si="72"/>
        <v>#N/A</v>
      </c>
      <c r="DN1134" t="e">
        <f t="shared" si="73"/>
        <v>#N/A</v>
      </c>
      <c r="DO1134" t="e">
        <f t="shared" si="74"/>
        <v>#N/A</v>
      </c>
    </row>
    <row r="1135" spans="7:119" x14ac:dyDescent="0.25">
      <c r="G1135"/>
      <c r="DI1135" s="4">
        <f>INDEX(Sheet2!A:A,QUOTIENT(ROW()-1,19)+2)</f>
        <v>41255</v>
      </c>
      <c r="DJ1135" s="4">
        <f>INDEX(Sheet2!C:C,QUOTIENT(ROW()-1,19)+2)</f>
        <v>42004</v>
      </c>
      <c r="DK1135" s="4" t="e">
        <f>INDEX(Sheet2!$AA$2:$AS$228,QUOTIENT(ROW()-1,19)+1,MOD(ROW()-2,19)+1)</f>
        <v>#N/A</v>
      </c>
      <c r="DL1135" t="str">
        <f>IFERROR(INDEX(Sheet2!$AU$2:$BM$228,QUOTIENT(ROW()-1,19)+1,MOD(ROW()-2,19)+1),NA())</f>
        <v/>
      </c>
      <c r="DM1135" s="4" t="e">
        <f t="shared" si="72"/>
        <v>#N/A</v>
      </c>
      <c r="DN1135" t="e">
        <f t="shared" si="73"/>
        <v>#N/A</v>
      </c>
      <c r="DO1135" t="e">
        <f t="shared" si="74"/>
        <v>#N/A</v>
      </c>
    </row>
    <row r="1136" spans="7:119" x14ac:dyDescent="0.25">
      <c r="G1136"/>
      <c r="DI1136" s="4">
        <f>INDEX(Sheet2!A:A,QUOTIENT(ROW()-1,19)+2)</f>
        <v>41255</v>
      </c>
      <c r="DJ1136" s="4">
        <f>INDEX(Sheet2!C:C,QUOTIENT(ROW()-1,19)+2)</f>
        <v>42004</v>
      </c>
      <c r="DK1136" s="4" t="e">
        <f>INDEX(Sheet2!$AA$2:$AS$228,QUOTIENT(ROW()-1,19)+1,MOD(ROW()-2,19)+1)</f>
        <v>#N/A</v>
      </c>
      <c r="DL1136" t="str">
        <f>IFERROR(INDEX(Sheet2!$AU$2:$BM$228,QUOTIENT(ROW()-1,19)+1,MOD(ROW()-2,19)+1),NA())</f>
        <v/>
      </c>
      <c r="DM1136" s="4" t="e">
        <f t="shared" si="72"/>
        <v>#N/A</v>
      </c>
      <c r="DN1136" t="e">
        <f t="shared" si="73"/>
        <v>#N/A</v>
      </c>
      <c r="DO1136" t="e">
        <f t="shared" si="74"/>
        <v>#N/A</v>
      </c>
    </row>
    <row r="1137" spans="7:119" x14ac:dyDescent="0.25">
      <c r="G1137"/>
      <c r="DI1137" s="4">
        <f>INDEX(Sheet2!A:A,QUOTIENT(ROW()-1,19)+2)</f>
        <v>41255</v>
      </c>
      <c r="DJ1137" s="4">
        <f>INDEX(Sheet2!C:C,QUOTIENT(ROW()-1,19)+2)</f>
        <v>42004</v>
      </c>
      <c r="DK1137" s="4" t="e">
        <f>INDEX(Sheet2!$AA$2:$AS$228,QUOTIENT(ROW()-1,19)+1,MOD(ROW()-2,19)+1)</f>
        <v>#N/A</v>
      </c>
      <c r="DL1137" t="str">
        <f>IFERROR(INDEX(Sheet2!$AU$2:$BM$228,QUOTIENT(ROW()-1,19)+1,MOD(ROW()-2,19)+1),NA())</f>
        <v/>
      </c>
      <c r="DM1137" s="4" t="e">
        <f t="shared" si="72"/>
        <v>#N/A</v>
      </c>
      <c r="DN1137" t="e">
        <f t="shared" si="73"/>
        <v>#N/A</v>
      </c>
      <c r="DO1137" t="e">
        <f t="shared" si="74"/>
        <v>#N/A</v>
      </c>
    </row>
    <row r="1138" spans="7:119" x14ac:dyDescent="0.25">
      <c r="G1138"/>
      <c r="DI1138" s="4">
        <f>INDEX(Sheet2!A:A,QUOTIENT(ROW()-1,19)+2)</f>
        <v>41255</v>
      </c>
      <c r="DJ1138" s="4">
        <f>INDEX(Sheet2!C:C,QUOTIENT(ROW()-1,19)+2)</f>
        <v>42004</v>
      </c>
      <c r="DK1138" s="4" t="e">
        <f>INDEX(Sheet2!$AA$2:$AS$228,QUOTIENT(ROW()-1,19)+1,MOD(ROW()-2,19)+1)</f>
        <v>#N/A</v>
      </c>
      <c r="DL1138" t="str">
        <f>IFERROR(INDEX(Sheet2!$AU$2:$BM$228,QUOTIENT(ROW()-1,19)+1,MOD(ROW()-2,19)+1),NA())</f>
        <v/>
      </c>
      <c r="DM1138" s="4" t="e">
        <f t="shared" si="72"/>
        <v>#N/A</v>
      </c>
      <c r="DN1138" t="e">
        <f t="shared" si="73"/>
        <v>#N/A</v>
      </c>
      <c r="DO1138" t="e">
        <f t="shared" si="74"/>
        <v>#N/A</v>
      </c>
    </row>
    <row r="1139" spans="7:119" x14ac:dyDescent="0.25">
      <c r="G1139"/>
      <c r="DI1139" s="4">
        <f>INDEX(Sheet2!A:A,QUOTIENT(ROW()-1,19)+2)</f>
        <v>41255</v>
      </c>
      <c r="DJ1139" s="4">
        <f>INDEX(Sheet2!C:C,QUOTIENT(ROW()-1,19)+2)</f>
        <v>42004</v>
      </c>
      <c r="DK1139" s="4" t="e">
        <f>INDEX(Sheet2!$AA$2:$AS$228,QUOTIENT(ROW()-1,19)+1,MOD(ROW()-2,19)+1)</f>
        <v>#N/A</v>
      </c>
      <c r="DL1139" t="str">
        <f>IFERROR(INDEX(Sheet2!$AU$2:$BM$228,QUOTIENT(ROW()-1,19)+1,MOD(ROW()-2,19)+1),NA())</f>
        <v/>
      </c>
      <c r="DM1139" s="4" t="e">
        <f t="shared" si="72"/>
        <v>#N/A</v>
      </c>
      <c r="DN1139" t="e">
        <f t="shared" si="73"/>
        <v>#N/A</v>
      </c>
      <c r="DO1139" t="e">
        <f t="shared" si="74"/>
        <v>#N/A</v>
      </c>
    </row>
    <row r="1140" spans="7:119" x14ac:dyDescent="0.25">
      <c r="G1140"/>
      <c r="DI1140" s="4">
        <f>INDEX(Sheet2!A:A,QUOTIENT(ROW()-1,19)+2)</f>
        <v>41255</v>
      </c>
      <c r="DJ1140" s="4">
        <f>INDEX(Sheet2!C:C,QUOTIENT(ROW()-1,19)+2)</f>
        <v>42004</v>
      </c>
      <c r="DK1140" s="4" t="e">
        <f>INDEX(Sheet2!$AA$2:$AS$228,QUOTIENT(ROW()-1,19)+1,MOD(ROW()-2,19)+1)</f>
        <v>#N/A</v>
      </c>
      <c r="DL1140" t="str">
        <f>IFERROR(INDEX(Sheet2!$AU$2:$BM$228,QUOTIENT(ROW()-1,19)+1,MOD(ROW()-2,19)+1),NA())</f>
        <v/>
      </c>
      <c r="DM1140" s="4" t="e">
        <f t="shared" si="72"/>
        <v>#N/A</v>
      </c>
      <c r="DN1140" t="e">
        <f t="shared" si="73"/>
        <v>#N/A</v>
      </c>
      <c r="DO1140" t="e">
        <f t="shared" si="74"/>
        <v>#N/A</v>
      </c>
    </row>
    <row r="1141" spans="7:119" x14ac:dyDescent="0.25">
      <c r="G1141"/>
      <c r="DI1141" s="4">
        <f>INDEX(Sheet2!A:A,QUOTIENT(ROW()-1,19)+2)</f>
        <v>41255</v>
      </c>
      <c r="DJ1141" s="4">
        <f>INDEX(Sheet2!C:C,QUOTIENT(ROW()-1,19)+2)</f>
        <v>42369</v>
      </c>
      <c r="DK1141" s="4" t="e">
        <f>INDEX(Sheet2!$AA$2:$AS$228,QUOTIENT(ROW()-1,19)+1,MOD(ROW()-2,19)+1)</f>
        <v>#N/A</v>
      </c>
      <c r="DL1141" t="str">
        <f>IFERROR(INDEX(Sheet2!$AU$2:$BM$228,QUOTIENT(ROW()-1,19)+1,MOD(ROW()-2,19)+1),NA())</f>
        <v/>
      </c>
      <c r="DM1141" s="4" t="e">
        <f t="shared" si="72"/>
        <v>#N/A</v>
      </c>
      <c r="DN1141" t="e">
        <f t="shared" si="73"/>
        <v>#N/A</v>
      </c>
      <c r="DO1141" t="e">
        <f t="shared" si="74"/>
        <v>#N/A</v>
      </c>
    </row>
    <row r="1142" spans="7:119" x14ac:dyDescent="0.25">
      <c r="G1142"/>
      <c r="DI1142" s="4">
        <f>INDEX(Sheet2!A:A,QUOTIENT(ROW()-1,19)+2)</f>
        <v>41255</v>
      </c>
      <c r="DJ1142" s="4">
        <f>INDEX(Sheet2!C:C,QUOTIENT(ROW()-1,19)+2)</f>
        <v>42369</v>
      </c>
      <c r="DK1142" s="4">
        <f>INDEX(Sheet2!$AA$2:$AS$228,QUOTIENT(ROW()-1,19)+1,MOD(ROW()-2,19)+1)</f>
        <v>42369</v>
      </c>
      <c r="DL1142">
        <f>IFERROR(INDEX(Sheet2!$AU$2:$BM$228,QUOTIENT(ROW()-1,19)+1,MOD(ROW()-2,19)+1),NA())</f>
        <v>0.25</v>
      </c>
      <c r="DM1142" s="4" t="e">
        <f t="shared" si="72"/>
        <v>#N/A</v>
      </c>
      <c r="DN1142" t="e">
        <f t="shared" si="73"/>
        <v>#N/A</v>
      </c>
      <c r="DO1142" t="e">
        <f t="shared" si="74"/>
        <v>#N/A</v>
      </c>
    </row>
    <row r="1143" spans="7:119" x14ac:dyDescent="0.25">
      <c r="G1143"/>
      <c r="DI1143" s="4">
        <f>INDEX(Sheet2!A:A,QUOTIENT(ROW()-1,19)+2)</f>
        <v>41255</v>
      </c>
      <c r="DJ1143" s="4">
        <f>INDEX(Sheet2!C:C,QUOTIENT(ROW()-1,19)+2)</f>
        <v>42369</v>
      </c>
      <c r="DK1143" s="4" t="e">
        <f>INDEX(Sheet2!$AA$2:$AS$228,QUOTIENT(ROW()-1,19)+1,MOD(ROW()-2,19)+1)</f>
        <v>#N/A</v>
      </c>
      <c r="DL1143" t="str">
        <f>IFERROR(INDEX(Sheet2!$AU$2:$BM$228,QUOTIENT(ROW()-1,19)+1,MOD(ROW()-2,19)+1),NA())</f>
        <v/>
      </c>
      <c r="DM1143" s="4" t="e">
        <f t="shared" si="72"/>
        <v>#N/A</v>
      </c>
      <c r="DN1143" t="e">
        <f t="shared" si="73"/>
        <v>#N/A</v>
      </c>
      <c r="DO1143" t="e">
        <f t="shared" si="74"/>
        <v>#N/A</v>
      </c>
    </row>
    <row r="1144" spans="7:119" x14ac:dyDescent="0.25">
      <c r="G1144"/>
      <c r="DI1144" s="4">
        <f>INDEX(Sheet2!A:A,QUOTIENT(ROW()-1,19)+2)</f>
        <v>41255</v>
      </c>
      <c r="DJ1144" s="4">
        <f>INDEX(Sheet2!C:C,QUOTIENT(ROW()-1,19)+2)</f>
        <v>42369</v>
      </c>
      <c r="DK1144" s="4" t="e">
        <f>INDEX(Sheet2!$AA$2:$AS$228,QUOTIENT(ROW()-1,19)+1,MOD(ROW()-2,19)+1)</f>
        <v>#N/A</v>
      </c>
      <c r="DL1144" t="str">
        <f>IFERROR(INDEX(Sheet2!$AU$2:$BM$228,QUOTIENT(ROW()-1,19)+1,MOD(ROW()-2,19)+1),NA())</f>
        <v/>
      </c>
      <c r="DM1144" s="4" t="e">
        <f t="shared" si="72"/>
        <v>#N/A</v>
      </c>
      <c r="DN1144" t="e">
        <f t="shared" si="73"/>
        <v>#N/A</v>
      </c>
      <c r="DO1144" t="e">
        <f t="shared" si="74"/>
        <v>#N/A</v>
      </c>
    </row>
    <row r="1145" spans="7:119" x14ac:dyDescent="0.25">
      <c r="G1145"/>
      <c r="DI1145" s="4">
        <f>INDEX(Sheet2!A:A,QUOTIENT(ROW()-1,19)+2)</f>
        <v>41255</v>
      </c>
      <c r="DJ1145" s="4">
        <f>INDEX(Sheet2!C:C,QUOTIENT(ROW()-1,19)+2)</f>
        <v>42369</v>
      </c>
      <c r="DK1145" s="4" t="e">
        <f>INDEX(Sheet2!$AA$2:$AS$228,QUOTIENT(ROW()-1,19)+1,MOD(ROW()-2,19)+1)</f>
        <v>#N/A</v>
      </c>
      <c r="DL1145" t="str">
        <f>IFERROR(INDEX(Sheet2!$AU$2:$BM$228,QUOTIENT(ROW()-1,19)+1,MOD(ROW()-2,19)+1),NA())</f>
        <v/>
      </c>
      <c r="DM1145" s="4" t="e">
        <f t="shared" si="72"/>
        <v>#N/A</v>
      </c>
      <c r="DN1145" t="e">
        <f t="shared" si="73"/>
        <v>#N/A</v>
      </c>
      <c r="DO1145" t="e">
        <f t="shared" si="74"/>
        <v>#N/A</v>
      </c>
    </row>
    <row r="1146" spans="7:119" x14ac:dyDescent="0.25">
      <c r="G1146"/>
      <c r="DI1146" s="4">
        <f>INDEX(Sheet2!A:A,QUOTIENT(ROW()-1,19)+2)</f>
        <v>41255</v>
      </c>
      <c r="DJ1146" s="4">
        <f>INDEX(Sheet2!C:C,QUOTIENT(ROW()-1,19)+2)</f>
        <v>42369</v>
      </c>
      <c r="DK1146" s="4" t="e">
        <f>INDEX(Sheet2!$AA$2:$AS$228,QUOTIENT(ROW()-1,19)+1,MOD(ROW()-2,19)+1)</f>
        <v>#N/A</v>
      </c>
      <c r="DL1146" t="str">
        <f>IFERROR(INDEX(Sheet2!$AU$2:$BM$228,QUOTIENT(ROW()-1,19)+1,MOD(ROW()-2,19)+1),NA())</f>
        <v/>
      </c>
      <c r="DM1146" s="4" t="e">
        <f t="shared" si="72"/>
        <v>#N/A</v>
      </c>
      <c r="DN1146" t="e">
        <f t="shared" si="73"/>
        <v>#N/A</v>
      </c>
      <c r="DO1146" t="e">
        <f t="shared" si="74"/>
        <v>#N/A</v>
      </c>
    </row>
    <row r="1147" spans="7:119" x14ac:dyDescent="0.25">
      <c r="G1147"/>
      <c r="DI1147" s="4">
        <f>INDEX(Sheet2!A:A,QUOTIENT(ROW()-1,19)+2)</f>
        <v>41255</v>
      </c>
      <c r="DJ1147" s="4">
        <f>INDEX(Sheet2!C:C,QUOTIENT(ROW()-1,19)+2)</f>
        <v>42369</v>
      </c>
      <c r="DK1147" s="4" t="e">
        <f>INDEX(Sheet2!$AA$2:$AS$228,QUOTIENT(ROW()-1,19)+1,MOD(ROW()-2,19)+1)</f>
        <v>#N/A</v>
      </c>
      <c r="DL1147" t="str">
        <f>IFERROR(INDEX(Sheet2!$AU$2:$BM$228,QUOTIENT(ROW()-1,19)+1,MOD(ROW()-2,19)+1),NA())</f>
        <v/>
      </c>
      <c r="DM1147" s="4" t="e">
        <f t="shared" si="72"/>
        <v>#N/A</v>
      </c>
      <c r="DN1147" t="e">
        <f t="shared" si="73"/>
        <v>#N/A</v>
      </c>
      <c r="DO1147" t="e">
        <f t="shared" si="74"/>
        <v>#N/A</v>
      </c>
    </row>
    <row r="1148" spans="7:119" x14ac:dyDescent="0.25">
      <c r="G1148"/>
      <c r="DI1148" s="4">
        <f>INDEX(Sheet2!A:A,QUOTIENT(ROW()-1,19)+2)</f>
        <v>41255</v>
      </c>
      <c r="DJ1148" s="4">
        <f>INDEX(Sheet2!C:C,QUOTIENT(ROW()-1,19)+2)</f>
        <v>42369</v>
      </c>
      <c r="DK1148" s="4" t="e">
        <f>INDEX(Sheet2!$AA$2:$AS$228,QUOTIENT(ROW()-1,19)+1,MOD(ROW()-2,19)+1)</f>
        <v>#N/A</v>
      </c>
      <c r="DL1148" t="str">
        <f>IFERROR(INDEX(Sheet2!$AU$2:$BM$228,QUOTIENT(ROW()-1,19)+1,MOD(ROW()-2,19)+1),NA())</f>
        <v/>
      </c>
      <c r="DM1148" s="4" t="e">
        <f t="shared" si="72"/>
        <v>#N/A</v>
      </c>
      <c r="DN1148" t="e">
        <f t="shared" si="73"/>
        <v>#N/A</v>
      </c>
      <c r="DO1148" t="e">
        <f t="shared" si="74"/>
        <v>#N/A</v>
      </c>
    </row>
    <row r="1149" spans="7:119" x14ac:dyDescent="0.25">
      <c r="G1149"/>
      <c r="DI1149" s="4">
        <f>INDEX(Sheet2!A:A,QUOTIENT(ROW()-1,19)+2)</f>
        <v>41255</v>
      </c>
      <c r="DJ1149" s="4">
        <f>INDEX(Sheet2!C:C,QUOTIENT(ROW()-1,19)+2)</f>
        <v>42369</v>
      </c>
      <c r="DK1149" s="4" t="e">
        <f>INDEX(Sheet2!$AA$2:$AS$228,QUOTIENT(ROW()-1,19)+1,MOD(ROW()-2,19)+1)</f>
        <v>#N/A</v>
      </c>
      <c r="DL1149" t="str">
        <f>IFERROR(INDEX(Sheet2!$AU$2:$BM$228,QUOTIENT(ROW()-1,19)+1,MOD(ROW()-2,19)+1),NA())</f>
        <v/>
      </c>
      <c r="DM1149" s="4" t="e">
        <f t="shared" si="72"/>
        <v>#N/A</v>
      </c>
      <c r="DN1149" t="e">
        <f t="shared" si="73"/>
        <v>#N/A</v>
      </c>
      <c r="DO1149" t="e">
        <f t="shared" si="74"/>
        <v>#N/A</v>
      </c>
    </row>
    <row r="1150" spans="7:119" x14ac:dyDescent="0.25">
      <c r="G1150"/>
      <c r="DI1150" s="4">
        <f>INDEX(Sheet2!A:A,QUOTIENT(ROW()-1,19)+2)</f>
        <v>41255</v>
      </c>
      <c r="DJ1150" s="4">
        <f>INDEX(Sheet2!C:C,QUOTIENT(ROW()-1,19)+2)</f>
        <v>42369</v>
      </c>
      <c r="DK1150" s="4" t="e">
        <f>INDEX(Sheet2!$AA$2:$AS$228,QUOTIENT(ROW()-1,19)+1,MOD(ROW()-2,19)+1)</f>
        <v>#N/A</v>
      </c>
      <c r="DL1150" t="str">
        <f>IFERROR(INDEX(Sheet2!$AU$2:$BM$228,QUOTIENT(ROW()-1,19)+1,MOD(ROW()-2,19)+1),NA())</f>
        <v/>
      </c>
      <c r="DM1150" s="4" t="e">
        <f t="shared" si="72"/>
        <v>#N/A</v>
      </c>
      <c r="DN1150" t="e">
        <f t="shared" si="73"/>
        <v>#N/A</v>
      </c>
      <c r="DO1150" t="e">
        <f t="shared" si="74"/>
        <v>#N/A</v>
      </c>
    </row>
    <row r="1151" spans="7:119" x14ac:dyDescent="0.25">
      <c r="G1151"/>
      <c r="DI1151" s="4">
        <f>INDEX(Sheet2!A:A,QUOTIENT(ROW()-1,19)+2)</f>
        <v>41255</v>
      </c>
      <c r="DJ1151" s="4">
        <f>INDEX(Sheet2!C:C,QUOTIENT(ROW()-1,19)+2)</f>
        <v>42369</v>
      </c>
      <c r="DK1151" s="4" t="e">
        <f>INDEX(Sheet2!$AA$2:$AS$228,QUOTIENT(ROW()-1,19)+1,MOD(ROW()-2,19)+1)</f>
        <v>#N/A</v>
      </c>
      <c r="DL1151" t="str">
        <f>IFERROR(INDEX(Sheet2!$AU$2:$BM$228,QUOTIENT(ROW()-1,19)+1,MOD(ROW()-2,19)+1),NA())</f>
        <v/>
      </c>
      <c r="DM1151" s="4" t="e">
        <f t="shared" si="72"/>
        <v>#N/A</v>
      </c>
      <c r="DN1151" t="e">
        <f t="shared" si="73"/>
        <v>#N/A</v>
      </c>
      <c r="DO1151" t="e">
        <f t="shared" si="74"/>
        <v>#N/A</v>
      </c>
    </row>
    <row r="1152" spans="7:119" x14ac:dyDescent="0.25">
      <c r="G1152"/>
      <c r="DI1152" s="4">
        <f>INDEX(Sheet2!A:A,QUOTIENT(ROW()-1,19)+2)</f>
        <v>41255</v>
      </c>
      <c r="DJ1152" s="4">
        <f>INDEX(Sheet2!C:C,QUOTIENT(ROW()-1,19)+2)</f>
        <v>42369</v>
      </c>
      <c r="DK1152" s="4" t="e">
        <f>INDEX(Sheet2!$AA$2:$AS$228,QUOTIENT(ROW()-1,19)+1,MOD(ROW()-2,19)+1)</f>
        <v>#N/A</v>
      </c>
      <c r="DL1152" t="str">
        <f>IFERROR(INDEX(Sheet2!$AU$2:$BM$228,QUOTIENT(ROW()-1,19)+1,MOD(ROW()-2,19)+1),NA())</f>
        <v/>
      </c>
      <c r="DM1152" s="4" t="e">
        <f t="shared" si="72"/>
        <v>#N/A</v>
      </c>
      <c r="DN1152" t="e">
        <f t="shared" si="73"/>
        <v>#N/A</v>
      </c>
      <c r="DO1152" t="e">
        <f t="shared" si="74"/>
        <v>#N/A</v>
      </c>
    </row>
    <row r="1153" spans="7:119" x14ac:dyDescent="0.25">
      <c r="G1153"/>
      <c r="DI1153" s="4">
        <f>INDEX(Sheet2!A:A,QUOTIENT(ROW()-1,19)+2)</f>
        <v>41255</v>
      </c>
      <c r="DJ1153" s="4">
        <f>INDEX(Sheet2!C:C,QUOTIENT(ROW()-1,19)+2)</f>
        <v>42369</v>
      </c>
      <c r="DK1153" s="4" t="e">
        <f>INDEX(Sheet2!$AA$2:$AS$228,QUOTIENT(ROW()-1,19)+1,MOD(ROW()-2,19)+1)</f>
        <v>#N/A</v>
      </c>
      <c r="DL1153" t="str">
        <f>IFERROR(INDEX(Sheet2!$AU$2:$BM$228,QUOTIENT(ROW()-1,19)+1,MOD(ROW()-2,19)+1),NA())</f>
        <v/>
      </c>
      <c r="DM1153" s="4" t="e">
        <f t="shared" si="72"/>
        <v>#N/A</v>
      </c>
      <c r="DN1153" t="e">
        <f t="shared" si="73"/>
        <v>#N/A</v>
      </c>
      <c r="DO1153" t="e">
        <f t="shared" si="74"/>
        <v>#N/A</v>
      </c>
    </row>
    <row r="1154" spans="7:119" x14ac:dyDescent="0.25">
      <c r="G1154"/>
      <c r="DI1154" s="4">
        <f>INDEX(Sheet2!A:A,QUOTIENT(ROW()-1,19)+2)</f>
        <v>41255</v>
      </c>
      <c r="DJ1154" s="4">
        <f>INDEX(Sheet2!C:C,QUOTIENT(ROW()-1,19)+2)</f>
        <v>42369</v>
      </c>
      <c r="DK1154" s="4" t="e">
        <f>INDEX(Sheet2!$AA$2:$AS$228,QUOTIENT(ROW()-1,19)+1,MOD(ROW()-2,19)+1)</f>
        <v>#N/A</v>
      </c>
      <c r="DL1154" t="str">
        <f>IFERROR(INDEX(Sheet2!$AU$2:$BM$228,QUOTIENT(ROW()-1,19)+1,MOD(ROW()-2,19)+1),NA())</f>
        <v/>
      </c>
      <c r="DM1154" s="4" t="e">
        <f t="shared" ref="DM1154:DM1217" si="75">+IF($C$2=$DI1154,DK1154,NA())</f>
        <v>#N/A</v>
      </c>
      <c r="DN1154" t="e">
        <f t="shared" ref="DN1154:DN1217" si="76">+IF($C$2=$DI1154,DL1154,NA())</f>
        <v>#N/A</v>
      </c>
      <c r="DO1154" t="e">
        <f t="shared" si="74"/>
        <v>#N/A</v>
      </c>
    </row>
    <row r="1155" spans="7:119" x14ac:dyDescent="0.25">
      <c r="G1155"/>
      <c r="DI1155" s="4">
        <f>INDEX(Sheet2!A:A,QUOTIENT(ROW()-1,19)+2)</f>
        <v>41255</v>
      </c>
      <c r="DJ1155" s="4">
        <f>INDEX(Sheet2!C:C,QUOTIENT(ROW()-1,19)+2)</f>
        <v>42369</v>
      </c>
      <c r="DK1155" s="4" t="e">
        <f>INDEX(Sheet2!$AA$2:$AS$228,QUOTIENT(ROW()-1,19)+1,MOD(ROW()-2,19)+1)</f>
        <v>#N/A</v>
      </c>
      <c r="DL1155" t="str">
        <f>IFERROR(INDEX(Sheet2!$AU$2:$BM$228,QUOTIENT(ROW()-1,19)+1,MOD(ROW()-2,19)+1),NA())</f>
        <v/>
      </c>
      <c r="DM1155" s="4" t="e">
        <f t="shared" si="75"/>
        <v>#N/A</v>
      </c>
      <c r="DN1155" t="e">
        <f t="shared" si="76"/>
        <v>#N/A</v>
      </c>
      <c r="DO1155" t="e">
        <f t="shared" ref="DO1155:DO1218" si="77">IF(DN1155="",NA(),DN1155)</f>
        <v>#N/A</v>
      </c>
    </row>
    <row r="1156" spans="7:119" x14ac:dyDescent="0.25">
      <c r="G1156"/>
      <c r="DI1156" s="4">
        <f>INDEX(Sheet2!A:A,QUOTIENT(ROW()-1,19)+2)</f>
        <v>41255</v>
      </c>
      <c r="DJ1156" s="4">
        <f>INDEX(Sheet2!C:C,QUOTIENT(ROW()-1,19)+2)</f>
        <v>42369</v>
      </c>
      <c r="DK1156" s="4" t="e">
        <f>INDEX(Sheet2!$AA$2:$AS$228,QUOTIENT(ROW()-1,19)+1,MOD(ROW()-2,19)+1)</f>
        <v>#N/A</v>
      </c>
      <c r="DL1156" t="str">
        <f>IFERROR(INDEX(Sheet2!$AU$2:$BM$228,QUOTIENT(ROW()-1,19)+1,MOD(ROW()-2,19)+1),NA())</f>
        <v/>
      </c>
      <c r="DM1156" s="4" t="e">
        <f t="shared" si="75"/>
        <v>#N/A</v>
      </c>
      <c r="DN1156" t="e">
        <f t="shared" si="76"/>
        <v>#N/A</v>
      </c>
      <c r="DO1156" t="e">
        <f t="shared" si="77"/>
        <v>#N/A</v>
      </c>
    </row>
    <row r="1157" spans="7:119" x14ac:dyDescent="0.25">
      <c r="G1157"/>
      <c r="DI1157" s="4">
        <f>INDEX(Sheet2!A:A,QUOTIENT(ROW()-1,19)+2)</f>
        <v>41255</v>
      </c>
      <c r="DJ1157" s="4">
        <f>INDEX(Sheet2!C:C,QUOTIENT(ROW()-1,19)+2)</f>
        <v>42369</v>
      </c>
      <c r="DK1157" s="4" t="e">
        <f>INDEX(Sheet2!$AA$2:$AS$228,QUOTIENT(ROW()-1,19)+1,MOD(ROW()-2,19)+1)</f>
        <v>#N/A</v>
      </c>
      <c r="DL1157" t="str">
        <f>IFERROR(INDEX(Sheet2!$AU$2:$BM$228,QUOTIENT(ROW()-1,19)+1,MOD(ROW()-2,19)+1),NA())</f>
        <v/>
      </c>
      <c r="DM1157" s="4" t="e">
        <f t="shared" si="75"/>
        <v>#N/A</v>
      </c>
      <c r="DN1157" t="e">
        <f t="shared" si="76"/>
        <v>#N/A</v>
      </c>
      <c r="DO1157" t="e">
        <f t="shared" si="77"/>
        <v>#N/A</v>
      </c>
    </row>
    <row r="1158" spans="7:119" x14ac:dyDescent="0.25">
      <c r="G1158"/>
      <c r="DI1158" s="4">
        <f>INDEX(Sheet2!A:A,QUOTIENT(ROW()-1,19)+2)</f>
        <v>41255</v>
      </c>
      <c r="DJ1158" s="4">
        <f>INDEX(Sheet2!C:C,QUOTIENT(ROW()-1,19)+2)</f>
        <v>42369</v>
      </c>
      <c r="DK1158" s="4" t="e">
        <f>INDEX(Sheet2!$AA$2:$AS$228,QUOTIENT(ROW()-1,19)+1,MOD(ROW()-2,19)+1)</f>
        <v>#N/A</v>
      </c>
      <c r="DL1158" t="str">
        <f>IFERROR(INDEX(Sheet2!$AU$2:$BM$228,QUOTIENT(ROW()-1,19)+1,MOD(ROW()-2,19)+1),NA())</f>
        <v/>
      </c>
      <c r="DM1158" s="4" t="e">
        <f t="shared" si="75"/>
        <v>#N/A</v>
      </c>
      <c r="DN1158" t="e">
        <f t="shared" si="76"/>
        <v>#N/A</v>
      </c>
      <c r="DO1158" t="e">
        <f t="shared" si="77"/>
        <v>#N/A</v>
      </c>
    </row>
    <row r="1159" spans="7:119" x14ac:dyDescent="0.25">
      <c r="G1159"/>
      <c r="DI1159" s="4">
        <f>INDEX(Sheet2!A:A,QUOTIENT(ROW()-1,19)+2)</f>
        <v>41255</v>
      </c>
      <c r="DJ1159" s="4">
        <f>INDEX(Sheet2!C:C,QUOTIENT(ROW()-1,19)+2)</f>
        <v>42369</v>
      </c>
      <c r="DK1159" s="4" t="e">
        <f>INDEX(Sheet2!$AA$2:$AS$228,QUOTIENT(ROW()-1,19)+1,MOD(ROW()-2,19)+1)</f>
        <v>#N/A</v>
      </c>
      <c r="DL1159" t="str">
        <f>IFERROR(INDEX(Sheet2!$AU$2:$BM$228,QUOTIENT(ROW()-1,19)+1,MOD(ROW()-2,19)+1),NA())</f>
        <v/>
      </c>
      <c r="DM1159" s="4" t="e">
        <f t="shared" si="75"/>
        <v>#N/A</v>
      </c>
      <c r="DN1159" t="e">
        <f t="shared" si="76"/>
        <v>#N/A</v>
      </c>
      <c r="DO1159" t="e">
        <f t="shared" si="77"/>
        <v>#N/A</v>
      </c>
    </row>
    <row r="1160" spans="7:119" x14ac:dyDescent="0.25">
      <c r="G1160"/>
      <c r="DI1160" s="4">
        <f>INDEX(Sheet2!A:A,QUOTIENT(ROW()-1,19)+2)</f>
        <v>41255</v>
      </c>
      <c r="DJ1160" s="4">
        <f>INDEX(Sheet2!C:C,QUOTIENT(ROW()-1,19)+2)</f>
        <v>42369</v>
      </c>
      <c r="DK1160" s="4" t="e">
        <f>INDEX(Sheet2!$AA$2:$AS$228,QUOTIENT(ROW()-1,19)+1,MOD(ROW()-2,19)+1)</f>
        <v>#N/A</v>
      </c>
      <c r="DL1160" t="str">
        <f>IFERROR(INDEX(Sheet2!$AU$2:$BM$228,QUOTIENT(ROW()-1,19)+1,MOD(ROW()-2,19)+1),NA())</f>
        <v/>
      </c>
      <c r="DM1160" s="4" t="e">
        <f t="shared" si="75"/>
        <v>#N/A</v>
      </c>
      <c r="DN1160" t="e">
        <f t="shared" si="76"/>
        <v>#N/A</v>
      </c>
      <c r="DO1160" t="e">
        <f t="shared" si="77"/>
        <v>#N/A</v>
      </c>
    </row>
    <row r="1161" spans="7:119" x14ac:dyDescent="0.25">
      <c r="G1161"/>
      <c r="DI1161" s="4">
        <f>INDEX(Sheet2!A:A,QUOTIENT(ROW()-1,19)+2)</f>
        <v>41255</v>
      </c>
      <c r="DJ1161" s="4">
        <f>INDEX(Sheet2!C:C,QUOTIENT(ROW()-1,19)+2)</f>
        <v>42369</v>
      </c>
      <c r="DK1161" s="4">
        <f>INDEX(Sheet2!$AA$2:$AS$228,QUOTIENT(ROW()-1,19)+1,MOD(ROW()-2,19)+1)</f>
        <v>42338.887499999997</v>
      </c>
      <c r="DL1161">
        <f>IFERROR(INDEX(Sheet2!$AU$2:$BM$228,QUOTIENT(ROW()-1,19)+1,MOD(ROW()-2,19)+1),NA())</f>
        <v>0.5</v>
      </c>
      <c r="DM1161" s="4" t="e">
        <f t="shared" si="75"/>
        <v>#N/A</v>
      </c>
      <c r="DN1161" t="e">
        <f t="shared" si="76"/>
        <v>#N/A</v>
      </c>
      <c r="DO1161" t="e">
        <f t="shared" si="77"/>
        <v>#N/A</v>
      </c>
    </row>
    <row r="1162" spans="7:119" x14ac:dyDescent="0.25">
      <c r="G1162"/>
      <c r="DI1162" s="4">
        <f>INDEX(Sheet2!A:A,QUOTIENT(ROW()-1,19)+2)</f>
        <v>41255</v>
      </c>
      <c r="DJ1162" s="4">
        <f>INDEX(Sheet2!C:C,QUOTIENT(ROW()-1,19)+2)</f>
        <v>42369</v>
      </c>
      <c r="DK1162" s="4">
        <f>INDEX(Sheet2!$AA$2:$AS$228,QUOTIENT(ROW()-1,19)+1,MOD(ROW()-2,19)+1)</f>
        <v>42358.962500000001</v>
      </c>
      <c r="DL1162">
        <f>IFERROR(INDEX(Sheet2!$AU$2:$BM$228,QUOTIENT(ROW()-1,19)+1,MOD(ROW()-2,19)+1),NA())</f>
        <v>0.5</v>
      </c>
      <c r="DM1162" s="4" t="e">
        <f t="shared" si="75"/>
        <v>#N/A</v>
      </c>
      <c r="DN1162" t="e">
        <f t="shared" si="76"/>
        <v>#N/A</v>
      </c>
      <c r="DO1162" t="e">
        <f t="shared" si="77"/>
        <v>#N/A</v>
      </c>
    </row>
    <row r="1163" spans="7:119" x14ac:dyDescent="0.25">
      <c r="G1163"/>
      <c r="DI1163" s="4">
        <f>INDEX(Sheet2!A:A,QUOTIENT(ROW()-1,19)+2)</f>
        <v>41255</v>
      </c>
      <c r="DJ1163" s="4">
        <f>INDEX(Sheet2!C:C,QUOTIENT(ROW()-1,19)+2)</f>
        <v>42369</v>
      </c>
      <c r="DK1163" s="4">
        <f>INDEX(Sheet2!$AA$2:$AS$228,QUOTIENT(ROW()-1,19)+1,MOD(ROW()-2,19)+1)</f>
        <v>42379.037499999999</v>
      </c>
      <c r="DL1163">
        <f>IFERROR(INDEX(Sheet2!$AU$2:$BM$228,QUOTIENT(ROW()-1,19)+1,MOD(ROW()-2,19)+1),NA())</f>
        <v>0.5</v>
      </c>
      <c r="DM1163" s="4" t="e">
        <f t="shared" si="75"/>
        <v>#N/A</v>
      </c>
      <c r="DN1163" t="e">
        <f t="shared" si="76"/>
        <v>#N/A</v>
      </c>
      <c r="DO1163" t="e">
        <f t="shared" si="77"/>
        <v>#N/A</v>
      </c>
    </row>
    <row r="1164" spans="7:119" x14ac:dyDescent="0.25">
      <c r="G1164"/>
      <c r="DI1164" s="4">
        <f>INDEX(Sheet2!A:A,QUOTIENT(ROW()-1,19)+2)</f>
        <v>41255</v>
      </c>
      <c r="DJ1164" s="4">
        <f>INDEX(Sheet2!C:C,QUOTIENT(ROW()-1,19)+2)</f>
        <v>42369</v>
      </c>
      <c r="DK1164" s="4">
        <f>INDEX(Sheet2!$AA$2:$AS$228,QUOTIENT(ROW()-1,19)+1,MOD(ROW()-2,19)+1)</f>
        <v>42399.112500000003</v>
      </c>
      <c r="DL1164">
        <f>IFERROR(INDEX(Sheet2!$AU$2:$BM$228,QUOTIENT(ROW()-1,19)+1,MOD(ROW()-2,19)+1),NA())</f>
        <v>0.5</v>
      </c>
      <c r="DM1164" s="4" t="e">
        <f t="shared" si="75"/>
        <v>#N/A</v>
      </c>
      <c r="DN1164" t="e">
        <f t="shared" si="76"/>
        <v>#N/A</v>
      </c>
      <c r="DO1164" t="e">
        <f t="shared" si="77"/>
        <v>#N/A</v>
      </c>
    </row>
    <row r="1165" spans="7:119" x14ac:dyDescent="0.25">
      <c r="G1165"/>
      <c r="DI1165" s="4">
        <f>INDEX(Sheet2!A:A,QUOTIENT(ROW()-1,19)+2)</f>
        <v>41255</v>
      </c>
      <c r="DJ1165" s="4">
        <f>INDEX(Sheet2!C:C,QUOTIENT(ROW()-1,19)+2)</f>
        <v>42369</v>
      </c>
      <c r="DK1165" s="4" t="e">
        <f>INDEX(Sheet2!$AA$2:$AS$228,QUOTIENT(ROW()-1,19)+1,MOD(ROW()-2,19)+1)</f>
        <v>#N/A</v>
      </c>
      <c r="DL1165" t="str">
        <f>IFERROR(INDEX(Sheet2!$AU$2:$BM$228,QUOTIENT(ROW()-1,19)+1,MOD(ROW()-2,19)+1),NA())</f>
        <v/>
      </c>
      <c r="DM1165" s="4" t="e">
        <f t="shared" si="75"/>
        <v>#N/A</v>
      </c>
      <c r="DN1165" t="e">
        <f t="shared" si="76"/>
        <v>#N/A</v>
      </c>
      <c r="DO1165" t="e">
        <f t="shared" si="77"/>
        <v>#N/A</v>
      </c>
    </row>
    <row r="1166" spans="7:119" x14ac:dyDescent="0.25">
      <c r="G1166"/>
      <c r="DI1166" s="4">
        <f>INDEX(Sheet2!A:A,QUOTIENT(ROW()-1,19)+2)</f>
        <v>41255</v>
      </c>
      <c r="DJ1166" s="4">
        <f>INDEX(Sheet2!C:C,QUOTIENT(ROW()-1,19)+2)</f>
        <v>42369</v>
      </c>
      <c r="DK1166" s="4" t="e">
        <f>INDEX(Sheet2!$AA$2:$AS$228,QUOTIENT(ROW()-1,19)+1,MOD(ROW()-2,19)+1)</f>
        <v>#N/A</v>
      </c>
      <c r="DL1166" t="str">
        <f>IFERROR(INDEX(Sheet2!$AU$2:$BM$228,QUOTIENT(ROW()-1,19)+1,MOD(ROW()-2,19)+1),NA())</f>
        <v/>
      </c>
      <c r="DM1166" s="4" t="e">
        <f t="shared" si="75"/>
        <v>#N/A</v>
      </c>
      <c r="DN1166" t="e">
        <f t="shared" si="76"/>
        <v>#N/A</v>
      </c>
      <c r="DO1166" t="e">
        <f t="shared" si="77"/>
        <v>#N/A</v>
      </c>
    </row>
    <row r="1167" spans="7:119" x14ac:dyDescent="0.25">
      <c r="G1167"/>
      <c r="DI1167" s="4">
        <f>INDEX(Sheet2!A:A,QUOTIENT(ROW()-1,19)+2)</f>
        <v>41255</v>
      </c>
      <c r="DJ1167" s="4">
        <f>INDEX(Sheet2!C:C,QUOTIENT(ROW()-1,19)+2)</f>
        <v>42369</v>
      </c>
      <c r="DK1167" s="4" t="e">
        <f>INDEX(Sheet2!$AA$2:$AS$228,QUOTIENT(ROW()-1,19)+1,MOD(ROW()-2,19)+1)</f>
        <v>#N/A</v>
      </c>
      <c r="DL1167" t="str">
        <f>IFERROR(INDEX(Sheet2!$AU$2:$BM$228,QUOTIENT(ROW()-1,19)+1,MOD(ROW()-2,19)+1),NA())</f>
        <v/>
      </c>
      <c r="DM1167" s="4" t="e">
        <f t="shared" si="75"/>
        <v>#N/A</v>
      </c>
      <c r="DN1167" t="e">
        <f t="shared" si="76"/>
        <v>#N/A</v>
      </c>
      <c r="DO1167" t="e">
        <f t="shared" si="77"/>
        <v>#N/A</v>
      </c>
    </row>
    <row r="1168" spans="7:119" x14ac:dyDescent="0.25">
      <c r="G1168"/>
      <c r="DI1168" s="4">
        <f>INDEX(Sheet2!A:A,QUOTIENT(ROW()-1,19)+2)</f>
        <v>41255</v>
      </c>
      <c r="DJ1168" s="4">
        <f>INDEX(Sheet2!C:C,QUOTIENT(ROW()-1,19)+2)</f>
        <v>42369</v>
      </c>
      <c r="DK1168" s="4" t="e">
        <f>INDEX(Sheet2!$AA$2:$AS$228,QUOTIENT(ROW()-1,19)+1,MOD(ROW()-2,19)+1)</f>
        <v>#N/A</v>
      </c>
      <c r="DL1168" t="str">
        <f>IFERROR(INDEX(Sheet2!$AU$2:$BM$228,QUOTIENT(ROW()-1,19)+1,MOD(ROW()-2,19)+1),NA())</f>
        <v/>
      </c>
      <c r="DM1168" s="4" t="e">
        <f t="shared" si="75"/>
        <v>#N/A</v>
      </c>
      <c r="DN1168" t="e">
        <f t="shared" si="76"/>
        <v>#N/A</v>
      </c>
      <c r="DO1168" t="e">
        <f t="shared" si="77"/>
        <v>#N/A</v>
      </c>
    </row>
    <row r="1169" spans="7:119" x14ac:dyDescent="0.25">
      <c r="G1169"/>
      <c r="DI1169" s="4">
        <f>INDEX(Sheet2!A:A,QUOTIENT(ROW()-1,19)+2)</f>
        <v>41255</v>
      </c>
      <c r="DJ1169" s="4">
        <f>INDEX(Sheet2!C:C,QUOTIENT(ROW()-1,19)+2)</f>
        <v>42369</v>
      </c>
      <c r="DK1169" s="4" t="e">
        <f>INDEX(Sheet2!$AA$2:$AS$228,QUOTIENT(ROW()-1,19)+1,MOD(ROW()-2,19)+1)</f>
        <v>#N/A</v>
      </c>
      <c r="DL1169" t="str">
        <f>IFERROR(INDEX(Sheet2!$AU$2:$BM$228,QUOTIENT(ROW()-1,19)+1,MOD(ROW()-2,19)+1),NA())</f>
        <v/>
      </c>
      <c r="DM1169" s="4" t="e">
        <f t="shared" si="75"/>
        <v>#N/A</v>
      </c>
      <c r="DN1169" t="e">
        <f t="shared" si="76"/>
        <v>#N/A</v>
      </c>
      <c r="DO1169" t="e">
        <f t="shared" si="77"/>
        <v>#N/A</v>
      </c>
    </row>
    <row r="1170" spans="7:119" x14ac:dyDescent="0.25">
      <c r="G1170"/>
      <c r="DI1170" s="4">
        <f>INDEX(Sheet2!A:A,QUOTIENT(ROW()-1,19)+2)</f>
        <v>41255</v>
      </c>
      <c r="DJ1170" s="4">
        <f>INDEX(Sheet2!C:C,QUOTIENT(ROW()-1,19)+2)</f>
        <v>42369</v>
      </c>
      <c r="DK1170" s="4" t="e">
        <f>INDEX(Sheet2!$AA$2:$AS$228,QUOTIENT(ROW()-1,19)+1,MOD(ROW()-2,19)+1)</f>
        <v>#N/A</v>
      </c>
      <c r="DL1170" t="str">
        <f>IFERROR(INDEX(Sheet2!$AU$2:$BM$228,QUOTIENT(ROW()-1,19)+1,MOD(ROW()-2,19)+1),NA())</f>
        <v/>
      </c>
      <c r="DM1170" s="4" t="e">
        <f t="shared" si="75"/>
        <v>#N/A</v>
      </c>
      <c r="DN1170" t="e">
        <f t="shared" si="76"/>
        <v>#N/A</v>
      </c>
      <c r="DO1170" t="e">
        <f t="shared" si="77"/>
        <v>#N/A</v>
      </c>
    </row>
    <row r="1171" spans="7:119" x14ac:dyDescent="0.25">
      <c r="G1171"/>
      <c r="DI1171" s="4">
        <f>INDEX(Sheet2!A:A,QUOTIENT(ROW()-1,19)+2)</f>
        <v>41255</v>
      </c>
      <c r="DJ1171" s="4">
        <f>INDEX(Sheet2!C:C,QUOTIENT(ROW()-1,19)+2)</f>
        <v>42369</v>
      </c>
      <c r="DK1171" s="4" t="e">
        <f>INDEX(Sheet2!$AA$2:$AS$228,QUOTIENT(ROW()-1,19)+1,MOD(ROW()-2,19)+1)</f>
        <v>#N/A</v>
      </c>
      <c r="DL1171" t="str">
        <f>IFERROR(INDEX(Sheet2!$AU$2:$BM$228,QUOTIENT(ROW()-1,19)+1,MOD(ROW()-2,19)+1),NA())</f>
        <v/>
      </c>
      <c r="DM1171" s="4" t="e">
        <f t="shared" si="75"/>
        <v>#N/A</v>
      </c>
      <c r="DN1171" t="e">
        <f t="shared" si="76"/>
        <v>#N/A</v>
      </c>
      <c r="DO1171" t="e">
        <f t="shared" si="77"/>
        <v>#N/A</v>
      </c>
    </row>
    <row r="1172" spans="7:119" x14ac:dyDescent="0.25">
      <c r="G1172"/>
      <c r="DI1172" s="4">
        <f>INDEX(Sheet2!A:A,QUOTIENT(ROW()-1,19)+2)</f>
        <v>41255</v>
      </c>
      <c r="DJ1172" s="4">
        <f>INDEX(Sheet2!C:C,QUOTIENT(ROW()-1,19)+2)</f>
        <v>42369</v>
      </c>
      <c r="DK1172" s="4" t="e">
        <f>INDEX(Sheet2!$AA$2:$AS$228,QUOTIENT(ROW()-1,19)+1,MOD(ROW()-2,19)+1)</f>
        <v>#N/A</v>
      </c>
      <c r="DL1172" t="str">
        <f>IFERROR(INDEX(Sheet2!$AU$2:$BM$228,QUOTIENT(ROW()-1,19)+1,MOD(ROW()-2,19)+1),NA())</f>
        <v/>
      </c>
      <c r="DM1172" s="4" t="e">
        <f t="shared" si="75"/>
        <v>#N/A</v>
      </c>
      <c r="DN1172" t="e">
        <f t="shared" si="76"/>
        <v>#N/A</v>
      </c>
      <c r="DO1172" t="e">
        <f t="shared" si="77"/>
        <v>#N/A</v>
      </c>
    </row>
    <row r="1173" spans="7:119" x14ac:dyDescent="0.25">
      <c r="G1173"/>
      <c r="DI1173" s="4">
        <f>INDEX(Sheet2!A:A,QUOTIENT(ROW()-1,19)+2)</f>
        <v>41255</v>
      </c>
      <c r="DJ1173" s="4">
        <f>INDEX(Sheet2!C:C,QUOTIENT(ROW()-1,19)+2)</f>
        <v>42369</v>
      </c>
      <c r="DK1173" s="4" t="e">
        <f>INDEX(Sheet2!$AA$2:$AS$228,QUOTIENT(ROW()-1,19)+1,MOD(ROW()-2,19)+1)</f>
        <v>#N/A</v>
      </c>
      <c r="DL1173" t="str">
        <f>IFERROR(INDEX(Sheet2!$AU$2:$BM$228,QUOTIENT(ROW()-1,19)+1,MOD(ROW()-2,19)+1),NA())</f>
        <v/>
      </c>
      <c r="DM1173" s="4" t="e">
        <f t="shared" si="75"/>
        <v>#N/A</v>
      </c>
      <c r="DN1173" t="e">
        <f t="shared" si="76"/>
        <v>#N/A</v>
      </c>
      <c r="DO1173" t="e">
        <f t="shared" si="77"/>
        <v>#N/A</v>
      </c>
    </row>
    <row r="1174" spans="7:119" x14ac:dyDescent="0.25">
      <c r="G1174"/>
      <c r="DI1174" s="4">
        <f>INDEX(Sheet2!A:A,QUOTIENT(ROW()-1,19)+2)</f>
        <v>41255</v>
      </c>
      <c r="DJ1174" s="4">
        <f>INDEX(Sheet2!C:C,QUOTIENT(ROW()-1,19)+2)</f>
        <v>42369</v>
      </c>
      <c r="DK1174" s="4" t="e">
        <f>INDEX(Sheet2!$AA$2:$AS$228,QUOTIENT(ROW()-1,19)+1,MOD(ROW()-2,19)+1)</f>
        <v>#N/A</v>
      </c>
      <c r="DL1174" t="str">
        <f>IFERROR(INDEX(Sheet2!$AU$2:$BM$228,QUOTIENT(ROW()-1,19)+1,MOD(ROW()-2,19)+1),NA())</f>
        <v/>
      </c>
      <c r="DM1174" s="4" t="e">
        <f t="shared" si="75"/>
        <v>#N/A</v>
      </c>
      <c r="DN1174" t="e">
        <f t="shared" si="76"/>
        <v>#N/A</v>
      </c>
      <c r="DO1174" t="e">
        <f t="shared" si="77"/>
        <v>#N/A</v>
      </c>
    </row>
    <row r="1175" spans="7:119" x14ac:dyDescent="0.25">
      <c r="G1175"/>
      <c r="DI1175" s="4">
        <f>INDEX(Sheet2!A:A,QUOTIENT(ROW()-1,19)+2)</f>
        <v>41255</v>
      </c>
      <c r="DJ1175" s="4">
        <f>INDEX(Sheet2!C:C,QUOTIENT(ROW()-1,19)+2)</f>
        <v>42369</v>
      </c>
      <c r="DK1175" s="4" t="e">
        <f>INDEX(Sheet2!$AA$2:$AS$228,QUOTIENT(ROW()-1,19)+1,MOD(ROW()-2,19)+1)</f>
        <v>#N/A</v>
      </c>
      <c r="DL1175" t="str">
        <f>IFERROR(INDEX(Sheet2!$AU$2:$BM$228,QUOTIENT(ROW()-1,19)+1,MOD(ROW()-2,19)+1),NA())</f>
        <v/>
      </c>
      <c r="DM1175" s="4" t="e">
        <f t="shared" si="75"/>
        <v>#N/A</v>
      </c>
      <c r="DN1175" t="e">
        <f t="shared" si="76"/>
        <v>#N/A</v>
      </c>
      <c r="DO1175" t="e">
        <f t="shared" si="77"/>
        <v>#N/A</v>
      </c>
    </row>
    <row r="1176" spans="7:119" x14ac:dyDescent="0.25">
      <c r="G1176"/>
      <c r="DI1176" s="4">
        <f>INDEX(Sheet2!A:A,QUOTIENT(ROW()-1,19)+2)</f>
        <v>41255</v>
      </c>
      <c r="DJ1176" s="4">
        <f>INDEX(Sheet2!C:C,QUOTIENT(ROW()-1,19)+2)</f>
        <v>42369</v>
      </c>
      <c r="DK1176" s="4" t="e">
        <f>INDEX(Sheet2!$AA$2:$AS$228,QUOTIENT(ROW()-1,19)+1,MOD(ROW()-2,19)+1)</f>
        <v>#N/A</v>
      </c>
      <c r="DL1176" t="str">
        <f>IFERROR(INDEX(Sheet2!$AU$2:$BM$228,QUOTIENT(ROW()-1,19)+1,MOD(ROW()-2,19)+1),NA())</f>
        <v/>
      </c>
      <c r="DM1176" s="4" t="e">
        <f t="shared" si="75"/>
        <v>#N/A</v>
      </c>
      <c r="DN1176" t="e">
        <f t="shared" si="76"/>
        <v>#N/A</v>
      </c>
      <c r="DO1176" t="e">
        <f t="shared" si="77"/>
        <v>#N/A</v>
      </c>
    </row>
    <row r="1177" spans="7:119" x14ac:dyDescent="0.25">
      <c r="G1177"/>
      <c r="DI1177" s="4">
        <f>INDEX(Sheet2!A:A,QUOTIENT(ROW()-1,19)+2)</f>
        <v>41255</v>
      </c>
      <c r="DJ1177" s="4">
        <f>INDEX(Sheet2!C:C,QUOTIENT(ROW()-1,19)+2)</f>
        <v>42369</v>
      </c>
      <c r="DK1177" s="4" t="e">
        <f>INDEX(Sheet2!$AA$2:$AS$228,QUOTIENT(ROW()-1,19)+1,MOD(ROW()-2,19)+1)</f>
        <v>#N/A</v>
      </c>
      <c r="DL1177" t="str">
        <f>IFERROR(INDEX(Sheet2!$AU$2:$BM$228,QUOTIENT(ROW()-1,19)+1,MOD(ROW()-2,19)+1),NA())</f>
        <v/>
      </c>
      <c r="DM1177" s="4" t="e">
        <f t="shared" si="75"/>
        <v>#N/A</v>
      </c>
      <c r="DN1177" t="e">
        <f t="shared" si="76"/>
        <v>#N/A</v>
      </c>
      <c r="DO1177" t="e">
        <f t="shared" si="77"/>
        <v>#N/A</v>
      </c>
    </row>
    <row r="1178" spans="7:119" x14ac:dyDescent="0.25">
      <c r="G1178"/>
      <c r="DI1178" s="4">
        <f>INDEX(Sheet2!A:A,QUOTIENT(ROW()-1,19)+2)</f>
        <v>41255</v>
      </c>
      <c r="DJ1178" s="4">
        <f>INDEX(Sheet2!C:C,QUOTIENT(ROW()-1,19)+2)</f>
        <v>42369</v>
      </c>
      <c r="DK1178" s="4" t="e">
        <f>INDEX(Sheet2!$AA$2:$AS$228,QUOTIENT(ROW()-1,19)+1,MOD(ROW()-2,19)+1)</f>
        <v>#N/A</v>
      </c>
      <c r="DL1178" t="str">
        <f>IFERROR(INDEX(Sheet2!$AU$2:$BM$228,QUOTIENT(ROW()-1,19)+1,MOD(ROW()-2,19)+1),NA())</f>
        <v/>
      </c>
      <c r="DM1178" s="4" t="e">
        <f t="shared" si="75"/>
        <v>#N/A</v>
      </c>
      <c r="DN1178" t="e">
        <f t="shared" si="76"/>
        <v>#N/A</v>
      </c>
      <c r="DO1178" t="e">
        <f t="shared" si="77"/>
        <v>#N/A</v>
      </c>
    </row>
    <row r="1179" spans="7:119" x14ac:dyDescent="0.25">
      <c r="G1179"/>
      <c r="DI1179" s="4">
        <f>INDEX(Sheet2!A:A,QUOTIENT(ROW()-1,19)+2)</f>
        <v>41255</v>
      </c>
      <c r="DJ1179" s="4">
        <f>INDEX(Sheet2!C:C,QUOTIENT(ROW()-1,19)+2)</f>
        <v>42369</v>
      </c>
      <c r="DK1179" s="4" t="e">
        <f>INDEX(Sheet2!$AA$2:$AS$228,QUOTIENT(ROW()-1,19)+1,MOD(ROW()-2,19)+1)</f>
        <v>#N/A</v>
      </c>
      <c r="DL1179" t="str">
        <f>IFERROR(INDEX(Sheet2!$AU$2:$BM$228,QUOTIENT(ROW()-1,19)+1,MOD(ROW()-2,19)+1),NA())</f>
        <v/>
      </c>
      <c r="DM1179" s="4" t="e">
        <f t="shared" si="75"/>
        <v>#N/A</v>
      </c>
      <c r="DN1179" t="e">
        <f t="shared" si="76"/>
        <v>#N/A</v>
      </c>
      <c r="DO1179" t="e">
        <f t="shared" si="77"/>
        <v>#N/A</v>
      </c>
    </row>
    <row r="1180" spans="7:119" x14ac:dyDescent="0.25">
      <c r="G1180"/>
      <c r="DI1180" s="4">
        <f>INDEX(Sheet2!A:A,QUOTIENT(ROW()-1,19)+2)</f>
        <v>41255</v>
      </c>
      <c r="DJ1180" s="4">
        <f>INDEX(Sheet2!C:C,QUOTIENT(ROW()-1,19)+2)</f>
        <v>42369</v>
      </c>
      <c r="DK1180" s="4">
        <f>INDEX(Sheet2!$AA$2:$AS$228,QUOTIENT(ROW()-1,19)+1,MOD(ROW()-2,19)+1)</f>
        <v>42348.924999999996</v>
      </c>
      <c r="DL1180">
        <f>IFERROR(INDEX(Sheet2!$AU$2:$BM$228,QUOTIENT(ROW()-1,19)+1,MOD(ROW()-2,19)+1),NA())</f>
        <v>0.75</v>
      </c>
      <c r="DM1180" s="4" t="e">
        <f t="shared" si="75"/>
        <v>#N/A</v>
      </c>
      <c r="DN1180" t="e">
        <f t="shared" si="76"/>
        <v>#N/A</v>
      </c>
      <c r="DO1180" t="e">
        <f t="shared" si="77"/>
        <v>#N/A</v>
      </c>
    </row>
    <row r="1181" spans="7:119" x14ac:dyDescent="0.25">
      <c r="G1181"/>
      <c r="DI1181" s="4">
        <f>INDEX(Sheet2!A:A,QUOTIENT(ROW()-1,19)+2)</f>
        <v>41255</v>
      </c>
      <c r="DJ1181" s="4">
        <f>INDEX(Sheet2!C:C,QUOTIENT(ROW()-1,19)+2)</f>
        <v>42369</v>
      </c>
      <c r="DK1181" s="4">
        <f>INDEX(Sheet2!$AA$2:$AS$228,QUOTIENT(ROW()-1,19)+1,MOD(ROW()-2,19)+1)</f>
        <v>42369</v>
      </c>
      <c r="DL1181">
        <f>IFERROR(INDEX(Sheet2!$AU$2:$BM$228,QUOTIENT(ROW()-1,19)+1,MOD(ROW()-2,19)+1),NA())</f>
        <v>0.75</v>
      </c>
      <c r="DM1181" s="4" t="e">
        <f t="shared" si="75"/>
        <v>#N/A</v>
      </c>
      <c r="DN1181" t="e">
        <f t="shared" si="76"/>
        <v>#N/A</v>
      </c>
      <c r="DO1181" t="e">
        <f t="shared" si="77"/>
        <v>#N/A</v>
      </c>
    </row>
    <row r="1182" spans="7:119" x14ac:dyDescent="0.25">
      <c r="G1182"/>
      <c r="DI1182" s="4">
        <f>INDEX(Sheet2!A:A,QUOTIENT(ROW()-1,19)+2)</f>
        <v>41255</v>
      </c>
      <c r="DJ1182" s="4">
        <f>INDEX(Sheet2!C:C,QUOTIENT(ROW()-1,19)+2)</f>
        <v>42369</v>
      </c>
      <c r="DK1182" s="4">
        <f>INDEX(Sheet2!$AA$2:$AS$228,QUOTIENT(ROW()-1,19)+1,MOD(ROW()-2,19)+1)</f>
        <v>42389.074999999997</v>
      </c>
      <c r="DL1182">
        <f>IFERROR(INDEX(Sheet2!$AU$2:$BM$228,QUOTIENT(ROW()-1,19)+1,MOD(ROW()-2,19)+1),NA())</f>
        <v>0.75</v>
      </c>
      <c r="DM1182" s="4" t="e">
        <f t="shared" si="75"/>
        <v>#N/A</v>
      </c>
      <c r="DN1182" t="e">
        <f t="shared" si="76"/>
        <v>#N/A</v>
      </c>
      <c r="DO1182" t="e">
        <f t="shared" si="77"/>
        <v>#N/A</v>
      </c>
    </row>
    <row r="1183" spans="7:119" x14ac:dyDescent="0.25">
      <c r="G1183"/>
      <c r="DI1183" s="4">
        <f>INDEX(Sheet2!A:A,QUOTIENT(ROW()-1,19)+2)</f>
        <v>41255</v>
      </c>
      <c r="DJ1183" s="4">
        <f>INDEX(Sheet2!C:C,QUOTIENT(ROW()-1,19)+2)</f>
        <v>42369</v>
      </c>
      <c r="DK1183" s="4" t="e">
        <f>INDEX(Sheet2!$AA$2:$AS$228,QUOTIENT(ROW()-1,19)+1,MOD(ROW()-2,19)+1)</f>
        <v>#N/A</v>
      </c>
      <c r="DL1183" t="str">
        <f>IFERROR(INDEX(Sheet2!$AU$2:$BM$228,QUOTIENT(ROW()-1,19)+1,MOD(ROW()-2,19)+1),NA())</f>
        <v/>
      </c>
      <c r="DM1183" s="4" t="e">
        <f t="shared" si="75"/>
        <v>#N/A</v>
      </c>
      <c r="DN1183" t="e">
        <f t="shared" si="76"/>
        <v>#N/A</v>
      </c>
      <c r="DO1183" t="e">
        <f t="shared" si="77"/>
        <v>#N/A</v>
      </c>
    </row>
    <row r="1184" spans="7:119" x14ac:dyDescent="0.25">
      <c r="G1184"/>
      <c r="DI1184" s="4">
        <f>INDEX(Sheet2!A:A,QUOTIENT(ROW()-1,19)+2)</f>
        <v>41255</v>
      </c>
      <c r="DJ1184" s="4">
        <f>INDEX(Sheet2!C:C,QUOTIENT(ROW()-1,19)+2)</f>
        <v>42369</v>
      </c>
      <c r="DK1184" s="4" t="e">
        <f>INDEX(Sheet2!$AA$2:$AS$228,QUOTIENT(ROW()-1,19)+1,MOD(ROW()-2,19)+1)</f>
        <v>#N/A</v>
      </c>
      <c r="DL1184" t="str">
        <f>IFERROR(INDEX(Sheet2!$AU$2:$BM$228,QUOTIENT(ROW()-1,19)+1,MOD(ROW()-2,19)+1),NA())</f>
        <v/>
      </c>
      <c r="DM1184" s="4" t="e">
        <f t="shared" si="75"/>
        <v>#N/A</v>
      </c>
      <c r="DN1184" t="e">
        <f t="shared" si="76"/>
        <v>#N/A</v>
      </c>
      <c r="DO1184" t="e">
        <f t="shared" si="77"/>
        <v>#N/A</v>
      </c>
    </row>
    <row r="1185" spans="7:119" x14ac:dyDescent="0.25">
      <c r="G1185"/>
      <c r="DI1185" s="4">
        <f>INDEX(Sheet2!A:A,QUOTIENT(ROW()-1,19)+2)</f>
        <v>41255</v>
      </c>
      <c r="DJ1185" s="4">
        <f>INDEX(Sheet2!C:C,QUOTIENT(ROW()-1,19)+2)</f>
        <v>42369</v>
      </c>
      <c r="DK1185" s="4" t="e">
        <f>INDEX(Sheet2!$AA$2:$AS$228,QUOTIENT(ROW()-1,19)+1,MOD(ROW()-2,19)+1)</f>
        <v>#N/A</v>
      </c>
      <c r="DL1185" t="str">
        <f>IFERROR(INDEX(Sheet2!$AU$2:$BM$228,QUOTIENT(ROW()-1,19)+1,MOD(ROW()-2,19)+1),NA())</f>
        <v/>
      </c>
      <c r="DM1185" s="4" t="e">
        <f t="shared" si="75"/>
        <v>#N/A</v>
      </c>
      <c r="DN1185" t="e">
        <f t="shared" si="76"/>
        <v>#N/A</v>
      </c>
      <c r="DO1185" t="e">
        <f t="shared" si="77"/>
        <v>#N/A</v>
      </c>
    </row>
    <row r="1186" spans="7:119" x14ac:dyDescent="0.25">
      <c r="G1186"/>
      <c r="DI1186" s="4">
        <f>INDEX(Sheet2!A:A,QUOTIENT(ROW()-1,19)+2)</f>
        <v>41255</v>
      </c>
      <c r="DJ1186" s="4">
        <f>INDEX(Sheet2!C:C,QUOTIENT(ROW()-1,19)+2)</f>
        <v>42369</v>
      </c>
      <c r="DK1186" s="4" t="e">
        <f>INDEX(Sheet2!$AA$2:$AS$228,QUOTIENT(ROW()-1,19)+1,MOD(ROW()-2,19)+1)</f>
        <v>#N/A</v>
      </c>
      <c r="DL1186" t="str">
        <f>IFERROR(INDEX(Sheet2!$AU$2:$BM$228,QUOTIENT(ROW()-1,19)+1,MOD(ROW()-2,19)+1),NA())</f>
        <v/>
      </c>
      <c r="DM1186" s="4" t="e">
        <f t="shared" si="75"/>
        <v>#N/A</v>
      </c>
      <c r="DN1186" t="e">
        <f t="shared" si="76"/>
        <v>#N/A</v>
      </c>
      <c r="DO1186" t="e">
        <f t="shared" si="77"/>
        <v>#N/A</v>
      </c>
    </row>
    <row r="1187" spans="7:119" x14ac:dyDescent="0.25">
      <c r="G1187"/>
      <c r="DI1187" s="4">
        <f>INDEX(Sheet2!A:A,QUOTIENT(ROW()-1,19)+2)</f>
        <v>41255</v>
      </c>
      <c r="DJ1187" s="4">
        <f>INDEX(Sheet2!C:C,QUOTIENT(ROW()-1,19)+2)</f>
        <v>42369</v>
      </c>
      <c r="DK1187" s="4" t="e">
        <f>INDEX(Sheet2!$AA$2:$AS$228,QUOTIENT(ROW()-1,19)+1,MOD(ROW()-2,19)+1)</f>
        <v>#N/A</v>
      </c>
      <c r="DL1187" t="str">
        <f>IFERROR(INDEX(Sheet2!$AU$2:$BM$228,QUOTIENT(ROW()-1,19)+1,MOD(ROW()-2,19)+1),NA())</f>
        <v/>
      </c>
      <c r="DM1187" s="4" t="e">
        <f t="shared" si="75"/>
        <v>#N/A</v>
      </c>
      <c r="DN1187" t="e">
        <f t="shared" si="76"/>
        <v>#N/A</v>
      </c>
      <c r="DO1187" t="e">
        <f t="shared" si="77"/>
        <v>#N/A</v>
      </c>
    </row>
    <row r="1188" spans="7:119" x14ac:dyDescent="0.25">
      <c r="G1188"/>
      <c r="DI1188" s="4">
        <f>INDEX(Sheet2!A:A,QUOTIENT(ROW()-1,19)+2)</f>
        <v>41255</v>
      </c>
      <c r="DJ1188" s="4">
        <f>INDEX(Sheet2!C:C,QUOTIENT(ROW()-1,19)+2)</f>
        <v>42369</v>
      </c>
      <c r="DK1188" s="4" t="e">
        <f>INDEX(Sheet2!$AA$2:$AS$228,QUOTIENT(ROW()-1,19)+1,MOD(ROW()-2,19)+1)</f>
        <v>#N/A</v>
      </c>
      <c r="DL1188" t="str">
        <f>IFERROR(INDEX(Sheet2!$AU$2:$BM$228,QUOTIENT(ROW()-1,19)+1,MOD(ROW()-2,19)+1),NA())</f>
        <v/>
      </c>
      <c r="DM1188" s="4" t="e">
        <f t="shared" si="75"/>
        <v>#N/A</v>
      </c>
      <c r="DN1188" t="e">
        <f t="shared" si="76"/>
        <v>#N/A</v>
      </c>
      <c r="DO1188" t="e">
        <f t="shared" si="77"/>
        <v>#N/A</v>
      </c>
    </row>
    <row r="1189" spans="7:119" x14ac:dyDescent="0.25">
      <c r="G1189"/>
      <c r="DI1189" s="4">
        <f>INDEX(Sheet2!A:A,QUOTIENT(ROW()-1,19)+2)</f>
        <v>41255</v>
      </c>
      <c r="DJ1189" s="4">
        <f>INDEX(Sheet2!C:C,QUOTIENT(ROW()-1,19)+2)</f>
        <v>42369</v>
      </c>
      <c r="DK1189" s="4" t="e">
        <f>INDEX(Sheet2!$AA$2:$AS$228,QUOTIENT(ROW()-1,19)+1,MOD(ROW()-2,19)+1)</f>
        <v>#N/A</v>
      </c>
      <c r="DL1189" t="str">
        <f>IFERROR(INDEX(Sheet2!$AU$2:$BM$228,QUOTIENT(ROW()-1,19)+1,MOD(ROW()-2,19)+1),NA())</f>
        <v/>
      </c>
      <c r="DM1189" s="4" t="e">
        <f t="shared" si="75"/>
        <v>#N/A</v>
      </c>
      <c r="DN1189" t="e">
        <f t="shared" si="76"/>
        <v>#N/A</v>
      </c>
      <c r="DO1189" t="e">
        <f t="shared" si="77"/>
        <v>#N/A</v>
      </c>
    </row>
    <row r="1190" spans="7:119" x14ac:dyDescent="0.25">
      <c r="G1190"/>
      <c r="DI1190" s="4">
        <f>INDEX(Sheet2!A:A,QUOTIENT(ROW()-1,19)+2)</f>
        <v>41255</v>
      </c>
      <c r="DJ1190" s="4">
        <f>INDEX(Sheet2!C:C,QUOTIENT(ROW()-1,19)+2)</f>
        <v>42369</v>
      </c>
      <c r="DK1190" s="4" t="e">
        <f>INDEX(Sheet2!$AA$2:$AS$228,QUOTIENT(ROW()-1,19)+1,MOD(ROW()-2,19)+1)</f>
        <v>#N/A</v>
      </c>
      <c r="DL1190" t="str">
        <f>IFERROR(INDEX(Sheet2!$AU$2:$BM$228,QUOTIENT(ROW()-1,19)+1,MOD(ROW()-2,19)+1),NA())</f>
        <v/>
      </c>
      <c r="DM1190" s="4" t="e">
        <f t="shared" si="75"/>
        <v>#N/A</v>
      </c>
      <c r="DN1190" t="e">
        <f t="shared" si="76"/>
        <v>#N/A</v>
      </c>
      <c r="DO1190" t="e">
        <f t="shared" si="77"/>
        <v>#N/A</v>
      </c>
    </row>
    <row r="1191" spans="7:119" x14ac:dyDescent="0.25">
      <c r="G1191"/>
      <c r="DI1191" s="4">
        <f>INDEX(Sheet2!A:A,QUOTIENT(ROW()-1,19)+2)</f>
        <v>41255</v>
      </c>
      <c r="DJ1191" s="4">
        <f>INDEX(Sheet2!C:C,QUOTIENT(ROW()-1,19)+2)</f>
        <v>42369</v>
      </c>
      <c r="DK1191" s="4" t="e">
        <f>INDEX(Sheet2!$AA$2:$AS$228,QUOTIENT(ROW()-1,19)+1,MOD(ROW()-2,19)+1)</f>
        <v>#N/A</v>
      </c>
      <c r="DL1191" t="str">
        <f>IFERROR(INDEX(Sheet2!$AU$2:$BM$228,QUOTIENT(ROW()-1,19)+1,MOD(ROW()-2,19)+1),NA())</f>
        <v/>
      </c>
      <c r="DM1191" s="4" t="e">
        <f t="shared" si="75"/>
        <v>#N/A</v>
      </c>
      <c r="DN1191" t="e">
        <f t="shared" si="76"/>
        <v>#N/A</v>
      </c>
      <c r="DO1191" t="e">
        <f t="shared" si="77"/>
        <v>#N/A</v>
      </c>
    </row>
    <row r="1192" spans="7:119" x14ac:dyDescent="0.25">
      <c r="G1192"/>
      <c r="DI1192" s="4">
        <f>INDEX(Sheet2!A:A,QUOTIENT(ROW()-1,19)+2)</f>
        <v>41255</v>
      </c>
      <c r="DJ1192" s="4">
        <f>INDEX(Sheet2!C:C,QUOTIENT(ROW()-1,19)+2)</f>
        <v>42369</v>
      </c>
      <c r="DK1192" s="4" t="e">
        <f>INDEX(Sheet2!$AA$2:$AS$228,QUOTIENT(ROW()-1,19)+1,MOD(ROW()-2,19)+1)</f>
        <v>#N/A</v>
      </c>
      <c r="DL1192" t="str">
        <f>IFERROR(INDEX(Sheet2!$AU$2:$BM$228,QUOTIENT(ROW()-1,19)+1,MOD(ROW()-2,19)+1),NA())</f>
        <v/>
      </c>
      <c r="DM1192" s="4" t="e">
        <f t="shared" si="75"/>
        <v>#N/A</v>
      </c>
      <c r="DN1192" t="e">
        <f t="shared" si="76"/>
        <v>#N/A</v>
      </c>
      <c r="DO1192" t="e">
        <f t="shared" si="77"/>
        <v>#N/A</v>
      </c>
    </row>
    <row r="1193" spans="7:119" x14ac:dyDescent="0.25">
      <c r="G1193"/>
      <c r="DI1193" s="4">
        <f>INDEX(Sheet2!A:A,QUOTIENT(ROW()-1,19)+2)</f>
        <v>41255</v>
      </c>
      <c r="DJ1193" s="4">
        <f>INDEX(Sheet2!C:C,QUOTIENT(ROW()-1,19)+2)</f>
        <v>42369</v>
      </c>
      <c r="DK1193" s="4" t="e">
        <f>INDEX(Sheet2!$AA$2:$AS$228,QUOTIENT(ROW()-1,19)+1,MOD(ROW()-2,19)+1)</f>
        <v>#N/A</v>
      </c>
      <c r="DL1193" t="str">
        <f>IFERROR(INDEX(Sheet2!$AU$2:$BM$228,QUOTIENT(ROW()-1,19)+1,MOD(ROW()-2,19)+1),NA())</f>
        <v/>
      </c>
      <c r="DM1193" s="4" t="e">
        <f t="shared" si="75"/>
        <v>#N/A</v>
      </c>
      <c r="DN1193" t="e">
        <f t="shared" si="76"/>
        <v>#N/A</v>
      </c>
      <c r="DO1193" t="e">
        <f t="shared" si="77"/>
        <v>#N/A</v>
      </c>
    </row>
    <row r="1194" spans="7:119" x14ac:dyDescent="0.25">
      <c r="G1194"/>
      <c r="DI1194" s="4">
        <f>INDEX(Sheet2!A:A,QUOTIENT(ROW()-1,19)+2)</f>
        <v>41255</v>
      </c>
      <c r="DJ1194" s="4">
        <f>INDEX(Sheet2!C:C,QUOTIENT(ROW()-1,19)+2)</f>
        <v>42369</v>
      </c>
      <c r="DK1194" s="4" t="e">
        <f>INDEX(Sheet2!$AA$2:$AS$228,QUOTIENT(ROW()-1,19)+1,MOD(ROW()-2,19)+1)</f>
        <v>#N/A</v>
      </c>
      <c r="DL1194" t="str">
        <f>IFERROR(INDEX(Sheet2!$AU$2:$BM$228,QUOTIENT(ROW()-1,19)+1,MOD(ROW()-2,19)+1),NA())</f>
        <v/>
      </c>
      <c r="DM1194" s="4" t="e">
        <f t="shared" si="75"/>
        <v>#N/A</v>
      </c>
      <c r="DN1194" t="e">
        <f t="shared" si="76"/>
        <v>#N/A</v>
      </c>
      <c r="DO1194" t="e">
        <f t="shared" si="77"/>
        <v>#N/A</v>
      </c>
    </row>
    <row r="1195" spans="7:119" x14ac:dyDescent="0.25">
      <c r="G1195"/>
      <c r="DI1195" s="4">
        <f>INDEX(Sheet2!A:A,QUOTIENT(ROW()-1,19)+2)</f>
        <v>41255</v>
      </c>
      <c r="DJ1195" s="4">
        <f>INDEX(Sheet2!C:C,QUOTIENT(ROW()-1,19)+2)</f>
        <v>42369</v>
      </c>
      <c r="DK1195" s="4" t="e">
        <f>INDEX(Sheet2!$AA$2:$AS$228,QUOTIENT(ROW()-1,19)+1,MOD(ROW()-2,19)+1)</f>
        <v>#N/A</v>
      </c>
      <c r="DL1195" t="str">
        <f>IFERROR(INDEX(Sheet2!$AU$2:$BM$228,QUOTIENT(ROW()-1,19)+1,MOD(ROW()-2,19)+1),NA())</f>
        <v/>
      </c>
      <c r="DM1195" s="4" t="e">
        <f t="shared" si="75"/>
        <v>#N/A</v>
      </c>
      <c r="DN1195" t="e">
        <f t="shared" si="76"/>
        <v>#N/A</v>
      </c>
      <c r="DO1195" t="e">
        <f t="shared" si="77"/>
        <v>#N/A</v>
      </c>
    </row>
    <row r="1196" spans="7:119" x14ac:dyDescent="0.25">
      <c r="G1196"/>
      <c r="DI1196" s="4">
        <f>INDEX(Sheet2!A:A,QUOTIENT(ROW()-1,19)+2)</f>
        <v>41255</v>
      </c>
      <c r="DJ1196" s="4">
        <f>INDEX(Sheet2!C:C,QUOTIENT(ROW()-1,19)+2)</f>
        <v>42369</v>
      </c>
      <c r="DK1196" s="4" t="e">
        <f>INDEX(Sheet2!$AA$2:$AS$228,QUOTIENT(ROW()-1,19)+1,MOD(ROW()-2,19)+1)</f>
        <v>#N/A</v>
      </c>
      <c r="DL1196" t="str">
        <f>IFERROR(INDEX(Sheet2!$AU$2:$BM$228,QUOTIENT(ROW()-1,19)+1,MOD(ROW()-2,19)+1),NA())</f>
        <v/>
      </c>
      <c r="DM1196" s="4" t="e">
        <f t="shared" si="75"/>
        <v>#N/A</v>
      </c>
      <c r="DN1196" t="e">
        <f t="shared" si="76"/>
        <v>#N/A</v>
      </c>
      <c r="DO1196" t="e">
        <f t="shared" si="77"/>
        <v>#N/A</v>
      </c>
    </row>
    <row r="1197" spans="7:119" x14ac:dyDescent="0.25">
      <c r="G1197"/>
      <c r="DI1197" s="4">
        <f>INDEX(Sheet2!A:A,QUOTIENT(ROW()-1,19)+2)</f>
        <v>41255</v>
      </c>
      <c r="DJ1197" s="4">
        <f>INDEX(Sheet2!C:C,QUOTIENT(ROW()-1,19)+2)</f>
        <v>42369</v>
      </c>
      <c r="DK1197" s="4" t="e">
        <f>INDEX(Sheet2!$AA$2:$AS$228,QUOTIENT(ROW()-1,19)+1,MOD(ROW()-2,19)+1)</f>
        <v>#N/A</v>
      </c>
      <c r="DL1197" t="str">
        <f>IFERROR(INDEX(Sheet2!$AU$2:$BM$228,QUOTIENT(ROW()-1,19)+1,MOD(ROW()-2,19)+1),NA())</f>
        <v/>
      </c>
      <c r="DM1197" s="4" t="e">
        <f t="shared" si="75"/>
        <v>#N/A</v>
      </c>
      <c r="DN1197" t="e">
        <f t="shared" si="76"/>
        <v>#N/A</v>
      </c>
      <c r="DO1197" t="e">
        <f t="shared" si="77"/>
        <v>#N/A</v>
      </c>
    </row>
    <row r="1198" spans="7:119" x14ac:dyDescent="0.25">
      <c r="G1198"/>
      <c r="DI1198" s="4">
        <f>INDEX(Sheet2!A:A,QUOTIENT(ROW()-1,19)+2)</f>
        <v>41255</v>
      </c>
      <c r="DJ1198" s="4">
        <f>INDEX(Sheet2!C:C,QUOTIENT(ROW()-1,19)+2)</f>
        <v>42369</v>
      </c>
      <c r="DK1198" s="4" t="e">
        <f>INDEX(Sheet2!$AA$2:$AS$228,QUOTIENT(ROW()-1,19)+1,MOD(ROW()-2,19)+1)</f>
        <v>#N/A</v>
      </c>
      <c r="DL1198" t="str">
        <f>IFERROR(INDEX(Sheet2!$AU$2:$BM$228,QUOTIENT(ROW()-1,19)+1,MOD(ROW()-2,19)+1),NA())</f>
        <v/>
      </c>
      <c r="DM1198" s="4" t="e">
        <f t="shared" si="75"/>
        <v>#N/A</v>
      </c>
      <c r="DN1198" t="e">
        <f t="shared" si="76"/>
        <v>#N/A</v>
      </c>
      <c r="DO1198" t="e">
        <f t="shared" si="77"/>
        <v>#N/A</v>
      </c>
    </row>
    <row r="1199" spans="7:119" x14ac:dyDescent="0.25">
      <c r="G1199"/>
      <c r="DI1199" s="4">
        <f>INDEX(Sheet2!A:A,QUOTIENT(ROW()-1,19)+2)</f>
        <v>41255</v>
      </c>
      <c r="DJ1199" s="4">
        <f>INDEX(Sheet2!C:C,QUOTIENT(ROW()-1,19)+2)</f>
        <v>42369</v>
      </c>
      <c r="DK1199" s="4">
        <f>INDEX(Sheet2!$AA$2:$AS$228,QUOTIENT(ROW()-1,19)+1,MOD(ROW()-2,19)+1)</f>
        <v>42348.924999999996</v>
      </c>
      <c r="DL1199">
        <f>IFERROR(INDEX(Sheet2!$AU$2:$BM$228,QUOTIENT(ROW()-1,19)+1,MOD(ROW()-2,19)+1),NA())</f>
        <v>1</v>
      </c>
      <c r="DM1199" s="4" t="e">
        <f t="shared" si="75"/>
        <v>#N/A</v>
      </c>
      <c r="DN1199" t="e">
        <f t="shared" si="76"/>
        <v>#N/A</v>
      </c>
      <c r="DO1199" t="e">
        <f t="shared" si="77"/>
        <v>#N/A</v>
      </c>
    </row>
    <row r="1200" spans="7:119" x14ac:dyDescent="0.25">
      <c r="G1200"/>
      <c r="DI1200" s="4">
        <f>INDEX(Sheet2!A:A,QUOTIENT(ROW()-1,19)+2)</f>
        <v>41255</v>
      </c>
      <c r="DJ1200" s="4">
        <f>INDEX(Sheet2!C:C,QUOTIENT(ROW()-1,19)+2)</f>
        <v>42369</v>
      </c>
      <c r="DK1200" s="4">
        <f>INDEX(Sheet2!$AA$2:$AS$228,QUOTIENT(ROW()-1,19)+1,MOD(ROW()-2,19)+1)</f>
        <v>42369</v>
      </c>
      <c r="DL1200">
        <f>IFERROR(INDEX(Sheet2!$AU$2:$BM$228,QUOTIENT(ROW()-1,19)+1,MOD(ROW()-2,19)+1),NA())</f>
        <v>1</v>
      </c>
      <c r="DM1200" s="4" t="e">
        <f t="shared" si="75"/>
        <v>#N/A</v>
      </c>
      <c r="DN1200" t="e">
        <f t="shared" si="76"/>
        <v>#N/A</v>
      </c>
      <c r="DO1200" t="e">
        <f t="shared" si="77"/>
        <v>#N/A</v>
      </c>
    </row>
    <row r="1201" spans="7:119" x14ac:dyDescent="0.25">
      <c r="G1201"/>
      <c r="DI1201" s="4">
        <f>INDEX(Sheet2!A:A,QUOTIENT(ROW()-1,19)+2)</f>
        <v>41255</v>
      </c>
      <c r="DJ1201" s="4">
        <f>INDEX(Sheet2!C:C,QUOTIENT(ROW()-1,19)+2)</f>
        <v>42369</v>
      </c>
      <c r="DK1201" s="4">
        <f>INDEX(Sheet2!$AA$2:$AS$228,QUOTIENT(ROW()-1,19)+1,MOD(ROW()-2,19)+1)</f>
        <v>42389.074999999997</v>
      </c>
      <c r="DL1201">
        <f>IFERROR(INDEX(Sheet2!$AU$2:$BM$228,QUOTIENT(ROW()-1,19)+1,MOD(ROW()-2,19)+1),NA())</f>
        <v>1</v>
      </c>
      <c r="DM1201" s="4" t="e">
        <f t="shared" si="75"/>
        <v>#N/A</v>
      </c>
      <c r="DN1201" t="e">
        <f t="shared" si="76"/>
        <v>#N/A</v>
      </c>
      <c r="DO1201" t="e">
        <f t="shared" si="77"/>
        <v>#N/A</v>
      </c>
    </row>
    <row r="1202" spans="7:119" x14ac:dyDescent="0.25">
      <c r="G1202"/>
      <c r="DI1202" s="4">
        <f>INDEX(Sheet2!A:A,QUOTIENT(ROW()-1,19)+2)</f>
        <v>41255</v>
      </c>
      <c r="DJ1202" s="4">
        <f>INDEX(Sheet2!C:C,QUOTIENT(ROW()-1,19)+2)</f>
        <v>42369</v>
      </c>
      <c r="DK1202" s="4" t="e">
        <f>INDEX(Sheet2!$AA$2:$AS$228,QUOTIENT(ROW()-1,19)+1,MOD(ROW()-2,19)+1)</f>
        <v>#N/A</v>
      </c>
      <c r="DL1202" t="str">
        <f>IFERROR(INDEX(Sheet2!$AU$2:$BM$228,QUOTIENT(ROW()-1,19)+1,MOD(ROW()-2,19)+1),NA())</f>
        <v/>
      </c>
      <c r="DM1202" s="4" t="e">
        <f t="shared" si="75"/>
        <v>#N/A</v>
      </c>
      <c r="DN1202" t="e">
        <f t="shared" si="76"/>
        <v>#N/A</v>
      </c>
      <c r="DO1202" t="e">
        <f t="shared" si="77"/>
        <v>#N/A</v>
      </c>
    </row>
    <row r="1203" spans="7:119" x14ac:dyDescent="0.25">
      <c r="G1203"/>
      <c r="DI1203" s="4">
        <f>INDEX(Sheet2!A:A,QUOTIENT(ROW()-1,19)+2)</f>
        <v>41255</v>
      </c>
      <c r="DJ1203" s="4">
        <f>INDEX(Sheet2!C:C,QUOTIENT(ROW()-1,19)+2)</f>
        <v>42369</v>
      </c>
      <c r="DK1203" s="4" t="e">
        <f>INDEX(Sheet2!$AA$2:$AS$228,QUOTIENT(ROW()-1,19)+1,MOD(ROW()-2,19)+1)</f>
        <v>#N/A</v>
      </c>
      <c r="DL1203" t="str">
        <f>IFERROR(INDEX(Sheet2!$AU$2:$BM$228,QUOTIENT(ROW()-1,19)+1,MOD(ROW()-2,19)+1),NA())</f>
        <v/>
      </c>
      <c r="DM1203" s="4" t="e">
        <f t="shared" si="75"/>
        <v>#N/A</v>
      </c>
      <c r="DN1203" t="e">
        <f t="shared" si="76"/>
        <v>#N/A</v>
      </c>
      <c r="DO1203" t="e">
        <f t="shared" si="77"/>
        <v>#N/A</v>
      </c>
    </row>
    <row r="1204" spans="7:119" x14ac:dyDescent="0.25">
      <c r="G1204"/>
      <c r="DI1204" s="4">
        <f>INDEX(Sheet2!A:A,QUOTIENT(ROW()-1,19)+2)</f>
        <v>41255</v>
      </c>
      <c r="DJ1204" s="4">
        <f>INDEX(Sheet2!C:C,QUOTIENT(ROW()-1,19)+2)</f>
        <v>42369</v>
      </c>
      <c r="DK1204" s="4" t="e">
        <f>INDEX(Sheet2!$AA$2:$AS$228,QUOTIENT(ROW()-1,19)+1,MOD(ROW()-2,19)+1)</f>
        <v>#N/A</v>
      </c>
      <c r="DL1204" t="str">
        <f>IFERROR(INDEX(Sheet2!$AU$2:$BM$228,QUOTIENT(ROW()-1,19)+1,MOD(ROW()-2,19)+1),NA())</f>
        <v/>
      </c>
      <c r="DM1204" s="4" t="e">
        <f t="shared" si="75"/>
        <v>#N/A</v>
      </c>
      <c r="DN1204" t="e">
        <f t="shared" si="76"/>
        <v>#N/A</v>
      </c>
      <c r="DO1204" t="e">
        <f t="shared" si="77"/>
        <v>#N/A</v>
      </c>
    </row>
    <row r="1205" spans="7:119" x14ac:dyDescent="0.25">
      <c r="G1205"/>
      <c r="DI1205" s="4">
        <f>INDEX(Sheet2!A:A,QUOTIENT(ROW()-1,19)+2)</f>
        <v>41255</v>
      </c>
      <c r="DJ1205" s="4">
        <f>INDEX(Sheet2!C:C,QUOTIENT(ROW()-1,19)+2)</f>
        <v>42369</v>
      </c>
      <c r="DK1205" s="4" t="e">
        <f>INDEX(Sheet2!$AA$2:$AS$228,QUOTIENT(ROW()-1,19)+1,MOD(ROW()-2,19)+1)</f>
        <v>#N/A</v>
      </c>
      <c r="DL1205" t="str">
        <f>IFERROR(INDEX(Sheet2!$AU$2:$BM$228,QUOTIENT(ROW()-1,19)+1,MOD(ROW()-2,19)+1),NA())</f>
        <v/>
      </c>
      <c r="DM1205" s="4" t="e">
        <f t="shared" si="75"/>
        <v>#N/A</v>
      </c>
      <c r="DN1205" t="e">
        <f t="shared" si="76"/>
        <v>#N/A</v>
      </c>
      <c r="DO1205" t="e">
        <f t="shared" si="77"/>
        <v>#N/A</v>
      </c>
    </row>
    <row r="1206" spans="7:119" x14ac:dyDescent="0.25">
      <c r="G1206"/>
      <c r="DI1206" s="4">
        <f>INDEX(Sheet2!A:A,QUOTIENT(ROW()-1,19)+2)</f>
        <v>41255</v>
      </c>
      <c r="DJ1206" s="4">
        <f>INDEX(Sheet2!C:C,QUOTIENT(ROW()-1,19)+2)</f>
        <v>42369</v>
      </c>
      <c r="DK1206" s="4" t="e">
        <f>INDEX(Sheet2!$AA$2:$AS$228,QUOTIENT(ROW()-1,19)+1,MOD(ROW()-2,19)+1)</f>
        <v>#N/A</v>
      </c>
      <c r="DL1206" t="str">
        <f>IFERROR(INDEX(Sheet2!$AU$2:$BM$228,QUOTIENT(ROW()-1,19)+1,MOD(ROW()-2,19)+1),NA())</f>
        <v/>
      </c>
      <c r="DM1206" s="4" t="e">
        <f t="shared" si="75"/>
        <v>#N/A</v>
      </c>
      <c r="DN1206" t="e">
        <f t="shared" si="76"/>
        <v>#N/A</v>
      </c>
      <c r="DO1206" t="e">
        <f t="shared" si="77"/>
        <v>#N/A</v>
      </c>
    </row>
    <row r="1207" spans="7:119" x14ac:dyDescent="0.25">
      <c r="G1207"/>
      <c r="DI1207" s="4">
        <f>INDEX(Sheet2!A:A,QUOTIENT(ROW()-1,19)+2)</f>
        <v>41255</v>
      </c>
      <c r="DJ1207" s="4">
        <f>INDEX(Sheet2!C:C,QUOTIENT(ROW()-1,19)+2)</f>
        <v>42369</v>
      </c>
      <c r="DK1207" s="4" t="e">
        <f>INDEX(Sheet2!$AA$2:$AS$228,QUOTIENT(ROW()-1,19)+1,MOD(ROW()-2,19)+1)</f>
        <v>#N/A</v>
      </c>
      <c r="DL1207" t="str">
        <f>IFERROR(INDEX(Sheet2!$AU$2:$BM$228,QUOTIENT(ROW()-1,19)+1,MOD(ROW()-2,19)+1),NA())</f>
        <v/>
      </c>
      <c r="DM1207" s="4" t="e">
        <f t="shared" si="75"/>
        <v>#N/A</v>
      </c>
      <c r="DN1207" t="e">
        <f t="shared" si="76"/>
        <v>#N/A</v>
      </c>
      <c r="DO1207" t="e">
        <f t="shared" si="77"/>
        <v>#N/A</v>
      </c>
    </row>
    <row r="1208" spans="7:119" x14ac:dyDescent="0.25">
      <c r="G1208"/>
      <c r="DI1208" s="4">
        <f>INDEX(Sheet2!A:A,QUOTIENT(ROW()-1,19)+2)</f>
        <v>41255</v>
      </c>
      <c r="DJ1208" s="4">
        <f>INDEX(Sheet2!C:C,QUOTIENT(ROW()-1,19)+2)</f>
        <v>42369</v>
      </c>
      <c r="DK1208" s="4" t="e">
        <f>INDEX(Sheet2!$AA$2:$AS$228,QUOTIENT(ROW()-1,19)+1,MOD(ROW()-2,19)+1)</f>
        <v>#N/A</v>
      </c>
      <c r="DL1208" t="str">
        <f>IFERROR(INDEX(Sheet2!$AU$2:$BM$228,QUOTIENT(ROW()-1,19)+1,MOD(ROW()-2,19)+1),NA())</f>
        <v/>
      </c>
      <c r="DM1208" s="4" t="e">
        <f t="shared" si="75"/>
        <v>#N/A</v>
      </c>
      <c r="DN1208" t="e">
        <f t="shared" si="76"/>
        <v>#N/A</v>
      </c>
      <c r="DO1208" t="e">
        <f t="shared" si="77"/>
        <v>#N/A</v>
      </c>
    </row>
    <row r="1209" spans="7:119" x14ac:dyDescent="0.25">
      <c r="G1209"/>
      <c r="DI1209" s="4">
        <f>INDEX(Sheet2!A:A,QUOTIENT(ROW()-1,19)+2)</f>
        <v>41255</v>
      </c>
      <c r="DJ1209" s="4">
        <f>INDEX(Sheet2!C:C,QUOTIENT(ROW()-1,19)+2)</f>
        <v>42369</v>
      </c>
      <c r="DK1209" s="4" t="e">
        <f>INDEX(Sheet2!$AA$2:$AS$228,QUOTIENT(ROW()-1,19)+1,MOD(ROW()-2,19)+1)</f>
        <v>#N/A</v>
      </c>
      <c r="DL1209" t="str">
        <f>IFERROR(INDEX(Sheet2!$AU$2:$BM$228,QUOTIENT(ROW()-1,19)+1,MOD(ROW()-2,19)+1),NA())</f>
        <v/>
      </c>
      <c r="DM1209" s="4" t="e">
        <f t="shared" si="75"/>
        <v>#N/A</v>
      </c>
      <c r="DN1209" t="e">
        <f t="shared" si="76"/>
        <v>#N/A</v>
      </c>
      <c r="DO1209" t="e">
        <f t="shared" si="77"/>
        <v>#N/A</v>
      </c>
    </row>
    <row r="1210" spans="7:119" x14ac:dyDescent="0.25">
      <c r="G1210"/>
      <c r="DI1210" s="4">
        <f>INDEX(Sheet2!A:A,QUOTIENT(ROW()-1,19)+2)</f>
        <v>41255</v>
      </c>
      <c r="DJ1210" s="4">
        <f>INDEX(Sheet2!C:C,QUOTIENT(ROW()-1,19)+2)</f>
        <v>42369</v>
      </c>
      <c r="DK1210" s="4" t="e">
        <f>INDEX(Sheet2!$AA$2:$AS$228,QUOTIENT(ROW()-1,19)+1,MOD(ROW()-2,19)+1)</f>
        <v>#N/A</v>
      </c>
      <c r="DL1210" t="str">
        <f>IFERROR(INDEX(Sheet2!$AU$2:$BM$228,QUOTIENT(ROW()-1,19)+1,MOD(ROW()-2,19)+1),NA())</f>
        <v/>
      </c>
      <c r="DM1210" s="4" t="e">
        <f t="shared" si="75"/>
        <v>#N/A</v>
      </c>
      <c r="DN1210" t="e">
        <f t="shared" si="76"/>
        <v>#N/A</v>
      </c>
      <c r="DO1210" t="e">
        <f t="shared" si="77"/>
        <v>#N/A</v>
      </c>
    </row>
    <row r="1211" spans="7:119" x14ac:dyDescent="0.25">
      <c r="G1211"/>
      <c r="DI1211" s="4">
        <f>INDEX(Sheet2!A:A,QUOTIENT(ROW()-1,19)+2)</f>
        <v>41255</v>
      </c>
      <c r="DJ1211" s="4">
        <f>INDEX(Sheet2!C:C,QUOTIENT(ROW()-1,19)+2)</f>
        <v>42369</v>
      </c>
      <c r="DK1211" s="4" t="e">
        <f>INDEX(Sheet2!$AA$2:$AS$228,QUOTIENT(ROW()-1,19)+1,MOD(ROW()-2,19)+1)</f>
        <v>#N/A</v>
      </c>
      <c r="DL1211" t="str">
        <f>IFERROR(INDEX(Sheet2!$AU$2:$BM$228,QUOTIENT(ROW()-1,19)+1,MOD(ROW()-2,19)+1),NA())</f>
        <v/>
      </c>
      <c r="DM1211" s="4" t="e">
        <f t="shared" si="75"/>
        <v>#N/A</v>
      </c>
      <c r="DN1211" t="e">
        <f t="shared" si="76"/>
        <v>#N/A</v>
      </c>
      <c r="DO1211" t="e">
        <f t="shared" si="77"/>
        <v>#N/A</v>
      </c>
    </row>
    <row r="1212" spans="7:119" x14ac:dyDescent="0.25">
      <c r="G1212"/>
      <c r="DI1212" s="4">
        <f>INDEX(Sheet2!A:A,QUOTIENT(ROW()-1,19)+2)</f>
        <v>41255</v>
      </c>
      <c r="DJ1212" s="4">
        <f>INDEX(Sheet2!C:C,QUOTIENT(ROW()-1,19)+2)</f>
        <v>42369</v>
      </c>
      <c r="DK1212" s="4" t="e">
        <f>INDEX(Sheet2!$AA$2:$AS$228,QUOTIENT(ROW()-1,19)+1,MOD(ROW()-2,19)+1)</f>
        <v>#N/A</v>
      </c>
      <c r="DL1212" t="str">
        <f>IFERROR(INDEX(Sheet2!$AU$2:$BM$228,QUOTIENT(ROW()-1,19)+1,MOD(ROW()-2,19)+1),NA())</f>
        <v/>
      </c>
      <c r="DM1212" s="4" t="e">
        <f t="shared" si="75"/>
        <v>#N/A</v>
      </c>
      <c r="DN1212" t="e">
        <f t="shared" si="76"/>
        <v>#N/A</v>
      </c>
      <c r="DO1212" t="e">
        <f t="shared" si="77"/>
        <v>#N/A</v>
      </c>
    </row>
    <row r="1213" spans="7:119" x14ac:dyDescent="0.25">
      <c r="G1213"/>
      <c r="DI1213" s="4">
        <f>INDEX(Sheet2!A:A,QUOTIENT(ROW()-1,19)+2)</f>
        <v>41255</v>
      </c>
      <c r="DJ1213" s="4">
        <f>INDEX(Sheet2!C:C,QUOTIENT(ROW()-1,19)+2)</f>
        <v>42369</v>
      </c>
      <c r="DK1213" s="4" t="e">
        <f>INDEX(Sheet2!$AA$2:$AS$228,QUOTIENT(ROW()-1,19)+1,MOD(ROW()-2,19)+1)</f>
        <v>#N/A</v>
      </c>
      <c r="DL1213" t="str">
        <f>IFERROR(INDEX(Sheet2!$AU$2:$BM$228,QUOTIENT(ROW()-1,19)+1,MOD(ROW()-2,19)+1),NA())</f>
        <v/>
      </c>
      <c r="DM1213" s="4" t="e">
        <f t="shared" si="75"/>
        <v>#N/A</v>
      </c>
      <c r="DN1213" t="e">
        <f t="shared" si="76"/>
        <v>#N/A</v>
      </c>
      <c r="DO1213" t="e">
        <f t="shared" si="77"/>
        <v>#N/A</v>
      </c>
    </row>
    <row r="1214" spans="7:119" x14ac:dyDescent="0.25">
      <c r="G1214"/>
      <c r="DI1214" s="4">
        <f>INDEX(Sheet2!A:A,QUOTIENT(ROW()-1,19)+2)</f>
        <v>41255</v>
      </c>
      <c r="DJ1214" s="4">
        <f>INDEX(Sheet2!C:C,QUOTIENT(ROW()-1,19)+2)</f>
        <v>42369</v>
      </c>
      <c r="DK1214" s="4" t="e">
        <f>INDEX(Sheet2!$AA$2:$AS$228,QUOTIENT(ROW()-1,19)+1,MOD(ROW()-2,19)+1)</f>
        <v>#N/A</v>
      </c>
      <c r="DL1214" t="str">
        <f>IFERROR(INDEX(Sheet2!$AU$2:$BM$228,QUOTIENT(ROW()-1,19)+1,MOD(ROW()-2,19)+1),NA())</f>
        <v/>
      </c>
      <c r="DM1214" s="4" t="e">
        <f t="shared" si="75"/>
        <v>#N/A</v>
      </c>
      <c r="DN1214" t="e">
        <f t="shared" si="76"/>
        <v>#N/A</v>
      </c>
      <c r="DO1214" t="e">
        <f t="shared" si="77"/>
        <v>#N/A</v>
      </c>
    </row>
    <row r="1215" spans="7:119" x14ac:dyDescent="0.25">
      <c r="G1215"/>
      <c r="DI1215" s="4">
        <f>INDEX(Sheet2!A:A,QUOTIENT(ROW()-1,19)+2)</f>
        <v>41255</v>
      </c>
      <c r="DJ1215" s="4">
        <f>INDEX(Sheet2!C:C,QUOTIENT(ROW()-1,19)+2)</f>
        <v>42369</v>
      </c>
      <c r="DK1215" s="4" t="e">
        <f>INDEX(Sheet2!$AA$2:$AS$228,QUOTIENT(ROW()-1,19)+1,MOD(ROW()-2,19)+1)</f>
        <v>#N/A</v>
      </c>
      <c r="DL1215" t="str">
        <f>IFERROR(INDEX(Sheet2!$AU$2:$BM$228,QUOTIENT(ROW()-1,19)+1,MOD(ROW()-2,19)+1),NA())</f>
        <v/>
      </c>
      <c r="DM1215" s="4" t="e">
        <f t="shared" si="75"/>
        <v>#N/A</v>
      </c>
      <c r="DN1215" t="e">
        <f t="shared" si="76"/>
        <v>#N/A</v>
      </c>
      <c r="DO1215" t="e">
        <f t="shared" si="77"/>
        <v>#N/A</v>
      </c>
    </row>
    <row r="1216" spans="7:119" x14ac:dyDescent="0.25">
      <c r="G1216"/>
      <c r="DI1216" s="4">
        <f>INDEX(Sheet2!A:A,QUOTIENT(ROW()-1,19)+2)</f>
        <v>41255</v>
      </c>
      <c r="DJ1216" s="4">
        <f>INDEX(Sheet2!C:C,QUOTIENT(ROW()-1,19)+2)</f>
        <v>42369</v>
      </c>
      <c r="DK1216" s="4" t="e">
        <f>INDEX(Sheet2!$AA$2:$AS$228,QUOTIENT(ROW()-1,19)+1,MOD(ROW()-2,19)+1)</f>
        <v>#N/A</v>
      </c>
      <c r="DL1216" t="str">
        <f>IFERROR(INDEX(Sheet2!$AU$2:$BM$228,QUOTIENT(ROW()-1,19)+1,MOD(ROW()-2,19)+1),NA())</f>
        <v/>
      </c>
      <c r="DM1216" s="4" t="e">
        <f t="shared" si="75"/>
        <v>#N/A</v>
      </c>
      <c r="DN1216" t="e">
        <f t="shared" si="76"/>
        <v>#N/A</v>
      </c>
      <c r="DO1216" t="e">
        <f t="shared" si="77"/>
        <v>#N/A</v>
      </c>
    </row>
    <row r="1217" spans="7:119" x14ac:dyDescent="0.25">
      <c r="G1217"/>
      <c r="DI1217" s="4">
        <f>INDEX(Sheet2!A:A,QUOTIENT(ROW()-1,19)+2)</f>
        <v>41255</v>
      </c>
      <c r="DJ1217" s="4">
        <f>INDEX(Sheet2!C:C,QUOTIENT(ROW()-1,19)+2)</f>
        <v>42369</v>
      </c>
      <c r="DK1217" s="4" t="e">
        <f>INDEX(Sheet2!$AA$2:$AS$228,QUOTIENT(ROW()-1,19)+1,MOD(ROW()-2,19)+1)</f>
        <v>#N/A</v>
      </c>
      <c r="DL1217" t="str">
        <f>IFERROR(INDEX(Sheet2!$AU$2:$BM$228,QUOTIENT(ROW()-1,19)+1,MOD(ROW()-2,19)+1),NA())</f>
        <v/>
      </c>
      <c r="DM1217" s="4" t="e">
        <f t="shared" si="75"/>
        <v>#N/A</v>
      </c>
      <c r="DN1217" t="e">
        <f t="shared" si="76"/>
        <v>#N/A</v>
      </c>
      <c r="DO1217" t="e">
        <f t="shared" si="77"/>
        <v>#N/A</v>
      </c>
    </row>
    <row r="1218" spans="7:119" x14ac:dyDescent="0.25">
      <c r="G1218"/>
      <c r="DI1218" s="4">
        <f>INDEX(Sheet2!A:A,QUOTIENT(ROW()-1,19)+2)</f>
        <v>41255</v>
      </c>
      <c r="DJ1218" s="4">
        <f>INDEX(Sheet2!C:C,QUOTIENT(ROW()-1,19)+2)</f>
        <v>42369</v>
      </c>
      <c r="DK1218" s="4">
        <f>INDEX(Sheet2!$AA$2:$AS$228,QUOTIENT(ROW()-1,19)+1,MOD(ROW()-2,19)+1)</f>
        <v>42358.962500000001</v>
      </c>
      <c r="DL1218">
        <f>IFERROR(INDEX(Sheet2!$AU$2:$BM$228,QUOTIENT(ROW()-1,19)+1,MOD(ROW()-2,19)+1),NA())</f>
        <v>1.25</v>
      </c>
      <c r="DM1218" s="4" t="e">
        <f t="shared" ref="DM1218:DM1281" si="78">+IF($C$2=$DI1218,DK1218,NA())</f>
        <v>#N/A</v>
      </c>
      <c r="DN1218" t="e">
        <f t="shared" ref="DN1218:DN1281" si="79">+IF($C$2=$DI1218,DL1218,NA())</f>
        <v>#N/A</v>
      </c>
      <c r="DO1218" t="e">
        <f t="shared" si="77"/>
        <v>#N/A</v>
      </c>
    </row>
    <row r="1219" spans="7:119" x14ac:dyDescent="0.25">
      <c r="G1219"/>
      <c r="DI1219" s="4">
        <f>INDEX(Sheet2!A:A,QUOTIENT(ROW()-1,19)+2)</f>
        <v>41255</v>
      </c>
      <c r="DJ1219" s="4">
        <f>INDEX(Sheet2!C:C,QUOTIENT(ROW()-1,19)+2)</f>
        <v>42369</v>
      </c>
      <c r="DK1219" s="4">
        <f>INDEX(Sheet2!$AA$2:$AS$228,QUOTIENT(ROW()-1,19)+1,MOD(ROW()-2,19)+1)</f>
        <v>42379.037500000006</v>
      </c>
      <c r="DL1219">
        <f>IFERROR(INDEX(Sheet2!$AU$2:$BM$228,QUOTIENT(ROW()-1,19)+1,MOD(ROW()-2,19)+1),NA())</f>
        <v>1.25</v>
      </c>
      <c r="DM1219" s="4" t="e">
        <f t="shared" si="78"/>
        <v>#N/A</v>
      </c>
      <c r="DN1219" t="e">
        <f t="shared" si="79"/>
        <v>#N/A</v>
      </c>
      <c r="DO1219" t="e">
        <f t="shared" ref="DO1219:DO1282" si="80">IF(DN1219="",NA(),DN1219)</f>
        <v>#N/A</v>
      </c>
    </row>
    <row r="1220" spans="7:119" x14ac:dyDescent="0.25">
      <c r="G1220"/>
      <c r="DI1220" s="4">
        <f>INDEX(Sheet2!A:A,QUOTIENT(ROW()-1,19)+2)</f>
        <v>41255</v>
      </c>
      <c r="DJ1220" s="4">
        <f>INDEX(Sheet2!C:C,QUOTIENT(ROW()-1,19)+2)</f>
        <v>42369</v>
      </c>
      <c r="DK1220" s="4" t="e">
        <f>INDEX(Sheet2!$AA$2:$AS$228,QUOTIENT(ROW()-1,19)+1,MOD(ROW()-2,19)+1)</f>
        <v>#N/A</v>
      </c>
      <c r="DL1220" t="str">
        <f>IFERROR(INDEX(Sheet2!$AU$2:$BM$228,QUOTIENT(ROW()-1,19)+1,MOD(ROW()-2,19)+1),NA())</f>
        <v/>
      </c>
      <c r="DM1220" s="4" t="e">
        <f t="shared" si="78"/>
        <v>#N/A</v>
      </c>
      <c r="DN1220" t="e">
        <f t="shared" si="79"/>
        <v>#N/A</v>
      </c>
      <c r="DO1220" t="e">
        <f t="shared" si="80"/>
        <v>#N/A</v>
      </c>
    </row>
    <row r="1221" spans="7:119" x14ac:dyDescent="0.25">
      <c r="G1221"/>
      <c r="DI1221" s="4">
        <f>INDEX(Sheet2!A:A,QUOTIENT(ROW()-1,19)+2)</f>
        <v>41255</v>
      </c>
      <c r="DJ1221" s="4">
        <f>INDEX(Sheet2!C:C,QUOTIENT(ROW()-1,19)+2)</f>
        <v>42369</v>
      </c>
      <c r="DK1221" s="4" t="e">
        <f>INDEX(Sheet2!$AA$2:$AS$228,QUOTIENT(ROW()-1,19)+1,MOD(ROW()-2,19)+1)</f>
        <v>#N/A</v>
      </c>
      <c r="DL1221" t="str">
        <f>IFERROR(INDEX(Sheet2!$AU$2:$BM$228,QUOTIENT(ROW()-1,19)+1,MOD(ROW()-2,19)+1),NA())</f>
        <v/>
      </c>
      <c r="DM1221" s="4" t="e">
        <f t="shared" si="78"/>
        <v>#N/A</v>
      </c>
      <c r="DN1221" t="e">
        <f t="shared" si="79"/>
        <v>#N/A</v>
      </c>
      <c r="DO1221" t="e">
        <f t="shared" si="80"/>
        <v>#N/A</v>
      </c>
    </row>
    <row r="1222" spans="7:119" x14ac:dyDescent="0.25">
      <c r="G1222"/>
      <c r="DI1222" s="4">
        <f>INDEX(Sheet2!A:A,QUOTIENT(ROW()-1,19)+2)</f>
        <v>41255</v>
      </c>
      <c r="DJ1222" s="4">
        <f>INDEX(Sheet2!C:C,QUOTIENT(ROW()-1,19)+2)</f>
        <v>42369</v>
      </c>
      <c r="DK1222" s="4" t="e">
        <f>INDEX(Sheet2!$AA$2:$AS$228,QUOTIENT(ROW()-1,19)+1,MOD(ROW()-2,19)+1)</f>
        <v>#N/A</v>
      </c>
      <c r="DL1222" t="str">
        <f>IFERROR(INDEX(Sheet2!$AU$2:$BM$228,QUOTIENT(ROW()-1,19)+1,MOD(ROW()-2,19)+1),NA())</f>
        <v/>
      </c>
      <c r="DM1222" s="4" t="e">
        <f t="shared" si="78"/>
        <v>#N/A</v>
      </c>
      <c r="DN1222" t="e">
        <f t="shared" si="79"/>
        <v>#N/A</v>
      </c>
      <c r="DO1222" t="e">
        <f t="shared" si="80"/>
        <v>#N/A</v>
      </c>
    </row>
    <row r="1223" spans="7:119" x14ac:dyDescent="0.25">
      <c r="G1223"/>
      <c r="DI1223" s="4">
        <f>INDEX(Sheet2!A:A,QUOTIENT(ROW()-1,19)+2)</f>
        <v>41255</v>
      </c>
      <c r="DJ1223" s="4">
        <f>INDEX(Sheet2!C:C,QUOTIENT(ROW()-1,19)+2)</f>
        <v>42369</v>
      </c>
      <c r="DK1223" s="4" t="e">
        <f>INDEX(Sheet2!$AA$2:$AS$228,QUOTIENT(ROW()-1,19)+1,MOD(ROW()-2,19)+1)</f>
        <v>#N/A</v>
      </c>
      <c r="DL1223" t="str">
        <f>IFERROR(INDEX(Sheet2!$AU$2:$BM$228,QUOTIENT(ROW()-1,19)+1,MOD(ROW()-2,19)+1),NA())</f>
        <v/>
      </c>
      <c r="DM1223" s="4" t="e">
        <f t="shared" si="78"/>
        <v>#N/A</v>
      </c>
      <c r="DN1223" t="e">
        <f t="shared" si="79"/>
        <v>#N/A</v>
      </c>
      <c r="DO1223" t="e">
        <f t="shared" si="80"/>
        <v>#N/A</v>
      </c>
    </row>
    <row r="1224" spans="7:119" x14ac:dyDescent="0.25">
      <c r="G1224"/>
      <c r="DI1224" s="4">
        <f>INDEX(Sheet2!A:A,QUOTIENT(ROW()-1,19)+2)</f>
        <v>41255</v>
      </c>
      <c r="DJ1224" s="4">
        <f>INDEX(Sheet2!C:C,QUOTIENT(ROW()-1,19)+2)</f>
        <v>42369</v>
      </c>
      <c r="DK1224" s="4" t="e">
        <f>INDEX(Sheet2!$AA$2:$AS$228,QUOTIENT(ROW()-1,19)+1,MOD(ROW()-2,19)+1)</f>
        <v>#N/A</v>
      </c>
      <c r="DL1224" t="str">
        <f>IFERROR(INDEX(Sheet2!$AU$2:$BM$228,QUOTIENT(ROW()-1,19)+1,MOD(ROW()-2,19)+1),NA())</f>
        <v/>
      </c>
      <c r="DM1224" s="4" t="e">
        <f t="shared" si="78"/>
        <v>#N/A</v>
      </c>
      <c r="DN1224" t="e">
        <f t="shared" si="79"/>
        <v>#N/A</v>
      </c>
      <c r="DO1224" t="e">
        <f t="shared" si="80"/>
        <v>#N/A</v>
      </c>
    </row>
    <row r="1225" spans="7:119" x14ac:dyDescent="0.25">
      <c r="G1225"/>
      <c r="DI1225" s="4">
        <f>INDEX(Sheet2!A:A,QUOTIENT(ROW()-1,19)+2)</f>
        <v>41255</v>
      </c>
      <c r="DJ1225" s="4">
        <f>INDEX(Sheet2!C:C,QUOTIENT(ROW()-1,19)+2)</f>
        <v>42369</v>
      </c>
      <c r="DK1225" s="4" t="e">
        <f>INDEX(Sheet2!$AA$2:$AS$228,QUOTIENT(ROW()-1,19)+1,MOD(ROW()-2,19)+1)</f>
        <v>#N/A</v>
      </c>
      <c r="DL1225" t="str">
        <f>IFERROR(INDEX(Sheet2!$AU$2:$BM$228,QUOTIENT(ROW()-1,19)+1,MOD(ROW()-2,19)+1),NA())</f>
        <v/>
      </c>
      <c r="DM1225" s="4" t="e">
        <f t="shared" si="78"/>
        <v>#N/A</v>
      </c>
      <c r="DN1225" t="e">
        <f t="shared" si="79"/>
        <v>#N/A</v>
      </c>
      <c r="DO1225" t="e">
        <f t="shared" si="80"/>
        <v>#N/A</v>
      </c>
    </row>
    <row r="1226" spans="7:119" x14ac:dyDescent="0.25">
      <c r="G1226"/>
      <c r="DI1226" s="4">
        <f>INDEX(Sheet2!A:A,QUOTIENT(ROW()-1,19)+2)</f>
        <v>41255</v>
      </c>
      <c r="DJ1226" s="4">
        <f>INDEX(Sheet2!C:C,QUOTIENT(ROW()-1,19)+2)</f>
        <v>42369</v>
      </c>
      <c r="DK1226" s="4" t="e">
        <f>INDEX(Sheet2!$AA$2:$AS$228,QUOTIENT(ROW()-1,19)+1,MOD(ROW()-2,19)+1)</f>
        <v>#N/A</v>
      </c>
      <c r="DL1226" t="str">
        <f>IFERROR(INDEX(Sheet2!$AU$2:$BM$228,QUOTIENT(ROW()-1,19)+1,MOD(ROW()-2,19)+1),NA())</f>
        <v/>
      </c>
      <c r="DM1226" s="4" t="e">
        <f t="shared" si="78"/>
        <v>#N/A</v>
      </c>
      <c r="DN1226" t="e">
        <f t="shared" si="79"/>
        <v>#N/A</v>
      </c>
      <c r="DO1226" t="e">
        <f t="shared" si="80"/>
        <v>#N/A</v>
      </c>
    </row>
    <row r="1227" spans="7:119" x14ac:dyDescent="0.25">
      <c r="G1227"/>
      <c r="DI1227" s="4">
        <f>INDEX(Sheet2!A:A,QUOTIENT(ROW()-1,19)+2)</f>
        <v>41255</v>
      </c>
      <c r="DJ1227" s="4">
        <f>INDEX(Sheet2!C:C,QUOTIENT(ROW()-1,19)+2)</f>
        <v>42369</v>
      </c>
      <c r="DK1227" s="4" t="e">
        <f>INDEX(Sheet2!$AA$2:$AS$228,QUOTIENT(ROW()-1,19)+1,MOD(ROW()-2,19)+1)</f>
        <v>#N/A</v>
      </c>
      <c r="DL1227" t="str">
        <f>IFERROR(INDEX(Sheet2!$AU$2:$BM$228,QUOTIENT(ROW()-1,19)+1,MOD(ROW()-2,19)+1),NA())</f>
        <v/>
      </c>
      <c r="DM1227" s="4" t="e">
        <f t="shared" si="78"/>
        <v>#N/A</v>
      </c>
      <c r="DN1227" t="e">
        <f t="shared" si="79"/>
        <v>#N/A</v>
      </c>
      <c r="DO1227" t="e">
        <f t="shared" si="80"/>
        <v>#N/A</v>
      </c>
    </row>
    <row r="1228" spans="7:119" x14ac:dyDescent="0.25">
      <c r="G1228"/>
      <c r="DI1228" s="4">
        <f>INDEX(Sheet2!A:A,QUOTIENT(ROW()-1,19)+2)</f>
        <v>41255</v>
      </c>
      <c r="DJ1228" s="4">
        <f>INDEX(Sheet2!C:C,QUOTIENT(ROW()-1,19)+2)</f>
        <v>42369</v>
      </c>
      <c r="DK1228" s="4" t="e">
        <f>INDEX(Sheet2!$AA$2:$AS$228,QUOTIENT(ROW()-1,19)+1,MOD(ROW()-2,19)+1)</f>
        <v>#N/A</v>
      </c>
      <c r="DL1228" t="str">
        <f>IFERROR(INDEX(Sheet2!$AU$2:$BM$228,QUOTIENT(ROW()-1,19)+1,MOD(ROW()-2,19)+1),NA())</f>
        <v/>
      </c>
      <c r="DM1228" s="4" t="e">
        <f t="shared" si="78"/>
        <v>#N/A</v>
      </c>
      <c r="DN1228" t="e">
        <f t="shared" si="79"/>
        <v>#N/A</v>
      </c>
      <c r="DO1228" t="e">
        <f t="shared" si="80"/>
        <v>#N/A</v>
      </c>
    </row>
    <row r="1229" spans="7:119" x14ac:dyDescent="0.25">
      <c r="G1229"/>
      <c r="DI1229" s="4">
        <f>INDEX(Sheet2!A:A,QUOTIENT(ROW()-1,19)+2)</f>
        <v>41255</v>
      </c>
      <c r="DJ1229" s="4">
        <f>INDEX(Sheet2!C:C,QUOTIENT(ROW()-1,19)+2)</f>
        <v>42369</v>
      </c>
      <c r="DK1229" s="4" t="e">
        <f>INDEX(Sheet2!$AA$2:$AS$228,QUOTIENT(ROW()-1,19)+1,MOD(ROW()-2,19)+1)</f>
        <v>#N/A</v>
      </c>
      <c r="DL1229" t="str">
        <f>IFERROR(INDEX(Sheet2!$AU$2:$BM$228,QUOTIENT(ROW()-1,19)+1,MOD(ROW()-2,19)+1),NA())</f>
        <v/>
      </c>
      <c r="DM1229" s="4" t="e">
        <f t="shared" si="78"/>
        <v>#N/A</v>
      </c>
      <c r="DN1229" t="e">
        <f t="shared" si="79"/>
        <v>#N/A</v>
      </c>
      <c r="DO1229" t="e">
        <f t="shared" si="80"/>
        <v>#N/A</v>
      </c>
    </row>
    <row r="1230" spans="7:119" x14ac:dyDescent="0.25">
      <c r="G1230"/>
      <c r="DI1230" s="4">
        <f>INDEX(Sheet2!A:A,QUOTIENT(ROW()-1,19)+2)</f>
        <v>41255</v>
      </c>
      <c r="DJ1230" s="4">
        <f>INDEX(Sheet2!C:C,QUOTIENT(ROW()-1,19)+2)</f>
        <v>42369</v>
      </c>
      <c r="DK1230" s="4" t="e">
        <f>INDEX(Sheet2!$AA$2:$AS$228,QUOTIENT(ROW()-1,19)+1,MOD(ROW()-2,19)+1)</f>
        <v>#N/A</v>
      </c>
      <c r="DL1230" t="str">
        <f>IFERROR(INDEX(Sheet2!$AU$2:$BM$228,QUOTIENT(ROW()-1,19)+1,MOD(ROW()-2,19)+1),NA())</f>
        <v/>
      </c>
      <c r="DM1230" s="4" t="e">
        <f t="shared" si="78"/>
        <v>#N/A</v>
      </c>
      <c r="DN1230" t="e">
        <f t="shared" si="79"/>
        <v>#N/A</v>
      </c>
      <c r="DO1230" t="e">
        <f t="shared" si="80"/>
        <v>#N/A</v>
      </c>
    </row>
    <row r="1231" spans="7:119" x14ac:dyDescent="0.25">
      <c r="G1231"/>
      <c r="DI1231" s="4">
        <f>INDEX(Sheet2!A:A,QUOTIENT(ROW()-1,19)+2)</f>
        <v>41255</v>
      </c>
      <c r="DJ1231" s="4">
        <f>INDEX(Sheet2!C:C,QUOTIENT(ROW()-1,19)+2)</f>
        <v>42369</v>
      </c>
      <c r="DK1231" s="4" t="e">
        <f>INDEX(Sheet2!$AA$2:$AS$228,QUOTIENT(ROW()-1,19)+1,MOD(ROW()-2,19)+1)</f>
        <v>#N/A</v>
      </c>
      <c r="DL1231" t="str">
        <f>IFERROR(INDEX(Sheet2!$AU$2:$BM$228,QUOTIENT(ROW()-1,19)+1,MOD(ROW()-2,19)+1),NA())</f>
        <v/>
      </c>
      <c r="DM1231" s="4" t="e">
        <f t="shared" si="78"/>
        <v>#N/A</v>
      </c>
      <c r="DN1231" t="e">
        <f t="shared" si="79"/>
        <v>#N/A</v>
      </c>
      <c r="DO1231" t="e">
        <f t="shared" si="80"/>
        <v>#N/A</v>
      </c>
    </row>
    <row r="1232" spans="7:119" x14ac:dyDescent="0.25">
      <c r="G1232"/>
      <c r="DI1232" s="4">
        <f>INDEX(Sheet2!A:A,QUOTIENT(ROW()-1,19)+2)</f>
        <v>41255</v>
      </c>
      <c r="DJ1232" s="4">
        <f>INDEX(Sheet2!C:C,QUOTIENT(ROW()-1,19)+2)</f>
        <v>42369</v>
      </c>
      <c r="DK1232" s="4" t="e">
        <f>INDEX(Sheet2!$AA$2:$AS$228,QUOTIENT(ROW()-1,19)+1,MOD(ROW()-2,19)+1)</f>
        <v>#N/A</v>
      </c>
      <c r="DL1232" t="str">
        <f>IFERROR(INDEX(Sheet2!$AU$2:$BM$228,QUOTIENT(ROW()-1,19)+1,MOD(ROW()-2,19)+1),NA())</f>
        <v/>
      </c>
      <c r="DM1232" s="4" t="e">
        <f t="shared" si="78"/>
        <v>#N/A</v>
      </c>
      <c r="DN1232" t="e">
        <f t="shared" si="79"/>
        <v>#N/A</v>
      </c>
      <c r="DO1232" t="e">
        <f t="shared" si="80"/>
        <v>#N/A</v>
      </c>
    </row>
    <row r="1233" spans="7:119" x14ac:dyDescent="0.25">
      <c r="G1233"/>
      <c r="DI1233" s="4">
        <f>INDEX(Sheet2!A:A,QUOTIENT(ROW()-1,19)+2)</f>
        <v>41255</v>
      </c>
      <c r="DJ1233" s="4">
        <f>INDEX(Sheet2!C:C,QUOTIENT(ROW()-1,19)+2)</f>
        <v>42369</v>
      </c>
      <c r="DK1233" s="4" t="e">
        <f>INDEX(Sheet2!$AA$2:$AS$228,QUOTIENT(ROW()-1,19)+1,MOD(ROW()-2,19)+1)</f>
        <v>#N/A</v>
      </c>
      <c r="DL1233" t="str">
        <f>IFERROR(INDEX(Sheet2!$AU$2:$BM$228,QUOTIENT(ROW()-1,19)+1,MOD(ROW()-2,19)+1),NA())</f>
        <v/>
      </c>
      <c r="DM1233" s="4" t="e">
        <f t="shared" si="78"/>
        <v>#N/A</v>
      </c>
      <c r="DN1233" t="e">
        <f t="shared" si="79"/>
        <v>#N/A</v>
      </c>
      <c r="DO1233" t="e">
        <f t="shared" si="80"/>
        <v>#N/A</v>
      </c>
    </row>
    <row r="1234" spans="7:119" x14ac:dyDescent="0.25">
      <c r="G1234"/>
      <c r="DI1234" s="4">
        <f>INDEX(Sheet2!A:A,QUOTIENT(ROW()-1,19)+2)</f>
        <v>41255</v>
      </c>
      <c r="DJ1234" s="4">
        <f>INDEX(Sheet2!C:C,QUOTIENT(ROW()-1,19)+2)</f>
        <v>42369</v>
      </c>
      <c r="DK1234" s="4" t="e">
        <f>INDEX(Sheet2!$AA$2:$AS$228,QUOTIENT(ROW()-1,19)+1,MOD(ROW()-2,19)+1)</f>
        <v>#N/A</v>
      </c>
      <c r="DL1234" t="str">
        <f>IFERROR(INDEX(Sheet2!$AU$2:$BM$228,QUOTIENT(ROW()-1,19)+1,MOD(ROW()-2,19)+1),NA())</f>
        <v/>
      </c>
      <c r="DM1234" s="4" t="e">
        <f t="shared" si="78"/>
        <v>#N/A</v>
      </c>
      <c r="DN1234" t="e">
        <f t="shared" si="79"/>
        <v>#N/A</v>
      </c>
      <c r="DO1234" t="e">
        <f t="shared" si="80"/>
        <v>#N/A</v>
      </c>
    </row>
    <row r="1235" spans="7:119" x14ac:dyDescent="0.25">
      <c r="G1235"/>
      <c r="DI1235" s="4">
        <f>INDEX(Sheet2!A:A,QUOTIENT(ROW()-1,19)+2)</f>
        <v>41255</v>
      </c>
      <c r="DJ1235" s="4">
        <f>INDEX(Sheet2!C:C,QUOTIENT(ROW()-1,19)+2)</f>
        <v>42369</v>
      </c>
      <c r="DK1235" s="4" t="e">
        <f>INDEX(Sheet2!$AA$2:$AS$228,QUOTIENT(ROW()-1,19)+1,MOD(ROW()-2,19)+1)</f>
        <v>#N/A</v>
      </c>
      <c r="DL1235" t="str">
        <f>IFERROR(INDEX(Sheet2!$AU$2:$BM$228,QUOTIENT(ROW()-1,19)+1,MOD(ROW()-2,19)+1),NA())</f>
        <v/>
      </c>
      <c r="DM1235" s="4" t="e">
        <f t="shared" si="78"/>
        <v>#N/A</v>
      </c>
      <c r="DN1235" t="e">
        <f t="shared" si="79"/>
        <v>#N/A</v>
      </c>
      <c r="DO1235" t="e">
        <f t="shared" si="80"/>
        <v>#N/A</v>
      </c>
    </row>
    <row r="1236" spans="7:119" x14ac:dyDescent="0.25">
      <c r="G1236"/>
      <c r="DI1236" s="4">
        <f>INDEX(Sheet2!A:A,QUOTIENT(ROW()-1,19)+2)</f>
        <v>41255</v>
      </c>
      <c r="DJ1236" s="4">
        <f>INDEX(Sheet2!C:C,QUOTIENT(ROW()-1,19)+2)</f>
        <v>42369</v>
      </c>
      <c r="DK1236" s="4" t="e">
        <f>INDEX(Sheet2!$AA$2:$AS$228,QUOTIENT(ROW()-1,19)+1,MOD(ROW()-2,19)+1)</f>
        <v>#N/A</v>
      </c>
      <c r="DL1236" t="str">
        <f>IFERROR(INDEX(Sheet2!$AU$2:$BM$228,QUOTIENT(ROW()-1,19)+1,MOD(ROW()-2,19)+1),NA())</f>
        <v/>
      </c>
      <c r="DM1236" s="4" t="e">
        <f t="shared" si="78"/>
        <v>#N/A</v>
      </c>
      <c r="DN1236" t="e">
        <f t="shared" si="79"/>
        <v>#N/A</v>
      </c>
      <c r="DO1236" t="e">
        <f t="shared" si="80"/>
        <v>#N/A</v>
      </c>
    </row>
    <row r="1237" spans="7:119" x14ac:dyDescent="0.25">
      <c r="G1237"/>
      <c r="DI1237" s="4">
        <f>INDEX(Sheet2!A:A,QUOTIENT(ROW()-1,19)+2)</f>
        <v>41255</v>
      </c>
      <c r="DJ1237" s="4">
        <f>INDEX(Sheet2!C:C,QUOTIENT(ROW()-1,19)+2)</f>
        <v>42369</v>
      </c>
      <c r="DK1237" s="4">
        <f>INDEX(Sheet2!$AA$2:$AS$228,QUOTIENT(ROW()-1,19)+1,MOD(ROW()-2,19)+1)</f>
        <v>42369</v>
      </c>
      <c r="DL1237">
        <f>IFERROR(INDEX(Sheet2!$AU$2:$BM$228,QUOTIENT(ROW()-1,19)+1,MOD(ROW()-2,19)+1),NA())</f>
        <v>2</v>
      </c>
      <c r="DM1237" s="4" t="e">
        <f t="shared" si="78"/>
        <v>#N/A</v>
      </c>
      <c r="DN1237" t="e">
        <f t="shared" si="79"/>
        <v>#N/A</v>
      </c>
      <c r="DO1237" t="e">
        <f t="shared" si="80"/>
        <v>#N/A</v>
      </c>
    </row>
    <row r="1238" spans="7:119" x14ac:dyDescent="0.25">
      <c r="G1238"/>
      <c r="DI1238" s="4">
        <f>INDEX(Sheet2!A:A,QUOTIENT(ROW()-1,19)+2)</f>
        <v>41255</v>
      </c>
      <c r="DJ1238" s="4">
        <f>INDEX(Sheet2!C:C,QUOTIENT(ROW()-1,19)+2)</f>
        <v>42369</v>
      </c>
      <c r="DK1238" s="4" t="e">
        <f>INDEX(Sheet2!$AA$2:$AS$228,QUOTIENT(ROW()-1,19)+1,MOD(ROW()-2,19)+1)</f>
        <v>#N/A</v>
      </c>
      <c r="DL1238" t="str">
        <f>IFERROR(INDEX(Sheet2!$AU$2:$BM$228,QUOTIENT(ROW()-1,19)+1,MOD(ROW()-2,19)+1),NA())</f>
        <v/>
      </c>
      <c r="DM1238" s="4" t="e">
        <f t="shared" si="78"/>
        <v>#N/A</v>
      </c>
      <c r="DN1238" t="e">
        <f t="shared" si="79"/>
        <v>#N/A</v>
      </c>
      <c r="DO1238" t="e">
        <f t="shared" si="80"/>
        <v>#N/A</v>
      </c>
    </row>
    <row r="1239" spans="7:119" x14ac:dyDescent="0.25">
      <c r="G1239"/>
      <c r="DI1239" s="4">
        <f>INDEX(Sheet2!A:A,QUOTIENT(ROW()-1,19)+2)</f>
        <v>41255</v>
      </c>
      <c r="DJ1239" s="4">
        <f>INDEX(Sheet2!C:C,QUOTIENT(ROW()-1,19)+2)</f>
        <v>42369</v>
      </c>
      <c r="DK1239" s="4" t="e">
        <f>INDEX(Sheet2!$AA$2:$AS$228,QUOTIENT(ROW()-1,19)+1,MOD(ROW()-2,19)+1)</f>
        <v>#N/A</v>
      </c>
      <c r="DL1239" t="str">
        <f>IFERROR(INDEX(Sheet2!$AU$2:$BM$228,QUOTIENT(ROW()-1,19)+1,MOD(ROW()-2,19)+1),NA())</f>
        <v/>
      </c>
      <c r="DM1239" s="4" t="e">
        <f t="shared" si="78"/>
        <v>#N/A</v>
      </c>
      <c r="DN1239" t="e">
        <f t="shared" si="79"/>
        <v>#N/A</v>
      </c>
      <c r="DO1239" t="e">
        <f t="shared" si="80"/>
        <v>#N/A</v>
      </c>
    </row>
    <row r="1240" spans="7:119" x14ac:dyDescent="0.25">
      <c r="G1240"/>
      <c r="DI1240" s="4">
        <f>INDEX(Sheet2!A:A,QUOTIENT(ROW()-1,19)+2)</f>
        <v>41255</v>
      </c>
      <c r="DJ1240" s="4">
        <f>INDEX(Sheet2!C:C,QUOTIENT(ROW()-1,19)+2)</f>
        <v>42369</v>
      </c>
      <c r="DK1240" s="4" t="e">
        <f>INDEX(Sheet2!$AA$2:$AS$228,QUOTIENT(ROW()-1,19)+1,MOD(ROW()-2,19)+1)</f>
        <v>#N/A</v>
      </c>
      <c r="DL1240" t="str">
        <f>IFERROR(INDEX(Sheet2!$AU$2:$BM$228,QUOTIENT(ROW()-1,19)+1,MOD(ROW()-2,19)+1),NA())</f>
        <v/>
      </c>
      <c r="DM1240" s="4" t="e">
        <f t="shared" si="78"/>
        <v>#N/A</v>
      </c>
      <c r="DN1240" t="e">
        <f t="shared" si="79"/>
        <v>#N/A</v>
      </c>
      <c r="DO1240" t="e">
        <f t="shared" si="80"/>
        <v>#N/A</v>
      </c>
    </row>
    <row r="1241" spans="7:119" x14ac:dyDescent="0.25">
      <c r="G1241"/>
      <c r="DI1241" s="4">
        <f>INDEX(Sheet2!A:A,QUOTIENT(ROW()-1,19)+2)</f>
        <v>41255</v>
      </c>
      <c r="DJ1241" s="4">
        <f>INDEX(Sheet2!C:C,QUOTIENT(ROW()-1,19)+2)</f>
        <v>42369</v>
      </c>
      <c r="DK1241" s="4" t="e">
        <f>INDEX(Sheet2!$AA$2:$AS$228,QUOTIENT(ROW()-1,19)+1,MOD(ROW()-2,19)+1)</f>
        <v>#N/A</v>
      </c>
      <c r="DL1241" t="str">
        <f>IFERROR(INDEX(Sheet2!$AU$2:$BM$228,QUOTIENT(ROW()-1,19)+1,MOD(ROW()-2,19)+1),NA())</f>
        <v/>
      </c>
      <c r="DM1241" s="4" t="e">
        <f t="shared" si="78"/>
        <v>#N/A</v>
      </c>
      <c r="DN1241" t="e">
        <f t="shared" si="79"/>
        <v>#N/A</v>
      </c>
      <c r="DO1241" t="e">
        <f t="shared" si="80"/>
        <v>#N/A</v>
      </c>
    </row>
    <row r="1242" spans="7:119" x14ac:dyDescent="0.25">
      <c r="G1242"/>
      <c r="DI1242" s="4">
        <f>INDEX(Sheet2!A:A,QUOTIENT(ROW()-1,19)+2)</f>
        <v>41255</v>
      </c>
      <c r="DJ1242" s="4">
        <f>INDEX(Sheet2!C:C,QUOTIENT(ROW()-1,19)+2)</f>
        <v>42369</v>
      </c>
      <c r="DK1242" s="4" t="e">
        <f>INDEX(Sheet2!$AA$2:$AS$228,QUOTIENT(ROW()-1,19)+1,MOD(ROW()-2,19)+1)</f>
        <v>#N/A</v>
      </c>
      <c r="DL1242" t="str">
        <f>IFERROR(INDEX(Sheet2!$AU$2:$BM$228,QUOTIENT(ROW()-1,19)+1,MOD(ROW()-2,19)+1),NA())</f>
        <v/>
      </c>
      <c r="DM1242" s="4" t="e">
        <f t="shared" si="78"/>
        <v>#N/A</v>
      </c>
      <c r="DN1242" t="e">
        <f t="shared" si="79"/>
        <v>#N/A</v>
      </c>
      <c r="DO1242" t="e">
        <f t="shared" si="80"/>
        <v>#N/A</v>
      </c>
    </row>
    <row r="1243" spans="7:119" x14ac:dyDescent="0.25">
      <c r="G1243"/>
      <c r="DI1243" s="4">
        <f>INDEX(Sheet2!A:A,QUOTIENT(ROW()-1,19)+2)</f>
        <v>41255</v>
      </c>
      <c r="DJ1243" s="4">
        <f>INDEX(Sheet2!C:C,QUOTIENT(ROW()-1,19)+2)</f>
        <v>42369</v>
      </c>
      <c r="DK1243" s="4" t="e">
        <f>INDEX(Sheet2!$AA$2:$AS$228,QUOTIENT(ROW()-1,19)+1,MOD(ROW()-2,19)+1)</f>
        <v>#N/A</v>
      </c>
      <c r="DL1243" t="str">
        <f>IFERROR(INDEX(Sheet2!$AU$2:$BM$228,QUOTIENT(ROW()-1,19)+1,MOD(ROW()-2,19)+1),NA())</f>
        <v/>
      </c>
      <c r="DM1243" s="4" t="e">
        <f t="shared" si="78"/>
        <v>#N/A</v>
      </c>
      <c r="DN1243" t="e">
        <f t="shared" si="79"/>
        <v>#N/A</v>
      </c>
      <c r="DO1243" t="e">
        <f t="shared" si="80"/>
        <v>#N/A</v>
      </c>
    </row>
    <row r="1244" spans="7:119" x14ac:dyDescent="0.25">
      <c r="G1244"/>
      <c r="DI1244" s="4">
        <f>INDEX(Sheet2!A:A,QUOTIENT(ROW()-1,19)+2)</f>
        <v>41255</v>
      </c>
      <c r="DJ1244" s="4">
        <f>INDEX(Sheet2!C:C,QUOTIENT(ROW()-1,19)+2)</f>
        <v>42369</v>
      </c>
      <c r="DK1244" s="4" t="e">
        <f>INDEX(Sheet2!$AA$2:$AS$228,QUOTIENT(ROW()-1,19)+1,MOD(ROW()-2,19)+1)</f>
        <v>#N/A</v>
      </c>
      <c r="DL1244" t="str">
        <f>IFERROR(INDEX(Sheet2!$AU$2:$BM$228,QUOTIENT(ROW()-1,19)+1,MOD(ROW()-2,19)+1),NA())</f>
        <v/>
      </c>
      <c r="DM1244" s="4" t="e">
        <f t="shared" si="78"/>
        <v>#N/A</v>
      </c>
      <c r="DN1244" t="e">
        <f t="shared" si="79"/>
        <v>#N/A</v>
      </c>
      <c r="DO1244" t="e">
        <f t="shared" si="80"/>
        <v>#N/A</v>
      </c>
    </row>
    <row r="1245" spans="7:119" x14ac:dyDescent="0.25">
      <c r="G1245"/>
      <c r="DI1245" s="4">
        <f>INDEX(Sheet2!A:A,QUOTIENT(ROW()-1,19)+2)</f>
        <v>41255</v>
      </c>
      <c r="DJ1245" s="4">
        <f>INDEX(Sheet2!C:C,QUOTIENT(ROW()-1,19)+2)</f>
        <v>42369</v>
      </c>
      <c r="DK1245" s="4" t="e">
        <f>INDEX(Sheet2!$AA$2:$AS$228,QUOTIENT(ROW()-1,19)+1,MOD(ROW()-2,19)+1)</f>
        <v>#N/A</v>
      </c>
      <c r="DL1245" t="str">
        <f>IFERROR(INDEX(Sheet2!$AU$2:$BM$228,QUOTIENT(ROW()-1,19)+1,MOD(ROW()-2,19)+1),NA())</f>
        <v/>
      </c>
      <c r="DM1245" s="4" t="e">
        <f t="shared" si="78"/>
        <v>#N/A</v>
      </c>
      <c r="DN1245" t="e">
        <f t="shared" si="79"/>
        <v>#N/A</v>
      </c>
      <c r="DO1245" t="e">
        <f t="shared" si="80"/>
        <v>#N/A</v>
      </c>
    </row>
    <row r="1246" spans="7:119" x14ac:dyDescent="0.25">
      <c r="G1246"/>
      <c r="DI1246" s="4">
        <f>INDEX(Sheet2!A:A,QUOTIENT(ROW()-1,19)+2)</f>
        <v>41255</v>
      </c>
      <c r="DJ1246" s="4">
        <f>INDEX(Sheet2!C:C,QUOTIENT(ROW()-1,19)+2)</f>
        <v>42369</v>
      </c>
      <c r="DK1246" s="4" t="e">
        <f>INDEX(Sheet2!$AA$2:$AS$228,QUOTIENT(ROW()-1,19)+1,MOD(ROW()-2,19)+1)</f>
        <v>#N/A</v>
      </c>
      <c r="DL1246" t="str">
        <f>IFERROR(INDEX(Sheet2!$AU$2:$BM$228,QUOTIENT(ROW()-1,19)+1,MOD(ROW()-2,19)+1),NA())</f>
        <v/>
      </c>
      <c r="DM1246" s="4" t="e">
        <f t="shared" si="78"/>
        <v>#N/A</v>
      </c>
      <c r="DN1246" t="e">
        <f t="shared" si="79"/>
        <v>#N/A</v>
      </c>
      <c r="DO1246" t="e">
        <f t="shared" si="80"/>
        <v>#N/A</v>
      </c>
    </row>
    <row r="1247" spans="7:119" x14ac:dyDescent="0.25">
      <c r="G1247"/>
      <c r="DI1247" s="4">
        <f>INDEX(Sheet2!A:A,QUOTIENT(ROW()-1,19)+2)</f>
        <v>41255</v>
      </c>
      <c r="DJ1247" s="4">
        <f>INDEX(Sheet2!C:C,QUOTIENT(ROW()-1,19)+2)</f>
        <v>42369</v>
      </c>
      <c r="DK1247" s="4" t="e">
        <f>INDEX(Sheet2!$AA$2:$AS$228,QUOTIENT(ROW()-1,19)+1,MOD(ROW()-2,19)+1)</f>
        <v>#N/A</v>
      </c>
      <c r="DL1247" t="str">
        <f>IFERROR(INDEX(Sheet2!$AU$2:$BM$228,QUOTIENT(ROW()-1,19)+1,MOD(ROW()-2,19)+1),NA())</f>
        <v/>
      </c>
      <c r="DM1247" s="4" t="e">
        <f t="shared" si="78"/>
        <v>#N/A</v>
      </c>
      <c r="DN1247" t="e">
        <f t="shared" si="79"/>
        <v>#N/A</v>
      </c>
      <c r="DO1247" t="e">
        <f t="shared" si="80"/>
        <v>#N/A</v>
      </c>
    </row>
    <row r="1248" spans="7:119" x14ac:dyDescent="0.25">
      <c r="G1248"/>
      <c r="DI1248" s="4">
        <f>INDEX(Sheet2!A:A,QUOTIENT(ROW()-1,19)+2)</f>
        <v>41255</v>
      </c>
      <c r="DJ1248" s="4">
        <f>INDEX(Sheet2!C:C,QUOTIENT(ROW()-1,19)+2)</f>
        <v>42369</v>
      </c>
      <c r="DK1248" s="4" t="e">
        <f>INDEX(Sheet2!$AA$2:$AS$228,QUOTIENT(ROW()-1,19)+1,MOD(ROW()-2,19)+1)</f>
        <v>#N/A</v>
      </c>
      <c r="DL1248" t="str">
        <f>IFERROR(INDEX(Sheet2!$AU$2:$BM$228,QUOTIENT(ROW()-1,19)+1,MOD(ROW()-2,19)+1),NA())</f>
        <v/>
      </c>
      <c r="DM1248" s="4" t="e">
        <f t="shared" si="78"/>
        <v>#N/A</v>
      </c>
      <c r="DN1248" t="e">
        <f t="shared" si="79"/>
        <v>#N/A</v>
      </c>
      <c r="DO1248" t="e">
        <f t="shared" si="80"/>
        <v>#N/A</v>
      </c>
    </row>
    <row r="1249" spans="7:119" x14ac:dyDescent="0.25">
      <c r="G1249"/>
      <c r="DI1249" s="4">
        <f>INDEX(Sheet2!A:A,QUOTIENT(ROW()-1,19)+2)</f>
        <v>41255</v>
      </c>
      <c r="DJ1249" s="4">
        <f>INDEX(Sheet2!C:C,QUOTIENT(ROW()-1,19)+2)</f>
        <v>42369</v>
      </c>
      <c r="DK1249" s="4" t="e">
        <f>INDEX(Sheet2!$AA$2:$AS$228,QUOTIENT(ROW()-1,19)+1,MOD(ROW()-2,19)+1)</f>
        <v>#N/A</v>
      </c>
      <c r="DL1249" t="str">
        <f>IFERROR(INDEX(Sheet2!$AU$2:$BM$228,QUOTIENT(ROW()-1,19)+1,MOD(ROW()-2,19)+1),NA())</f>
        <v/>
      </c>
      <c r="DM1249" s="4" t="e">
        <f t="shared" si="78"/>
        <v>#N/A</v>
      </c>
      <c r="DN1249" t="e">
        <f t="shared" si="79"/>
        <v>#N/A</v>
      </c>
      <c r="DO1249" t="e">
        <f t="shared" si="80"/>
        <v>#N/A</v>
      </c>
    </row>
    <row r="1250" spans="7:119" x14ac:dyDescent="0.25">
      <c r="G1250"/>
      <c r="DI1250" s="4">
        <f>INDEX(Sheet2!A:A,QUOTIENT(ROW()-1,19)+2)</f>
        <v>41255</v>
      </c>
      <c r="DJ1250" s="4">
        <f>INDEX(Sheet2!C:C,QUOTIENT(ROW()-1,19)+2)</f>
        <v>42369</v>
      </c>
      <c r="DK1250" s="4" t="e">
        <f>INDEX(Sheet2!$AA$2:$AS$228,QUOTIENT(ROW()-1,19)+1,MOD(ROW()-2,19)+1)</f>
        <v>#N/A</v>
      </c>
      <c r="DL1250" t="str">
        <f>IFERROR(INDEX(Sheet2!$AU$2:$BM$228,QUOTIENT(ROW()-1,19)+1,MOD(ROW()-2,19)+1),NA())</f>
        <v/>
      </c>
      <c r="DM1250" s="4" t="e">
        <f t="shared" si="78"/>
        <v>#N/A</v>
      </c>
      <c r="DN1250" t="e">
        <f t="shared" si="79"/>
        <v>#N/A</v>
      </c>
      <c r="DO1250" t="e">
        <f t="shared" si="80"/>
        <v>#N/A</v>
      </c>
    </row>
    <row r="1251" spans="7:119" x14ac:dyDescent="0.25">
      <c r="G1251"/>
      <c r="DI1251" s="4">
        <f>INDEX(Sheet2!A:A,QUOTIENT(ROW()-1,19)+2)</f>
        <v>41255</v>
      </c>
      <c r="DJ1251" s="4">
        <f>INDEX(Sheet2!C:C,QUOTIENT(ROW()-1,19)+2)</f>
        <v>42369</v>
      </c>
      <c r="DK1251" s="4" t="e">
        <f>INDEX(Sheet2!$AA$2:$AS$228,QUOTIENT(ROW()-1,19)+1,MOD(ROW()-2,19)+1)</f>
        <v>#N/A</v>
      </c>
      <c r="DL1251" t="str">
        <f>IFERROR(INDEX(Sheet2!$AU$2:$BM$228,QUOTIENT(ROW()-1,19)+1,MOD(ROW()-2,19)+1),NA())</f>
        <v/>
      </c>
      <c r="DM1251" s="4" t="e">
        <f t="shared" si="78"/>
        <v>#N/A</v>
      </c>
      <c r="DN1251" t="e">
        <f t="shared" si="79"/>
        <v>#N/A</v>
      </c>
      <c r="DO1251" t="e">
        <f t="shared" si="80"/>
        <v>#N/A</v>
      </c>
    </row>
    <row r="1252" spans="7:119" x14ac:dyDescent="0.25">
      <c r="G1252"/>
      <c r="DI1252" s="4">
        <f>INDEX(Sheet2!A:A,QUOTIENT(ROW()-1,19)+2)</f>
        <v>41255</v>
      </c>
      <c r="DJ1252" s="4">
        <f>INDEX(Sheet2!C:C,QUOTIENT(ROW()-1,19)+2)</f>
        <v>42369</v>
      </c>
      <c r="DK1252" s="4" t="e">
        <f>INDEX(Sheet2!$AA$2:$AS$228,QUOTIENT(ROW()-1,19)+1,MOD(ROW()-2,19)+1)</f>
        <v>#N/A</v>
      </c>
      <c r="DL1252" t="str">
        <f>IFERROR(INDEX(Sheet2!$AU$2:$BM$228,QUOTIENT(ROW()-1,19)+1,MOD(ROW()-2,19)+1),NA())</f>
        <v/>
      </c>
      <c r="DM1252" s="4" t="e">
        <f t="shared" si="78"/>
        <v>#N/A</v>
      </c>
      <c r="DN1252" t="e">
        <f t="shared" si="79"/>
        <v>#N/A</v>
      </c>
      <c r="DO1252" t="e">
        <f t="shared" si="80"/>
        <v>#N/A</v>
      </c>
    </row>
    <row r="1253" spans="7:119" x14ac:dyDescent="0.25">
      <c r="G1253"/>
      <c r="DI1253" s="4">
        <f>INDEX(Sheet2!A:A,QUOTIENT(ROW()-1,19)+2)</f>
        <v>41255</v>
      </c>
      <c r="DJ1253" s="4">
        <f>INDEX(Sheet2!C:C,QUOTIENT(ROW()-1,19)+2)</f>
        <v>42369</v>
      </c>
      <c r="DK1253" s="4" t="e">
        <f>INDEX(Sheet2!$AA$2:$AS$228,QUOTIENT(ROW()-1,19)+1,MOD(ROW()-2,19)+1)</f>
        <v>#N/A</v>
      </c>
      <c r="DL1253" t="str">
        <f>IFERROR(INDEX(Sheet2!$AU$2:$BM$228,QUOTIENT(ROW()-1,19)+1,MOD(ROW()-2,19)+1),NA())</f>
        <v/>
      </c>
      <c r="DM1253" s="4" t="e">
        <f t="shared" si="78"/>
        <v>#N/A</v>
      </c>
      <c r="DN1253" t="e">
        <f t="shared" si="79"/>
        <v>#N/A</v>
      </c>
      <c r="DO1253" t="e">
        <f t="shared" si="80"/>
        <v>#N/A</v>
      </c>
    </row>
    <row r="1254" spans="7:119" x14ac:dyDescent="0.25">
      <c r="G1254"/>
      <c r="DI1254" s="4">
        <f>INDEX(Sheet2!A:A,QUOTIENT(ROW()-1,19)+2)</f>
        <v>41255</v>
      </c>
      <c r="DJ1254" s="4">
        <f>INDEX(Sheet2!C:C,QUOTIENT(ROW()-1,19)+2)</f>
        <v>42369</v>
      </c>
      <c r="DK1254" s="4" t="e">
        <f>INDEX(Sheet2!$AA$2:$AS$228,QUOTIENT(ROW()-1,19)+1,MOD(ROW()-2,19)+1)</f>
        <v>#N/A</v>
      </c>
      <c r="DL1254" t="str">
        <f>IFERROR(INDEX(Sheet2!$AU$2:$BM$228,QUOTIENT(ROW()-1,19)+1,MOD(ROW()-2,19)+1),NA())</f>
        <v/>
      </c>
      <c r="DM1254" s="4" t="e">
        <f t="shared" si="78"/>
        <v>#N/A</v>
      </c>
      <c r="DN1254" t="e">
        <f t="shared" si="79"/>
        <v>#N/A</v>
      </c>
      <c r="DO1254" t="e">
        <f t="shared" si="80"/>
        <v>#N/A</v>
      </c>
    </row>
    <row r="1255" spans="7:119" x14ac:dyDescent="0.25">
      <c r="G1255"/>
      <c r="DI1255" s="4">
        <f>INDEX(Sheet2!A:A,QUOTIENT(ROW()-1,19)+2)</f>
        <v>41255</v>
      </c>
      <c r="DJ1255" s="4">
        <f>INDEX(Sheet2!C:C,QUOTIENT(ROW()-1,19)+2)</f>
        <v>42369</v>
      </c>
      <c r="DK1255" s="4" t="e">
        <f>INDEX(Sheet2!$AA$2:$AS$228,QUOTIENT(ROW()-1,19)+1,MOD(ROW()-2,19)+1)</f>
        <v>#N/A</v>
      </c>
      <c r="DL1255" t="str">
        <f>IFERROR(INDEX(Sheet2!$AU$2:$BM$228,QUOTIENT(ROW()-1,19)+1,MOD(ROW()-2,19)+1),NA())</f>
        <v/>
      </c>
      <c r="DM1255" s="4" t="e">
        <f t="shared" si="78"/>
        <v>#N/A</v>
      </c>
      <c r="DN1255" t="e">
        <f t="shared" si="79"/>
        <v>#N/A</v>
      </c>
      <c r="DO1255" t="e">
        <f t="shared" si="80"/>
        <v>#N/A</v>
      </c>
    </row>
    <row r="1256" spans="7:119" x14ac:dyDescent="0.25">
      <c r="G1256"/>
      <c r="DI1256" s="4">
        <f>INDEX(Sheet2!A:A,QUOTIENT(ROW()-1,19)+2)</f>
        <v>41255</v>
      </c>
      <c r="DJ1256" s="4">
        <f>INDEX(Sheet2!C:C,QUOTIENT(ROW()-1,19)+2)</f>
        <v>42369</v>
      </c>
      <c r="DK1256" s="4">
        <f>INDEX(Sheet2!$AA$2:$AS$228,QUOTIENT(ROW()-1,19)+1,MOD(ROW()-2,19)+1)</f>
        <v>42369</v>
      </c>
      <c r="DL1256">
        <f>IFERROR(INDEX(Sheet2!$AU$2:$BM$228,QUOTIENT(ROW()-1,19)+1,MOD(ROW()-2,19)+1),NA())</f>
        <v>2.5</v>
      </c>
      <c r="DM1256" s="4" t="e">
        <f t="shared" si="78"/>
        <v>#N/A</v>
      </c>
      <c r="DN1256" t="e">
        <f t="shared" si="79"/>
        <v>#N/A</v>
      </c>
      <c r="DO1256" t="e">
        <f t="shared" si="80"/>
        <v>#N/A</v>
      </c>
    </row>
    <row r="1257" spans="7:119" x14ac:dyDescent="0.25">
      <c r="G1257"/>
      <c r="DI1257" s="4">
        <f>INDEX(Sheet2!A:A,QUOTIENT(ROW()-1,19)+2)</f>
        <v>41255</v>
      </c>
      <c r="DJ1257" s="4">
        <f>INDEX(Sheet2!C:C,QUOTIENT(ROW()-1,19)+2)</f>
        <v>42369</v>
      </c>
      <c r="DK1257" s="4" t="e">
        <f>INDEX(Sheet2!$AA$2:$AS$228,QUOTIENT(ROW()-1,19)+1,MOD(ROW()-2,19)+1)</f>
        <v>#N/A</v>
      </c>
      <c r="DL1257" t="str">
        <f>IFERROR(INDEX(Sheet2!$AU$2:$BM$228,QUOTIENT(ROW()-1,19)+1,MOD(ROW()-2,19)+1),NA())</f>
        <v/>
      </c>
      <c r="DM1257" s="4" t="e">
        <f t="shared" si="78"/>
        <v>#N/A</v>
      </c>
      <c r="DN1257" t="e">
        <f t="shared" si="79"/>
        <v>#N/A</v>
      </c>
      <c r="DO1257" t="e">
        <f t="shared" si="80"/>
        <v>#N/A</v>
      </c>
    </row>
    <row r="1258" spans="7:119" x14ac:dyDescent="0.25">
      <c r="G1258"/>
      <c r="DI1258" s="4">
        <f>INDEX(Sheet2!A:A,QUOTIENT(ROW()-1,19)+2)</f>
        <v>41255</v>
      </c>
      <c r="DJ1258" s="4">
        <f>INDEX(Sheet2!C:C,QUOTIENT(ROW()-1,19)+2)</f>
        <v>42369</v>
      </c>
      <c r="DK1258" s="4" t="e">
        <f>INDEX(Sheet2!$AA$2:$AS$228,QUOTIENT(ROW()-1,19)+1,MOD(ROW()-2,19)+1)</f>
        <v>#N/A</v>
      </c>
      <c r="DL1258" t="str">
        <f>IFERROR(INDEX(Sheet2!$AU$2:$BM$228,QUOTIENT(ROW()-1,19)+1,MOD(ROW()-2,19)+1),NA())</f>
        <v/>
      </c>
      <c r="DM1258" s="4" t="e">
        <f t="shared" si="78"/>
        <v>#N/A</v>
      </c>
      <c r="DN1258" t="e">
        <f t="shared" si="79"/>
        <v>#N/A</v>
      </c>
      <c r="DO1258" t="e">
        <f t="shared" si="80"/>
        <v>#N/A</v>
      </c>
    </row>
    <row r="1259" spans="7:119" x14ac:dyDescent="0.25">
      <c r="G1259"/>
      <c r="DI1259" s="4">
        <f>INDEX(Sheet2!A:A,QUOTIENT(ROW()-1,19)+2)</f>
        <v>41255</v>
      </c>
      <c r="DJ1259" s="4">
        <f>INDEX(Sheet2!C:C,QUOTIENT(ROW()-1,19)+2)</f>
        <v>42369</v>
      </c>
      <c r="DK1259" s="4" t="e">
        <f>INDEX(Sheet2!$AA$2:$AS$228,QUOTIENT(ROW()-1,19)+1,MOD(ROW()-2,19)+1)</f>
        <v>#N/A</v>
      </c>
      <c r="DL1259" t="str">
        <f>IFERROR(INDEX(Sheet2!$AU$2:$BM$228,QUOTIENT(ROW()-1,19)+1,MOD(ROW()-2,19)+1),NA())</f>
        <v/>
      </c>
      <c r="DM1259" s="4" t="e">
        <f t="shared" si="78"/>
        <v>#N/A</v>
      </c>
      <c r="DN1259" t="e">
        <f t="shared" si="79"/>
        <v>#N/A</v>
      </c>
      <c r="DO1259" t="e">
        <f t="shared" si="80"/>
        <v>#N/A</v>
      </c>
    </row>
    <row r="1260" spans="7:119" x14ac:dyDescent="0.25">
      <c r="G1260"/>
      <c r="DI1260" s="4">
        <f>INDEX(Sheet2!A:A,QUOTIENT(ROW()-1,19)+2)</f>
        <v>41255</v>
      </c>
      <c r="DJ1260" s="4">
        <f>INDEX(Sheet2!C:C,QUOTIENT(ROW()-1,19)+2)</f>
        <v>42369</v>
      </c>
      <c r="DK1260" s="4" t="e">
        <f>INDEX(Sheet2!$AA$2:$AS$228,QUOTIENT(ROW()-1,19)+1,MOD(ROW()-2,19)+1)</f>
        <v>#N/A</v>
      </c>
      <c r="DL1260" t="str">
        <f>IFERROR(INDEX(Sheet2!$AU$2:$BM$228,QUOTIENT(ROW()-1,19)+1,MOD(ROW()-2,19)+1),NA())</f>
        <v/>
      </c>
      <c r="DM1260" s="4" t="e">
        <f t="shared" si="78"/>
        <v>#N/A</v>
      </c>
      <c r="DN1260" t="e">
        <f t="shared" si="79"/>
        <v>#N/A</v>
      </c>
      <c r="DO1260" t="e">
        <f t="shared" si="80"/>
        <v>#N/A</v>
      </c>
    </row>
    <row r="1261" spans="7:119" x14ac:dyDescent="0.25">
      <c r="G1261"/>
      <c r="DI1261" s="4">
        <f>INDEX(Sheet2!A:A,QUOTIENT(ROW()-1,19)+2)</f>
        <v>41255</v>
      </c>
      <c r="DJ1261" s="4">
        <f>INDEX(Sheet2!C:C,QUOTIENT(ROW()-1,19)+2)</f>
        <v>42369</v>
      </c>
      <c r="DK1261" s="4" t="e">
        <f>INDEX(Sheet2!$AA$2:$AS$228,QUOTIENT(ROW()-1,19)+1,MOD(ROW()-2,19)+1)</f>
        <v>#N/A</v>
      </c>
      <c r="DL1261" t="str">
        <f>IFERROR(INDEX(Sheet2!$AU$2:$BM$228,QUOTIENT(ROW()-1,19)+1,MOD(ROW()-2,19)+1),NA())</f>
        <v/>
      </c>
      <c r="DM1261" s="4" t="e">
        <f t="shared" si="78"/>
        <v>#N/A</v>
      </c>
      <c r="DN1261" t="e">
        <f t="shared" si="79"/>
        <v>#N/A</v>
      </c>
      <c r="DO1261" t="e">
        <f t="shared" si="80"/>
        <v>#N/A</v>
      </c>
    </row>
    <row r="1262" spans="7:119" x14ac:dyDescent="0.25">
      <c r="G1262"/>
      <c r="DI1262" s="4">
        <f>INDEX(Sheet2!A:A,QUOTIENT(ROW()-1,19)+2)</f>
        <v>41255</v>
      </c>
      <c r="DJ1262" s="4">
        <f>INDEX(Sheet2!C:C,QUOTIENT(ROW()-1,19)+2)</f>
        <v>42369</v>
      </c>
      <c r="DK1262" s="4" t="e">
        <f>INDEX(Sheet2!$AA$2:$AS$228,QUOTIENT(ROW()-1,19)+1,MOD(ROW()-2,19)+1)</f>
        <v>#N/A</v>
      </c>
      <c r="DL1262" t="str">
        <f>IFERROR(INDEX(Sheet2!$AU$2:$BM$228,QUOTIENT(ROW()-1,19)+1,MOD(ROW()-2,19)+1),NA())</f>
        <v/>
      </c>
      <c r="DM1262" s="4" t="e">
        <f t="shared" si="78"/>
        <v>#N/A</v>
      </c>
      <c r="DN1262" t="e">
        <f t="shared" si="79"/>
        <v>#N/A</v>
      </c>
      <c r="DO1262" t="e">
        <f t="shared" si="80"/>
        <v>#N/A</v>
      </c>
    </row>
    <row r="1263" spans="7:119" x14ac:dyDescent="0.25">
      <c r="G1263"/>
      <c r="DI1263" s="4">
        <f>INDEX(Sheet2!A:A,QUOTIENT(ROW()-1,19)+2)</f>
        <v>41255</v>
      </c>
      <c r="DJ1263" s="4">
        <f>INDEX(Sheet2!C:C,QUOTIENT(ROW()-1,19)+2)</f>
        <v>42369</v>
      </c>
      <c r="DK1263" s="4" t="e">
        <f>INDEX(Sheet2!$AA$2:$AS$228,QUOTIENT(ROW()-1,19)+1,MOD(ROW()-2,19)+1)</f>
        <v>#N/A</v>
      </c>
      <c r="DL1263" t="str">
        <f>IFERROR(INDEX(Sheet2!$AU$2:$BM$228,QUOTIENT(ROW()-1,19)+1,MOD(ROW()-2,19)+1),NA())</f>
        <v/>
      </c>
      <c r="DM1263" s="4" t="e">
        <f t="shared" si="78"/>
        <v>#N/A</v>
      </c>
      <c r="DN1263" t="e">
        <f t="shared" si="79"/>
        <v>#N/A</v>
      </c>
      <c r="DO1263" t="e">
        <f t="shared" si="80"/>
        <v>#N/A</v>
      </c>
    </row>
    <row r="1264" spans="7:119" x14ac:dyDescent="0.25">
      <c r="G1264"/>
      <c r="DI1264" s="4">
        <f>INDEX(Sheet2!A:A,QUOTIENT(ROW()-1,19)+2)</f>
        <v>41255</v>
      </c>
      <c r="DJ1264" s="4">
        <f>INDEX(Sheet2!C:C,QUOTIENT(ROW()-1,19)+2)</f>
        <v>42369</v>
      </c>
      <c r="DK1264" s="4" t="e">
        <f>INDEX(Sheet2!$AA$2:$AS$228,QUOTIENT(ROW()-1,19)+1,MOD(ROW()-2,19)+1)</f>
        <v>#N/A</v>
      </c>
      <c r="DL1264" t="str">
        <f>IFERROR(INDEX(Sheet2!$AU$2:$BM$228,QUOTIENT(ROW()-1,19)+1,MOD(ROW()-2,19)+1),NA())</f>
        <v/>
      </c>
      <c r="DM1264" s="4" t="e">
        <f t="shared" si="78"/>
        <v>#N/A</v>
      </c>
      <c r="DN1264" t="e">
        <f t="shared" si="79"/>
        <v>#N/A</v>
      </c>
      <c r="DO1264" t="e">
        <f t="shared" si="80"/>
        <v>#N/A</v>
      </c>
    </row>
    <row r="1265" spans="7:119" x14ac:dyDescent="0.25">
      <c r="G1265"/>
      <c r="DI1265" s="4">
        <f>INDEX(Sheet2!A:A,QUOTIENT(ROW()-1,19)+2)</f>
        <v>41255</v>
      </c>
      <c r="DJ1265" s="4">
        <f>INDEX(Sheet2!C:C,QUOTIENT(ROW()-1,19)+2)</f>
        <v>42369</v>
      </c>
      <c r="DK1265" s="4" t="e">
        <f>INDEX(Sheet2!$AA$2:$AS$228,QUOTIENT(ROW()-1,19)+1,MOD(ROW()-2,19)+1)</f>
        <v>#N/A</v>
      </c>
      <c r="DL1265" t="str">
        <f>IFERROR(INDEX(Sheet2!$AU$2:$BM$228,QUOTIENT(ROW()-1,19)+1,MOD(ROW()-2,19)+1),NA())</f>
        <v/>
      </c>
      <c r="DM1265" s="4" t="e">
        <f t="shared" si="78"/>
        <v>#N/A</v>
      </c>
      <c r="DN1265" t="e">
        <f t="shared" si="79"/>
        <v>#N/A</v>
      </c>
      <c r="DO1265" t="e">
        <f t="shared" si="80"/>
        <v>#N/A</v>
      </c>
    </row>
    <row r="1266" spans="7:119" x14ac:dyDescent="0.25">
      <c r="G1266"/>
      <c r="DI1266" s="4">
        <f>INDEX(Sheet2!A:A,QUOTIENT(ROW()-1,19)+2)</f>
        <v>41255</v>
      </c>
      <c r="DJ1266" s="4">
        <f>INDEX(Sheet2!C:C,QUOTIENT(ROW()-1,19)+2)</f>
        <v>42369</v>
      </c>
      <c r="DK1266" s="4" t="e">
        <f>INDEX(Sheet2!$AA$2:$AS$228,QUOTIENT(ROW()-1,19)+1,MOD(ROW()-2,19)+1)</f>
        <v>#N/A</v>
      </c>
      <c r="DL1266" t="str">
        <f>IFERROR(INDEX(Sheet2!$AU$2:$BM$228,QUOTIENT(ROW()-1,19)+1,MOD(ROW()-2,19)+1),NA())</f>
        <v/>
      </c>
      <c r="DM1266" s="4" t="e">
        <f t="shared" si="78"/>
        <v>#N/A</v>
      </c>
      <c r="DN1266" t="e">
        <f t="shared" si="79"/>
        <v>#N/A</v>
      </c>
      <c r="DO1266" t="e">
        <f t="shared" si="80"/>
        <v>#N/A</v>
      </c>
    </row>
    <row r="1267" spans="7:119" x14ac:dyDescent="0.25">
      <c r="G1267"/>
      <c r="DI1267" s="4">
        <f>INDEX(Sheet2!A:A,QUOTIENT(ROW()-1,19)+2)</f>
        <v>41255</v>
      </c>
      <c r="DJ1267" s="4">
        <f>INDEX(Sheet2!C:C,QUOTIENT(ROW()-1,19)+2)</f>
        <v>42369</v>
      </c>
      <c r="DK1267" s="4" t="e">
        <f>INDEX(Sheet2!$AA$2:$AS$228,QUOTIENT(ROW()-1,19)+1,MOD(ROW()-2,19)+1)</f>
        <v>#N/A</v>
      </c>
      <c r="DL1267" t="str">
        <f>IFERROR(INDEX(Sheet2!$AU$2:$BM$228,QUOTIENT(ROW()-1,19)+1,MOD(ROW()-2,19)+1),NA())</f>
        <v/>
      </c>
      <c r="DM1267" s="4" t="e">
        <f t="shared" si="78"/>
        <v>#N/A</v>
      </c>
      <c r="DN1267" t="e">
        <f t="shared" si="79"/>
        <v>#N/A</v>
      </c>
      <c r="DO1267" t="e">
        <f t="shared" si="80"/>
        <v>#N/A</v>
      </c>
    </row>
    <row r="1268" spans="7:119" x14ac:dyDescent="0.25">
      <c r="G1268"/>
      <c r="DI1268" s="4">
        <f>INDEX(Sheet2!A:A,QUOTIENT(ROW()-1,19)+2)</f>
        <v>41255</v>
      </c>
      <c r="DJ1268" s="4">
        <f>INDEX(Sheet2!C:C,QUOTIENT(ROW()-1,19)+2)</f>
        <v>42369</v>
      </c>
      <c r="DK1268" s="4" t="e">
        <f>INDEX(Sheet2!$AA$2:$AS$228,QUOTIENT(ROW()-1,19)+1,MOD(ROW()-2,19)+1)</f>
        <v>#N/A</v>
      </c>
      <c r="DL1268" t="str">
        <f>IFERROR(INDEX(Sheet2!$AU$2:$BM$228,QUOTIENT(ROW()-1,19)+1,MOD(ROW()-2,19)+1),NA())</f>
        <v/>
      </c>
      <c r="DM1268" s="4" t="e">
        <f t="shared" si="78"/>
        <v>#N/A</v>
      </c>
      <c r="DN1268" t="e">
        <f t="shared" si="79"/>
        <v>#N/A</v>
      </c>
      <c r="DO1268" t="e">
        <f t="shared" si="80"/>
        <v>#N/A</v>
      </c>
    </row>
    <row r="1269" spans="7:119" x14ac:dyDescent="0.25">
      <c r="G1269"/>
      <c r="DI1269" s="4">
        <f>INDEX(Sheet2!A:A,QUOTIENT(ROW()-1,19)+2)</f>
        <v>41255</v>
      </c>
      <c r="DJ1269" s="4">
        <f>INDEX(Sheet2!C:C,QUOTIENT(ROW()-1,19)+2)</f>
        <v>42369</v>
      </c>
      <c r="DK1269" s="4" t="e">
        <f>INDEX(Sheet2!$AA$2:$AS$228,QUOTIENT(ROW()-1,19)+1,MOD(ROW()-2,19)+1)</f>
        <v>#N/A</v>
      </c>
      <c r="DL1269" t="str">
        <f>IFERROR(INDEX(Sheet2!$AU$2:$BM$228,QUOTIENT(ROW()-1,19)+1,MOD(ROW()-2,19)+1),NA())</f>
        <v/>
      </c>
      <c r="DM1269" s="4" t="e">
        <f t="shared" si="78"/>
        <v>#N/A</v>
      </c>
      <c r="DN1269" t="e">
        <f t="shared" si="79"/>
        <v>#N/A</v>
      </c>
      <c r="DO1269" t="e">
        <f t="shared" si="80"/>
        <v>#N/A</v>
      </c>
    </row>
    <row r="1270" spans="7:119" x14ac:dyDescent="0.25">
      <c r="G1270"/>
      <c r="DI1270" s="4">
        <f>INDEX(Sheet2!A:A,QUOTIENT(ROW()-1,19)+2)</f>
        <v>41255</v>
      </c>
      <c r="DJ1270" s="4">
        <f>INDEX(Sheet2!C:C,QUOTIENT(ROW()-1,19)+2)</f>
        <v>42369</v>
      </c>
      <c r="DK1270" s="4" t="e">
        <f>INDEX(Sheet2!$AA$2:$AS$228,QUOTIENT(ROW()-1,19)+1,MOD(ROW()-2,19)+1)</f>
        <v>#N/A</v>
      </c>
      <c r="DL1270" t="str">
        <f>IFERROR(INDEX(Sheet2!$AU$2:$BM$228,QUOTIENT(ROW()-1,19)+1,MOD(ROW()-2,19)+1),NA())</f>
        <v/>
      </c>
      <c r="DM1270" s="4" t="e">
        <f t="shared" si="78"/>
        <v>#N/A</v>
      </c>
      <c r="DN1270" t="e">
        <f t="shared" si="79"/>
        <v>#N/A</v>
      </c>
      <c r="DO1270" t="e">
        <f t="shared" si="80"/>
        <v>#N/A</v>
      </c>
    </row>
    <row r="1271" spans="7:119" x14ac:dyDescent="0.25">
      <c r="G1271"/>
      <c r="DI1271" s="4">
        <f>INDEX(Sheet2!A:A,QUOTIENT(ROW()-1,19)+2)</f>
        <v>41255</v>
      </c>
      <c r="DJ1271" s="4">
        <f>INDEX(Sheet2!C:C,QUOTIENT(ROW()-1,19)+2)</f>
        <v>42369</v>
      </c>
      <c r="DK1271" s="4" t="e">
        <f>INDEX(Sheet2!$AA$2:$AS$228,QUOTIENT(ROW()-1,19)+1,MOD(ROW()-2,19)+1)</f>
        <v>#N/A</v>
      </c>
      <c r="DL1271" t="str">
        <f>IFERROR(INDEX(Sheet2!$AU$2:$BM$228,QUOTIENT(ROW()-1,19)+1,MOD(ROW()-2,19)+1),NA())</f>
        <v/>
      </c>
      <c r="DM1271" s="4" t="e">
        <f t="shared" si="78"/>
        <v>#N/A</v>
      </c>
      <c r="DN1271" t="e">
        <f t="shared" si="79"/>
        <v>#N/A</v>
      </c>
      <c r="DO1271" t="e">
        <f t="shared" si="80"/>
        <v>#N/A</v>
      </c>
    </row>
    <row r="1272" spans="7:119" x14ac:dyDescent="0.25">
      <c r="G1272"/>
      <c r="DI1272" s="4">
        <f>INDEX(Sheet2!A:A,QUOTIENT(ROW()-1,19)+2)</f>
        <v>41255</v>
      </c>
      <c r="DJ1272" s="4">
        <f>INDEX(Sheet2!C:C,QUOTIENT(ROW()-1,19)+2)</f>
        <v>42369</v>
      </c>
      <c r="DK1272" s="4" t="e">
        <f>INDEX(Sheet2!$AA$2:$AS$228,QUOTIENT(ROW()-1,19)+1,MOD(ROW()-2,19)+1)</f>
        <v>#N/A</v>
      </c>
      <c r="DL1272" t="str">
        <f>IFERROR(INDEX(Sheet2!$AU$2:$BM$228,QUOTIENT(ROW()-1,19)+1,MOD(ROW()-2,19)+1),NA())</f>
        <v/>
      </c>
      <c r="DM1272" s="4" t="e">
        <f t="shared" si="78"/>
        <v>#N/A</v>
      </c>
      <c r="DN1272" t="e">
        <f t="shared" si="79"/>
        <v>#N/A</v>
      </c>
      <c r="DO1272" t="e">
        <f t="shared" si="80"/>
        <v>#N/A</v>
      </c>
    </row>
    <row r="1273" spans="7:119" x14ac:dyDescent="0.25">
      <c r="G1273"/>
      <c r="DI1273" s="4">
        <f>INDEX(Sheet2!A:A,QUOTIENT(ROW()-1,19)+2)</f>
        <v>41255</v>
      </c>
      <c r="DJ1273" s="4">
        <f>INDEX(Sheet2!C:C,QUOTIENT(ROW()-1,19)+2)</f>
        <v>42369</v>
      </c>
      <c r="DK1273" s="4" t="e">
        <f>INDEX(Sheet2!$AA$2:$AS$228,QUOTIENT(ROW()-1,19)+1,MOD(ROW()-2,19)+1)</f>
        <v>#N/A</v>
      </c>
      <c r="DL1273" t="str">
        <f>IFERROR(INDEX(Sheet2!$AU$2:$BM$228,QUOTIENT(ROW()-1,19)+1,MOD(ROW()-2,19)+1),NA())</f>
        <v/>
      </c>
      <c r="DM1273" s="4" t="e">
        <f t="shared" si="78"/>
        <v>#N/A</v>
      </c>
      <c r="DN1273" t="e">
        <f t="shared" si="79"/>
        <v>#N/A</v>
      </c>
      <c r="DO1273" t="e">
        <f t="shared" si="80"/>
        <v>#N/A</v>
      </c>
    </row>
    <row r="1274" spans="7:119" x14ac:dyDescent="0.25">
      <c r="G1274"/>
      <c r="DI1274" s="4">
        <f>INDEX(Sheet2!A:A,QUOTIENT(ROW()-1,19)+2)</f>
        <v>41255</v>
      </c>
      <c r="DJ1274" s="4">
        <f>INDEX(Sheet2!C:C,QUOTIENT(ROW()-1,19)+2)</f>
        <v>42369</v>
      </c>
      <c r="DK1274" s="4" t="e">
        <f>INDEX(Sheet2!$AA$2:$AS$228,QUOTIENT(ROW()-1,19)+1,MOD(ROW()-2,19)+1)</f>
        <v>#N/A</v>
      </c>
      <c r="DL1274" t="str">
        <f>IFERROR(INDEX(Sheet2!$AU$2:$BM$228,QUOTIENT(ROW()-1,19)+1,MOD(ROW()-2,19)+1),NA())</f>
        <v/>
      </c>
      <c r="DM1274" s="4" t="e">
        <f t="shared" si="78"/>
        <v>#N/A</v>
      </c>
      <c r="DN1274" t="e">
        <f t="shared" si="79"/>
        <v>#N/A</v>
      </c>
      <c r="DO1274" t="e">
        <f t="shared" si="80"/>
        <v>#N/A</v>
      </c>
    </row>
    <row r="1275" spans="7:119" x14ac:dyDescent="0.25">
      <c r="G1275"/>
      <c r="DI1275" s="4">
        <f>INDEX(Sheet2!A:A,QUOTIENT(ROW()-1,19)+2)</f>
        <v>41255</v>
      </c>
      <c r="DJ1275" s="4">
        <f>INDEX(Sheet2!C:C,QUOTIENT(ROW()-1,19)+2)</f>
        <v>42369</v>
      </c>
      <c r="DK1275" s="4">
        <f>INDEX(Sheet2!$AA$2:$AS$228,QUOTIENT(ROW()-1,19)+1,MOD(ROW()-2,19)+1)</f>
        <v>42369</v>
      </c>
      <c r="DL1275">
        <f>IFERROR(INDEX(Sheet2!$AU$2:$BM$228,QUOTIENT(ROW()-1,19)+1,MOD(ROW()-2,19)+1),NA())</f>
        <v>3.5</v>
      </c>
      <c r="DM1275" s="4" t="e">
        <f t="shared" si="78"/>
        <v>#N/A</v>
      </c>
      <c r="DN1275" t="e">
        <f t="shared" si="79"/>
        <v>#N/A</v>
      </c>
      <c r="DO1275" t="e">
        <f t="shared" si="80"/>
        <v>#N/A</v>
      </c>
    </row>
    <row r="1276" spans="7:119" x14ac:dyDescent="0.25">
      <c r="G1276"/>
      <c r="DI1276" s="4">
        <f>INDEX(Sheet2!A:A,QUOTIENT(ROW()-1,19)+2)</f>
        <v>41255</v>
      </c>
      <c r="DJ1276" s="4">
        <f>INDEX(Sheet2!C:C,QUOTIENT(ROW()-1,19)+2)</f>
        <v>42369</v>
      </c>
      <c r="DK1276" s="4" t="e">
        <f>INDEX(Sheet2!$AA$2:$AS$228,QUOTIENT(ROW()-1,19)+1,MOD(ROW()-2,19)+1)</f>
        <v>#N/A</v>
      </c>
      <c r="DL1276" t="str">
        <f>IFERROR(INDEX(Sheet2!$AU$2:$BM$228,QUOTIENT(ROW()-1,19)+1,MOD(ROW()-2,19)+1),NA())</f>
        <v/>
      </c>
      <c r="DM1276" s="4" t="e">
        <f t="shared" si="78"/>
        <v>#N/A</v>
      </c>
      <c r="DN1276" t="e">
        <f t="shared" si="79"/>
        <v>#N/A</v>
      </c>
      <c r="DO1276" t="e">
        <f t="shared" si="80"/>
        <v>#N/A</v>
      </c>
    </row>
    <row r="1277" spans="7:119" x14ac:dyDescent="0.25">
      <c r="G1277"/>
      <c r="DI1277" s="4">
        <f>INDEX(Sheet2!A:A,QUOTIENT(ROW()-1,19)+2)</f>
        <v>41255</v>
      </c>
      <c r="DJ1277" s="4">
        <f>INDEX(Sheet2!C:C,QUOTIENT(ROW()-1,19)+2)</f>
        <v>42369</v>
      </c>
      <c r="DK1277" s="4" t="e">
        <f>INDEX(Sheet2!$AA$2:$AS$228,QUOTIENT(ROW()-1,19)+1,MOD(ROW()-2,19)+1)</f>
        <v>#N/A</v>
      </c>
      <c r="DL1277" t="str">
        <f>IFERROR(INDEX(Sheet2!$AU$2:$BM$228,QUOTIENT(ROW()-1,19)+1,MOD(ROW()-2,19)+1),NA())</f>
        <v/>
      </c>
      <c r="DM1277" s="4" t="e">
        <f t="shared" si="78"/>
        <v>#N/A</v>
      </c>
      <c r="DN1277" t="e">
        <f t="shared" si="79"/>
        <v>#N/A</v>
      </c>
      <c r="DO1277" t="e">
        <f t="shared" si="80"/>
        <v>#N/A</v>
      </c>
    </row>
    <row r="1278" spans="7:119" x14ac:dyDescent="0.25">
      <c r="G1278"/>
      <c r="DI1278" s="4">
        <f>INDEX(Sheet2!A:A,QUOTIENT(ROW()-1,19)+2)</f>
        <v>41255</v>
      </c>
      <c r="DJ1278" s="4">
        <f>INDEX(Sheet2!C:C,QUOTIENT(ROW()-1,19)+2)</f>
        <v>42369</v>
      </c>
      <c r="DK1278" s="4" t="e">
        <f>INDEX(Sheet2!$AA$2:$AS$228,QUOTIENT(ROW()-1,19)+1,MOD(ROW()-2,19)+1)</f>
        <v>#N/A</v>
      </c>
      <c r="DL1278" t="str">
        <f>IFERROR(INDEX(Sheet2!$AU$2:$BM$228,QUOTIENT(ROW()-1,19)+1,MOD(ROW()-2,19)+1),NA())</f>
        <v/>
      </c>
      <c r="DM1278" s="4" t="e">
        <f t="shared" si="78"/>
        <v>#N/A</v>
      </c>
      <c r="DN1278" t="e">
        <f t="shared" si="79"/>
        <v>#N/A</v>
      </c>
      <c r="DO1278" t="e">
        <f t="shared" si="80"/>
        <v>#N/A</v>
      </c>
    </row>
    <row r="1279" spans="7:119" x14ac:dyDescent="0.25">
      <c r="G1279"/>
      <c r="DI1279" s="4">
        <f>INDEX(Sheet2!A:A,QUOTIENT(ROW()-1,19)+2)</f>
        <v>41255</v>
      </c>
      <c r="DJ1279" s="4">
        <f>INDEX(Sheet2!C:C,QUOTIENT(ROW()-1,19)+2)</f>
        <v>42369</v>
      </c>
      <c r="DK1279" s="4" t="e">
        <f>INDEX(Sheet2!$AA$2:$AS$228,QUOTIENT(ROW()-1,19)+1,MOD(ROW()-2,19)+1)</f>
        <v>#N/A</v>
      </c>
      <c r="DL1279" t="str">
        <f>IFERROR(INDEX(Sheet2!$AU$2:$BM$228,QUOTIENT(ROW()-1,19)+1,MOD(ROW()-2,19)+1),NA())</f>
        <v/>
      </c>
      <c r="DM1279" s="4" t="e">
        <f t="shared" si="78"/>
        <v>#N/A</v>
      </c>
      <c r="DN1279" t="e">
        <f t="shared" si="79"/>
        <v>#N/A</v>
      </c>
      <c r="DO1279" t="e">
        <f t="shared" si="80"/>
        <v>#N/A</v>
      </c>
    </row>
    <row r="1280" spans="7:119" x14ac:dyDescent="0.25">
      <c r="G1280"/>
      <c r="DI1280" s="4">
        <f>INDEX(Sheet2!A:A,QUOTIENT(ROW()-1,19)+2)</f>
        <v>41255</v>
      </c>
      <c r="DJ1280" s="4">
        <f>INDEX(Sheet2!C:C,QUOTIENT(ROW()-1,19)+2)</f>
        <v>42369</v>
      </c>
      <c r="DK1280" s="4" t="e">
        <f>INDEX(Sheet2!$AA$2:$AS$228,QUOTIENT(ROW()-1,19)+1,MOD(ROW()-2,19)+1)</f>
        <v>#N/A</v>
      </c>
      <c r="DL1280" t="str">
        <f>IFERROR(INDEX(Sheet2!$AU$2:$BM$228,QUOTIENT(ROW()-1,19)+1,MOD(ROW()-2,19)+1),NA())</f>
        <v/>
      </c>
      <c r="DM1280" s="4" t="e">
        <f t="shared" si="78"/>
        <v>#N/A</v>
      </c>
      <c r="DN1280" t="e">
        <f t="shared" si="79"/>
        <v>#N/A</v>
      </c>
      <c r="DO1280" t="e">
        <f t="shared" si="80"/>
        <v>#N/A</v>
      </c>
    </row>
    <row r="1281" spans="7:119" x14ac:dyDescent="0.25">
      <c r="G1281"/>
      <c r="DI1281" s="4">
        <f>INDEX(Sheet2!A:A,QUOTIENT(ROW()-1,19)+2)</f>
        <v>41255</v>
      </c>
      <c r="DJ1281" s="4">
        <f>INDEX(Sheet2!C:C,QUOTIENT(ROW()-1,19)+2)</f>
        <v>42369</v>
      </c>
      <c r="DK1281" s="4" t="e">
        <f>INDEX(Sheet2!$AA$2:$AS$228,QUOTIENT(ROW()-1,19)+1,MOD(ROW()-2,19)+1)</f>
        <v>#N/A</v>
      </c>
      <c r="DL1281" t="str">
        <f>IFERROR(INDEX(Sheet2!$AU$2:$BM$228,QUOTIENT(ROW()-1,19)+1,MOD(ROW()-2,19)+1),NA())</f>
        <v/>
      </c>
      <c r="DM1281" s="4" t="e">
        <f t="shared" si="78"/>
        <v>#N/A</v>
      </c>
      <c r="DN1281" t="e">
        <f t="shared" si="79"/>
        <v>#N/A</v>
      </c>
      <c r="DO1281" t="e">
        <f t="shared" si="80"/>
        <v>#N/A</v>
      </c>
    </row>
    <row r="1282" spans="7:119" x14ac:dyDescent="0.25">
      <c r="G1282"/>
      <c r="DI1282" s="4">
        <f>INDEX(Sheet2!A:A,QUOTIENT(ROW()-1,19)+2)</f>
        <v>41255</v>
      </c>
      <c r="DJ1282" s="4">
        <f>INDEX(Sheet2!C:C,QUOTIENT(ROW()-1,19)+2)</f>
        <v>42369</v>
      </c>
      <c r="DK1282" s="4" t="e">
        <f>INDEX(Sheet2!$AA$2:$AS$228,QUOTIENT(ROW()-1,19)+1,MOD(ROW()-2,19)+1)</f>
        <v>#N/A</v>
      </c>
      <c r="DL1282" t="str">
        <f>IFERROR(INDEX(Sheet2!$AU$2:$BM$228,QUOTIENT(ROW()-1,19)+1,MOD(ROW()-2,19)+1),NA())</f>
        <v/>
      </c>
      <c r="DM1282" s="4" t="e">
        <f t="shared" ref="DM1282:DM1345" si="81">+IF($C$2=$DI1282,DK1282,NA())</f>
        <v>#N/A</v>
      </c>
      <c r="DN1282" t="e">
        <f t="shared" ref="DN1282:DN1345" si="82">+IF($C$2=$DI1282,DL1282,NA())</f>
        <v>#N/A</v>
      </c>
      <c r="DO1282" t="e">
        <f t="shared" si="80"/>
        <v>#N/A</v>
      </c>
    </row>
    <row r="1283" spans="7:119" x14ac:dyDescent="0.25">
      <c r="G1283"/>
      <c r="DI1283" s="4">
        <f>INDEX(Sheet2!A:A,QUOTIENT(ROW()-1,19)+2)</f>
        <v>41255</v>
      </c>
      <c r="DJ1283" s="4">
        <f>INDEX(Sheet2!C:C,QUOTIENT(ROW()-1,19)+2)</f>
        <v>42369</v>
      </c>
      <c r="DK1283" s="4" t="e">
        <f>INDEX(Sheet2!$AA$2:$AS$228,QUOTIENT(ROW()-1,19)+1,MOD(ROW()-2,19)+1)</f>
        <v>#N/A</v>
      </c>
      <c r="DL1283" t="str">
        <f>IFERROR(INDEX(Sheet2!$AU$2:$BM$228,QUOTIENT(ROW()-1,19)+1,MOD(ROW()-2,19)+1),NA())</f>
        <v/>
      </c>
      <c r="DM1283" s="4" t="e">
        <f t="shared" si="81"/>
        <v>#N/A</v>
      </c>
      <c r="DN1283" t="e">
        <f t="shared" si="82"/>
        <v>#N/A</v>
      </c>
      <c r="DO1283" t="e">
        <f t="shared" ref="DO1283:DO1346" si="83">IF(DN1283="",NA(),DN1283)</f>
        <v>#N/A</v>
      </c>
    </row>
    <row r="1284" spans="7:119" x14ac:dyDescent="0.25">
      <c r="G1284"/>
      <c r="DI1284" s="4">
        <f>INDEX(Sheet2!A:A,QUOTIENT(ROW()-1,19)+2)</f>
        <v>41255</v>
      </c>
      <c r="DJ1284" s="4">
        <f>INDEX(Sheet2!C:C,QUOTIENT(ROW()-1,19)+2)</f>
        <v>42369</v>
      </c>
      <c r="DK1284" s="4" t="e">
        <f>INDEX(Sheet2!$AA$2:$AS$228,QUOTIENT(ROW()-1,19)+1,MOD(ROW()-2,19)+1)</f>
        <v>#N/A</v>
      </c>
      <c r="DL1284" t="str">
        <f>IFERROR(INDEX(Sheet2!$AU$2:$BM$228,QUOTIENT(ROW()-1,19)+1,MOD(ROW()-2,19)+1),NA())</f>
        <v/>
      </c>
      <c r="DM1284" s="4" t="e">
        <f t="shared" si="81"/>
        <v>#N/A</v>
      </c>
      <c r="DN1284" t="e">
        <f t="shared" si="82"/>
        <v>#N/A</v>
      </c>
      <c r="DO1284" t="e">
        <f t="shared" si="83"/>
        <v>#N/A</v>
      </c>
    </row>
    <row r="1285" spans="7:119" x14ac:dyDescent="0.25">
      <c r="G1285"/>
      <c r="DI1285" s="4">
        <f>INDEX(Sheet2!A:A,QUOTIENT(ROW()-1,19)+2)</f>
        <v>41255</v>
      </c>
      <c r="DJ1285" s="4">
        <f>INDEX(Sheet2!C:C,QUOTIENT(ROW()-1,19)+2)</f>
        <v>42369</v>
      </c>
      <c r="DK1285" s="4" t="e">
        <f>INDEX(Sheet2!$AA$2:$AS$228,QUOTIENT(ROW()-1,19)+1,MOD(ROW()-2,19)+1)</f>
        <v>#N/A</v>
      </c>
      <c r="DL1285" t="str">
        <f>IFERROR(INDEX(Sheet2!$AU$2:$BM$228,QUOTIENT(ROW()-1,19)+1,MOD(ROW()-2,19)+1),NA())</f>
        <v/>
      </c>
      <c r="DM1285" s="4" t="e">
        <f t="shared" si="81"/>
        <v>#N/A</v>
      </c>
      <c r="DN1285" t="e">
        <f t="shared" si="82"/>
        <v>#N/A</v>
      </c>
      <c r="DO1285" t="e">
        <f t="shared" si="83"/>
        <v>#N/A</v>
      </c>
    </row>
    <row r="1286" spans="7:119" x14ac:dyDescent="0.25">
      <c r="G1286"/>
      <c r="DI1286" s="4">
        <f>INDEX(Sheet2!A:A,QUOTIENT(ROW()-1,19)+2)</f>
        <v>41255</v>
      </c>
      <c r="DJ1286" s="4">
        <f>INDEX(Sheet2!C:C,QUOTIENT(ROW()-1,19)+2)</f>
        <v>42369</v>
      </c>
      <c r="DK1286" s="4" t="e">
        <f>INDEX(Sheet2!$AA$2:$AS$228,QUOTIENT(ROW()-1,19)+1,MOD(ROW()-2,19)+1)</f>
        <v>#N/A</v>
      </c>
      <c r="DL1286" t="str">
        <f>IFERROR(INDEX(Sheet2!$AU$2:$BM$228,QUOTIENT(ROW()-1,19)+1,MOD(ROW()-2,19)+1),NA())</f>
        <v/>
      </c>
      <c r="DM1286" s="4" t="e">
        <f t="shared" si="81"/>
        <v>#N/A</v>
      </c>
      <c r="DN1286" t="e">
        <f t="shared" si="82"/>
        <v>#N/A</v>
      </c>
      <c r="DO1286" t="e">
        <f t="shared" si="83"/>
        <v>#N/A</v>
      </c>
    </row>
    <row r="1287" spans="7:119" x14ac:dyDescent="0.25">
      <c r="G1287"/>
      <c r="DI1287" s="4">
        <f>INDEX(Sheet2!A:A,QUOTIENT(ROW()-1,19)+2)</f>
        <v>41255</v>
      </c>
      <c r="DJ1287" s="4">
        <f>INDEX(Sheet2!C:C,QUOTIENT(ROW()-1,19)+2)</f>
        <v>42369</v>
      </c>
      <c r="DK1287" s="4" t="e">
        <f>INDEX(Sheet2!$AA$2:$AS$228,QUOTIENT(ROW()-1,19)+1,MOD(ROW()-2,19)+1)</f>
        <v>#N/A</v>
      </c>
      <c r="DL1287" t="str">
        <f>IFERROR(INDEX(Sheet2!$AU$2:$BM$228,QUOTIENT(ROW()-1,19)+1,MOD(ROW()-2,19)+1),NA())</f>
        <v/>
      </c>
      <c r="DM1287" s="4" t="e">
        <f t="shared" si="81"/>
        <v>#N/A</v>
      </c>
      <c r="DN1287" t="e">
        <f t="shared" si="82"/>
        <v>#N/A</v>
      </c>
      <c r="DO1287" t="e">
        <f t="shared" si="83"/>
        <v>#N/A</v>
      </c>
    </row>
    <row r="1288" spans="7:119" x14ac:dyDescent="0.25">
      <c r="G1288"/>
      <c r="DI1288" s="4">
        <f>INDEX(Sheet2!A:A,QUOTIENT(ROW()-1,19)+2)</f>
        <v>41255</v>
      </c>
      <c r="DJ1288" s="4">
        <f>INDEX(Sheet2!C:C,QUOTIENT(ROW()-1,19)+2)</f>
        <v>42369</v>
      </c>
      <c r="DK1288" s="4" t="e">
        <f>INDEX(Sheet2!$AA$2:$AS$228,QUOTIENT(ROW()-1,19)+1,MOD(ROW()-2,19)+1)</f>
        <v>#N/A</v>
      </c>
      <c r="DL1288" t="str">
        <f>IFERROR(INDEX(Sheet2!$AU$2:$BM$228,QUOTIENT(ROW()-1,19)+1,MOD(ROW()-2,19)+1),NA())</f>
        <v/>
      </c>
      <c r="DM1288" s="4" t="e">
        <f t="shared" si="81"/>
        <v>#N/A</v>
      </c>
      <c r="DN1288" t="e">
        <f t="shared" si="82"/>
        <v>#N/A</v>
      </c>
      <c r="DO1288" t="e">
        <f t="shared" si="83"/>
        <v>#N/A</v>
      </c>
    </row>
    <row r="1289" spans="7:119" x14ac:dyDescent="0.25">
      <c r="G1289"/>
      <c r="DI1289" s="4">
        <f>INDEX(Sheet2!A:A,QUOTIENT(ROW()-1,19)+2)</f>
        <v>41255</v>
      </c>
      <c r="DJ1289" s="4">
        <f>INDEX(Sheet2!C:C,QUOTIENT(ROW()-1,19)+2)</f>
        <v>42369</v>
      </c>
      <c r="DK1289" s="4" t="e">
        <f>INDEX(Sheet2!$AA$2:$AS$228,QUOTIENT(ROW()-1,19)+1,MOD(ROW()-2,19)+1)</f>
        <v>#N/A</v>
      </c>
      <c r="DL1289" t="str">
        <f>IFERROR(INDEX(Sheet2!$AU$2:$BM$228,QUOTIENT(ROW()-1,19)+1,MOD(ROW()-2,19)+1),NA())</f>
        <v/>
      </c>
      <c r="DM1289" s="4" t="e">
        <f t="shared" si="81"/>
        <v>#N/A</v>
      </c>
      <c r="DN1289" t="e">
        <f t="shared" si="82"/>
        <v>#N/A</v>
      </c>
      <c r="DO1289" t="e">
        <f t="shared" si="83"/>
        <v>#N/A</v>
      </c>
    </row>
    <row r="1290" spans="7:119" x14ac:dyDescent="0.25">
      <c r="G1290"/>
      <c r="DI1290" s="4">
        <f>INDEX(Sheet2!A:A,QUOTIENT(ROW()-1,19)+2)</f>
        <v>41255</v>
      </c>
      <c r="DJ1290" s="4">
        <f>INDEX(Sheet2!C:C,QUOTIENT(ROW()-1,19)+2)</f>
        <v>42369</v>
      </c>
      <c r="DK1290" s="4" t="e">
        <f>INDEX(Sheet2!$AA$2:$AS$228,QUOTIENT(ROW()-1,19)+1,MOD(ROW()-2,19)+1)</f>
        <v>#N/A</v>
      </c>
      <c r="DL1290" t="str">
        <f>IFERROR(INDEX(Sheet2!$AU$2:$BM$228,QUOTIENT(ROW()-1,19)+1,MOD(ROW()-2,19)+1),NA())</f>
        <v/>
      </c>
      <c r="DM1290" s="4" t="e">
        <f t="shared" si="81"/>
        <v>#N/A</v>
      </c>
      <c r="DN1290" t="e">
        <f t="shared" si="82"/>
        <v>#N/A</v>
      </c>
      <c r="DO1290" t="e">
        <f t="shared" si="83"/>
        <v>#N/A</v>
      </c>
    </row>
    <row r="1291" spans="7:119" x14ac:dyDescent="0.25">
      <c r="G1291"/>
      <c r="DI1291" s="4">
        <f>INDEX(Sheet2!A:A,QUOTIENT(ROW()-1,19)+2)</f>
        <v>41255</v>
      </c>
      <c r="DJ1291" s="4">
        <f>INDEX(Sheet2!C:C,QUOTIENT(ROW()-1,19)+2)</f>
        <v>42369</v>
      </c>
      <c r="DK1291" s="4" t="e">
        <f>INDEX(Sheet2!$AA$2:$AS$228,QUOTIENT(ROW()-1,19)+1,MOD(ROW()-2,19)+1)</f>
        <v>#N/A</v>
      </c>
      <c r="DL1291" t="str">
        <f>IFERROR(INDEX(Sheet2!$AU$2:$BM$228,QUOTIENT(ROW()-1,19)+1,MOD(ROW()-2,19)+1),NA())</f>
        <v/>
      </c>
      <c r="DM1291" s="4" t="e">
        <f t="shared" si="81"/>
        <v>#N/A</v>
      </c>
      <c r="DN1291" t="e">
        <f t="shared" si="82"/>
        <v>#N/A</v>
      </c>
      <c r="DO1291" t="e">
        <f t="shared" si="83"/>
        <v>#N/A</v>
      </c>
    </row>
    <row r="1292" spans="7:119" x14ac:dyDescent="0.25">
      <c r="G1292"/>
      <c r="DI1292" s="4">
        <f>INDEX(Sheet2!A:A,QUOTIENT(ROW()-1,19)+2)</f>
        <v>41255</v>
      </c>
      <c r="DJ1292" s="4">
        <f>INDEX(Sheet2!C:C,QUOTIENT(ROW()-1,19)+2)</f>
        <v>42369</v>
      </c>
      <c r="DK1292" s="4" t="e">
        <f>INDEX(Sheet2!$AA$2:$AS$228,QUOTIENT(ROW()-1,19)+1,MOD(ROW()-2,19)+1)</f>
        <v>#N/A</v>
      </c>
      <c r="DL1292" t="str">
        <f>IFERROR(INDEX(Sheet2!$AU$2:$BM$228,QUOTIENT(ROW()-1,19)+1,MOD(ROW()-2,19)+1),NA())</f>
        <v/>
      </c>
      <c r="DM1292" s="4" t="e">
        <f t="shared" si="81"/>
        <v>#N/A</v>
      </c>
      <c r="DN1292" t="e">
        <f t="shared" si="82"/>
        <v>#N/A</v>
      </c>
      <c r="DO1292" t="e">
        <f t="shared" si="83"/>
        <v>#N/A</v>
      </c>
    </row>
    <row r="1293" spans="7:119" x14ac:dyDescent="0.25">
      <c r="G1293"/>
      <c r="DI1293" s="4">
        <f>INDEX(Sheet2!A:A,QUOTIENT(ROW()-1,19)+2)</f>
        <v>41255</v>
      </c>
      <c r="DJ1293" s="4">
        <f>INDEX(Sheet2!C:C,QUOTIENT(ROW()-1,19)+2)</f>
        <v>42369</v>
      </c>
      <c r="DK1293" s="4" t="e">
        <f>INDEX(Sheet2!$AA$2:$AS$228,QUOTIENT(ROW()-1,19)+1,MOD(ROW()-2,19)+1)</f>
        <v>#N/A</v>
      </c>
      <c r="DL1293" t="str">
        <f>IFERROR(INDEX(Sheet2!$AU$2:$BM$228,QUOTIENT(ROW()-1,19)+1,MOD(ROW()-2,19)+1),NA())</f>
        <v/>
      </c>
      <c r="DM1293" s="4" t="e">
        <f t="shared" si="81"/>
        <v>#N/A</v>
      </c>
      <c r="DN1293" t="e">
        <f t="shared" si="82"/>
        <v>#N/A</v>
      </c>
      <c r="DO1293" t="e">
        <f t="shared" si="83"/>
        <v>#N/A</v>
      </c>
    </row>
    <row r="1294" spans="7:119" x14ac:dyDescent="0.25">
      <c r="G1294"/>
      <c r="DI1294" s="4">
        <f>INDEX(Sheet2!A:A,QUOTIENT(ROW()-1,19)+2)</f>
        <v>41255</v>
      </c>
      <c r="DJ1294" s="4">
        <f>INDEX(Sheet2!C:C,QUOTIENT(ROW()-1,19)+2)</f>
        <v>42369</v>
      </c>
      <c r="DK1294" s="4">
        <f>INDEX(Sheet2!$AA$2:$AS$228,QUOTIENT(ROW()-1,19)+1,MOD(ROW()-2,19)+1)</f>
        <v>42369</v>
      </c>
      <c r="DL1294">
        <f>IFERROR(INDEX(Sheet2!$AU$2:$BM$228,QUOTIENT(ROW()-1,19)+1,MOD(ROW()-2,19)+1),NA())</f>
        <v>3.75</v>
      </c>
      <c r="DM1294" s="4" t="e">
        <f t="shared" si="81"/>
        <v>#N/A</v>
      </c>
      <c r="DN1294" t="e">
        <f t="shared" si="82"/>
        <v>#N/A</v>
      </c>
      <c r="DO1294" t="e">
        <f t="shared" si="83"/>
        <v>#N/A</v>
      </c>
    </row>
    <row r="1295" spans="7:119" x14ac:dyDescent="0.25">
      <c r="G1295"/>
      <c r="DI1295" s="4">
        <f>INDEX(Sheet2!A:A,QUOTIENT(ROW()-1,19)+2)</f>
        <v>41255</v>
      </c>
      <c r="DJ1295" s="4">
        <f>INDEX(Sheet2!C:C,QUOTIENT(ROW()-1,19)+2)</f>
        <v>42369</v>
      </c>
      <c r="DK1295" s="4" t="e">
        <f>INDEX(Sheet2!$AA$2:$AS$228,QUOTIENT(ROW()-1,19)+1,MOD(ROW()-2,19)+1)</f>
        <v>#N/A</v>
      </c>
      <c r="DL1295" t="str">
        <f>IFERROR(INDEX(Sheet2!$AU$2:$BM$228,QUOTIENT(ROW()-1,19)+1,MOD(ROW()-2,19)+1),NA())</f>
        <v/>
      </c>
      <c r="DM1295" s="4" t="e">
        <f t="shared" si="81"/>
        <v>#N/A</v>
      </c>
      <c r="DN1295" t="e">
        <f t="shared" si="82"/>
        <v>#N/A</v>
      </c>
      <c r="DO1295" t="e">
        <f t="shared" si="83"/>
        <v>#N/A</v>
      </c>
    </row>
    <row r="1296" spans="7:119" x14ac:dyDescent="0.25">
      <c r="G1296"/>
      <c r="DI1296" s="4">
        <f>INDEX(Sheet2!A:A,QUOTIENT(ROW()-1,19)+2)</f>
        <v>41255</v>
      </c>
      <c r="DJ1296" s="4">
        <f>INDEX(Sheet2!C:C,QUOTIENT(ROW()-1,19)+2)</f>
        <v>42369</v>
      </c>
      <c r="DK1296" s="4" t="e">
        <f>INDEX(Sheet2!$AA$2:$AS$228,QUOTIENT(ROW()-1,19)+1,MOD(ROW()-2,19)+1)</f>
        <v>#N/A</v>
      </c>
      <c r="DL1296" t="str">
        <f>IFERROR(INDEX(Sheet2!$AU$2:$BM$228,QUOTIENT(ROW()-1,19)+1,MOD(ROW()-2,19)+1),NA())</f>
        <v/>
      </c>
      <c r="DM1296" s="4" t="e">
        <f t="shared" si="81"/>
        <v>#N/A</v>
      </c>
      <c r="DN1296" t="e">
        <f t="shared" si="82"/>
        <v>#N/A</v>
      </c>
      <c r="DO1296" t="e">
        <f t="shared" si="83"/>
        <v>#N/A</v>
      </c>
    </row>
    <row r="1297" spans="7:119" x14ac:dyDescent="0.25">
      <c r="G1297"/>
      <c r="DI1297" s="4">
        <f>INDEX(Sheet2!A:A,QUOTIENT(ROW()-1,19)+2)</f>
        <v>41255</v>
      </c>
      <c r="DJ1297" s="4">
        <f>INDEX(Sheet2!C:C,QUOTIENT(ROW()-1,19)+2)</f>
        <v>42369</v>
      </c>
      <c r="DK1297" s="4" t="e">
        <f>INDEX(Sheet2!$AA$2:$AS$228,QUOTIENT(ROW()-1,19)+1,MOD(ROW()-2,19)+1)</f>
        <v>#N/A</v>
      </c>
      <c r="DL1297" t="str">
        <f>IFERROR(INDEX(Sheet2!$AU$2:$BM$228,QUOTIENT(ROW()-1,19)+1,MOD(ROW()-2,19)+1),NA())</f>
        <v/>
      </c>
      <c r="DM1297" s="4" t="e">
        <f t="shared" si="81"/>
        <v>#N/A</v>
      </c>
      <c r="DN1297" t="e">
        <f t="shared" si="82"/>
        <v>#N/A</v>
      </c>
      <c r="DO1297" t="e">
        <f t="shared" si="83"/>
        <v>#N/A</v>
      </c>
    </row>
    <row r="1298" spans="7:119" x14ac:dyDescent="0.25">
      <c r="G1298"/>
      <c r="DI1298" s="4">
        <f>INDEX(Sheet2!A:A,QUOTIENT(ROW()-1,19)+2)</f>
        <v>41255</v>
      </c>
      <c r="DJ1298" s="4">
        <f>INDEX(Sheet2!C:C,QUOTIENT(ROW()-1,19)+2)</f>
        <v>42369</v>
      </c>
      <c r="DK1298" s="4" t="e">
        <f>INDEX(Sheet2!$AA$2:$AS$228,QUOTIENT(ROW()-1,19)+1,MOD(ROW()-2,19)+1)</f>
        <v>#N/A</v>
      </c>
      <c r="DL1298" t="str">
        <f>IFERROR(INDEX(Sheet2!$AU$2:$BM$228,QUOTIENT(ROW()-1,19)+1,MOD(ROW()-2,19)+1),NA())</f>
        <v/>
      </c>
      <c r="DM1298" s="4" t="e">
        <f t="shared" si="81"/>
        <v>#N/A</v>
      </c>
      <c r="DN1298" t="e">
        <f t="shared" si="82"/>
        <v>#N/A</v>
      </c>
      <c r="DO1298" t="e">
        <f t="shared" si="83"/>
        <v>#N/A</v>
      </c>
    </row>
    <row r="1299" spans="7:119" x14ac:dyDescent="0.25">
      <c r="G1299"/>
      <c r="DI1299" s="4">
        <f>INDEX(Sheet2!A:A,QUOTIENT(ROW()-1,19)+2)</f>
        <v>41255</v>
      </c>
      <c r="DJ1299" s="4">
        <f>INDEX(Sheet2!C:C,QUOTIENT(ROW()-1,19)+2)</f>
        <v>42369</v>
      </c>
      <c r="DK1299" s="4" t="e">
        <f>INDEX(Sheet2!$AA$2:$AS$228,QUOTIENT(ROW()-1,19)+1,MOD(ROW()-2,19)+1)</f>
        <v>#N/A</v>
      </c>
      <c r="DL1299" t="str">
        <f>IFERROR(INDEX(Sheet2!$AU$2:$BM$228,QUOTIENT(ROW()-1,19)+1,MOD(ROW()-2,19)+1),NA())</f>
        <v/>
      </c>
      <c r="DM1299" s="4" t="e">
        <f t="shared" si="81"/>
        <v>#N/A</v>
      </c>
      <c r="DN1299" t="e">
        <f t="shared" si="82"/>
        <v>#N/A</v>
      </c>
      <c r="DO1299" t="e">
        <f t="shared" si="83"/>
        <v>#N/A</v>
      </c>
    </row>
    <row r="1300" spans="7:119" x14ac:dyDescent="0.25">
      <c r="G1300"/>
      <c r="DI1300" s="4">
        <f>INDEX(Sheet2!A:A,QUOTIENT(ROW()-1,19)+2)</f>
        <v>41255</v>
      </c>
      <c r="DJ1300" s="4">
        <f>INDEX(Sheet2!C:C,QUOTIENT(ROW()-1,19)+2)</f>
        <v>42369</v>
      </c>
      <c r="DK1300" s="4" t="e">
        <f>INDEX(Sheet2!$AA$2:$AS$228,QUOTIENT(ROW()-1,19)+1,MOD(ROW()-2,19)+1)</f>
        <v>#N/A</v>
      </c>
      <c r="DL1300" t="str">
        <f>IFERROR(INDEX(Sheet2!$AU$2:$BM$228,QUOTIENT(ROW()-1,19)+1,MOD(ROW()-2,19)+1),NA())</f>
        <v/>
      </c>
      <c r="DM1300" s="4" t="e">
        <f t="shared" si="81"/>
        <v>#N/A</v>
      </c>
      <c r="DN1300" t="e">
        <f t="shared" si="82"/>
        <v>#N/A</v>
      </c>
      <c r="DO1300" t="e">
        <f t="shared" si="83"/>
        <v>#N/A</v>
      </c>
    </row>
    <row r="1301" spans="7:119" x14ac:dyDescent="0.25">
      <c r="G1301"/>
      <c r="DI1301" s="4">
        <f>INDEX(Sheet2!A:A,QUOTIENT(ROW()-1,19)+2)</f>
        <v>41255</v>
      </c>
      <c r="DJ1301" s="4">
        <f>INDEX(Sheet2!C:C,QUOTIENT(ROW()-1,19)+2)</f>
        <v>42369</v>
      </c>
      <c r="DK1301" s="4" t="e">
        <f>INDEX(Sheet2!$AA$2:$AS$228,QUOTIENT(ROW()-1,19)+1,MOD(ROW()-2,19)+1)</f>
        <v>#N/A</v>
      </c>
      <c r="DL1301" t="str">
        <f>IFERROR(INDEX(Sheet2!$AU$2:$BM$228,QUOTIENT(ROW()-1,19)+1,MOD(ROW()-2,19)+1),NA())</f>
        <v/>
      </c>
      <c r="DM1301" s="4" t="e">
        <f t="shared" si="81"/>
        <v>#N/A</v>
      </c>
      <c r="DN1301" t="e">
        <f t="shared" si="82"/>
        <v>#N/A</v>
      </c>
      <c r="DO1301" t="e">
        <f t="shared" si="83"/>
        <v>#N/A</v>
      </c>
    </row>
    <row r="1302" spans="7:119" x14ac:dyDescent="0.25">
      <c r="G1302"/>
      <c r="DI1302" s="4">
        <f>INDEX(Sheet2!A:A,QUOTIENT(ROW()-1,19)+2)</f>
        <v>41255</v>
      </c>
      <c r="DJ1302" s="4">
        <f>INDEX(Sheet2!C:C,QUOTIENT(ROW()-1,19)+2)</f>
        <v>42369</v>
      </c>
      <c r="DK1302" s="4" t="e">
        <f>INDEX(Sheet2!$AA$2:$AS$228,QUOTIENT(ROW()-1,19)+1,MOD(ROW()-2,19)+1)</f>
        <v>#N/A</v>
      </c>
      <c r="DL1302" t="str">
        <f>IFERROR(INDEX(Sheet2!$AU$2:$BM$228,QUOTIENT(ROW()-1,19)+1,MOD(ROW()-2,19)+1),NA())</f>
        <v/>
      </c>
      <c r="DM1302" s="4" t="e">
        <f t="shared" si="81"/>
        <v>#N/A</v>
      </c>
      <c r="DN1302" t="e">
        <f t="shared" si="82"/>
        <v>#N/A</v>
      </c>
      <c r="DO1302" t="e">
        <f t="shared" si="83"/>
        <v>#N/A</v>
      </c>
    </row>
    <row r="1303" spans="7:119" x14ac:dyDescent="0.25">
      <c r="G1303"/>
      <c r="DI1303" s="4">
        <f>INDEX(Sheet2!A:A,QUOTIENT(ROW()-1,19)+2)</f>
        <v>41255</v>
      </c>
      <c r="DJ1303" s="4">
        <f>INDEX(Sheet2!C:C,QUOTIENT(ROW()-1,19)+2)</f>
        <v>42369</v>
      </c>
      <c r="DK1303" s="4" t="e">
        <f>INDEX(Sheet2!$AA$2:$AS$228,QUOTIENT(ROW()-1,19)+1,MOD(ROW()-2,19)+1)</f>
        <v>#N/A</v>
      </c>
      <c r="DL1303" t="str">
        <f>IFERROR(INDEX(Sheet2!$AU$2:$BM$228,QUOTIENT(ROW()-1,19)+1,MOD(ROW()-2,19)+1),NA())</f>
        <v/>
      </c>
      <c r="DM1303" s="4" t="e">
        <f t="shared" si="81"/>
        <v>#N/A</v>
      </c>
      <c r="DN1303" t="e">
        <f t="shared" si="82"/>
        <v>#N/A</v>
      </c>
      <c r="DO1303" t="e">
        <f t="shared" si="83"/>
        <v>#N/A</v>
      </c>
    </row>
    <row r="1304" spans="7:119" x14ac:dyDescent="0.25">
      <c r="G1304"/>
      <c r="DI1304" s="4">
        <f>INDEX(Sheet2!A:A,QUOTIENT(ROW()-1,19)+2)</f>
        <v>41255</v>
      </c>
      <c r="DJ1304" s="4">
        <f>INDEX(Sheet2!C:C,QUOTIENT(ROW()-1,19)+2)</f>
        <v>42369</v>
      </c>
      <c r="DK1304" s="4" t="e">
        <f>INDEX(Sheet2!$AA$2:$AS$228,QUOTIENT(ROW()-1,19)+1,MOD(ROW()-2,19)+1)</f>
        <v>#N/A</v>
      </c>
      <c r="DL1304" t="str">
        <f>IFERROR(INDEX(Sheet2!$AU$2:$BM$228,QUOTIENT(ROW()-1,19)+1,MOD(ROW()-2,19)+1),NA())</f>
        <v/>
      </c>
      <c r="DM1304" s="4" t="e">
        <f t="shared" si="81"/>
        <v>#N/A</v>
      </c>
      <c r="DN1304" t="e">
        <f t="shared" si="82"/>
        <v>#N/A</v>
      </c>
      <c r="DO1304" t="e">
        <f t="shared" si="83"/>
        <v>#N/A</v>
      </c>
    </row>
    <row r="1305" spans="7:119" x14ac:dyDescent="0.25">
      <c r="G1305"/>
      <c r="DI1305" s="4">
        <f>INDEX(Sheet2!A:A,QUOTIENT(ROW()-1,19)+2)</f>
        <v>41255</v>
      </c>
      <c r="DJ1305" s="4">
        <f>INDEX(Sheet2!C:C,QUOTIENT(ROW()-1,19)+2)</f>
        <v>42369</v>
      </c>
      <c r="DK1305" s="4" t="e">
        <f>INDEX(Sheet2!$AA$2:$AS$228,QUOTIENT(ROW()-1,19)+1,MOD(ROW()-2,19)+1)</f>
        <v>#N/A</v>
      </c>
      <c r="DL1305" t="str">
        <f>IFERROR(INDEX(Sheet2!$AU$2:$BM$228,QUOTIENT(ROW()-1,19)+1,MOD(ROW()-2,19)+1),NA())</f>
        <v/>
      </c>
      <c r="DM1305" s="4" t="e">
        <f t="shared" si="81"/>
        <v>#N/A</v>
      </c>
      <c r="DN1305" t="e">
        <f t="shared" si="82"/>
        <v>#N/A</v>
      </c>
      <c r="DO1305" t="e">
        <f t="shared" si="83"/>
        <v>#N/A</v>
      </c>
    </row>
    <row r="1306" spans="7:119" x14ac:dyDescent="0.25">
      <c r="G1306"/>
      <c r="DI1306" s="4">
        <f>INDEX(Sheet2!A:A,QUOTIENT(ROW()-1,19)+2)</f>
        <v>41255</v>
      </c>
      <c r="DJ1306" s="4">
        <f>INDEX(Sheet2!C:C,QUOTIENT(ROW()-1,19)+2)</f>
        <v>42369</v>
      </c>
      <c r="DK1306" s="4" t="e">
        <f>INDEX(Sheet2!$AA$2:$AS$228,QUOTIENT(ROW()-1,19)+1,MOD(ROW()-2,19)+1)</f>
        <v>#N/A</v>
      </c>
      <c r="DL1306" t="str">
        <f>IFERROR(INDEX(Sheet2!$AU$2:$BM$228,QUOTIENT(ROW()-1,19)+1,MOD(ROW()-2,19)+1),NA())</f>
        <v/>
      </c>
      <c r="DM1306" s="4" t="e">
        <f t="shared" si="81"/>
        <v>#N/A</v>
      </c>
      <c r="DN1306" t="e">
        <f t="shared" si="82"/>
        <v>#N/A</v>
      </c>
      <c r="DO1306" t="e">
        <f t="shared" si="83"/>
        <v>#N/A</v>
      </c>
    </row>
    <row r="1307" spans="7:119" x14ac:dyDescent="0.25">
      <c r="G1307"/>
      <c r="DI1307" s="4">
        <f>INDEX(Sheet2!A:A,QUOTIENT(ROW()-1,19)+2)</f>
        <v>41255</v>
      </c>
      <c r="DJ1307" s="4">
        <f>INDEX(Sheet2!C:C,QUOTIENT(ROW()-1,19)+2)</f>
        <v>42369</v>
      </c>
      <c r="DK1307" s="4" t="e">
        <f>INDEX(Sheet2!$AA$2:$AS$228,QUOTIENT(ROW()-1,19)+1,MOD(ROW()-2,19)+1)</f>
        <v>#N/A</v>
      </c>
      <c r="DL1307" t="str">
        <f>IFERROR(INDEX(Sheet2!$AU$2:$BM$228,QUOTIENT(ROW()-1,19)+1,MOD(ROW()-2,19)+1),NA())</f>
        <v/>
      </c>
      <c r="DM1307" s="4" t="e">
        <f t="shared" si="81"/>
        <v>#N/A</v>
      </c>
      <c r="DN1307" t="e">
        <f t="shared" si="82"/>
        <v>#N/A</v>
      </c>
      <c r="DO1307" t="e">
        <f t="shared" si="83"/>
        <v>#N/A</v>
      </c>
    </row>
    <row r="1308" spans="7:119" x14ac:dyDescent="0.25">
      <c r="G1308"/>
      <c r="DI1308" s="4">
        <f>INDEX(Sheet2!A:A,QUOTIENT(ROW()-1,19)+2)</f>
        <v>41255</v>
      </c>
      <c r="DJ1308" s="4">
        <f>INDEX(Sheet2!C:C,QUOTIENT(ROW()-1,19)+2)</f>
        <v>42369</v>
      </c>
      <c r="DK1308" s="4" t="e">
        <f>INDEX(Sheet2!$AA$2:$AS$228,QUOTIENT(ROW()-1,19)+1,MOD(ROW()-2,19)+1)</f>
        <v>#N/A</v>
      </c>
      <c r="DL1308" t="str">
        <f>IFERROR(INDEX(Sheet2!$AU$2:$BM$228,QUOTIENT(ROW()-1,19)+1,MOD(ROW()-2,19)+1),NA())</f>
        <v/>
      </c>
      <c r="DM1308" s="4" t="e">
        <f t="shared" si="81"/>
        <v>#N/A</v>
      </c>
      <c r="DN1308" t="e">
        <f t="shared" si="82"/>
        <v>#N/A</v>
      </c>
      <c r="DO1308" t="e">
        <f t="shared" si="83"/>
        <v>#N/A</v>
      </c>
    </row>
    <row r="1309" spans="7:119" x14ac:dyDescent="0.25">
      <c r="G1309"/>
      <c r="DI1309" s="4">
        <f>INDEX(Sheet2!A:A,QUOTIENT(ROW()-1,19)+2)</f>
        <v>41255</v>
      </c>
      <c r="DJ1309" s="4">
        <f>INDEX(Sheet2!C:C,QUOTIENT(ROW()-1,19)+2)</f>
        <v>42369</v>
      </c>
      <c r="DK1309" s="4" t="e">
        <f>INDEX(Sheet2!$AA$2:$AS$228,QUOTIENT(ROW()-1,19)+1,MOD(ROW()-2,19)+1)</f>
        <v>#N/A</v>
      </c>
      <c r="DL1309" t="str">
        <f>IFERROR(INDEX(Sheet2!$AU$2:$BM$228,QUOTIENT(ROW()-1,19)+1,MOD(ROW()-2,19)+1),NA())</f>
        <v/>
      </c>
      <c r="DM1309" s="4" t="e">
        <f t="shared" si="81"/>
        <v>#N/A</v>
      </c>
      <c r="DN1309" t="e">
        <f t="shared" si="82"/>
        <v>#N/A</v>
      </c>
      <c r="DO1309" t="e">
        <f t="shared" si="83"/>
        <v>#N/A</v>
      </c>
    </row>
    <row r="1310" spans="7:119" x14ac:dyDescent="0.25">
      <c r="G1310"/>
      <c r="DI1310" s="4">
        <f>INDEX(Sheet2!A:A,QUOTIENT(ROW()-1,19)+2)</f>
        <v>41255</v>
      </c>
      <c r="DJ1310" s="4">
        <f>INDEX(Sheet2!C:C,QUOTIENT(ROW()-1,19)+2)</f>
        <v>42369</v>
      </c>
      <c r="DK1310" s="4" t="e">
        <f>INDEX(Sheet2!$AA$2:$AS$228,QUOTIENT(ROW()-1,19)+1,MOD(ROW()-2,19)+1)</f>
        <v>#N/A</v>
      </c>
      <c r="DL1310" t="str">
        <f>IFERROR(INDEX(Sheet2!$AU$2:$BM$228,QUOTIENT(ROW()-1,19)+1,MOD(ROW()-2,19)+1),NA())</f>
        <v/>
      </c>
      <c r="DM1310" s="4" t="e">
        <f t="shared" si="81"/>
        <v>#N/A</v>
      </c>
      <c r="DN1310" t="e">
        <f t="shared" si="82"/>
        <v>#N/A</v>
      </c>
      <c r="DO1310" t="e">
        <f t="shared" si="83"/>
        <v>#N/A</v>
      </c>
    </row>
    <row r="1311" spans="7:119" x14ac:dyDescent="0.25">
      <c r="G1311"/>
      <c r="DI1311" s="4">
        <f>INDEX(Sheet2!A:A,QUOTIENT(ROW()-1,19)+2)</f>
        <v>41255</v>
      </c>
      <c r="DJ1311" s="4">
        <f>INDEX(Sheet2!C:C,QUOTIENT(ROW()-1,19)+2)</f>
        <v>42369</v>
      </c>
      <c r="DK1311" s="4" t="e">
        <f>INDEX(Sheet2!$AA$2:$AS$228,QUOTIENT(ROW()-1,19)+1,MOD(ROW()-2,19)+1)</f>
        <v>#N/A</v>
      </c>
      <c r="DL1311" t="str">
        <f>IFERROR(INDEX(Sheet2!$AU$2:$BM$228,QUOTIENT(ROW()-1,19)+1,MOD(ROW()-2,19)+1),NA())</f>
        <v/>
      </c>
      <c r="DM1311" s="4" t="e">
        <f t="shared" si="81"/>
        <v>#N/A</v>
      </c>
      <c r="DN1311" t="e">
        <f t="shared" si="82"/>
        <v>#N/A</v>
      </c>
      <c r="DO1311" t="e">
        <f t="shared" si="83"/>
        <v>#N/A</v>
      </c>
    </row>
    <row r="1312" spans="7:119" x14ac:dyDescent="0.25">
      <c r="G1312"/>
      <c r="DI1312" s="4">
        <f>INDEX(Sheet2!A:A,QUOTIENT(ROW()-1,19)+2)</f>
        <v>41255</v>
      </c>
      <c r="DJ1312" s="4">
        <f>INDEX(Sheet2!C:C,QUOTIENT(ROW()-1,19)+2)</f>
        <v>42369</v>
      </c>
      <c r="DK1312" s="4" t="e">
        <f>INDEX(Sheet2!$AA$2:$AS$228,QUOTIENT(ROW()-1,19)+1,MOD(ROW()-2,19)+1)</f>
        <v>#N/A</v>
      </c>
      <c r="DL1312" t="str">
        <f>IFERROR(INDEX(Sheet2!$AU$2:$BM$228,QUOTIENT(ROW()-1,19)+1,MOD(ROW()-2,19)+1),NA())</f>
        <v/>
      </c>
      <c r="DM1312" s="4" t="e">
        <f t="shared" si="81"/>
        <v>#N/A</v>
      </c>
      <c r="DN1312" t="e">
        <f t="shared" si="82"/>
        <v>#N/A</v>
      </c>
      <c r="DO1312" t="e">
        <f t="shared" si="83"/>
        <v>#N/A</v>
      </c>
    </row>
    <row r="1313" spans="7:119" x14ac:dyDescent="0.25">
      <c r="G1313"/>
      <c r="DI1313" s="4">
        <f>INDEX(Sheet2!A:A,QUOTIENT(ROW()-1,19)+2)</f>
        <v>41255</v>
      </c>
      <c r="DJ1313" s="4">
        <f>INDEX(Sheet2!C:C,QUOTIENT(ROW()-1,19)+2)</f>
        <v>42369</v>
      </c>
      <c r="DK1313" s="4">
        <f>INDEX(Sheet2!$AA$2:$AS$228,QUOTIENT(ROW()-1,19)+1,MOD(ROW()-2,19)+1)</f>
        <v>42369</v>
      </c>
      <c r="DL1313">
        <f>IFERROR(INDEX(Sheet2!$AU$2:$BM$228,QUOTIENT(ROW()-1,19)+1,MOD(ROW()-2,19)+1),NA())</f>
        <v>4.5</v>
      </c>
      <c r="DM1313" s="4" t="e">
        <f t="shared" si="81"/>
        <v>#N/A</v>
      </c>
      <c r="DN1313" t="e">
        <f t="shared" si="82"/>
        <v>#N/A</v>
      </c>
      <c r="DO1313" t="e">
        <f t="shared" si="83"/>
        <v>#N/A</v>
      </c>
    </row>
    <row r="1314" spans="7:119" x14ac:dyDescent="0.25">
      <c r="G1314"/>
      <c r="DI1314" s="4">
        <f>INDEX(Sheet2!A:A,QUOTIENT(ROW()-1,19)+2)</f>
        <v>41255</v>
      </c>
      <c r="DJ1314" s="4">
        <f>INDEX(Sheet2!C:C,QUOTIENT(ROW()-1,19)+2)</f>
        <v>42369</v>
      </c>
      <c r="DK1314" s="4" t="e">
        <f>INDEX(Sheet2!$AA$2:$AS$228,QUOTIENT(ROW()-1,19)+1,MOD(ROW()-2,19)+1)</f>
        <v>#N/A</v>
      </c>
      <c r="DL1314" t="str">
        <f>IFERROR(INDEX(Sheet2!$AU$2:$BM$228,QUOTIENT(ROW()-1,19)+1,MOD(ROW()-2,19)+1),NA())</f>
        <v/>
      </c>
      <c r="DM1314" s="4" t="e">
        <f t="shared" si="81"/>
        <v>#N/A</v>
      </c>
      <c r="DN1314" t="e">
        <f t="shared" si="82"/>
        <v>#N/A</v>
      </c>
      <c r="DO1314" t="e">
        <f t="shared" si="83"/>
        <v>#N/A</v>
      </c>
    </row>
    <row r="1315" spans="7:119" x14ac:dyDescent="0.25">
      <c r="G1315"/>
      <c r="DI1315" s="4">
        <f>INDEX(Sheet2!A:A,QUOTIENT(ROW()-1,19)+2)</f>
        <v>41255</v>
      </c>
      <c r="DJ1315" s="4">
        <f>INDEX(Sheet2!C:C,QUOTIENT(ROW()-1,19)+2)</f>
        <v>42369</v>
      </c>
      <c r="DK1315" s="4" t="e">
        <f>INDEX(Sheet2!$AA$2:$AS$228,QUOTIENT(ROW()-1,19)+1,MOD(ROW()-2,19)+1)</f>
        <v>#N/A</v>
      </c>
      <c r="DL1315" t="str">
        <f>IFERROR(INDEX(Sheet2!$AU$2:$BM$228,QUOTIENT(ROW()-1,19)+1,MOD(ROW()-2,19)+1),NA())</f>
        <v/>
      </c>
      <c r="DM1315" s="4" t="e">
        <f t="shared" si="81"/>
        <v>#N/A</v>
      </c>
      <c r="DN1315" t="e">
        <f t="shared" si="82"/>
        <v>#N/A</v>
      </c>
      <c r="DO1315" t="e">
        <f t="shared" si="83"/>
        <v>#N/A</v>
      </c>
    </row>
    <row r="1316" spans="7:119" x14ac:dyDescent="0.25">
      <c r="G1316"/>
      <c r="DI1316" s="4">
        <f>INDEX(Sheet2!A:A,QUOTIENT(ROW()-1,19)+2)</f>
        <v>41255</v>
      </c>
      <c r="DJ1316" s="4">
        <f>INDEX(Sheet2!C:C,QUOTIENT(ROW()-1,19)+2)</f>
        <v>42369</v>
      </c>
      <c r="DK1316" s="4" t="e">
        <f>INDEX(Sheet2!$AA$2:$AS$228,QUOTIENT(ROW()-1,19)+1,MOD(ROW()-2,19)+1)</f>
        <v>#N/A</v>
      </c>
      <c r="DL1316" t="str">
        <f>IFERROR(INDEX(Sheet2!$AU$2:$BM$228,QUOTIENT(ROW()-1,19)+1,MOD(ROW()-2,19)+1),NA())</f>
        <v/>
      </c>
      <c r="DM1316" s="4" t="e">
        <f t="shared" si="81"/>
        <v>#N/A</v>
      </c>
      <c r="DN1316" t="e">
        <f t="shared" si="82"/>
        <v>#N/A</v>
      </c>
      <c r="DO1316" t="e">
        <f t="shared" si="83"/>
        <v>#N/A</v>
      </c>
    </row>
    <row r="1317" spans="7:119" x14ac:dyDescent="0.25">
      <c r="G1317"/>
      <c r="DI1317" s="4">
        <f>INDEX(Sheet2!A:A,QUOTIENT(ROW()-1,19)+2)</f>
        <v>41255</v>
      </c>
      <c r="DJ1317" s="4">
        <f>INDEX(Sheet2!C:C,QUOTIENT(ROW()-1,19)+2)</f>
        <v>42369</v>
      </c>
      <c r="DK1317" s="4" t="e">
        <f>INDEX(Sheet2!$AA$2:$AS$228,QUOTIENT(ROW()-1,19)+1,MOD(ROW()-2,19)+1)</f>
        <v>#N/A</v>
      </c>
      <c r="DL1317" t="str">
        <f>IFERROR(INDEX(Sheet2!$AU$2:$BM$228,QUOTIENT(ROW()-1,19)+1,MOD(ROW()-2,19)+1),NA())</f>
        <v/>
      </c>
      <c r="DM1317" s="4" t="e">
        <f t="shared" si="81"/>
        <v>#N/A</v>
      </c>
      <c r="DN1317" t="e">
        <f t="shared" si="82"/>
        <v>#N/A</v>
      </c>
      <c r="DO1317" t="e">
        <f t="shared" si="83"/>
        <v>#N/A</v>
      </c>
    </row>
    <row r="1318" spans="7:119" x14ac:dyDescent="0.25">
      <c r="G1318"/>
      <c r="DI1318" s="4">
        <f>INDEX(Sheet2!A:A,QUOTIENT(ROW()-1,19)+2)</f>
        <v>41255</v>
      </c>
      <c r="DJ1318" s="4">
        <f>INDEX(Sheet2!C:C,QUOTIENT(ROW()-1,19)+2)</f>
        <v>42369</v>
      </c>
      <c r="DK1318" s="4" t="e">
        <f>INDEX(Sheet2!$AA$2:$AS$228,QUOTIENT(ROW()-1,19)+1,MOD(ROW()-2,19)+1)</f>
        <v>#N/A</v>
      </c>
      <c r="DL1318" t="str">
        <f>IFERROR(INDEX(Sheet2!$AU$2:$BM$228,QUOTIENT(ROW()-1,19)+1,MOD(ROW()-2,19)+1),NA())</f>
        <v/>
      </c>
      <c r="DM1318" s="4" t="e">
        <f t="shared" si="81"/>
        <v>#N/A</v>
      </c>
      <c r="DN1318" t="e">
        <f t="shared" si="82"/>
        <v>#N/A</v>
      </c>
      <c r="DO1318" t="e">
        <f t="shared" si="83"/>
        <v>#N/A</v>
      </c>
    </row>
    <row r="1319" spans="7:119" x14ac:dyDescent="0.25">
      <c r="G1319"/>
      <c r="DI1319" s="4">
        <f>INDEX(Sheet2!A:A,QUOTIENT(ROW()-1,19)+2)</f>
        <v>41255</v>
      </c>
      <c r="DJ1319" s="4">
        <f>INDEX(Sheet2!C:C,QUOTIENT(ROW()-1,19)+2)</f>
        <v>42369</v>
      </c>
      <c r="DK1319" s="4" t="e">
        <f>INDEX(Sheet2!$AA$2:$AS$228,QUOTIENT(ROW()-1,19)+1,MOD(ROW()-2,19)+1)</f>
        <v>#N/A</v>
      </c>
      <c r="DL1319" t="str">
        <f>IFERROR(INDEX(Sheet2!$AU$2:$BM$228,QUOTIENT(ROW()-1,19)+1,MOD(ROW()-2,19)+1),NA())</f>
        <v/>
      </c>
      <c r="DM1319" s="4" t="e">
        <f t="shared" si="81"/>
        <v>#N/A</v>
      </c>
      <c r="DN1319" t="e">
        <f t="shared" si="82"/>
        <v>#N/A</v>
      </c>
      <c r="DO1319" t="e">
        <f t="shared" si="83"/>
        <v>#N/A</v>
      </c>
    </row>
    <row r="1320" spans="7:119" x14ac:dyDescent="0.25">
      <c r="G1320"/>
      <c r="DI1320" s="4">
        <f>INDEX(Sheet2!A:A,QUOTIENT(ROW()-1,19)+2)</f>
        <v>41255</v>
      </c>
      <c r="DJ1320" s="4">
        <f>INDEX(Sheet2!C:C,QUOTIENT(ROW()-1,19)+2)</f>
        <v>42369</v>
      </c>
      <c r="DK1320" s="4" t="e">
        <f>INDEX(Sheet2!$AA$2:$AS$228,QUOTIENT(ROW()-1,19)+1,MOD(ROW()-2,19)+1)</f>
        <v>#N/A</v>
      </c>
      <c r="DL1320" t="str">
        <f>IFERROR(INDEX(Sheet2!$AU$2:$BM$228,QUOTIENT(ROW()-1,19)+1,MOD(ROW()-2,19)+1),NA())</f>
        <v/>
      </c>
      <c r="DM1320" s="4" t="e">
        <f t="shared" si="81"/>
        <v>#N/A</v>
      </c>
      <c r="DN1320" t="e">
        <f t="shared" si="82"/>
        <v>#N/A</v>
      </c>
      <c r="DO1320" t="e">
        <f t="shared" si="83"/>
        <v>#N/A</v>
      </c>
    </row>
    <row r="1321" spans="7:119" x14ac:dyDescent="0.25">
      <c r="G1321"/>
      <c r="DI1321" s="4">
        <f>INDEX(Sheet2!A:A,QUOTIENT(ROW()-1,19)+2)</f>
        <v>41255</v>
      </c>
      <c r="DJ1321" s="4">
        <f>INDEX(Sheet2!C:C,QUOTIENT(ROW()-1,19)+2)</f>
        <v>42369</v>
      </c>
      <c r="DK1321" s="4" t="e">
        <f>INDEX(Sheet2!$AA$2:$AS$228,QUOTIENT(ROW()-1,19)+1,MOD(ROW()-2,19)+1)</f>
        <v>#N/A</v>
      </c>
      <c r="DL1321" t="str">
        <f>IFERROR(INDEX(Sheet2!$AU$2:$BM$228,QUOTIENT(ROW()-1,19)+1,MOD(ROW()-2,19)+1),NA())</f>
        <v/>
      </c>
      <c r="DM1321" s="4" t="e">
        <f t="shared" si="81"/>
        <v>#N/A</v>
      </c>
      <c r="DN1321" t="e">
        <f t="shared" si="82"/>
        <v>#N/A</v>
      </c>
      <c r="DO1321" t="e">
        <f t="shared" si="83"/>
        <v>#N/A</v>
      </c>
    </row>
    <row r="1322" spans="7:119" x14ac:dyDescent="0.25">
      <c r="G1322"/>
      <c r="DI1322" s="4">
        <f>INDEX(Sheet2!A:A,QUOTIENT(ROW()-1,19)+2)</f>
        <v>41255</v>
      </c>
      <c r="DJ1322" s="4">
        <f>INDEX(Sheet2!C:C,QUOTIENT(ROW()-1,19)+2)</f>
        <v>42369</v>
      </c>
      <c r="DK1322" s="4" t="e">
        <f>INDEX(Sheet2!$AA$2:$AS$228,QUOTIENT(ROW()-1,19)+1,MOD(ROW()-2,19)+1)</f>
        <v>#N/A</v>
      </c>
      <c r="DL1322" t="str">
        <f>IFERROR(INDEX(Sheet2!$AU$2:$BM$228,QUOTIENT(ROW()-1,19)+1,MOD(ROW()-2,19)+1),NA())</f>
        <v/>
      </c>
      <c r="DM1322" s="4" t="e">
        <f t="shared" si="81"/>
        <v>#N/A</v>
      </c>
      <c r="DN1322" t="e">
        <f t="shared" si="82"/>
        <v>#N/A</v>
      </c>
      <c r="DO1322" t="e">
        <f t="shared" si="83"/>
        <v>#N/A</v>
      </c>
    </row>
    <row r="1323" spans="7:119" x14ac:dyDescent="0.25">
      <c r="G1323"/>
      <c r="DI1323" s="4">
        <f>INDEX(Sheet2!A:A,QUOTIENT(ROW()-1,19)+2)</f>
        <v>41255</v>
      </c>
      <c r="DJ1323" s="4">
        <f>INDEX(Sheet2!C:C,QUOTIENT(ROW()-1,19)+2)</f>
        <v>42369</v>
      </c>
      <c r="DK1323" s="4" t="e">
        <f>INDEX(Sheet2!$AA$2:$AS$228,QUOTIENT(ROW()-1,19)+1,MOD(ROW()-2,19)+1)</f>
        <v>#N/A</v>
      </c>
      <c r="DL1323" t="str">
        <f>IFERROR(INDEX(Sheet2!$AU$2:$BM$228,QUOTIENT(ROW()-1,19)+1,MOD(ROW()-2,19)+1),NA())</f>
        <v/>
      </c>
      <c r="DM1323" s="4" t="e">
        <f t="shared" si="81"/>
        <v>#N/A</v>
      </c>
      <c r="DN1323" t="e">
        <f t="shared" si="82"/>
        <v>#N/A</v>
      </c>
      <c r="DO1323" t="e">
        <f t="shared" si="83"/>
        <v>#N/A</v>
      </c>
    </row>
    <row r="1324" spans="7:119" x14ac:dyDescent="0.25">
      <c r="G1324"/>
      <c r="DI1324" s="4">
        <f>INDEX(Sheet2!A:A,QUOTIENT(ROW()-1,19)+2)</f>
        <v>41255</v>
      </c>
      <c r="DJ1324" s="4">
        <f>INDEX(Sheet2!C:C,QUOTIENT(ROW()-1,19)+2)</f>
        <v>42369</v>
      </c>
      <c r="DK1324" s="4" t="e">
        <f>INDEX(Sheet2!$AA$2:$AS$228,QUOTIENT(ROW()-1,19)+1,MOD(ROW()-2,19)+1)</f>
        <v>#N/A</v>
      </c>
      <c r="DL1324" t="str">
        <f>IFERROR(INDEX(Sheet2!$AU$2:$BM$228,QUOTIENT(ROW()-1,19)+1,MOD(ROW()-2,19)+1),NA())</f>
        <v/>
      </c>
      <c r="DM1324" s="4" t="e">
        <f t="shared" si="81"/>
        <v>#N/A</v>
      </c>
      <c r="DN1324" t="e">
        <f t="shared" si="82"/>
        <v>#N/A</v>
      </c>
      <c r="DO1324" t="e">
        <f t="shared" si="83"/>
        <v>#N/A</v>
      </c>
    </row>
    <row r="1325" spans="7:119" x14ac:dyDescent="0.25">
      <c r="G1325"/>
      <c r="DI1325" s="4">
        <f>INDEX(Sheet2!A:A,QUOTIENT(ROW()-1,19)+2)</f>
        <v>41255</v>
      </c>
      <c r="DJ1325" s="4">
        <f>INDEX(Sheet2!C:C,QUOTIENT(ROW()-1,19)+2)</f>
        <v>42369</v>
      </c>
      <c r="DK1325" s="4" t="e">
        <f>INDEX(Sheet2!$AA$2:$AS$228,QUOTIENT(ROW()-1,19)+1,MOD(ROW()-2,19)+1)</f>
        <v>#N/A</v>
      </c>
      <c r="DL1325" t="str">
        <f>IFERROR(INDEX(Sheet2!$AU$2:$BM$228,QUOTIENT(ROW()-1,19)+1,MOD(ROW()-2,19)+1),NA())</f>
        <v/>
      </c>
      <c r="DM1325" s="4" t="e">
        <f t="shared" si="81"/>
        <v>#N/A</v>
      </c>
      <c r="DN1325" t="e">
        <f t="shared" si="82"/>
        <v>#N/A</v>
      </c>
      <c r="DO1325" t="e">
        <f t="shared" si="83"/>
        <v>#N/A</v>
      </c>
    </row>
    <row r="1326" spans="7:119" x14ac:dyDescent="0.25">
      <c r="G1326"/>
      <c r="DI1326" s="4">
        <f>INDEX(Sheet2!A:A,QUOTIENT(ROW()-1,19)+2)</f>
        <v>41255</v>
      </c>
      <c r="DJ1326" s="4">
        <f>INDEX(Sheet2!C:C,QUOTIENT(ROW()-1,19)+2)</f>
        <v>42369</v>
      </c>
      <c r="DK1326" s="4" t="e">
        <f>INDEX(Sheet2!$AA$2:$AS$228,QUOTIENT(ROW()-1,19)+1,MOD(ROW()-2,19)+1)</f>
        <v>#N/A</v>
      </c>
      <c r="DL1326" t="str">
        <f>IFERROR(INDEX(Sheet2!$AU$2:$BM$228,QUOTIENT(ROW()-1,19)+1,MOD(ROW()-2,19)+1),NA())</f>
        <v/>
      </c>
      <c r="DM1326" s="4" t="e">
        <f t="shared" si="81"/>
        <v>#N/A</v>
      </c>
      <c r="DN1326" t="e">
        <f t="shared" si="82"/>
        <v>#N/A</v>
      </c>
      <c r="DO1326" t="e">
        <f t="shared" si="83"/>
        <v>#N/A</v>
      </c>
    </row>
    <row r="1327" spans="7:119" x14ac:dyDescent="0.25">
      <c r="G1327"/>
      <c r="DI1327" s="4">
        <f>INDEX(Sheet2!A:A,QUOTIENT(ROW()-1,19)+2)</f>
        <v>41255</v>
      </c>
      <c r="DJ1327" s="4">
        <f>INDEX(Sheet2!C:C,QUOTIENT(ROW()-1,19)+2)</f>
        <v>42369</v>
      </c>
      <c r="DK1327" s="4" t="e">
        <f>INDEX(Sheet2!$AA$2:$AS$228,QUOTIENT(ROW()-1,19)+1,MOD(ROW()-2,19)+1)</f>
        <v>#N/A</v>
      </c>
      <c r="DL1327" t="str">
        <f>IFERROR(INDEX(Sheet2!$AU$2:$BM$228,QUOTIENT(ROW()-1,19)+1,MOD(ROW()-2,19)+1),NA())</f>
        <v/>
      </c>
      <c r="DM1327" s="4" t="e">
        <f t="shared" si="81"/>
        <v>#N/A</v>
      </c>
      <c r="DN1327" t="e">
        <f t="shared" si="82"/>
        <v>#N/A</v>
      </c>
      <c r="DO1327" t="e">
        <f t="shared" si="83"/>
        <v>#N/A</v>
      </c>
    </row>
    <row r="1328" spans="7:119" x14ac:dyDescent="0.25">
      <c r="G1328"/>
      <c r="DI1328" s="4">
        <f>INDEX(Sheet2!A:A,QUOTIENT(ROW()-1,19)+2)</f>
        <v>41255</v>
      </c>
      <c r="DJ1328" s="4">
        <f>INDEX(Sheet2!C:C,QUOTIENT(ROW()-1,19)+2)</f>
        <v>42369</v>
      </c>
      <c r="DK1328" s="4" t="e">
        <f>INDEX(Sheet2!$AA$2:$AS$228,QUOTIENT(ROW()-1,19)+1,MOD(ROW()-2,19)+1)</f>
        <v>#N/A</v>
      </c>
      <c r="DL1328" t="str">
        <f>IFERROR(INDEX(Sheet2!$AU$2:$BM$228,QUOTIENT(ROW()-1,19)+1,MOD(ROW()-2,19)+1),NA())</f>
        <v/>
      </c>
      <c r="DM1328" s="4" t="e">
        <f t="shared" si="81"/>
        <v>#N/A</v>
      </c>
      <c r="DN1328" t="e">
        <f t="shared" si="82"/>
        <v>#N/A</v>
      </c>
      <c r="DO1328" t="e">
        <f t="shared" si="83"/>
        <v>#N/A</v>
      </c>
    </row>
    <row r="1329" spans="7:119" x14ac:dyDescent="0.25">
      <c r="G1329"/>
      <c r="DI1329" s="4">
        <f>INDEX(Sheet2!A:A,QUOTIENT(ROW()-1,19)+2)</f>
        <v>41255</v>
      </c>
      <c r="DJ1329" s="4">
        <f>INDEX(Sheet2!C:C,QUOTIENT(ROW()-1,19)+2)</f>
        <v>42369</v>
      </c>
      <c r="DK1329" s="4" t="e">
        <f>INDEX(Sheet2!$AA$2:$AS$228,QUOTIENT(ROW()-1,19)+1,MOD(ROW()-2,19)+1)</f>
        <v>#N/A</v>
      </c>
      <c r="DL1329" t="str">
        <f>IFERROR(INDEX(Sheet2!$AU$2:$BM$228,QUOTIENT(ROW()-1,19)+1,MOD(ROW()-2,19)+1),NA())</f>
        <v/>
      </c>
      <c r="DM1329" s="4" t="e">
        <f t="shared" si="81"/>
        <v>#N/A</v>
      </c>
      <c r="DN1329" t="e">
        <f t="shared" si="82"/>
        <v>#N/A</v>
      </c>
      <c r="DO1329" t="e">
        <f t="shared" si="83"/>
        <v>#N/A</v>
      </c>
    </row>
    <row r="1330" spans="7:119" x14ac:dyDescent="0.25">
      <c r="G1330"/>
      <c r="DI1330" s="4">
        <f>INDEX(Sheet2!A:A,QUOTIENT(ROW()-1,19)+2)</f>
        <v>41255</v>
      </c>
      <c r="DJ1330" s="4">
        <f>INDEX(Sheet2!C:C,QUOTIENT(ROW()-1,19)+2)</f>
        <v>42369</v>
      </c>
      <c r="DK1330" s="4" t="e">
        <f>INDEX(Sheet2!$AA$2:$AS$228,QUOTIENT(ROW()-1,19)+1,MOD(ROW()-2,19)+1)</f>
        <v>#N/A</v>
      </c>
      <c r="DL1330" t="str">
        <f>IFERROR(INDEX(Sheet2!$AU$2:$BM$228,QUOTIENT(ROW()-1,19)+1,MOD(ROW()-2,19)+1),NA())</f>
        <v/>
      </c>
      <c r="DM1330" s="4" t="e">
        <f t="shared" si="81"/>
        <v>#N/A</v>
      </c>
      <c r="DN1330" t="e">
        <f t="shared" si="82"/>
        <v>#N/A</v>
      </c>
      <c r="DO1330" t="e">
        <f t="shared" si="83"/>
        <v>#N/A</v>
      </c>
    </row>
    <row r="1331" spans="7:119" x14ac:dyDescent="0.25">
      <c r="G1331"/>
      <c r="DI1331" s="4">
        <f>INDEX(Sheet2!A:A,QUOTIENT(ROW()-1,19)+2)</f>
        <v>41255</v>
      </c>
      <c r="DJ1331" s="4">
        <f>INDEX(Sheet2!C:C,QUOTIENT(ROW()-1,19)+2)</f>
        <v>43100</v>
      </c>
      <c r="DK1331" s="4" t="e">
        <f>INDEX(Sheet2!$AA$2:$AS$228,QUOTIENT(ROW()-1,19)+1,MOD(ROW()-2,19)+1)</f>
        <v>#N/A</v>
      </c>
      <c r="DL1331" t="str">
        <f>IFERROR(INDEX(Sheet2!$AU$2:$BM$228,QUOTIENT(ROW()-1,19)+1,MOD(ROW()-2,19)+1),NA())</f>
        <v/>
      </c>
      <c r="DM1331" s="4" t="e">
        <f t="shared" si="81"/>
        <v>#N/A</v>
      </c>
      <c r="DN1331" t="e">
        <f t="shared" si="82"/>
        <v>#N/A</v>
      </c>
      <c r="DO1331" t="e">
        <f t="shared" si="83"/>
        <v>#N/A</v>
      </c>
    </row>
    <row r="1332" spans="7:119" x14ac:dyDescent="0.25">
      <c r="G1332"/>
      <c r="DI1332" s="4">
        <f>INDEX(Sheet2!A:A,QUOTIENT(ROW()-1,19)+2)</f>
        <v>41255</v>
      </c>
      <c r="DJ1332" s="4">
        <f>INDEX(Sheet2!C:C,QUOTIENT(ROW()-1,19)+2)</f>
        <v>43100</v>
      </c>
      <c r="DK1332" s="4">
        <f>INDEX(Sheet2!$AA$2:$AS$228,QUOTIENT(ROW()-1,19)+1,MOD(ROW()-2,19)+1)</f>
        <v>43100</v>
      </c>
      <c r="DL1332">
        <f>IFERROR(INDEX(Sheet2!$AU$2:$BM$228,QUOTIENT(ROW()-1,19)+1,MOD(ROW()-2,19)+1),NA())</f>
        <v>3</v>
      </c>
      <c r="DM1332" s="4" t="e">
        <f t="shared" si="81"/>
        <v>#N/A</v>
      </c>
      <c r="DN1332" t="e">
        <f t="shared" si="82"/>
        <v>#N/A</v>
      </c>
      <c r="DO1332" t="e">
        <f t="shared" si="83"/>
        <v>#N/A</v>
      </c>
    </row>
    <row r="1333" spans="7:119" x14ac:dyDescent="0.25">
      <c r="G1333"/>
      <c r="DI1333" s="4">
        <f>INDEX(Sheet2!A:A,QUOTIENT(ROW()-1,19)+2)</f>
        <v>41255</v>
      </c>
      <c r="DJ1333" s="4">
        <f>INDEX(Sheet2!C:C,QUOTIENT(ROW()-1,19)+2)</f>
        <v>43100</v>
      </c>
      <c r="DK1333" s="4" t="e">
        <f>INDEX(Sheet2!$AA$2:$AS$228,QUOTIENT(ROW()-1,19)+1,MOD(ROW()-2,19)+1)</f>
        <v>#N/A</v>
      </c>
      <c r="DL1333" t="str">
        <f>IFERROR(INDEX(Sheet2!$AU$2:$BM$228,QUOTIENT(ROW()-1,19)+1,MOD(ROW()-2,19)+1),NA())</f>
        <v/>
      </c>
      <c r="DM1333" s="4" t="e">
        <f t="shared" si="81"/>
        <v>#N/A</v>
      </c>
      <c r="DN1333" t="e">
        <f t="shared" si="82"/>
        <v>#N/A</v>
      </c>
      <c r="DO1333" t="e">
        <f t="shared" si="83"/>
        <v>#N/A</v>
      </c>
    </row>
    <row r="1334" spans="7:119" x14ac:dyDescent="0.25">
      <c r="G1334"/>
      <c r="DI1334" s="4">
        <f>INDEX(Sheet2!A:A,QUOTIENT(ROW()-1,19)+2)</f>
        <v>41255</v>
      </c>
      <c r="DJ1334" s="4">
        <f>INDEX(Sheet2!C:C,QUOTIENT(ROW()-1,19)+2)</f>
        <v>43100</v>
      </c>
      <c r="DK1334" s="4" t="e">
        <f>INDEX(Sheet2!$AA$2:$AS$228,QUOTIENT(ROW()-1,19)+1,MOD(ROW()-2,19)+1)</f>
        <v>#N/A</v>
      </c>
      <c r="DL1334" t="str">
        <f>IFERROR(INDEX(Sheet2!$AU$2:$BM$228,QUOTIENT(ROW()-1,19)+1,MOD(ROW()-2,19)+1),NA())</f>
        <v/>
      </c>
      <c r="DM1334" s="4" t="e">
        <f t="shared" si="81"/>
        <v>#N/A</v>
      </c>
      <c r="DN1334" t="e">
        <f t="shared" si="82"/>
        <v>#N/A</v>
      </c>
      <c r="DO1334" t="e">
        <f t="shared" si="83"/>
        <v>#N/A</v>
      </c>
    </row>
    <row r="1335" spans="7:119" x14ac:dyDescent="0.25">
      <c r="G1335"/>
      <c r="DI1335" s="4">
        <f>INDEX(Sheet2!A:A,QUOTIENT(ROW()-1,19)+2)</f>
        <v>41255</v>
      </c>
      <c r="DJ1335" s="4">
        <f>INDEX(Sheet2!C:C,QUOTIENT(ROW()-1,19)+2)</f>
        <v>43100</v>
      </c>
      <c r="DK1335" s="4" t="e">
        <f>INDEX(Sheet2!$AA$2:$AS$228,QUOTIENT(ROW()-1,19)+1,MOD(ROW()-2,19)+1)</f>
        <v>#N/A</v>
      </c>
      <c r="DL1335" t="str">
        <f>IFERROR(INDEX(Sheet2!$AU$2:$BM$228,QUOTIENT(ROW()-1,19)+1,MOD(ROW()-2,19)+1),NA())</f>
        <v/>
      </c>
      <c r="DM1335" s="4" t="e">
        <f t="shared" si="81"/>
        <v>#N/A</v>
      </c>
      <c r="DN1335" t="e">
        <f t="shared" si="82"/>
        <v>#N/A</v>
      </c>
      <c r="DO1335" t="e">
        <f t="shared" si="83"/>
        <v>#N/A</v>
      </c>
    </row>
    <row r="1336" spans="7:119" x14ac:dyDescent="0.25">
      <c r="G1336"/>
      <c r="DI1336" s="4">
        <f>INDEX(Sheet2!A:A,QUOTIENT(ROW()-1,19)+2)</f>
        <v>41255</v>
      </c>
      <c r="DJ1336" s="4">
        <f>INDEX(Sheet2!C:C,QUOTIENT(ROW()-1,19)+2)</f>
        <v>43100</v>
      </c>
      <c r="DK1336" s="4" t="e">
        <f>INDEX(Sheet2!$AA$2:$AS$228,QUOTIENT(ROW()-1,19)+1,MOD(ROW()-2,19)+1)</f>
        <v>#N/A</v>
      </c>
      <c r="DL1336" t="str">
        <f>IFERROR(INDEX(Sheet2!$AU$2:$BM$228,QUOTIENT(ROW()-1,19)+1,MOD(ROW()-2,19)+1),NA())</f>
        <v/>
      </c>
      <c r="DM1336" s="4" t="e">
        <f t="shared" si="81"/>
        <v>#N/A</v>
      </c>
      <c r="DN1336" t="e">
        <f t="shared" si="82"/>
        <v>#N/A</v>
      </c>
      <c r="DO1336" t="e">
        <f t="shared" si="83"/>
        <v>#N/A</v>
      </c>
    </row>
    <row r="1337" spans="7:119" x14ac:dyDescent="0.25">
      <c r="G1337"/>
      <c r="DI1337" s="4">
        <f>INDEX(Sheet2!A:A,QUOTIENT(ROW()-1,19)+2)</f>
        <v>41255</v>
      </c>
      <c r="DJ1337" s="4">
        <f>INDEX(Sheet2!C:C,QUOTIENT(ROW()-1,19)+2)</f>
        <v>43100</v>
      </c>
      <c r="DK1337" s="4" t="e">
        <f>INDEX(Sheet2!$AA$2:$AS$228,QUOTIENT(ROW()-1,19)+1,MOD(ROW()-2,19)+1)</f>
        <v>#N/A</v>
      </c>
      <c r="DL1337" t="str">
        <f>IFERROR(INDEX(Sheet2!$AU$2:$BM$228,QUOTIENT(ROW()-1,19)+1,MOD(ROW()-2,19)+1),NA())</f>
        <v/>
      </c>
      <c r="DM1337" s="4" t="e">
        <f t="shared" si="81"/>
        <v>#N/A</v>
      </c>
      <c r="DN1337" t="e">
        <f t="shared" si="82"/>
        <v>#N/A</v>
      </c>
      <c r="DO1337" t="e">
        <f t="shared" si="83"/>
        <v>#N/A</v>
      </c>
    </row>
    <row r="1338" spans="7:119" x14ac:dyDescent="0.25">
      <c r="G1338"/>
      <c r="DI1338" s="4">
        <f>INDEX(Sheet2!A:A,QUOTIENT(ROW()-1,19)+2)</f>
        <v>41255</v>
      </c>
      <c r="DJ1338" s="4">
        <f>INDEX(Sheet2!C:C,QUOTIENT(ROW()-1,19)+2)</f>
        <v>43100</v>
      </c>
      <c r="DK1338" s="4" t="e">
        <f>INDEX(Sheet2!$AA$2:$AS$228,QUOTIENT(ROW()-1,19)+1,MOD(ROW()-2,19)+1)</f>
        <v>#N/A</v>
      </c>
      <c r="DL1338" t="str">
        <f>IFERROR(INDEX(Sheet2!$AU$2:$BM$228,QUOTIENT(ROW()-1,19)+1,MOD(ROW()-2,19)+1),NA())</f>
        <v/>
      </c>
      <c r="DM1338" s="4" t="e">
        <f t="shared" si="81"/>
        <v>#N/A</v>
      </c>
      <c r="DN1338" t="e">
        <f t="shared" si="82"/>
        <v>#N/A</v>
      </c>
      <c r="DO1338" t="e">
        <f t="shared" si="83"/>
        <v>#N/A</v>
      </c>
    </row>
    <row r="1339" spans="7:119" x14ac:dyDescent="0.25">
      <c r="G1339"/>
      <c r="DI1339" s="4">
        <f>INDEX(Sheet2!A:A,QUOTIENT(ROW()-1,19)+2)</f>
        <v>41255</v>
      </c>
      <c r="DJ1339" s="4">
        <f>INDEX(Sheet2!C:C,QUOTIENT(ROW()-1,19)+2)</f>
        <v>43100</v>
      </c>
      <c r="DK1339" s="4" t="e">
        <f>INDEX(Sheet2!$AA$2:$AS$228,QUOTIENT(ROW()-1,19)+1,MOD(ROW()-2,19)+1)</f>
        <v>#N/A</v>
      </c>
      <c r="DL1339" t="str">
        <f>IFERROR(INDEX(Sheet2!$AU$2:$BM$228,QUOTIENT(ROW()-1,19)+1,MOD(ROW()-2,19)+1),NA())</f>
        <v/>
      </c>
      <c r="DM1339" s="4" t="e">
        <f t="shared" si="81"/>
        <v>#N/A</v>
      </c>
      <c r="DN1339" t="e">
        <f t="shared" si="82"/>
        <v>#N/A</v>
      </c>
      <c r="DO1339" t="e">
        <f t="shared" si="83"/>
        <v>#N/A</v>
      </c>
    </row>
    <row r="1340" spans="7:119" x14ac:dyDescent="0.25">
      <c r="G1340"/>
      <c r="DI1340" s="4">
        <f>INDEX(Sheet2!A:A,QUOTIENT(ROW()-1,19)+2)</f>
        <v>41255</v>
      </c>
      <c r="DJ1340" s="4">
        <f>INDEX(Sheet2!C:C,QUOTIENT(ROW()-1,19)+2)</f>
        <v>43100</v>
      </c>
      <c r="DK1340" s="4" t="e">
        <f>INDEX(Sheet2!$AA$2:$AS$228,QUOTIENT(ROW()-1,19)+1,MOD(ROW()-2,19)+1)</f>
        <v>#N/A</v>
      </c>
      <c r="DL1340" t="str">
        <f>IFERROR(INDEX(Sheet2!$AU$2:$BM$228,QUOTIENT(ROW()-1,19)+1,MOD(ROW()-2,19)+1),NA())</f>
        <v/>
      </c>
      <c r="DM1340" s="4" t="e">
        <f t="shared" si="81"/>
        <v>#N/A</v>
      </c>
      <c r="DN1340" t="e">
        <f t="shared" si="82"/>
        <v>#N/A</v>
      </c>
      <c r="DO1340" t="e">
        <f t="shared" si="83"/>
        <v>#N/A</v>
      </c>
    </row>
    <row r="1341" spans="7:119" x14ac:dyDescent="0.25">
      <c r="G1341"/>
      <c r="DI1341" s="4">
        <f>INDEX(Sheet2!A:A,QUOTIENT(ROW()-1,19)+2)</f>
        <v>41255</v>
      </c>
      <c r="DJ1341" s="4">
        <f>INDEX(Sheet2!C:C,QUOTIENT(ROW()-1,19)+2)</f>
        <v>43100</v>
      </c>
      <c r="DK1341" s="4" t="e">
        <f>INDEX(Sheet2!$AA$2:$AS$228,QUOTIENT(ROW()-1,19)+1,MOD(ROW()-2,19)+1)</f>
        <v>#N/A</v>
      </c>
      <c r="DL1341" t="str">
        <f>IFERROR(INDEX(Sheet2!$AU$2:$BM$228,QUOTIENT(ROW()-1,19)+1,MOD(ROW()-2,19)+1),NA())</f>
        <v/>
      </c>
      <c r="DM1341" s="4" t="e">
        <f t="shared" si="81"/>
        <v>#N/A</v>
      </c>
      <c r="DN1341" t="e">
        <f t="shared" si="82"/>
        <v>#N/A</v>
      </c>
      <c r="DO1341" t="e">
        <f t="shared" si="83"/>
        <v>#N/A</v>
      </c>
    </row>
    <row r="1342" spans="7:119" x14ac:dyDescent="0.25">
      <c r="G1342"/>
      <c r="DI1342" s="4">
        <f>INDEX(Sheet2!A:A,QUOTIENT(ROW()-1,19)+2)</f>
        <v>41255</v>
      </c>
      <c r="DJ1342" s="4">
        <f>INDEX(Sheet2!C:C,QUOTIENT(ROW()-1,19)+2)</f>
        <v>43100</v>
      </c>
      <c r="DK1342" s="4" t="e">
        <f>INDEX(Sheet2!$AA$2:$AS$228,QUOTIENT(ROW()-1,19)+1,MOD(ROW()-2,19)+1)</f>
        <v>#N/A</v>
      </c>
      <c r="DL1342" t="str">
        <f>IFERROR(INDEX(Sheet2!$AU$2:$BM$228,QUOTIENT(ROW()-1,19)+1,MOD(ROW()-2,19)+1),NA())</f>
        <v/>
      </c>
      <c r="DM1342" s="4" t="e">
        <f t="shared" si="81"/>
        <v>#N/A</v>
      </c>
      <c r="DN1342" t="e">
        <f t="shared" si="82"/>
        <v>#N/A</v>
      </c>
      <c r="DO1342" t="e">
        <f t="shared" si="83"/>
        <v>#N/A</v>
      </c>
    </row>
    <row r="1343" spans="7:119" x14ac:dyDescent="0.25">
      <c r="G1343"/>
      <c r="DI1343" s="4">
        <f>INDEX(Sheet2!A:A,QUOTIENT(ROW()-1,19)+2)</f>
        <v>41255</v>
      </c>
      <c r="DJ1343" s="4">
        <f>INDEX(Sheet2!C:C,QUOTIENT(ROW()-1,19)+2)</f>
        <v>43100</v>
      </c>
      <c r="DK1343" s="4" t="e">
        <f>INDEX(Sheet2!$AA$2:$AS$228,QUOTIENT(ROW()-1,19)+1,MOD(ROW()-2,19)+1)</f>
        <v>#N/A</v>
      </c>
      <c r="DL1343" t="str">
        <f>IFERROR(INDEX(Sheet2!$AU$2:$BM$228,QUOTIENT(ROW()-1,19)+1,MOD(ROW()-2,19)+1),NA())</f>
        <v/>
      </c>
      <c r="DM1343" s="4" t="e">
        <f t="shared" si="81"/>
        <v>#N/A</v>
      </c>
      <c r="DN1343" t="e">
        <f t="shared" si="82"/>
        <v>#N/A</v>
      </c>
      <c r="DO1343" t="e">
        <f t="shared" si="83"/>
        <v>#N/A</v>
      </c>
    </row>
    <row r="1344" spans="7:119" x14ac:dyDescent="0.25">
      <c r="G1344"/>
      <c r="DI1344" s="4">
        <f>INDEX(Sheet2!A:A,QUOTIENT(ROW()-1,19)+2)</f>
        <v>41255</v>
      </c>
      <c r="DJ1344" s="4">
        <f>INDEX(Sheet2!C:C,QUOTIENT(ROW()-1,19)+2)</f>
        <v>43100</v>
      </c>
      <c r="DK1344" s="4" t="e">
        <f>INDEX(Sheet2!$AA$2:$AS$228,QUOTIENT(ROW()-1,19)+1,MOD(ROW()-2,19)+1)</f>
        <v>#N/A</v>
      </c>
      <c r="DL1344" t="str">
        <f>IFERROR(INDEX(Sheet2!$AU$2:$BM$228,QUOTIENT(ROW()-1,19)+1,MOD(ROW()-2,19)+1),NA())</f>
        <v/>
      </c>
      <c r="DM1344" s="4" t="e">
        <f t="shared" si="81"/>
        <v>#N/A</v>
      </c>
      <c r="DN1344" t="e">
        <f t="shared" si="82"/>
        <v>#N/A</v>
      </c>
      <c r="DO1344" t="e">
        <f t="shared" si="83"/>
        <v>#N/A</v>
      </c>
    </row>
    <row r="1345" spans="7:119" x14ac:dyDescent="0.25">
      <c r="G1345"/>
      <c r="DI1345" s="4">
        <f>INDEX(Sheet2!A:A,QUOTIENT(ROW()-1,19)+2)</f>
        <v>41255</v>
      </c>
      <c r="DJ1345" s="4">
        <f>INDEX(Sheet2!C:C,QUOTIENT(ROW()-1,19)+2)</f>
        <v>43100</v>
      </c>
      <c r="DK1345" s="4" t="e">
        <f>INDEX(Sheet2!$AA$2:$AS$228,QUOTIENT(ROW()-1,19)+1,MOD(ROW()-2,19)+1)</f>
        <v>#N/A</v>
      </c>
      <c r="DL1345" t="str">
        <f>IFERROR(INDEX(Sheet2!$AU$2:$BM$228,QUOTIENT(ROW()-1,19)+1,MOD(ROW()-2,19)+1),NA())</f>
        <v/>
      </c>
      <c r="DM1345" s="4" t="e">
        <f t="shared" si="81"/>
        <v>#N/A</v>
      </c>
      <c r="DN1345" t="e">
        <f t="shared" si="82"/>
        <v>#N/A</v>
      </c>
      <c r="DO1345" t="e">
        <f t="shared" si="83"/>
        <v>#N/A</v>
      </c>
    </row>
    <row r="1346" spans="7:119" x14ac:dyDescent="0.25">
      <c r="G1346"/>
      <c r="DI1346" s="4">
        <f>INDEX(Sheet2!A:A,QUOTIENT(ROW()-1,19)+2)</f>
        <v>41255</v>
      </c>
      <c r="DJ1346" s="4">
        <f>INDEX(Sheet2!C:C,QUOTIENT(ROW()-1,19)+2)</f>
        <v>43100</v>
      </c>
      <c r="DK1346" s="4" t="e">
        <f>INDEX(Sheet2!$AA$2:$AS$228,QUOTIENT(ROW()-1,19)+1,MOD(ROW()-2,19)+1)</f>
        <v>#N/A</v>
      </c>
      <c r="DL1346" t="str">
        <f>IFERROR(INDEX(Sheet2!$AU$2:$BM$228,QUOTIENT(ROW()-1,19)+1,MOD(ROW()-2,19)+1),NA())</f>
        <v/>
      </c>
      <c r="DM1346" s="4" t="e">
        <f t="shared" ref="DM1346:DM1409" si="84">+IF($C$2=$DI1346,DK1346,NA())</f>
        <v>#N/A</v>
      </c>
      <c r="DN1346" t="e">
        <f t="shared" ref="DN1346:DN1409" si="85">+IF($C$2=$DI1346,DL1346,NA())</f>
        <v>#N/A</v>
      </c>
      <c r="DO1346" t="e">
        <f t="shared" si="83"/>
        <v>#N/A</v>
      </c>
    </row>
    <row r="1347" spans="7:119" x14ac:dyDescent="0.25">
      <c r="G1347"/>
      <c r="DI1347" s="4">
        <f>INDEX(Sheet2!A:A,QUOTIENT(ROW()-1,19)+2)</f>
        <v>41255</v>
      </c>
      <c r="DJ1347" s="4">
        <f>INDEX(Sheet2!C:C,QUOTIENT(ROW()-1,19)+2)</f>
        <v>43100</v>
      </c>
      <c r="DK1347" s="4" t="e">
        <f>INDEX(Sheet2!$AA$2:$AS$228,QUOTIENT(ROW()-1,19)+1,MOD(ROW()-2,19)+1)</f>
        <v>#N/A</v>
      </c>
      <c r="DL1347" t="str">
        <f>IFERROR(INDEX(Sheet2!$AU$2:$BM$228,QUOTIENT(ROW()-1,19)+1,MOD(ROW()-2,19)+1),NA())</f>
        <v/>
      </c>
      <c r="DM1347" s="4" t="e">
        <f t="shared" si="84"/>
        <v>#N/A</v>
      </c>
      <c r="DN1347" t="e">
        <f t="shared" si="85"/>
        <v>#N/A</v>
      </c>
      <c r="DO1347" t="e">
        <f t="shared" ref="DO1347:DO1410" si="86">IF(DN1347="",NA(),DN1347)</f>
        <v>#N/A</v>
      </c>
    </row>
    <row r="1348" spans="7:119" x14ac:dyDescent="0.25">
      <c r="G1348"/>
      <c r="DI1348" s="4">
        <f>INDEX(Sheet2!A:A,QUOTIENT(ROW()-1,19)+2)</f>
        <v>41255</v>
      </c>
      <c r="DJ1348" s="4">
        <f>INDEX(Sheet2!C:C,QUOTIENT(ROW()-1,19)+2)</f>
        <v>43100</v>
      </c>
      <c r="DK1348" s="4" t="e">
        <f>INDEX(Sheet2!$AA$2:$AS$228,QUOTIENT(ROW()-1,19)+1,MOD(ROW()-2,19)+1)</f>
        <v>#N/A</v>
      </c>
      <c r="DL1348" t="str">
        <f>IFERROR(INDEX(Sheet2!$AU$2:$BM$228,QUOTIENT(ROW()-1,19)+1,MOD(ROW()-2,19)+1),NA())</f>
        <v/>
      </c>
      <c r="DM1348" s="4" t="e">
        <f t="shared" si="84"/>
        <v>#N/A</v>
      </c>
      <c r="DN1348" t="e">
        <f t="shared" si="85"/>
        <v>#N/A</v>
      </c>
      <c r="DO1348" t="e">
        <f t="shared" si="86"/>
        <v>#N/A</v>
      </c>
    </row>
    <row r="1349" spans="7:119" x14ac:dyDescent="0.25">
      <c r="G1349"/>
      <c r="DI1349" s="4">
        <f>INDEX(Sheet2!A:A,QUOTIENT(ROW()-1,19)+2)</f>
        <v>41255</v>
      </c>
      <c r="DJ1349" s="4">
        <f>INDEX(Sheet2!C:C,QUOTIENT(ROW()-1,19)+2)</f>
        <v>43100</v>
      </c>
      <c r="DK1349" s="4" t="e">
        <f>INDEX(Sheet2!$AA$2:$AS$228,QUOTIENT(ROW()-1,19)+1,MOD(ROW()-2,19)+1)</f>
        <v>#N/A</v>
      </c>
      <c r="DL1349" t="str">
        <f>IFERROR(INDEX(Sheet2!$AU$2:$BM$228,QUOTIENT(ROW()-1,19)+1,MOD(ROW()-2,19)+1),NA())</f>
        <v/>
      </c>
      <c r="DM1349" s="4" t="e">
        <f t="shared" si="84"/>
        <v>#N/A</v>
      </c>
      <c r="DN1349" t="e">
        <f t="shared" si="85"/>
        <v>#N/A</v>
      </c>
      <c r="DO1349" t="e">
        <f t="shared" si="86"/>
        <v>#N/A</v>
      </c>
    </row>
    <row r="1350" spans="7:119" x14ac:dyDescent="0.25">
      <c r="G1350"/>
      <c r="DI1350" s="4">
        <f>INDEX(Sheet2!A:A,QUOTIENT(ROW()-1,19)+2)</f>
        <v>41255</v>
      </c>
      <c r="DJ1350" s="4">
        <f>INDEX(Sheet2!C:C,QUOTIENT(ROW()-1,19)+2)</f>
        <v>43100</v>
      </c>
      <c r="DK1350" s="4" t="e">
        <f>INDEX(Sheet2!$AA$2:$AS$228,QUOTIENT(ROW()-1,19)+1,MOD(ROW()-2,19)+1)</f>
        <v>#N/A</v>
      </c>
      <c r="DL1350" t="str">
        <f>IFERROR(INDEX(Sheet2!$AU$2:$BM$228,QUOTIENT(ROW()-1,19)+1,MOD(ROW()-2,19)+1),NA())</f>
        <v/>
      </c>
      <c r="DM1350" s="4" t="e">
        <f t="shared" si="84"/>
        <v>#N/A</v>
      </c>
      <c r="DN1350" t="e">
        <f t="shared" si="85"/>
        <v>#N/A</v>
      </c>
      <c r="DO1350" t="e">
        <f t="shared" si="86"/>
        <v>#N/A</v>
      </c>
    </row>
    <row r="1351" spans="7:119" x14ac:dyDescent="0.25">
      <c r="G1351"/>
      <c r="DI1351" s="4">
        <f>INDEX(Sheet2!A:A,QUOTIENT(ROW()-1,19)+2)</f>
        <v>41255</v>
      </c>
      <c r="DJ1351" s="4">
        <f>INDEX(Sheet2!C:C,QUOTIENT(ROW()-1,19)+2)</f>
        <v>43100</v>
      </c>
      <c r="DK1351" s="4">
        <f>INDEX(Sheet2!$AA$2:$AS$228,QUOTIENT(ROW()-1,19)+1,MOD(ROW()-2,19)+1)</f>
        <v>43100</v>
      </c>
      <c r="DL1351">
        <f>IFERROR(INDEX(Sheet2!$AU$2:$BM$228,QUOTIENT(ROW()-1,19)+1,MOD(ROW()-2,19)+1),NA())</f>
        <v>3.5</v>
      </c>
      <c r="DM1351" s="4" t="e">
        <f t="shared" si="84"/>
        <v>#N/A</v>
      </c>
      <c r="DN1351" t="e">
        <f t="shared" si="85"/>
        <v>#N/A</v>
      </c>
      <c r="DO1351" t="e">
        <f t="shared" si="86"/>
        <v>#N/A</v>
      </c>
    </row>
    <row r="1352" spans="7:119" x14ac:dyDescent="0.25">
      <c r="G1352"/>
      <c r="DI1352" s="4">
        <f>INDEX(Sheet2!A:A,QUOTIENT(ROW()-1,19)+2)</f>
        <v>41255</v>
      </c>
      <c r="DJ1352" s="4">
        <f>INDEX(Sheet2!C:C,QUOTIENT(ROW()-1,19)+2)</f>
        <v>43100</v>
      </c>
      <c r="DK1352" s="4" t="e">
        <f>INDEX(Sheet2!$AA$2:$AS$228,QUOTIENT(ROW()-1,19)+1,MOD(ROW()-2,19)+1)</f>
        <v>#N/A</v>
      </c>
      <c r="DL1352" t="str">
        <f>IFERROR(INDEX(Sheet2!$AU$2:$BM$228,QUOTIENT(ROW()-1,19)+1,MOD(ROW()-2,19)+1),NA())</f>
        <v/>
      </c>
      <c r="DM1352" s="4" t="e">
        <f t="shared" si="84"/>
        <v>#N/A</v>
      </c>
      <c r="DN1352" t="e">
        <f t="shared" si="85"/>
        <v>#N/A</v>
      </c>
      <c r="DO1352" t="e">
        <f t="shared" si="86"/>
        <v>#N/A</v>
      </c>
    </row>
    <row r="1353" spans="7:119" x14ac:dyDescent="0.25">
      <c r="G1353"/>
      <c r="DI1353" s="4">
        <f>INDEX(Sheet2!A:A,QUOTIENT(ROW()-1,19)+2)</f>
        <v>41255</v>
      </c>
      <c r="DJ1353" s="4">
        <f>INDEX(Sheet2!C:C,QUOTIENT(ROW()-1,19)+2)</f>
        <v>43100</v>
      </c>
      <c r="DK1353" s="4" t="e">
        <f>INDEX(Sheet2!$AA$2:$AS$228,QUOTIENT(ROW()-1,19)+1,MOD(ROW()-2,19)+1)</f>
        <v>#N/A</v>
      </c>
      <c r="DL1353" t="str">
        <f>IFERROR(INDEX(Sheet2!$AU$2:$BM$228,QUOTIENT(ROW()-1,19)+1,MOD(ROW()-2,19)+1),NA())</f>
        <v/>
      </c>
      <c r="DM1353" s="4" t="e">
        <f t="shared" si="84"/>
        <v>#N/A</v>
      </c>
      <c r="DN1353" t="e">
        <f t="shared" si="85"/>
        <v>#N/A</v>
      </c>
      <c r="DO1353" t="e">
        <f t="shared" si="86"/>
        <v>#N/A</v>
      </c>
    </row>
    <row r="1354" spans="7:119" x14ac:dyDescent="0.25">
      <c r="G1354"/>
      <c r="DI1354" s="4">
        <f>INDEX(Sheet2!A:A,QUOTIENT(ROW()-1,19)+2)</f>
        <v>41255</v>
      </c>
      <c r="DJ1354" s="4">
        <f>INDEX(Sheet2!C:C,QUOTIENT(ROW()-1,19)+2)</f>
        <v>43100</v>
      </c>
      <c r="DK1354" s="4" t="e">
        <f>INDEX(Sheet2!$AA$2:$AS$228,QUOTIENT(ROW()-1,19)+1,MOD(ROW()-2,19)+1)</f>
        <v>#N/A</v>
      </c>
      <c r="DL1354" t="str">
        <f>IFERROR(INDEX(Sheet2!$AU$2:$BM$228,QUOTIENT(ROW()-1,19)+1,MOD(ROW()-2,19)+1),NA())</f>
        <v/>
      </c>
      <c r="DM1354" s="4" t="e">
        <f t="shared" si="84"/>
        <v>#N/A</v>
      </c>
      <c r="DN1354" t="e">
        <f t="shared" si="85"/>
        <v>#N/A</v>
      </c>
      <c r="DO1354" t="e">
        <f t="shared" si="86"/>
        <v>#N/A</v>
      </c>
    </row>
    <row r="1355" spans="7:119" x14ac:dyDescent="0.25">
      <c r="G1355"/>
      <c r="DI1355" s="4">
        <f>INDEX(Sheet2!A:A,QUOTIENT(ROW()-1,19)+2)</f>
        <v>41255</v>
      </c>
      <c r="DJ1355" s="4">
        <f>INDEX(Sheet2!C:C,QUOTIENT(ROW()-1,19)+2)</f>
        <v>43100</v>
      </c>
      <c r="DK1355" s="4" t="e">
        <f>INDEX(Sheet2!$AA$2:$AS$228,QUOTIENT(ROW()-1,19)+1,MOD(ROW()-2,19)+1)</f>
        <v>#N/A</v>
      </c>
      <c r="DL1355" t="str">
        <f>IFERROR(INDEX(Sheet2!$AU$2:$BM$228,QUOTIENT(ROW()-1,19)+1,MOD(ROW()-2,19)+1),NA())</f>
        <v/>
      </c>
      <c r="DM1355" s="4" t="e">
        <f t="shared" si="84"/>
        <v>#N/A</v>
      </c>
      <c r="DN1355" t="e">
        <f t="shared" si="85"/>
        <v>#N/A</v>
      </c>
      <c r="DO1355" t="e">
        <f t="shared" si="86"/>
        <v>#N/A</v>
      </c>
    </row>
    <row r="1356" spans="7:119" x14ac:dyDescent="0.25">
      <c r="G1356"/>
      <c r="DI1356" s="4">
        <f>INDEX(Sheet2!A:A,QUOTIENT(ROW()-1,19)+2)</f>
        <v>41255</v>
      </c>
      <c r="DJ1356" s="4">
        <f>INDEX(Sheet2!C:C,QUOTIENT(ROW()-1,19)+2)</f>
        <v>43100</v>
      </c>
      <c r="DK1356" s="4" t="e">
        <f>INDEX(Sheet2!$AA$2:$AS$228,QUOTIENT(ROW()-1,19)+1,MOD(ROW()-2,19)+1)</f>
        <v>#N/A</v>
      </c>
      <c r="DL1356" t="str">
        <f>IFERROR(INDEX(Sheet2!$AU$2:$BM$228,QUOTIENT(ROW()-1,19)+1,MOD(ROW()-2,19)+1),NA())</f>
        <v/>
      </c>
      <c r="DM1356" s="4" t="e">
        <f t="shared" si="84"/>
        <v>#N/A</v>
      </c>
      <c r="DN1356" t="e">
        <f t="shared" si="85"/>
        <v>#N/A</v>
      </c>
      <c r="DO1356" t="e">
        <f t="shared" si="86"/>
        <v>#N/A</v>
      </c>
    </row>
    <row r="1357" spans="7:119" x14ac:dyDescent="0.25">
      <c r="G1357"/>
      <c r="DI1357" s="4">
        <f>INDEX(Sheet2!A:A,QUOTIENT(ROW()-1,19)+2)</f>
        <v>41255</v>
      </c>
      <c r="DJ1357" s="4">
        <f>INDEX(Sheet2!C:C,QUOTIENT(ROW()-1,19)+2)</f>
        <v>43100</v>
      </c>
      <c r="DK1357" s="4" t="e">
        <f>INDEX(Sheet2!$AA$2:$AS$228,QUOTIENT(ROW()-1,19)+1,MOD(ROW()-2,19)+1)</f>
        <v>#N/A</v>
      </c>
      <c r="DL1357" t="str">
        <f>IFERROR(INDEX(Sheet2!$AU$2:$BM$228,QUOTIENT(ROW()-1,19)+1,MOD(ROW()-2,19)+1),NA())</f>
        <v/>
      </c>
      <c r="DM1357" s="4" t="e">
        <f t="shared" si="84"/>
        <v>#N/A</v>
      </c>
      <c r="DN1357" t="e">
        <f t="shared" si="85"/>
        <v>#N/A</v>
      </c>
      <c r="DO1357" t="e">
        <f t="shared" si="86"/>
        <v>#N/A</v>
      </c>
    </row>
    <row r="1358" spans="7:119" x14ac:dyDescent="0.25">
      <c r="G1358"/>
      <c r="DI1358" s="4">
        <f>INDEX(Sheet2!A:A,QUOTIENT(ROW()-1,19)+2)</f>
        <v>41255</v>
      </c>
      <c r="DJ1358" s="4">
        <f>INDEX(Sheet2!C:C,QUOTIENT(ROW()-1,19)+2)</f>
        <v>43100</v>
      </c>
      <c r="DK1358" s="4" t="e">
        <f>INDEX(Sheet2!$AA$2:$AS$228,QUOTIENT(ROW()-1,19)+1,MOD(ROW()-2,19)+1)</f>
        <v>#N/A</v>
      </c>
      <c r="DL1358" t="str">
        <f>IFERROR(INDEX(Sheet2!$AU$2:$BM$228,QUOTIENT(ROW()-1,19)+1,MOD(ROW()-2,19)+1),NA())</f>
        <v/>
      </c>
      <c r="DM1358" s="4" t="e">
        <f t="shared" si="84"/>
        <v>#N/A</v>
      </c>
      <c r="DN1358" t="e">
        <f t="shared" si="85"/>
        <v>#N/A</v>
      </c>
      <c r="DO1358" t="e">
        <f t="shared" si="86"/>
        <v>#N/A</v>
      </c>
    </row>
    <row r="1359" spans="7:119" x14ac:dyDescent="0.25">
      <c r="G1359"/>
      <c r="DI1359" s="4">
        <f>INDEX(Sheet2!A:A,QUOTIENT(ROW()-1,19)+2)</f>
        <v>41255</v>
      </c>
      <c r="DJ1359" s="4">
        <f>INDEX(Sheet2!C:C,QUOTIENT(ROW()-1,19)+2)</f>
        <v>43100</v>
      </c>
      <c r="DK1359" s="4" t="e">
        <f>INDEX(Sheet2!$AA$2:$AS$228,QUOTIENT(ROW()-1,19)+1,MOD(ROW()-2,19)+1)</f>
        <v>#N/A</v>
      </c>
      <c r="DL1359" t="str">
        <f>IFERROR(INDEX(Sheet2!$AU$2:$BM$228,QUOTIENT(ROW()-1,19)+1,MOD(ROW()-2,19)+1),NA())</f>
        <v/>
      </c>
      <c r="DM1359" s="4" t="e">
        <f t="shared" si="84"/>
        <v>#N/A</v>
      </c>
      <c r="DN1359" t="e">
        <f t="shared" si="85"/>
        <v>#N/A</v>
      </c>
      <c r="DO1359" t="e">
        <f t="shared" si="86"/>
        <v>#N/A</v>
      </c>
    </row>
    <row r="1360" spans="7:119" x14ac:dyDescent="0.25">
      <c r="G1360"/>
      <c r="DI1360" s="4">
        <f>INDEX(Sheet2!A:A,QUOTIENT(ROW()-1,19)+2)</f>
        <v>41255</v>
      </c>
      <c r="DJ1360" s="4">
        <f>INDEX(Sheet2!C:C,QUOTIENT(ROW()-1,19)+2)</f>
        <v>43100</v>
      </c>
      <c r="DK1360" s="4" t="e">
        <f>INDEX(Sheet2!$AA$2:$AS$228,QUOTIENT(ROW()-1,19)+1,MOD(ROW()-2,19)+1)</f>
        <v>#N/A</v>
      </c>
      <c r="DL1360" t="str">
        <f>IFERROR(INDEX(Sheet2!$AU$2:$BM$228,QUOTIENT(ROW()-1,19)+1,MOD(ROW()-2,19)+1),NA())</f>
        <v/>
      </c>
      <c r="DM1360" s="4" t="e">
        <f t="shared" si="84"/>
        <v>#N/A</v>
      </c>
      <c r="DN1360" t="e">
        <f t="shared" si="85"/>
        <v>#N/A</v>
      </c>
      <c r="DO1360" t="e">
        <f t="shared" si="86"/>
        <v>#N/A</v>
      </c>
    </row>
    <row r="1361" spans="7:119" x14ac:dyDescent="0.25">
      <c r="G1361"/>
      <c r="DI1361" s="4">
        <f>INDEX(Sheet2!A:A,QUOTIENT(ROW()-1,19)+2)</f>
        <v>41255</v>
      </c>
      <c r="DJ1361" s="4">
        <f>INDEX(Sheet2!C:C,QUOTIENT(ROW()-1,19)+2)</f>
        <v>43100</v>
      </c>
      <c r="DK1361" s="4" t="e">
        <f>INDEX(Sheet2!$AA$2:$AS$228,QUOTIENT(ROW()-1,19)+1,MOD(ROW()-2,19)+1)</f>
        <v>#N/A</v>
      </c>
      <c r="DL1361" t="str">
        <f>IFERROR(INDEX(Sheet2!$AU$2:$BM$228,QUOTIENT(ROW()-1,19)+1,MOD(ROW()-2,19)+1),NA())</f>
        <v/>
      </c>
      <c r="DM1361" s="4" t="e">
        <f t="shared" si="84"/>
        <v>#N/A</v>
      </c>
      <c r="DN1361" t="e">
        <f t="shared" si="85"/>
        <v>#N/A</v>
      </c>
      <c r="DO1361" t="e">
        <f t="shared" si="86"/>
        <v>#N/A</v>
      </c>
    </row>
    <row r="1362" spans="7:119" x14ac:dyDescent="0.25">
      <c r="G1362"/>
      <c r="DI1362" s="4">
        <f>INDEX(Sheet2!A:A,QUOTIENT(ROW()-1,19)+2)</f>
        <v>41255</v>
      </c>
      <c r="DJ1362" s="4">
        <f>INDEX(Sheet2!C:C,QUOTIENT(ROW()-1,19)+2)</f>
        <v>43100</v>
      </c>
      <c r="DK1362" s="4" t="e">
        <f>INDEX(Sheet2!$AA$2:$AS$228,QUOTIENT(ROW()-1,19)+1,MOD(ROW()-2,19)+1)</f>
        <v>#N/A</v>
      </c>
      <c r="DL1362" t="str">
        <f>IFERROR(INDEX(Sheet2!$AU$2:$BM$228,QUOTIENT(ROW()-1,19)+1,MOD(ROW()-2,19)+1),NA())</f>
        <v/>
      </c>
      <c r="DM1362" s="4" t="e">
        <f t="shared" si="84"/>
        <v>#N/A</v>
      </c>
      <c r="DN1362" t="e">
        <f t="shared" si="85"/>
        <v>#N/A</v>
      </c>
      <c r="DO1362" t="e">
        <f t="shared" si="86"/>
        <v>#N/A</v>
      </c>
    </row>
    <row r="1363" spans="7:119" x14ac:dyDescent="0.25">
      <c r="G1363"/>
      <c r="DI1363" s="4">
        <f>INDEX(Sheet2!A:A,QUOTIENT(ROW()-1,19)+2)</f>
        <v>41255</v>
      </c>
      <c r="DJ1363" s="4">
        <f>INDEX(Sheet2!C:C,QUOTIENT(ROW()-1,19)+2)</f>
        <v>43100</v>
      </c>
      <c r="DK1363" s="4" t="e">
        <f>INDEX(Sheet2!$AA$2:$AS$228,QUOTIENT(ROW()-1,19)+1,MOD(ROW()-2,19)+1)</f>
        <v>#N/A</v>
      </c>
      <c r="DL1363" t="str">
        <f>IFERROR(INDEX(Sheet2!$AU$2:$BM$228,QUOTIENT(ROW()-1,19)+1,MOD(ROW()-2,19)+1),NA())</f>
        <v/>
      </c>
      <c r="DM1363" s="4" t="e">
        <f t="shared" si="84"/>
        <v>#N/A</v>
      </c>
      <c r="DN1363" t="e">
        <f t="shared" si="85"/>
        <v>#N/A</v>
      </c>
      <c r="DO1363" t="e">
        <f t="shared" si="86"/>
        <v>#N/A</v>
      </c>
    </row>
    <row r="1364" spans="7:119" x14ac:dyDescent="0.25">
      <c r="G1364"/>
      <c r="DI1364" s="4">
        <f>INDEX(Sheet2!A:A,QUOTIENT(ROW()-1,19)+2)</f>
        <v>41255</v>
      </c>
      <c r="DJ1364" s="4">
        <f>INDEX(Sheet2!C:C,QUOTIENT(ROW()-1,19)+2)</f>
        <v>43100</v>
      </c>
      <c r="DK1364" s="4" t="e">
        <f>INDEX(Sheet2!$AA$2:$AS$228,QUOTIENT(ROW()-1,19)+1,MOD(ROW()-2,19)+1)</f>
        <v>#N/A</v>
      </c>
      <c r="DL1364" t="str">
        <f>IFERROR(INDEX(Sheet2!$AU$2:$BM$228,QUOTIENT(ROW()-1,19)+1,MOD(ROW()-2,19)+1),NA())</f>
        <v/>
      </c>
      <c r="DM1364" s="4" t="e">
        <f t="shared" si="84"/>
        <v>#N/A</v>
      </c>
      <c r="DN1364" t="e">
        <f t="shared" si="85"/>
        <v>#N/A</v>
      </c>
      <c r="DO1364" t="e">
        <f t="shared" si="86"/>
        <v>#N/A</v>
      </c>
    </row>
    <row r="1365" spans="7:119" x14ac:dyDescent="0.25">
      <c r="G1365"/>
      <c r="DI1365" s="4">
        <f>INDEX(Sheet2!A:A,QUOTIENT(ROW()-1,19)+2)</f>
        <v>41255</v>
      </c>
      <c r="DJ1365" s="4">
        <f>INDEX(Sheet2!C:C,QUOTIENT(ROW()-1,19)+2)</f>
        <v>43100</v>
      </c>
      <c r="DK1365" s="4" t="e">
        <f>INDEX(Sheet2!$AA$2:$AS$228,QUOTIENT(ROW()-1,19)+1,MOD(ROW()-2,19)+1)</f>
        <v>#N/A</v>
      </c>
      <c r="DL1365" t="str">
        <f>IFERROR(INDEX(Sheet2!$AU$2:$BM$228,QUOTIENT(ROW()-1,19)+1,MOD(ROW()-2,19)+1),NA())</f>
        <v/>
      </c>
      <c r="DM1365" s="4" t="e">
        <f t="shared" si="84"/>
        <v>#N/A</v>
      </c>
      <c r="DN1365" t="e">
        <f t="shared" si="85"/>
        <v>#N/A</v>
      </c>
      <c r="DO1365" t="e">
        <f t="shared" si="86"/>
        <v>#N/A</v>
      </c>
    </row>
    <row r="1366" spans="7:119" x14ac:dyDescent="0.25">
      <c r="G1366"/>
      <c r="DI1366" s="4">
        <f>INDEX(Sheet2!A:A,QUOTIENT(ROW()-1,19)+2)</f>
        <v>41255</v>
      </c>
      <c r="DJ1366" s="4">
        <f>INDEX(Sheet2!C:C,QUOTIENT(ROW()-1,19)+2)</f>
        <v>43100</v>
      </c>
      <c r="DK1366" s="4" t="e">
        <f>INDEX(Sheet2!$AA$2:$AS$228,QUOTIENT(ROW()-1,19)+1,MOD(ROW()-2,19)+1)</f>
        <v>#N/A</v>
      </c>
      <c r="DL1366" t="str">
        <f>IFERROR(INDEX(Sheet2!$AU$2:$BM$228,QUOTIENT(ROW()-1,19)+1,MOD(ROW()-2,19)+1),NA())</f>
        <v/>
      </c>
      <c r="DM1366" s="4" t="e">
        <f t="shared" si="84"/>
        <v>#N/A</v>
      </c>
      <c r="DN1366" t="e">
        <f t="shared" si="85"/>
        <v>#N/A</v>
      </c>
      <c r="DO1366" t="e">
        <f t="shared" si="86"/>
        <v>#N/A</v>
      </c>
    </row>
    <row r="1367" spans="7:119" x14ac:dyDescent="0.25">
      <c r="G1367"/>
      <c r="DI1367" s="4">
        <f>INDEX(Sheet2!A:A,QUOTIENT(ROW()-1,19)+2)</f>
        <v>41255</v>
      </c>
      <c r="DJ1367" s="4">
        <f>INDEX(Sheet2!C:C,QUOTIENT(ROW()-1,19)+2)</f>
        <v>43100</v>
      </c>
      <c r="DK1367" s="4" t="e">
        <f>INDEX(Sheet2!$AA$2:$AS$228,QUOTIENT(ROW()-1,19)+1,MOD(ROW()-2,19)+1)</f>
        <v>#N/A</v>
      </c>
      <c r="DL1367" t="str">
        <f>IFERROR(INDEX(Sheet2!$AU$2:$BM$228,QUOTIENT(ROW()-1,19)+1,MOD(ROW()-2,19)+1),NA())</f>
        <v/>
      </c>
      <c r="DM1367" s="4" t="e">
        <f t="shared" si="84"/>
        <v>#N/A</v>
      </c>
      <c r="DN1367" t="e">
        <f t="shared" si="85"/>
        <v>#N/A</v>
      </c>
      <c r="DO1367" t="e">
        <f t="shared" si="86"/>
        <v>#N/A</v>
      </c>
    </row>
    <row r="1368" spans="7:119" x14ac:dyDescent="0.25">
      <c r="G1368"/>
      <c r="DI1368" s="4">
        <f>INDEX(Sheet2!A:A,QUOTIENT(ROW()-1,19)+2)</f>
        <v>41255</v>
      </c>
      <c r="DJ1368" s="4">
        <f>INDEX(Sheet2!C:C,QUOTIENT(ROW()-1,19)+2)</f>
        <v>43100</v>
      </c>
      <c r="DK1368" s="4" t="e">
        <f>INDEX(Sheet2!$AA$2:$AS$228,QUOTIENT(ROW()-1,19)+1,MOD(ROW()-2,19)+1)</f>
        <v>#N/A</v>
      </c>
      <c r="DL1368" t="str">
        <f>IFERROR(INDEX(Sheet2!$AU$2:$BM$228,QUOTIENT(ROW()-1,19)+1,MOD(ROW()-2,19)+1),NA())</f>
        <v/>
      </c>
      <c r="DM1368" s="4" t="e">
        <f t="shared" si="84"/>
        <v>#N/A</v>
      </c>
      <c r="DN1368" t="e">
        <f t="shared" si="85"/>
        <v>#N/A</v>
      </c>
      <c r="DO1368" t="e">
        <f t="shared" si="86"/>
        <v>#N/A</v>
      </c>
    </row>
    <row r="1369" spans="7:119" x14ac:dyDescent="0.25">
      <c r="G1369"/>
      <c r="DI1369" s="4">
        <f>INDEX(Sheet2!A:A,QUOTIENT(ROW()-1,19)+2)</f>
        <v>41255</v>
      </c>
      <c r="DJ1369" s="4">
        <f>INDEX(Sheet2!C:C,QUOTIENT(ROW()-1,19)+2)</f>
        <v>43100</v>
      </c>
      <c r="DK1369" s="4" t="e">
        <f>INDEX(Sheet2!$AA$2:$AS$228,QUOTIENT(ROW()-1,19)+1,MOD(ROW()-2,19)+1)</f>
        <v>#N/A</v>
      </c>
      <c r="DL1369" t="str">
        <f>IFERROR(INDEX(Sheet2!$AU$2:$BM$228,QUOTIENT(ROW()-1,19)+1,MOD(ROW()-2,19)+1),NA())</f>
        <v/>
      </c>
      <c r="DM1369" s="4" t="e">
        <f t="shared" si="84"/>
        <v>#N/A</v>
      </c>
      <c r="DN1369" t="e">
        <f t="shared" si="85"/>
        <v>#N/A</v>
      </c>
      <c r="DO1369" t="e">
        <f t="shared" si="86"/>
        <v>#N/A</v>
      </c>
    </row>
    <row r="1370" spans="7:119" x14ac:dyDescent="0.25">
      <c r="G1370"/>
      <c r="DI1370" s="4">
        <f>INDEX(Sheet2!A:A,QUOTIENT(ROW()-1,19)+2)</f>
        <v>41255</v>
      </c>
      <c r="DJ1370" s="4">
        <f>INDEX(Sheet2!C:C,QUOTIENT(ROW()-1,19)+2)</f>
        <v>43100</v>
      </c>
      <c r="DK1370" s="4">
        <f>INDEX(Sheet2!$AA$2:$AS$228,QUOTIENT(ROW()-1,19)+1,MOD(ROW()-2,19)+1)</f>
        <v>43079.924999999996</v>
      </c>
      <c r="DL1370">
        <f>IFERROR(INDEX(Sheet2!$AU$2:$BM$228,QUOTIENT(ROW()-1,19)+1,MOD(ROW()-2,19)+1),NA())</f>
        <v>3.75</v>
      </c>
      <c r="DM1370" s="4" t="e">
        <f t="shared" si="84"/>
        <v>#N/A</v>
      </c>
      <c r="DN1370" t="e">
        <f t="shared" si="85"/>
        <v>#N/A</v>
      </c>
      <c r="DO1370" t="e">
        <f t="shared" si="86"/>
        <v>#N/A</v>
      </c>
    </row>
    <row r="1371" spans="7:119" x14ac:dyDescent="0.25">
      <c r="G1371"/>
      <c r="DI1371" s="4">
        <f>INDEX(Sheet2!A:A,QUOTIENT(ROW()-1,19)+2)</f>
        <v>41255</v>
      </c>
      <c r="DJ1371" s="4">
        <f>INDEX(Sheet2!C:C,QUOTIENT(ROW()-1,19)+2)</f>
        <v>43100</v>
      </c>
      <c r="DK1371" s="4">
        <f>INDEX(Sheet2!$AA$2:$AS$228,QUOTIENT(ROW()-1,19)+1,MOD(ROW()-2,19)+1)</f>
        <v>43100</v>
      </c>
      <c r="DL1371">
        <f>IFERROR(INDEX(Sheet2!$AU$2:$BM$228,QUOTIENT(ROW()-1,19)+1,MOD(ROW()-2,19)+1),NA())</f>
        <v>3.75</v>
      </c>
      <c r="DM1371" s="4" t="e">
        <f t="shared" si="84"/>
        <v>#N/A</v>
      </c>
      <c r="DN1371" t="e">
        <f t="shared" si="85"/>
        <v>#N/A</v>
      </c>
      <c r="DO1371" t="e">
        <f t="shared" si="86"/>
        <v>#N/A</v>
      </c>
    </row>
    <row r="1372" spans="7:119" x14ac:dyDescent="0.25">
      <c r="G1372"/>
      <c r="DI1372" s="4">
        <f>INDEX(Sheet2!A:A,QUOTIENT(ROW()-1,19)+2)</f>
        <v>41255</v>
      </c>
      <c r="DJ1372" s="4">
        <f>INDEX(Sheet2!C:C,QUOTIENT(ROW()-1,19)+2)</f>
        <v>43100</v>
      </c>
      <c r="DK1372" s="4">
        <f>INDEX(Sheet2!$AA$2:$AS$228,QUOTIENT(ROW()-1,19)+1,MOD(ROW()-2,19)+1)</f>
        <v>43120.074999999997</v>
      </c>
      <c r="DL1372">
        <f>IFERROR(INDEX(Sheet2!$AU$2:$BM$228,QUOTIENT(ROW()-1,19)+1,MOD(ROW()-2,19)+1),NA())</f>
        <v>3.75</v>
      </c>
      <c r="DM1372" s="4" t="e">
        <f t="shared" si="84"/>
        <v>#N/A</v>
      </c>
      <c r="DN1372" t="e">
        <f t="shared" si="85"/>
        <v>#N/A</v>
      </c>
      <c r="DO1372" t="e">
        <f t="shared" si="86"/>
        <v>#N/A</v>
      </c>
    </row>
    <row r="1373" spans="7:119" x14ac:dyDescent="0.25">
      <c r="G1373"/>
      <c r="DI1373" s="4">
        <f>INDEX(Sheet2!A:A,QUOTIENT(ROW()-1,19)+2)</f>
        <v>41255</v>
      </c>
      <c r="DJ1373" s="4">
        <f>INDEX(Sheet2!C:C,QUOTIENT(ROW()-1,19)+2)</f>
        <v>43100</v>
      </c>
      <c r="DK1373" s="4" t="e">
        <f>INDEX(Sheet2!$AA$2:$AS$228,QUOTIENT(ROW()-1,19)+1,MOD(ROW()-2,19)+1)</f>
        <v>#N/A</v>
      </c>
      <c r="DL1373" t="str">
        <f>IFERROR(INDEX(Sheet2!$AU$2:$BM$228,QUOTIENT(ROW()-1,19)+1,MOD(ROW()-2,19)+1),NA())</f>
        <v/>
      </c>
      <c r="DM1373" s="4" t="e">
        <f t="shared" si="84"/>
        <v>#N/A</v>
      </c>
      <c r="DN1373" t="e">
        <f t="shared" si="85"/>
        <v>#N/A</v>
      </c>
      <c r="DO1373" t="e">
        <f t="shared" si="86"/>
        <v>#N/A</v>
      </c>
    </row>
    <row r="1374" spans="7:119" x14ac:dyDescent="0.25">
      <c r="G1374"/>
      <c r="DI1374" s="4">
        <f>INDEX(Sheet2!A:A,QUOTIENT(ROW()-1,19)+2)</f>
        <v>41255</v>
      </c>
      <c r="DJ1374" s="4">
        <f>INDEX(Sheet2!C:C,QUOTIENT(ROW()-1,19)+2)</f>
        <v>43100</v>
      </c>
      <c r="DK1374" s="4" t="e">
        <f>INDEX(Sheet2!$AA$2:$AS$228,QUOTIENT(ROW()-1,19)+1,MOD(ROW()-2,19)+1)</f>
        <v>#N/A</v>
      </c>
      <c r="DL1374" t="str">
        <f>IFERROR(INDEX(Sheet2!$AU$2:$BM$228,QUOTIENT(ROW()-1,19)+1,MOD(ROW()-2,19)+1),NA())</f>
        <v/>
      </c>
      <c r="DM1374" s="4" t="e">
        <f t="shared" si="84"/>
        <v>#N/A</v>
      </c>
      <c r="DN1374" t="e">
        <f t="shared" si="85"/>
        <v>#N/A</v>
      </c>
      <c r="DO1374" t="e">
        <f t="shared" si="86"/>
        <v>#N/A</v>
      </c>
    </row>
    <row r="1375" spans="7:119" x14ac:dyDescent="0.25">
      <c r="G1375"/>
      <c r="DI1375" s="4">
        <f>INDEX(Sheet2!A:A,QUOTIENT(ROW()-1,19)+2)</f>
        <v>41255</v>
      </c>
      <c r="DJ1375" s="4">
        <f>INDEX(Sheet2!C:C,QUOTIENT(ROW()-1,19)+2)</f>
        <v>43100</v>
      </c>
      <c r="DK1375" s="4" t="e">
        <f>INDEX(Sheet2!$AA$2:$AS$228,QUOTIENT(ROW()-1,19)+1,MOD(ROW()-2,19)+1)</f>
        <v>#N/A</v>
      </c>
      <c r="DL1375" t="str">
        <f>IFERROR(INDEX(Sheet2!$AU$2:$BM$228,QUOTIENT(ROW()-1,19)+1,MOD(ROW()-2,19)+1),NA())</f>
        <v/>
      </c>
      <c r="DM1375" s="4" t="e">
        <f t="shared" si="84"/>
        <v>#N/A</v>
      </c>
      <c r="DN1375" t="e">
        <f t="shared" si="85"/>
        <v>#N/A</v>
      </c>
      <c r="DO1375" t="e">
        <f t="shared" si="86"/>
        <v>#N/A</v>
      </c>
    </row>
    <row r="1376" spans="7:119" x14ac:dyDescent="0.25">
      <c r="G1376"/>
      <c r="DI1376" s="4">
        <f>INDEX(Sheet2!A:A,QUOTIENT(ROW()-1,19)+2)</f>
        <v>41255</v>
      </c>
      <c r="DJ1376" s="4">
        <f>INDEX(Sheet2!C:C,QUOTIENT(ROW()-1,19)+2)</f>
        <v>43100</v>
      </c>
      <c r="DK1376" s="4" t="e">
        <f>INDEX(Sheet2!$AA$2:$AS$228,QUOTIENT(ROW()-1,19)+1,MOD(ROW()-2,19)+1)</f>
        <v>#N/A</v>
      </c>
      <c r="DL1376" t="str">
        <f>IFERROR(INDEX(Sheet2!$AU$2:$BM$228,QUOTIENT(ROW()-1,19)+1,MOD(ROW()-2,19)+1),NA())</f>
        <v/>
      </c>
      <c r="DM1376" s="4" t="e">
        <f t="shared" si="84"/>
        <v>#N/A</v>
      </c>
      <c r="DN1376" t="e">
        <f t="shared" si="85"/>
        <v>#N/A</v>
      </c>
      <c r="DO1376" t="e">
        <f t="shared" si="86"/>
        <v>#N/A</v>
      </c>
    </row>
    <row r="1377" spans="7:119" x14ac:dyDescent="0.25">
      <c r="G1377"/>
      <c r="DI1377" s="4">
        <f>INDEX(Sheet2!A:A,QUOTIENT(ROW()-1,19)+2)</f>
        <v>41255</v>
      </c>
      <c r="DJ1377" s="4">
        <f>INDEX(Sheet2!C:C,QUOTIENT(ROW()-1,19)+2)</f>
        <v>43100</v>
      </c>
      <c r="DK1377" s="4" t="e">
        <f>INDEX(Sheet2!$AA$2:$AS$228,QUOTIENT(ROW()-1,19)+1,MOD(ROW()-2,19)+1)</f>
        <v>#N/A</v>
      </c>
      <c r="DL1377" t="str">
        <f>IFERROR(INDEX(Sheet2!$AU$2:$BM$228,QUOTIENT(ROW()-1,19)+1,MOD(ROW()-2,19)+1),NA())</f>
        <v/>
      </c>
      <c r="DM1377" s="4" t="e">
        <f t="shared" si="84"/>
        <v>#N/A</v>
      </c>
      <c r="DN1377" t="e">
        <f t="shared" si="85"/>
        <v>#N/A</v>
      </c>
      <c r="DO1377" t="e">
        <f t="shared" si="86"/>
        <v>#N/A</v>
      </c>
    </row>
    <row r="1378" spans="7:119" x14ac:dyDescent="0.25">
      <c r="G1378"/>
      <c r="DI1378" s="4">
        <f>INDEX(Sheet2!A:A,QUOTIENT(ROW()-1,19)+2)</f>
        <v>41255</v>
      </c>
      <c r="DJ1378" s="4">
        <f>INDEX(Sheet2!C:C,QUOTIENT(ROW()-1,19)+2)</f>
        <v>43100</v>
      </c>
      <c r="DK1378" s="4" t="e">
        <f>INDEX(Sheet2!$AA$2:$AS$228,QUOTIENT(ROW()-1,19)+1,MOD(ROW()-2,19)+1)</f>
        <v>#N/A</v>
      </c>
      <c r="DL1378" t="str">
        <f>IFERROR(INDEX(Sheet2!$AU$2:$BM$228,QUOTIENT(ROW()-1,19)+1,MOD(ROW()-2,19)+1),NA())</f>
        <v/>
      </c>
      <c r="DM1378" s="4" t="e">
        <f t="shared" si="84"/>
        <v>#N/A</v>
      </c>
      <c r="DN1378" t="e">
        <f t="shared" si="85"/>
        <v>#N/A</v>
      </c>
      <c r="DO1378" t="e">
        <f t="shared" si="86"/>
        <v>#N/A</v>
      </c>
    </row>
    <row r="1379" spans="7:119" x14ac:dyDescent="0.25">
      <c r="G1379"/>
      <c r="DI1379" s="4">
        <f>INDEX(Sheet2!A:A,QUOTIENT(ROW()-1,19)+2)</f>
        <v>41255</v>
      </c>
      <c r="DJ1379" s="4">
        <f>INDEX(Sheet2!C:C,QUOTIENT(ROW()-1,19)+2)</f>
        <v>43100</v>
      </c>
      <c r="DK1379" s="4" t="e">
        <f>INDEX(Sheet2!$AA$2:$AS$228,QUOTIENT(ROW()-1,19)+1,MOD(ROW()-2,19)+1)</f>
        <v>#N/A</v>
      </c>
      <c r="DL1379" t="str">
        <f>IFERROR(INDEX(Sheet2!$AU$2:$BM$228,QUOTIENT(ROW()-1,19)+1,MOD(ROW()-2,19)+1),NA())</f>
        <v/>
      </c>
      <c r="DM1379" s="4" t="e">
        <f t="shared" si="84"/>
        <v>#N/A</v>
      </c>
      <c r="DN1379" t="e">
        <f t="shared" si="85"/>
        <v>#N/A</v>
      </c>
      <c r="DO1379" t="e">
        <f t="shared" si="86"/>
        <v>#N/A</v>
      </c>
    </row>
    <row r="1380" spans="7:119" x14ac:dyDescent="0.25">
      <c r="G1380"/>
      <c r="DI1380" s="4">
        <f>INDEX(Sheet2!A:A,QUOTIENT(ROW()-1,19)+2)</f>
        <v>41255</v>
      </c>
      <c r="DJ1380" s="4">
        <f>INDEX(Sheet2!C:C,QUOTIENT(ROW()-1,19)+2)</f>
        <v>43100</v>
      </c>
      <c r="DK1380" s="4" t="e">
        <f>INDEX(Sheet2!$AA$2:$AS$228,QUOTIENT(ROW()-1,19)+1,MOD(ROW()-2,19)+1)</f>
        <v>#N/A</v>
      </c>
      <c r="DL1380" t="str">
        <f>IFERROR(INDEX(Sheet2!$AU$2:$BM$228,QUOTIENT(ROW()-1,19)+1,MOD(ROW()-2,19)+1),NA())</f>
        <v/>
      </c>
      <c r="DM1380" s="4" t="e">
        <f t="shared" si="84"/>
        <v>#N/A</v>
      </c>
      <c r="DN1380" t="e">
        <f t="shared" si="85"/>
        <v>#N/A</v>
      </c>
      <c r="DO1380" t="e">
        <f t="shared" si="86"/>
        <v>#N/A</v>
      </c>
    </row>
    <row r="1381" spans="7:119" x14ac:dyDescent="0.25">
      <c r="G1381"/>
      <c r="DI1381" s="4">
        <f>INDEX(Sheet2!A:A,QUOTIENT(ROW()-1,19)+2)</f>
        <v>41255</v>
      </c>
      <c r="DJ1381" s="4">
        <f>INDEX(Sheet2!C:C,QUOTIENT(ROW()-1,19)+2)</f>
        <v>43100</v>
      </c>
      <c r="DK1381" s="4" t="e">
        <f>INDEX(Sheet2!$AA$2:$AS$228,QUOTIENT(ROW()-1,19)+1,MOD(ROW()-2,19)+1)</f>
        <v>#N/A</v>
      </c>
      <c r="DL1381" t="str">
        <f>IFERROR(INDEX(Sheet2!$AU$2:$BM$228,QUOTIENT(ROW()-1,19)+1,MOD(ROW()-2,19)+1),NA())</f>
        <v/>
      </c>
      <c r="DM1381" s="4" t="e">
        <f t="shared" si="84"/>
        <v>#N/A</v>
      </c>
      <c r="DN1381" t="e">
        <f t="shared" si="85"/>
        <v>#N/A</v>
      </c>
      <c r="DO1381" t="e">
        <f t="shared" si="86"/>
        <v>#N/A</v>
      </c>
    </row>
    <row r="1382" spans="7:119" x14ac:dyDescent="0.25">
      <c r="G1382"/>
      <c r="DI1382" s="4">
        <f>INDEX(Sheet2!A:A,QUOTIENT(ROW()-1,19)+2)</f>
        <v>41255</v>
      </c>
      <c r="DJ1382" s="4">
        <f>INDEX(Sheet2!C:C,QUOTIENT(ROW()-1,19)+2)</f>
        <v>43100</v>
      </c>
      <c r="DK1382" s="4" t="e">
        <f>INDEX(Sheet2!$AA$2:$AS$228,QUOTIENT(ROW()-1,19)+1,MOD(ROW()-2,19)+1)</f>
        <v>#N/A</v>
      </c>
      <c r="DL1382" t="str">
        <f>IFERROR(INDEX(Sheet2!$AU$2:$BM$228,QUOTIENT(ROW()-1,19)+1,MOD(ROW()-2,19)+1),NA())</f>
        <v/>
      </c>
      <c r="DM1382" s="4" t="e">
        <f t="shared" si="84"/>
        <v>#N/A</v>
      </c>
      <c r="DN1382" t="e">
        <f t="shared" si="85"/>
        <v>#N/A</v>
      </c>
      <c r="DO1382" t="e">
        <f t="shared" si="86"/>
        <v>#N/A</v>
      </c>
    </row>
    <row r="1383" spans="7:119" x14ac:dyDescent="0.25">
      <c r="G1383"/>
      <c r="DI1383" s="4">
        <f>INDEX(Sheet2!A:A,QUOTIENT(ROW()-1,19)+2)</f>
        <v>41255</v>
      </c>
      <c r="DJ1383" s="4">
        <f>INDEX(Sheet2!C:C,QUOTIENT(ROW()-1,19)+2)</f>
        <v>43100</v>
      </c>
      <c r="DK1383" s="4" t="e">
        <f>INDEX(Sheet2!$AA$2:$AS$228,QUOTIENT(ROW()-1,19)+1,MOD(ROW()-2,19)+1)</f>
        <v>#N/A</v>
      </c>
      <c r="DL1383" t="str">
        <f>IFERROR(INDEX(Sheet2!$AU$2:$BM$228,QUOTIENT(ROW()-1,19)+1,MOD(ROW()-2,19)+1),NA())</f>
        <v/>
      </c>
      <c r="DM1383" s="4" t="e">
        <f t="shared" si="84"/>
        <v>#N/A</v>
      </c>
      <c r="DN1383" t="e">
        <f t="shared" si="85"/>
        <v>#N/A</v>
      </c>
      <c r="DO1383" t="e">
        <f t="shared" si="86"/>
        <v>#N/A</v>
      </c>
    </row>
    <row r="1384" spans="7:119" x14ac:dyDescent="0.25">
      <c r="G1384"/>
      <c r="DI1384" s="4">
        <f>INDEX(Sheet2!A:A,QUOTIENT(ROW()-1,19)+2)</f>
        <v>41255</v>
      </c>
      <c r="DJ1384" s="4">
        <f>INDEX(Sheet2!C:C,QUOTIENT(ROW()-1,19)+2)</f>
        <v>43100</v>
      </c>
      <c r="DK1384" s="4" t="e">
        <f>INDEX(Sheet2!$AA$2:$AS$228,QUOTIENT(ROW()-1,19)+1,MOD(ROW()-2,19)+1)</f>
        <v>#N/A</v>
      </c>
      <c r="DL1384" t="str">
        <f>IFERROR(INDEX(Sheet2!$AU$2:$BM$228,QUOTIENT(ROW()-1,19)+1,MOD(ROW()-2,19)+1),NA())</f>
        <v/>
      </c>
      <c r="DM1384" s="4" t="e">
        <f t="shared" si="84"/>
        <v>#N/A</v>
      </c>
      <c r="DN1384" t="e">
        <f t="shared" si="85"/>
        <v>#N/A</v>
      </c>
      <c r="DO1384" t="e">
        <f t="shared" si="86"/>
        <v>#N/A</v>
      </c>
    </row>
    <row r="1385" spans="7:119" x14ac:dyDescent="0.25">
      <c r="G1385"/>
      <c r="DI1385" s="4">
        <f>INDEX(Sheet2!A:A,QUOTIENT(ROW()-1,19)+2)</f>
        <v>41255</v>
      </c>
      <c r="DJ1385" s="4">
        <f>INDEX(Sheet2!C:C,QUOTIENT(ROW()-1,19)+2)</f>
        <v>43100</v>
      </c>
      <c r="DK1385" s="4" t="e">
        <f>INDEX(Sheet2!$AA$2:$AS$228,QUOTIENT(ROW()-1,19)+1,MOD(ROW()-2,19)+1)</f>
        <v>#N/A</v>
      </c>
      <c r="DL1385" t="str">
        <f>IFERROR(INDEX(Sheet2!$AU$2:$BM$228,QUOTIENT(ROW()-1,19)+1,MOD(ROW()-2,19)+1),NA())</f>
        <v/>
      </c>
      <c r="DM1385" s="4" t="e">
        <f t="shared" si="84"/>
        <v>#N/A</v>
      </c>
      <c r="DN1385" t="e">
        <f t="shared" si="85"/>
        <v>#N/A</v>
      </c>
      <c r="DO1385" t="e">
        <f t="shared" si="86"/>
        <v>#N/A</v>
      </c>
    </row>
    <row r="1386" spans="7:119" x14ac:dyDescent="0.25">
      <c r="G1386"/>
      <c r="DI1386" s="4">
        <f>INDEX(Sheet2!A:A,QUOTIENT(ROW()-1,19)+2)</f>
        <v>41255</v>
      </c>
      <c r="DJ1386" s="4">
        <f>INDEX(Sheet2!C:C,QUOTIENT(ROW()-1,19)+2)</f>
        <v>43100</v>
      </c>
      <c r="DK1386" s="4" t="e">
        <f>INDEX(Sheet2!$AA$2:$AS$228,QUOTIENT(ROW()-1,19)+1,MOD(ROW()-2,19)+1)</f>
        <v>#N/A</v>
      </c>
      <c r="DL1386" t="str">
        <f>IFERROR(INDEX(Sheet2!$AU$2:$BM$228,QUOTIENT(ROW()-1,19)+1,MOD(ROW()-2,19)+1),NA())</f>
        <v/>
      </c>
      <c r="DM1386" s="4" t="e">
        <f t="shared" si="84"/>
        <v>#N/A</v>
      </c>
      <c r="DN1386" t="e">
        <f t="shared" si="85"/>
        <v>#N/A</v>
      </c>
      <c r="DO1386" t="e">
        <f t="shared" si="86"/>
        <v>#N/A</v>
      </c>
    </row>
    <row r="1387" spans="7:119" x14ac:dyDescent="0.25">
      <c r="G1387"/>
      <c r="DI1387" s="4">
        <f>INDEX(Sheet2!A:A,QUOTIENT(ROW()-1,19)+2)</f>
        <v>41255</v>
      </c>
      <c r="DJ1387" s="4">
        <f>INDEX(Sheet2!C:C,QUOTIENT(ROW()-1,19)+2)</f>
        <v>43100</v>
      </c>
      <c r="DK1387" s="4" t="e">
        <f>INDEX(Sheet2!$AA$2:$AS$228,QUOTIENT(ROW()-1,19)+1,MOD(ROW()-2,19)+1)</f>
        <v>#N/A</v>
      </c>
      <c r="DL1387" t="str">
        <f>IFERROR(INDEX(Sheet2!$AU$2:$BM$228,QUOTIENT(ROW()-1,19)+1,MOD(ROW()-2,19)+1),NA())</f>
        <v/>
      </c>
      <c r="DM1387" s="4" t="e">
        <f t="shared" si="84"/>
        <v>#N/A</v>
      </c>
      <c r="DN1387" t="e">
        <f t="shared" si="85"/>
        <v>#N/A</v>
      </c>
      <c r="DO1387" t="e">
        <f t="shared" si="86"/>
        <v>#N/A</v>
      </c>
    </row>
    <row r="1388" spans="7:119" x14ac:dyDescent="0.25">
      <c r="G1388"/>
      <c r="DI1388" s="4">
        <f>INDEX(Sheet2!A:A,QUOTIENT(ROW()-1,19)+2)</f>
        <v>41255</v>
      </c>
      <c r="DJ1388" s="4">
        <f>INDEX(Sheet2!C:C,QUOTIENT(ROW()-1,19)+2)</f>
        <v>43100</v>
      </c>
      <c r="DK1388" s="4" t="e">
        <f>INDEX(Sheet2!$AA$2:$AS$228,QUOTIENT(ROW()-1,19)+1,MOD(ROW()-2,19)+1)</f>
        <v>#N/A</v>
      </c>
      <c r="DL1388" t="str">
        <f>IFERROR(INDEX(Sheet2!$AU$2:$BM$228,QUOTIENT(ROW()-1,19)+1,MOD(ROW()-2,19)+1),NA())</f>
        <v/>
      </c>
      <c r="DM1388" s="4" t="e">
        <f t="shared" si="84"/>
        <v>#N/A</v>
      </c>
      <c r="DN1388" t="e">
        <f t="shared" si="85"/>
        <v>#N/A</v>
      </c>
      <c r="DO1388" t="e">
        <f t="shared" si="86"/>
        <v>#N/A</v>
      </c>
    </row>
    <row r="1389" spans="7:119" x14ac:dyDescent="0.25">
      <c r="G1389"/>
      <c r="DI1389" s="4">
        <f>INDEX(Sheet2!A:A,QUOTIENT(ROW()-1,19)+2)</f>
        <v>41255</v>
      </c>
      <c r="DJ1389" s="4">
        <f>INDEX(Sheet2!C:C,QUOTIENT(ROW()-1,19)+2)</f>
        <v>43100</v>
      </c>
      <c r="DK1389" s="4">
        <f>INDEX(Sheet2!$AA$2:$AS$228,QUOTIENT(ROW()-1,19)+1,MOD(ROW()-2,19)+1)</f>
        <v>43059.85</v>
      </c>
      <c r="DL1389">
        <f>IFERROR(INDEX(Sheet2!$AU$2:$BM$228,QUOTIENT(ROW()-1,19)+1,MOD(ROW()-2,19)+1),NA())</f>
        <v>4</v>
      </c>
      <c r="DM1389" s="4" t="e">
        <f t="shared" si="84"/>
        <v>#N/A</v>
      </c>
      <c r="DN1389" t="e">
        <f t="shared" si="85"/>
        <v>#N/A</v>
      </c>
      <c r="DO1389" t="e">
        <f t="shared" si="86"/>
        <v>#N/A</v>
      </c>
    </row>
    <row r="1390" spans="7:119" x14ac:dyDescent="0.25">
      <c r="G1390"/>
      <c r="DI1390" s="4">
        <f>INDEX(Sheet2!A:A,QUOTIENT(ROW()-1,19)+2)</f>
        <v>41255</v>
      </c>
      <c r="DJ1390" s="4">
        <f>INDEX(Sheet2!C:C,QUOTIENT(ROW()-1,19)+2)</f>
        <v>43100</v>
      </c>
      <c r="DK1390" s="4">
        <f>INDEX(Sheet2!$AA$2:$AS$228,QUOTIENT(ROW()-1,19)+1,MOD(ROW()-2,19)+1)</f>
        <v>43079.925000000003</v>
      </c>
      <c r="DL1390">
        <f>IFERROR(INDEX(Sheet2!$AU$2:$BM$228,QUOTIENT(ROW()-1,19)+1,MOD(ROW()-2,19)+1),NA())</f>
        <v>4</v>
      </c>
      <c r="DM1390" s="4" t="e">
        <f t="shared" si="84"/>
        <v>#N/A</v>
      </c>
      <c r="DN1390" t="e">
        <f t="shared" si="85"/>
        <v>#N/A</v>
      </c>
      <c r="DO1390" t="e">
        <f t="shared" si="86"/>
        <v>#N/A</v>
      </c>
    </row>
    <row r="1391" spans="7:119" x14ac:dyDescent="0.25">
      <c r="G1391"/>
      <c r="DI1391" s="4">
        <f>INDEX(Sheet2!A:A,QUOTIENT(ROW()-1,19)+2)</f>
        <v>41255</v>
      </c>
      <c r="DJ1391" s="4">
        <f>INDEX(Sheet2!C:C,QUOTIENT(ROW()-1,19)+2)</f>
        <v>43100</v>
      </c>
      <c r="DK1391" s="4">
        <f>INDEX(Sheet2!$AA$2:$AS$228,QUOTIENT(ROW()-1,19)+1,MOD(ROW()-2,19)+1)</f>
        <v>43100</v>
      </c>
      <c r="DL1391">
        <f>IFERROR(INDEX(Sheet2!$AU$2:$BM$228,QUOTIENT(ROW()-1,19)+1,MOD(ROW()-2,19)+1),NA())</f>
        <v>4</v>
      </c>
      <c r="DM1391" s="4" t="e">
        <f t="shared" si="84"/>
        <v>#N/A</v>
      </c>
      <c r="DN1391" t="e">
        <f t="shared" si="85"/>
        <v>#N/A</v>
      </c>
      <c r="DO1391" t="e">
        <f t="shared" si="86"/>
        <v>#N/A</v>
      </c>
    </row>
    <row r="1392" spans="7:119" x14ac:dyDescent="0.25">
      <c r="G1392"/>
      <c r="DI1392" s="4">
        <f>INDEX(Sheet2!A:A,QUOTIENT(ROW()-1,19)+2)</f>
        <v>41255</v>
      </c>
      <c r="DJ1392" s="4">
        <f>INDEX(Sheet2!C:C,QUOTIENT(ROW()-1,19)+2)</f>
        <v>43100</v>
      </c>
      <c r="DK1392" s="4">
        <f>INDEX(Sheet2!$AA$2:$AS$228,QUOTIENT(ROW()-1,19)+1,MOD(ROW()-2,19)+1)</f>
        <v>43120.075000000004</v>
      </c>
      <c r="DL1392">
        <f>IFERROR(INDEX(Sheet2!$AU$2:$BM$228,QUOTIENT(ROW()-1,19)+1,MOD(ROW()-2,19)+1),NA())</f>
        <v>4</v>
      </c>
      <c r="DM1392" s="4" t="e">
        <f t="shared" si="84"/>
        <v>#N/A</v>
      </c>
      <c r="DN1392" t="e">
        <f t="shared" si="85"/>
        <v>#N/A</v>
      </c>
      <c r="DO1392" t="e">
        <f t="shared" si="86"/>
        <v>#N/A</v>
      </c>
    </row>
    <row r="1393" spans="7:119" x14ac:dyDescent="0.25">
      <c r="G1393"/>
      <c r="DI1393" s="4">
        <f>INDEX(Sheet2!A:A,QUOTIENT(ROW()-1,19)+2)</f>
        <v>41255</v>
      </c>
      <c r="DJ1393" s="4">
        <f>INDEX(Sheet2!C:C,QUOTIENT(ROW()-1,19)+2)</f>
        <v>43100</v>
      </c>
      <c r="DK1393" s="4">
        <f>INDEX(Sheet2!$AA$2:$AS$228,QUOTIENT(ROW()-1,19)+1,MOD(ROW()-2,19)+1)</f>
        <v>43140.15</v>
      </c>
      <c r="DL1393">
        <f>IFERROR(INDEX(Sheet2!$AU$2:$BM$228,QUOTIENT(ROW()-1,19)+1,MOD(ROW()-2,19)+1),NA())</f>
        <v>4</v>
      </c>
      <c r="DM1393" s="4" t="e">
        <f t="shared" si="84"/>
        <v>#N/A</v>
      </c>
      <c r="DN1393" t="e">
        <f t="shared" si="85"/>
        <v>#N/A</v>
      </c>
      <c r="DO1393" t="e">
        <f t="shared" si="86"/>
        <v>#N/A</v>
      </c>
    </row>
    <row r="1394" spans="7:119" x14ac:dyDescent="0.25">
      <c r="G1394"/>
      <c r="DI1394" s="4">
        <f>INDEX(Sheet2!A:A,QUOTIENT(ROW()-1,19)+2)</f>
        <v>41255</v>
      </c>
      <c r="DJ1394" s="4">
        <f>INDEX(Sheet2!C:C,QUOTIENT(ROW()-1,19)+2)</f>
        <v>43100</v>
      </c>
      <c r="DK1394" s="4" t="e">
        <f>INDEX(Sheet2!$AA$2:$AS$228,QUOTIENT(ROW()-1,19)+1,MOD(ROW()-2,19)+1)</f>
        <v>#N/A</v>
      </c>
      <c r="DL1394" t="str">
        <f>IFERROR(INDEX(Sheet2!$AU$2:$BM$228,QUOTIENT(ROW()-1,19)+1,MOD(ROW()-2,19)+1),NA())</f>
        <v/>
      </c>
      <c r="DM1394" s="4" t="e">
        <f t="shared" si="84"/>
        <v>#N/A</v>
      </c>
      <c r="DN1394" t="e">
        <f t="shared" si="85"/>
        <v>#N/A</v>
      </c>
      <c r="DO1394" t="e">
        <f t="shared" si="86"/>
        <v>#N/A</v>
      </c>
    </row>
    <row r="1395" spans="7:119" x14ac:dyDescent="0.25">
      <c r="G1395"/>
      <c r="DI1395" s="4">
        <f>INDEX(Sheet2!A:A,QUOTIENT(ROW()-1,19)+2)</f>
        <v>41255</v>
      </c>
      <c r="DJ1395" s="4">
        <f>INDEX(Sheet2!C:C,QUOTIENT(ROW()-1,19)+2)</f>
        <v>43100</v>
      </c>
      <c r="DK1395" s="4" t="e">
        <f>INDEX(Sheet2!$AA$2:$AS$228,QUOTIENT(ROW()-1,19)+1,MOD(ROW()-2,19)+1)</f>
        <v>#N/A</v>
      </c>
      <c r="DL1395" t="str">
        <f>IFERROR(INDEX(Sheet2!$AU$2:$BM$228,QUOTIENT(ROW()-1,19)+1,MOD(ROW()-2,19)+1),NA())</f>
        <v/>
      </c>
      <c r="DM1395" s="4" t="e">
        <f t="shared" si="84"/>
        <v>#N/A</v>
      </c>
      <c r="DN1395" t="e">
        <f t="shared" si="85"/>
        <v>#N/A</v>
      </c>
      <c r="DO1395" t="e">
        <f t="shared" si="86"/>
        <v>#N/A</v>
      </c>
    </row>
    <row r="1396" spans="7:119" x14ac:dyDescent="0.25">
      <c r="G1396"/>
      <c r="DI1396" s="4">
        <f>INDEX(Sheet2!A:A,QUOTIENT(ROW()-1,19)+2)</f>
        <v>41255</v>
      </c>
      <c r="DJ1396" s="4">
        <f>INDEX(Sheet2!C:C,QUOTIENT(ROW()-1,19)+2)</f>
        <v>43100</v>
      </c>
      <c r="DK1396" s="4" t="e">
        <f>INDEX(Sheet2!$AA$2:$AS$228,QUOTIENT(ROW()-1,19)+1,MOD(ROW()-2,19)+1)</f>
        <v>#N/A</v>
      </c>
      <c r="DL1396" t="str">
        <f>IFERROR(INDEX(Sheet2!$AU$2:$BM$228,QUOTIENT(ROW()-1,19)+1,MOD(ROW()-2,19)+1),NA())</f>
        <v/>
      </c>
      <c r="DM1396" s="4" t="e">
        <f t="shared" si="84"/>
        <v>#N/A</v>
      </c>
      <c r="DN1396" t="e">
        <f t="shared" si="85"/>
        <v>#N/A</v>
      </c>
      <c r="DO1396" t="e">
        <f t="shared" si="86"/>
        <v>#N/A</v>
      </c>
    </row>
    <row r="1397" spans="7:119" x14ac:dyDescent="0.25">
      <c r="G1397"/>
      <c r="DI1397" s="4">
        <f>INDEX(Sheet2!A:A,QUOTIENT(ROW()-1,19)+2)</f>
        <v>41255</v>
      </c>
      <c r="DJ1397" s="4">
        <f>INDEX(Sheet2!C:C,QUOTIENT(ROW()-1,19)+2)</f>
        <v>43100</v>
      </c>
      <c r="DK1397" s="4" t="e">
        <f>INDEX(Sheet2!$AA$2:$AS$228,QUOTIENT(ROW()-1,19)+1,MOD(ROW()-2,19)+1)</f>
        <v>#N/A</v>
      </c>
      <c r="DL1397" t="str">
        <f>IFERROR(INDEX(Sheet2!$AU$2:$BM$228,QUOTIENT(ROW()-1,19)+1,MOD(ROW()-2,19)+1),NA())</f>
        <v/>
      </c>
      <c r="DM1397" s="4" t="e">
        <f t="shared" si="84"/>
        <v>#N/A</v>
      </c>
      <c r="DN1397" t="e">
        <f t="shared" si="85"/>
        <v>#N/A</v>
      </c>
      <c r="DO1397" t="e">
        <f t="shared" si="86"/>
        <v>#N/A</v>
      </c>
    </row>
    <row r="1398" spans="7:119" x14ac:dyDescent="0.25">
      <c r="G1398"/>
      <c r="DI1398" s="4">
        <f>INDEX(Sheet2!A:A,QUOTIENT(ROW()-1,19)+2)</f>
        <v>41255</v>
      </c>
      <c r="DJ1398" s="4">
        <f>INDEX(Sheet2!C:C,QUOTIENT(ROW()-1,19)+2)</f>
        <v>43100</v>
      </c>
      <c r="DK1398" s="4" t="e">
        <f>INDEX(Sheet2!$AA$2:$AS$228,QUOTIENT(ROW()-1,19)+1,MOD(ROW()-2,19)+1)</f>
        <v>#N/A</v>
      </c>
      <c r="DL1398" t="str">
        <f>IFERROR(INDEX(Sheet2!$AU$2:$BM$228,QUOTIENT(ROW()-1,19)+1,MOD(ROW()-2,19)+1),NA())</f>
        <v/>
      </c>
      <c r="DM1398" s="4" t="e">
        <f t="shared" si="84"/>
        <v>#N/A</v>
      </c>
      <c r="DN1398" t="e">
        <f t="shared" si="85"/>
        <v>#N/A</v>
      </c>
      <c r="DO1398" t="e">
        <f t="shared" si="86"/>
        <v>#N/A</v>
      </c>
    </row>
    <row r="1399" spans="7:119" x14ac:dyDescent="0.25">
      <c r="G1399"/>
      <c r="DI1399" s="4">
        <f>INDEX(Sheet2!A:A,QUOTIENT(ROW()-1,19)+2)</f>
        <v>41255</v>
      </c>
      <c r="DJ1399" s="4">
        <f>INDEX(Sheet2!C:C,QUOTIENT(ROW()-1,19)+2)</f>
        <v>43100</v>
      </c>
      <c r="DK1399" s="4" t="e">
        <f>INDEX(Sheet2!$AA$2:$AS$228,QUOTIENT(ROW()-1,19)+1,MOD(ROW()-2,19)+1)</f>
        <v>#N/A</v>
      </c>
      <c r="DL1399" t="str">
        <f>IFERROR(INDEX(Sheet2!$AU$2:$BM$228,QUOTIENT(ROW()-1,19)+1,MOD(ROW()-2,19)+1),NA())</f>
        <v/>
      </c>
      <c r="DM1399" s="4" t="e">
        <f t="shared" si="84"/>
        <v>#N/A</v>
      </c>
      <c r="DN1399" t="e">
        <f t="shared" si="85"/>
        <v>#N/A</v>
      </c>
      <c r="DO1399" t="e">
        <f t="shared" si="86"/>
        <v>#N/A</v>
      </c>
    </row>
    <row r="1400" spans="7:119" x14ac:dyDescent="0.25">
      <c r="G1400"/>
      <c r="DI1400" s="4">
        <f>INDEX(Sheet2!A:A,QUOTIENT(ROW()-1,19)+2)</f>
        <v>41255</v>
      </c>
      <c r="DJ1400" s="4">
        <f>INDEX(Sheet2!C:C,QUOTIENT(ROW()-1,19)+2)</f>
        <v>43100</v>
      </c>
      <c r="DK1400" s="4" t="e">
        <f>INDEX(Sheet2!$AA$2:$AS$228,QUOTIENT(ROW()-1,19)+1,MOD(ROW()-2,19)+1)</f>
        <v>#N/A</v>
      </c>
      <c r="DL1400" t="str">
        <f>IFERROR(INDEX(Sheet2!$AU$2:$BM$228,QUOTIENT(ROW()-1,19)+1,MOD(ROW()-2,19)+1),NA())</f>
        <v/>
      </c>
      <c r="DM1400" s="4" t="e">
        <f t="shared" si="84"/>
        <v>#N/A</v>
      </c>
      <c r="DN1400" t="e">
        <f t="shared" si="85"/>
        <v>#N/A</v>
      </c>
      <c r="DO1400" t="e">
        <f t="shared" si="86"/>
        <v>#N/A</v>
      </c>
    </row>
    <row r="1401" spans="7:119" x14ac:dyDescent="0.25">
      <c r="G1401"/>
      <c r="DI1401" s="4">
        <f>INDEX(Sheet2!A:A,QUOTIENT(ROW()-1,19)+2)</f>
        <v>41255</v>
      </c>
      <c r="DJ1401" s="4">
        <f>INDEX(Sheet2!C:C,QUOTIENT(ROW()-1,19)+2)</f>
        <v>43100</v>
      </c>
      <c r="DK1401" s="4" t="e">
        <f>INDEX(Sheet2!$AA$2:$AS$228,QUOTIENT(ROW()-1,19)+1,MOD(ROW()-2,19)+1)</f>
        <v>#N/A</v>
      </c>
      <c r="DL1401" t="str">
        <f>IFERROR(INDEX(Sheet2!$AU$2:$BM$228,QUOTIENT(ROW()-1,19)+1,MOD(ROW()-2,19)+1),NA())</f>
        <v/>
      </c>
      <c r="DM1401" s="4" t="e">
        <f t="shared" si="84"/>
        <v>#N/A</v>
      </c>
      <c r="DN1401" t="e">
        <f t="shared" si="85"/>
        <v>#N/A</v>
      </c>
      <c r="DO1401" t="e">
        <f t="shared" si="86"/>
        <v>#N/A</v>
      </c>
    </row>
    <row r="1402" spans="7:119" x14ac:dyDescent="0.25">
      <c r="G1402"/>
      <c r="DI1402" s="4">
        <f>INDEX(Sheet2!A:A,QUOTIENT(ROW()-1,19)+2)</f>
        <v>41255</v>
      </c>
      <c r="DJ1402" s="4">
        <f>INDEX(Sheet2!C:C,QUOTIENT(ROW()-1,19)+2)</f>
        <v>43100</v>
      </c>
      <c r="DK1402" s="4" t="e">
        <f>INDEX(Sheet2!$AA$2:$AS$228,QUOTIENT(ROW()-1,19)+1,MOD(ROW()-2,19)+1)</f>
        <v>#N/A</v>
      </c>
      <c r="DL1402" t="str">
        <f>IFERROR(INDEX(Sheet2!$AU$2:$BM$228,QUOTIENT(ROW()-1,19)+1,MOD(ROW()-2,19)+1),NA())</f>
        <v/>
      </c>
      <c r="DM1402" s="4" t="e">
        <f t="shared" si="84"/>
        <v>#N/A</v>
      </c>
      <c r="DN1402" t="e">
        <f t="shared" si="85"/>
        <v>#N/A</v>
      </c>
      <c r="DO1402" t="e">
        <f t="shared" si="86"/>
        <v>#N/A</v>
      </c>
    </row>
    <row r="1403" spans="7:119" x14ac:dyDescent="0.25">
      <c r="G1403"/>
      <c r="DI1403" s="4">
        <f>INDEX(Sheet2!A:A,QUOTIENT(ROW()-1,19)+2)</f>
        <v>41255</v>
      </c>
      <c r="DJ1403" s="4">
        <f>INDEX(Sheet2!C:C,QUOTIENT(ROW()-1,19)+2)</f>
        <v>43100</v>
      </c>
      <c r="DK1403" s="4" t="e">
        <f>INDEX(Sheet2!$AA$2:$AS$228,QUOTIENT(ROW()-1,19)+1,MOD(ROW()-2,19)+1)</f>
        <v>#N/A</v>
      </c>
      <c r="DL1403" t="str">
        <f>IFERROR(INDEX(Sheet2!$AU$2:$BM$228,QUOTIENT(ROW()-1,19)+1,MOD(ROW()-2,19)+1),NA())</f>
        <v/>
      </c>
      <c r="DM1403" s="4" t="e">
        <f t="shared" si="84"/>
        <v>#N/A</v>
      </c>
      <c r="DN1403" t="e">
        <f t="shared" si="85"/>
        <v>#N/A</v>
      </c>
      <c r="DO1403" t="e">
        <f t="shared" si="86"/>
        <v>#N/A</v>
      </c>
    </row>
    <row r="1404" spans="7:119" x14ac:dyDescent="0.25">
      <c r="G1404"/>
      <c r="DI1404" s="4">
        <f>INDEX(Sheet2!A:A,QUOTIENT(ROW()-1,19)+2)</f>
        <v>41255</v>
      </c>
      <c r="DJ1404" s="4">
        <f>INDEX(Sheet2!C:C,QUOTIENT(ROW()-1,19)+2)</f>
        <v>43100</v>
      </c>
      <c r="DK1404" s="4" t="e">
        <f>INDEX(Sheet2!$AA$2:$AS$228,QUOTIENT(ROW()-1,19)+1,MOD(ROW()-2,19)+1)</f>
        <v>#N/A</v>
      </c>
      <c r="DL1404" t="str">
        <f>IFERROR(INDEX(Sheet2!$AU$2:$BM$228,QUOTIENT(ROW()-1,19)+1,MOD(ROW()-2,19)+1),NA())</f>
        <v/>
      </c>
      <c r="DM1404" s="4" t="e">
        <f t="shared" si="84"/>
        <v>#N/A</v>
      </c>
      <c r="DN1404" t="e">
        <f t="shared" si="85"/>
        <v>#N/A</v>
      </c>
      <c r="DO1404" t="e">
        <f t="shared" si="86"/>
        <v>#N/A</v>
      </c>
    </row>
    <row r="1405" spans="7:119" x14ac:dyDescent="0.25">
      <c r="G1405"/>
      <c r="DI1405" s="4">
        <f>INDEX(Sheet2!A:A,QUOTIENT(ROW()-1,19)+2)</f>
        <v>41255</v>
      </c>
      <c r="DJ1405" s="4">
        <f>INDEX(Sheet2!C:C,QUOTIENT(ROW()-1,19)+2)</f>
        <v>43100</v>
      </c>
      <c r="DK1405" s="4" t="e">
        <f>INDEX(Sheet2!$AA$2:$AS$228,QUOTIENT(ROW()-1,19)+1,MOD(ROW()-2,19)+1)</f>
        <v>#N/A</v>
      </c>
      <c r="DL1405" t="str">
        <f>IFERROR(INDEX(Sheet2!$AU$2:$BM$228,QUOTIENT(ROW()-1,19)+1,MOD(ROW()-2,19)+1),NA())</f>
        <v/>
      </c>
      <c r="DM1405" s="4" t="e">
        <f t="shared" si="84"/>
        <v>#N/A</v>
      </c>
      <c r="DN1405" t="e">
        <f t="shared" si="85"/>
        <v>#N/A</v>
      </c>
      <c r="DO1405" t="e">
        <f t="shared" si="86"/>
        <v>#N/A</v>
      </c>
    </row>
    <row r="1406" spans="7:119" x14ac:dyDescent="0.25">
      <c r="G1406"/>
      <c r="DI1406" s="4">
        <f>INDEX(Sheet2!A:A,QUOTIENT(ROW()-1,19)+2)</f>
        <v>41255</v>
      </c>
      <c r="DJ1406" s="4">
        <f>INDEX(Sheet2!C:C,QUOTIENT(ROW()-1,19)+2)</f>
        <v>43100</v>
      </c>
      <c r="DK1406" s="4" t="e">
        <f>INDEX(Sheet2!$AA$2:$AS$228,QUOTIENT(ROW()-1,19)+1,MOD(ROW()-2,19)+1)</f>
        <v>#N/A</v>
      </c>
      <c r="DL1406" t="str">
        <f>IFERROR(INDEX(Sheet2!$AU$2:$BM$228,QUOTIENT(ROW()-1,19)+1,MOD(ROW()-2,19)+1),NA())</f>
        <v/>
      </c>
      <c r="DM1406" s="4" t="e">
        <f t="shared" si="84"/>
        <v>#N/A</v>
      </c>
      <c r="DN1406" t="e">
        <f t="shared" si="85"/>
        <v>#N/A</v>
      </c>
      <c r="DO1406" t="e">
        <f t="shared" si="86"/>
        <v>#N/A</v>
      </c>
    </row>
    <row r="1407" spans="7:119" x14ac:dyDescent="0.25">
      <c r="G1407"/>
      <c r="DI1407" s="4">
        <f>INDEX(Sheet2!A:A,QUOTIENT(ROW()-1,19)+2)</f>
        <v>41255</v>
      </c>
      <c r="DJ1407" s="4">
        <f>INDEX(Sheet2!C:C,QUOTIENT(ROW()-1,19)+2)</f>
        <v>43100</v>
      </c>
      <c r="DK1407" s="4" t="e">
        <f>INDEX(Sheet2!$AA$2:$AS$228,QUOTIENT(ROW()-1,19)+1,MOD(ROW()-2,19)+1)</f>
        <v>#N/A</v>
      </c>
      <c r="DL1407" t="str">
        <f>IFERROR(INDEX(Sheet2!$AU$2:$BM$228,QUOTIENT(ROW()-1,19)+1,MOD(ROW()-2,19)+1),NA())</f>
        <v/>
      </c>
      <c r="DM1407" s="4" t="e">
        <f t="shared" si="84"/>
        <v>#N/A</v>
      </c>
      <c r="DN1407" t="e">
        <f t="shared" si="85"/>
        <v>#N/A</v>
      </c>
      <c r="DO1407" t="e">
        <f t="shared" si="86"/>
        <v>#N/A</v>
      </c>
    </row>
    <row r="1408" spans="7:119" x14ac:dyDescent="0.25">
      <c r="G1408"/>
      <c r="DI1408" s="4">
        <f>INDEX(Sheet2!A:A,QUOTIENT(ROW()-1,19)+2)</f>
        <v>41255</v>
      </c>
      <c r="DJ1408" s="4">
        <f>INDEX(Sheet2!C:C,QUOTIENT(ROW()-1,19)+2)</f>
        <v>43100</v>
      </c>
      <c r="DK1408" s="4">
        <f>INDEX(Sheet2!$AA$2:$AS$228,QUOTIENT(ROW()-1,19)+1,MOD(ROW()-2,19)+1)</f>
        <v>43049.8125</v>
      </c>
      <c r="DL1408">
        <f>IFERROR(INDEX(Sheet2!$AU$2:$BM$228,QUOTIENT(ROW()-1,19)+1,MOD(ROW()-2,19)+1),NA())</f>
        <v>4.25</v>
      </c>
      <c r="DM1408" s="4" t="e">
        <f t="shared" si="84"/>
        <v>#N/A</v>
      </c>
      <c r="DN1408" t="e">
        <f t="shared" si="85"/>
        <v>#N/A</v>
      </c>
      <c r="DO1408" t="e">
        <f t="shared" si="86"/>
        <v>#N/A</v>
      </c>
    </row>
    <row r="1409" spans="7:119" x14ac:dyDescent="0.25">
      <c r="G1409"/>
      <c r="DI1409" s="4">
        <f>INDEX(Sheet2!A:A,QUOTIENT(ROW()-1,19)+2)</f>
        <v>41255</v>
      </c>
      <c r="DJ1409" s="4">
        <f>INDEX(Sheet2!C:C,QUOTIENT(ROW()-1,19)+2)</f>
        <v>43100</v>
      </c>
      <c r="DK1409" s="4">
        <f>INDEX(Sheet2!$AA$2:$AS$228,QUOTIENT(ROW()-1,19)+1,MOD(ROW()-2,19)+1)</f>
        <v>43069.887500000004</v>
      </c>
      <c r="DL1409">
        <f>IFERROR(INDEX(Sheet2!$AU$2:$BM$228,QUOTIENT(ROW()-1,19)+1,MOD(ROW()-2,19)+1),NA())</f>
        <v>4.25</v>
      </c>
      <c r="DM1409" s="4" t="e">
        <f t="shared" si="84"/>
        <v>#N/A</v>
      </c>
      <c r="DN1409" t="e">
        <f t="shared" si="85"/>
        <v>#N/A</v>
      </c>
      <c r="DO1409" t="e">
        <f t="shared" si="86"/>
        <v>#N/A</v>
      </c>
    </row>
    <row r="1410" spans="7:119" x14ac:dyDescent="0.25">
      <c r="G1410"/>
      <c r="DI1410" s="4">
        <f>INDEX(Sheet2!A:A,QUOTIENT(ROW()-1,19)+2)</f>
        <v>41255</v>
      </c>
      <c r="DJ1410" s="4">
        <f>INDEX(Sheet2!C:C,QUOTIENT(ROW()-1,19)+2)</f>
        <v>43100</v>
      </c>
      <c r="DK1410" s="4">
        <f>INDEX(Sheet2!$AA$2:$AS$228,QUOTIENT(ROW()-1,19)+1,MOD(ROW()-2,19)+1)</f>
        <v>43089.962500000001</v>
      </c>
      <c r="DL1410">
        <f>IFERROR(INDEX(Sheet2!$AU$2:$BM$228,QUOTIENT(ROW()-1,19)+1,MOD(ROW()-2,19)+1),NA())</f>
        <v>4.25</v>
      </c>
      <c r="DM1410" s="4" t="e">
        <f t="shared" ref="DM1410:DM1473" si="87">+IF($C$2=$DI1410,DK1410,NA())</f>
        <v>#N/A</v>
      </c>
      <c r="DN1410" t="e">
        <f t="shared" ref="DN1410:DN1473" si="88">+IF($C$2=$DI1410,DL1410,NA())</f>
        <v>#N/A</v>
      </c>
      <c r="DO1410" t="e">
        <f t="shared" si="86"/>
        <v>#N/A</v>
      </c>
    </row>
    <row r="1411" spans="7:119" x14ac:dyDescent="0.25">
      <c r="G1411"/>
      <c r="DI1411" s="4">
        <f>INDEX(Sheet2!A:A,QUOTIENT(ROW()-1,19)+2)</f>
        <v>41255</v>
      </c>
      <c r="DJ1411" s="4">
        <f>INDEX(Sheet2!C:C,QUOTIENT(ROW()-1,19)+2)</f>
        <v>43100</v>
      </c>
      <c r="DK1411" s="4">
        <f>INDEX(Sheet2!$AA$2:$AS$228,QUOTIENT(ROW()-1,19)+1,MOD(ROW()-2,19)+1)</f>
        <v>43110.037500000006</v>
      </c>
      <c r="DL1411">
        <f>IFERROR(INDEX(Sheet2!$AU$2:$BM$228,QUOTIENT(ROW()-1,19)+1,MOD(ROW()-2,19)+1),NA())</f>
        <v>4.25</v>
      </c>
      <c r="DM1411" s="4" t="e">
        <f t="shared" si="87"/>
        <v>#N/A</v>
      </c>
      <c r="DN1411" t="e">
        <f t="shared" si="88"/>
        <v>#N/A</v>
      </c>
      <c r="DO1411" t="e">
        <f t="shared" ref="DO1411:DO1474" si="89">IF(DN1411="",NA(),DN1411)</f>
        <v>#N/A</v>
      </c>
    </row>
    <row r="1412" spans="7:119" x14ac:dyDescent="0.25">
      <c r="G1412"/>
      <c r="DI1412" s="4">
        <f>INDEX(Sheet2!A:A,QUOTIENT(ROW()-1,19)+2)</f>
        <v>41255</v>
      </c>
      <c r="DJ1412" s="4">
        <f>INDEX(Sheet2!C:C,QUOTIENT(ROW()-1,19)+2)</f>
        <v>43100</v>
      </c>
      <c r="DK1412" s="4">
        <f>INDEX(Sheet2!$AA$2:$AS$228,QUOTIENT(ROW()-1,19)+1,MOD(ROW()-2,19)+1)</f>
        <v>43130.112500000003</v>
      </c>
      <c r="DL1412">
        <f>IFERROR(INDEX(Sheet2!$AU$2:$BM$228,QUOTIENT(ROW()-1,19)+1,MOD(ROW()-2,19)+1),NA())</f>
        <v>4.25</v>
      </c>
      <c r="DM1412" s="4" t="e">
        <f t="shared" si="87"/>
        <v>#N/A</v>
      </c>
      <c r="DN1412" t="e">
        <f t="shared" si="88"/>
        <v>#N/A</v>
      </c>
      <c r="DO1412" t="e">
        <f t="shared" si="89"/>
        <v>#N/A</v>
      </c>
    </row>
    <row r="1413" spans="7:119" x14ac:dyDescent="0.25">
      <c r="G1413"/>
      <c r="DI1413" s="4">
        <f>INDEX(Sheet2!A:A,QUOTIENT(ROW()-1,19)+2)</f>
        <v>41255</v>
      </c>
      <c r="DJ1413" s="4">
        <f>INDEX(Sheet2!C:C,QUOTIENT(ROW()-1,19)+2)</f>
        <v>43100</v>
      </c>
      <c r="DK1413" s="4">
        <f>INDEX(Sheet2!$AA$2:$AS$228,QUOTIENT(ROW()-1,19)+1,MOD(ROW()-2,19)+1)</f>
        <v>43150.1875</v>
      </c>
      <c r="DL1413">
        <f>IFERROR(INDEX(Sheet2!$AU$2:$BM$228,QUOTIENT(ROW()-1,19)+1,MOD(ROW()-2,19)+1),NA())</f>
        <v>4.25</v>
      </c>
      <c r="DM1413" s="4" t="e">
        <f t="shared" si="87"/>
        <v>#N/A</v>
      </c>
      <c r="DN1413" t="e">
        <f t="shared" si="88"/>
        <v>#N/A</v>
      </c>
      <c r="DO1413" t="e">
        <f t="shared" si="89"/>
        <v>#N/A</v>
      </c>
    </row>
    <row r="1414" spans="7:119" x14ac:dyDescent="0.25">
      <c r="G1414"/>
      <c r="DI1414" s="4">
        <f>INDEX(Sheet2!A:A,QUOTIENT(ROW()-1,19)+2)</f>
        <v>41255</v>
      </c>
      <c r="DJ1414" s="4">
        <f>INDEX(Sheet2!C:C,QUOTIENT(ROW()-1,19)+2)</f>
        <v>43100</v>
      </c>
      <c r="DK1414" s="4" t="e">
        <f>INDEX(Sheet2!$AA$2:$AS$228,QUOTIENT(ROW()-1,19)+1,MOD(ROW()-2,19)+1)</f>
        <v>#N/A</v>
      </c>
      <c r="DL1414" t="str">
        <f>IFERROR(INDEX(Sheet2!$AU$2:$BM$228,QUOTIENT(ROW()-1,19)+1,MOD(ROW()-2,19)+1),NA())</f>
        <v/>
      </c>
      <c r="DM1414" s="4" t="e">
        <f t="shared" si="87"/>
        <v>#N/A</v>
      </c>
      <c r="DN1414" t="e">
        <f t="shared" si="88"/>
        <v>#N/A</v>
      </c>
      <c r="DO1414" t="e">
        <f t="shared" si="89"/>
        <v>#N/A</v>
      </c>
    </row>
    <row r="1415" spans="7:119" x14ac:dyDescent="0.25">
      <c r="G1415"/>
      <c r="DI1415" s="4">
        <f>INDEX(Sheet2!A:A,QUOTIENT(ROW()-1,19)+2)</f>
        <v>41255</v>
      </c>
      <c r="DJ1415" s="4">
        <f>INDEX(Sheet2!C:C,QUOTIENT(ROW()-1,19)+2)</f>
        <v>43100</v>
      </c>
      <c r="DK1415" s="4" t="e">
        <f>INDEX(Sheet2!$AA$2:$AS$228,QUOTIENT(ROW()-1,19)+1,MOD(ROW()-2,19)+1)</f>
        <v>#N/A</v>
      </c>
      <c r="DL1415" t="str">
        <f>IFERROR(INDEX(Sheet2!$AU$2:$BM$228,QUOTIENT(ROW()-1,19)+1,MOD(ROW()-2,19)+1),NA())</f>
        <v/>
      </c>
      <c r="DM1415" s="4" t="e">
        <f t="shared" si="87"/>
        <v>#N/A</v>
      </c>
      <c r="DN1415" t="e">
        <f t="shared" si="88"/>
        <v>#N/A</v>
      </c>
      <c r="DO1415" t="e">
        <f t="shared" si="89"/>
        <v>#N/A</v>
      </c>
    </row>
    <row r="1416" spans="7:119" x14ac:dyDescent="0.25">
      <c r="G1416"/>
      <c r="DI1416" s="4">
        <f>INDEX(Sheet2!A:A,QUOTIENT(ROW()-1,19)+2)</f>
        <v>41255</v>
      </c>
      <c r="DJ1416" s="4">
        <f>INDEX(Sheet2!C:C,QUOTIENT(ROW()-1,19)+2)</f>
        <v>43100</v>
      </c>
      <c r="DK1416" s="4" t="e">
        <f>INDEX(Sheet2!$AA$2:$AS$228,QUOTIENT(ROW()-1,19)+1,MOD(ROW()-2,19)+1)</f>
        <v>#N/A</v>
      </c>
      <c r="DL1416" t="str">
        <f>IFERROR(INDEX(Sheet2!$AU$2:$BM$228,QUOTIENT(ROW()-1,19)+1,MOD(ROW()-2,19)+1),NA())</f>
        <v/>
      </c>
      <c r="DM1416" s="4" t="e">
        <f t="shared" si="87"/>
        <v>#N/A</v>
      </c>
      <c r="DN1416" t="e">
        <f t="shared" si="88"/>
        <v>#N/A</v>
      </c>
      <c r="DO1416" t="e">
        <f t="shared" si="89"/>
        <v>#N/A</v>
      </c>
    </row>
    <row r="1417" spans="7:119" x14ac:dyDescent="0.25">
      <c r="G1417"/>
      <c r="DI1417" s="4">
        <f>INDEX(Sheet2!A:A,QUOTIENT(ROW()-1,19)+2)</f>
        <v>41255</v>
      </c>
      <c r="DJ1417" s="4">
        <f>INDEX(Sheet2!C:C,QUOTIENT(ROW()-1,19)+2)</f>
        <v>43100</v>
      </c>
      <c r="DK1417" s="4" t="e">
        <f>INDEX(Sheet2!$AA$2:$AS$228,QUOTIENT(ROW()-1,19)+1,MOD(ROW()-2,19)+1)</f>
        <v>#N/A</v>
      </c>
      <c r="DL1417" t="str">
        <f>IFERROR(INDEX(Sheet2!$AU$2:$BM$228,QUOTIENT(ROW()-1,19)+1,MOD(ROW()-2,19)+1),NA())</f>
        <v/>
      </c>
      <c r="DM1417" s="4" t="e">
        <f t="shared" si="87"/>
        <v>#N/A</v>
      </c>
      <c r="DN1417" t="e">
        <f t="shared" si="88"/>
        <v>#N/A</v>
      </c>
      <c r="DO1417" t="e">
        <f t="shared" si="89"/>
        <v>#N/A</v>
      </c>
    </row>
    <row r="1418" spans="7:119" x14ac:dyDescent="0.25">
      <c r="G1418"/>
      <c r="DI1418" s="4">
        <f>INDEX(Sheet2!A:A,QUOTIENT(ROW()-1,19)+2)</f>
        <v>41255</v>
      </c>
      <c r="DJ1418" s="4">
        <f>INDEX(Sheet2!C:C,QUOTIENT(ROW()-1,19)+2)</f>
        <v>43100</v>
      </c>
      <c r="DK1418" s="4" t="e">
        <f>INDEX(Sheet2!$AA$2:$AS$228,QUOTIENT(ROW()-1,19)+1,MOD(ROW()-2,19)+1)</f>
        <v>#N/A</v>
      </c>
      <c r="DL1418" t="str">
        <f>IFERROR(INDEX(Sheet2!$AU$2:$BM$228,QUOTIENT(ROW()-1,19)+1,MOD(ROW()-2,19)+1),NA())</f>
        <v/>
      </c>
      <c r="DM1418" s="4" t="e">
        <f t="shared" si="87"/>
        <v>#N/A</v>
      </c>
      <c r="DN1418" t="e">
        <f t="shared" si="88"/>
        <v>#N/A</v>
      </c>
      <c r="DO1418" t="e">
        <f t="shared" si="89"/>
        <v>#N/A</v>
      </c>
    </row>
    <row r="1419" spans="7:119" x14ac:dyDescent="0.25">
      <c r="G1419"/>
      <c r="DI1419" s="4">
        <f>INDEX(Sheet2!A:A,QUOTIENT(ROW()-1,19)+2)</f>
        <v>41255</v>
      </c>
      <c r="DJ1419" s="4">
        <f>INDEX(Sheet2!C:C,QUOTIENT(ROW()-1,19)+2)</f>
        <v>43100</v>
      </c>
      <c r="DK1419" s="4" t="e">
        <f>INDEX(Sheet2!$AA$2:$AS$228,QUOTIENT(ROW()-1,19)+1,MOD(ROW()-2,19)+1)</f>
        <v>#N/A</v>
      </c>
      <c r="DL1419" t="str">
        <f>IFERROR(INDEX(Sheet2!$AU$2:$BM$228,QUOTIENT(ROW()-1,19)+1,MOD(ROW()-2,19)+1),NA())</f>
        <v/>
      </c>
      <c r="DM1419" s="4" t="e">
        <f t="shared" si="87"/>
        <v>#N/A</v>
      </c>
      <c r="DN1419" t="e">
        <f t="shared" si="88"/>
        <v>#N/A</v>
      </c>
      <c r="DO1419" t="e">
        <f t="shared" si="89"/>
        <v>#N/A</v>
      </c>
    </row>
    <row r="1420" spans="7:119" x14ac:dyDescent="0.25">
      <c r="G1420"/>
      <c r="DI1420" s="4">
        <f>INDEX(Sheet2!A:A,QUOTIENT(ROW()-1,19)+2)</f>
        <v>41255</v>
      </c>
      <c r="DJ1420" s="4">
        <f>INDEX(Sheet2!C:C,QUOTIENT(ROW()-1,19)+2)</f>
        <v>43100</v>
      </c>
      <c r="DK1420" s="4" t="e">
        <f>INDEX(Sheet2!$AA$2:$AS$228,QUOTIENT(ROW()-1,19)+1,MOD(ROW()-2,19)+1)</f>
        <v>#N/A</v>
      </c>
      <c r="DL1420" t="str">
        <f>IFERROR(INDEX(Sheet2!$AU$2:$BM$228,QUOTIENT(ROW()-1,19)+1,MOD(ROW()-2,19)+1),NA())</f>
        <v/>
      </c>
      <c r="DM1420" s="4" t="e">
        <f t="shared" si="87"/>
        <v>#N/A</v>
      </c>
      <c r="DN1420" t="e">
        <f t="shared" si="88"/>
        <v>#N/A</v>
      </c>
      <c r="DO1420" t="e">
        <f t="shared" si="89"/>
        <v>#N/A</v>
      </c>
    </row>
    <row r="1421" spans="7:119" x14ac:dyDescent="0.25">
      <c r="G1421"/>
      <c r="DI1421" s="4">
        <f>INDEX(Sheet2!A:A,QUOTIENT(ROW()-1,19)+2)</f>
        <v>41255</v>
      </c>
      <c r="DJ1421" s="4">
        <f>INDEX(Sheet2!C:C,QUOTIENT(ROW()-1,19)+2)</f>
        <v>43100</v>
      </c>
      <c r="DK1421" s="4" t="e">
        <f>INDEX(Sheet2!$AA$2:$AS$228,QUOTIENT(ROW()-1,19)+1,MOD(ROW()-2,19)+1)</f>
        <v>#N/A</v>
      </c>
      <c r="DL1421" t="str">
        <f>IFERROR(INDEX(Sheet2!$AU$2:$BM$228,QUOTIENT(ROW()-1,19)+1,MOD(ROW()-2,19)+1),NA())</f>
        <v/>
      </c>
      <c r="DM1421" s="4" t="e">
        <f t="shared" si="87"/>
        <v>#N/A</v>
      </c>
      <c r="DN1421" t="e">
        <f t="shared" si="88"/>
        <v>#N/A</v>
      </c>
      <c r="DO1421" t="e">
        <f t="shared" si="89"/>
        <v>#N/A</v>
      </c>
    </row>
    <row r="1422" spans="7:119" x14ac:dyDescent="0.25">
      <c r="G1422"/>
      <c r="DI1422" s="4">
        <f>INDEX(Sheet2!A:A,QUOTIENT(ROW()-1,19)+2)</f>
        <v>41255</v>
      </c>
      <c r="DJ1422" s="4">
        <f>INDEX(Sheet2!C:C,QUOTIENT(ROW()-1,19)+2)</f>
        <v>43100</v>
      </c>
      <c r="DK1422" s="4" t="e">
        <f>INDEX(Sheet2!$AA$2:$AS$228,QUOTIENT(ROW()-1,19)+1,MOD(ROW()-2,19)+1)</f>
        <v>#N/A</v>
      </c>
      <c r="DL1422" t="str">
        <f>IFERROR(INDEX(Sheet2!$AU$2:$BM$228,QUOTIENT(ROW()-1,19)+1,MOD(ROW()-2,19)+1),NA())</f>
        <v/>
      </c>
      <c r="DM1422" s="4" t="e">
        <f t="shared" si="87"/>
        <v>#N/A</v>
      </c>
      <c r="DN1422" t="e">
        <f t="shared" si="88"/>
        <v>#N/A</v>
      </c>
      <c r="DO1422" t="e">
        <f t="shared" si="89"/>
        <v>#N/A</v>
      </c>
    </row>
    <row r="1423" spans="7:119" x14ac:dyDescent="0.25">
      <c r="G1423"/>
      <c r="DI1423" s="4">
        <f>INDEX(Sheet2!A:A,QUOTIENT(ROW()-1,19)+2)</f>
        <v>41255</v>
      </c>
      <c r="DJ1423" s="4">
        <f>INDEX(Sheet2!C:C,QUOTIENT(ROW()-1,19)+2)</f>
        <v>43100</v>
      </c>
      <c r="DK1423" s="4" t="e">
        <f>INDEX(Sheet2!$AA$2:$AS$228,QUOTIENT(ROW()-1,19)+1,MOD(ROW()-2,19)+1)</f>
        <v>#N/A</v>
      </c>
      <c r="DL1423" t="str">
        <f>IFERROR(INDEX(Sheet2!$AU$2:$BM$228,QUOTIENT(ROW()-1,19)+1,MOD(ROW()-2,19)+1),NA())</f>
        <v/>
      </c>
      <c r="DM1423" s="4" t="e">
        <f t="shared" si="87"/>
        <v>#N/A</v>
      </c>
      <c r="DN1423" t="e">
        <f t="shared" si="88"/>
        <v>#N/A</v>
      </c>
      <c r="DO1423" t="e">
        <f t="shared" si="89"/>
        <v>#N/A</v>
      </c>
    </row>
    <row r="1424" spans="7:119" x14ac:dyDescent="0.25">
      <c r="G1424"/>
      <c r="DI1424" s="4">
        <f>INDEX(Sheet2!A:A,QUOTIENT(ROW()-1,19)+2)</f>
        <v>41255</v>
      </c>
      <c r="DJ1424" s="4">
        <f>INDEX(Sheet2!C:C,QUOTIENT(ROW()-1,19)+2)</f>
        <v>43100</v>
      </c>
      <c r="DK1424" s="4" t="e">
        <f>INDEX(Sheet2!$AA$2:$AS$228,QUOTIENT(ROW()-1,19)+1,MOD(ROW()-2,19)+1)</f>
        <v>#N/A</v>
      </c>
      <c r="DL1424" t="str">
        <f>IFERROR(INDEX(Sheet2!$AU$2:$BM$228,QUOTIENT(ROW()-1,19)+1,MOD(ROW()-2,19)+1),NA())</f>
        <v/>
      </c>
      <c r="DM1424" s="4" t="e">
        <f t="shared" si="87"/>
        <v>#N/A</v>
      </c>
      <c r="DN1424" t="e">
        <f t="shared" si="88"/>
        <v>#N/A</v>
      </c>
      <c r="DO1424" t="e">
        <f t="shared" si="89"/>
        <v>#N/A</v>
      </c>
    </row>
    <row r="1425" spans="7:119" x14ac:dyDescent="0.25">
      <c r="G1425"/>
      <c r="DI1425" s="4">
        <f>INDEX(Sheet2!A:A,QUOTIENT(ROW()-1,19)+2)</f>
        <v>41255</v>
      </c>
      <c r="DJ1425" s="4">
        <f>INDEX(Sheet2!C:C,QUOTIENT(ROW()-1,19)+2)</f>
        <v>43100</v>
      </c>
      <c r="DK1425" s="4" t="e">
        <f>INDEX(Sheet2!$AA$2:$AS$228,QUOTIENT(ROW()-1,19)+1,MOD(ROW()-2,19)+1)</f>
        <v>#N/A</v>
      </c>
      <c r="DL1425" t="str">
        <f>IFERROR(INDEX(Sheet2!$AU$2:$BM$228,QUOTIENT(ROW()-1,19)+1,MOD(ROW()-2,19)+1),NA())</f>
        <v/>
      </c>
      <c r="DM1425" s="4" t="e">
        <f t="shared" si="87"/>
        <v>#N/A</v>
      </c>
      <c r="DN1425" t="e">
        <f t="shared" si="88"/>
        <v>#N/A</v>
      </c>
      <c r="DO1425" t="e">
        <f t="shared" si="89"/>
        <v>#N/A</v>
      </c>
    </row>
    <row r="1426" spans="7:119" x14ac:dyDescent="0.25">
      <c r="G1426"/>
      <c r="DI1426" s="4">
        <f>INDEX(Sheet2!A:A,QUOTIENT(ROW()-1,19)+2)</f>
        <v>41255</v>
      </c>
      <c r="DJ1426" s="4">
        <f>INDEX(Sheet2!C:C,QUOTIENT(ROW()-1,19)+2)</f>
        <v>43100</v>
      </c>
      <c r="DK1426" s="4" t="e">
        <f>INDEX(Sheet2!$AA$2:$AS$228,QUOTIENT(ROW()-1,19)+1,MOD(ROW()-2,19)+1)</f>
        <v>#N/A</v>
      </c>
      <c r="DL1426" t="str">
        <f>IFERROR(INDEX(Sheet2!$AU$2:$BM$228,QUOTIENT(ROW()-1,19)+1,MOD(ROW()-2,19)+1),NA())</f>
        <v/>
      </c>
      <c r="DM1426" s="4" t="e">
        <f t="shared" si="87"/>
        <v>#N/A</v>
      </c>
      <c r="DN1426" t="e">
        <f t="shared" si="88"/>
        <v>#N/A</v>
      </c>
      <c r="DO1426" t="e">
        <f t="shared" si="89"/>
        <v>#N/A</v>
      </c>
    </row>
    <row r="1427" spans="7:119" x14ac:dyDescent="0.25">
      <c r="G1427"/>
      <c r="DI1427" s="4">
        <f>INDEX(Sheet2!A:A,QUOTIENT(ROW()-1,19)+2)</f>
        <v>41255</v>
      </c>
      <c r="DJ1427" s="4">
        <f>INDEX(Sheet2!C:C,QUOTIENT(ROW()-1,19)+2)</f>
        <v>43100</v>
      </c>
      <c r="DK1427" s="4">
        <f>INDEX(Sheet2!$AA$2:$AS$228,QUOTIENT(ROW()-1,19)+1,MOD(ROW()-2,19)+1)</f>
        <v>43079.924999999996</v>
      </c>
      <c r="DL1427">
        <f>IFERROR(INDEX(Sheet2!$AU$2:$BM$228,QUOTIENT(ROW()-1,19)+1,MOD(ROW()-2,19)+1),NA())</f>
        <v>4.5</v>
      </c>
      <c r="DM1427" s="4" t="e">
        <f t="shared" si="87"/>
        <v>#N/A</v>
      </c>
      <c r="DN1427" t="e">
        <f t="shared" si="88"/>
        <v>#N/A</v>
      </c>
      <c r="DO1427" t="e">
        <f t="shared" si="89"/>
        <v>#N/A</v>
      </c>
    </row>
    <row r="1428" spans="7:119" x14ac:dyDescent="0.25">
      <c r="G1428"/>
      <c r="DI1428" s="4">
        <f>INDEX(Sheet2!A:A,QUOTIENT(ROW()-1,19)+2)</f>
        <v>41255</v>
      </c>
      <c r="DJ1428" s="4">
        <f>INDEX(Sheet2!C:C,QUOTIENT(ROW()-1,19)+2)</f>
        <v>43100</v>
      </c>
      <c r="DK1428" s="4">
        <f>INDEX(Sheet2!$AA$2:$AS$228,QUOTIENT(ROW()-1,19)+1,MOD(ROW()-2,19)+1)</f>
        <v>43100</v>
      </c>
      <c r="DL1428">
        <f>IFERROR(INDEX(Sheet2!$AU$2:$BM$228,QUOTIENT(ROW()-1,19)+1,MOD(ROW()-2,19)+1),NA())</f>
        <v>4.5</v>
      </c>
      <c r="DM1428" s="4" t="e">
        <f t="shared" si="87"/>
        <v>#N/A</v>
      </c>
      <c r="DN1428" t="e">
        <f t="shared" si="88"/>
        <v>#N/A</v>
      </c>
      <c r="DO1428" t="e">
        <f t="shared" si="89"/>
        <v>#N/A</v>
      </c>
    </row>
    <row r="1429" spans="7:119" x14ac:dyDescent="0.25">
      <c r="G1429"/>
      <c r="DI1429" s="4">
        <f>INDEX(Sheet2!A:A,QUOTIENT(ROW()-1,19)+2)</f>
        <v>41255</v>
      </c>
      <c r="DJ1429" s="4">
        <f>INDEX(Sheet2!C:C,QUOTIENT(ROW()-1,19)+2)</f>
        <v>43100</v>
      </c>
      <c r="DK1429" s="4">
        <f>INDEX(Sheet2!$AA$2:$AS$228,QUOTIENT(ROW()-1,19)+1,MOD(ROW()-2,19)+1)</f>
        <v>43120.074999999997</v>
      </c>
      <c r="DL1429">
        <f>IFERROR(INDEX(Sheet2!$AU$2:$BM$228,QUOTIENT(ROW()-1,19)+1,MOD(ROW()-2,19)+1),NA())</f>
        <v>4.5</v>
      </c>
      <c r="DM1429" s="4" t="e">
        <f t="shared" si="87"/>
        <v>#N/A</v>
      </c>
      <c r="DN1429" t="e">
        <f t="shared" si="88"/>
        <v>#N/A</v>
      </c>
      <c r="DO1429" t="e">
        <f t="shared" si="89"/>
        <v>#N/A</v>
      </c>
    </row>
    <row r="1430" spans="7:119" x14ac:dyDescent="0.25">
      <c r="G1430"/>
      <c r="DI1430" s="4">
        <f>INDEX(Sheet2!A:A,QUOTIENT(ROW()-1,19)+2)</f>
        <v>41255</v>
      </c>
      <c r="DJ1430" s="4">
        <f>INDEX(Sheet2!C:C,QUOTIENT(ROW()-1,19)+2)</f>
        <v>43100</v>
      </c>
      <c r="DK1430" s="4" t="e">
        <f>INDEX(Sheet2!$AA$2:$AS$228,QUOTIENT(ROW()-1,19)+1,MOD(ROW()-2,19)+1)</f>
        <v>#N/A</v>
      </c>
      <c r="DL1430" t="str">
        <f>IFERROR(INDEX(Sheet2!$AU$2:$BM$228,QUOTIENT(ROW()-1,19)+1,MOD(ROW()-2,19)+1),NA())</f>
        <v/>
      </c>
      <c r="DM1430" s="4" t="e">
        <f t="shared" si="87"/>
        <v>#N/A</v>
      </c>
      <c r="DN1430" t="e">
        <f t="shared" si="88"/>
        <v>#N/A</v>
      </c>
      <c r="DO1430" t="e">
        <f t="shared" si="89"/>
        <v>#N/A</v>
      </c>
    </row>
    <row r="1431" spans="7:119" x14ac:dyDescent="0.25">
      <c r="G1431"/>
      <c r="DI1431" s="4">
        <f>INDEX(Sheet2!A:A,QUOTIENT(ROW()-1,19)+2)</f>
        <v>41255</v>
      </c>
      <c r="DJ1431" s="4">
        <f>INDEX(Sheet2!C:C,QUOTIENT(ROW()-1,19)+2)</f>
        <v>43100</v>
      </c>
      <c r="DK1431" s="4" t="e">
        <f>INDEX(Sheet2!$AA$2:$AS$228,QUOTIENT(ROW()-1,19)+1,MOD(ROW()-2,19)+1)</f>
        <v>#N/A</v>
      </c>
      <c r="DL1431" t="str">
        <f>IFERROR(INDEX(Sheet2!$AU$2:$BM$228,QUOTIENT(ROW()-1,19)+1,MOD(ROW()-2,19)+1),NA())</f>
        <v/>
      </c>
      <c r="DM1431" s="4" t="e">
        <f t="shared" si="87"/>
        <v>#N/A</v>
      </c>
      <c r="DN1431" t="e">
        <f t="shared" si="88"/>
        <v>#N/A</v>
      </c>
      <c r="DO1431" t="e">
        <f t="shared" si="89"/>
        <v>#N/A</v>
      </c>
    </row>
    <row r="1432" spans="7:119" x14ac:dyDescent="0.25">
      <c r="G1432"/>
      <c r="DI1432" s="4">
        <f>INDEX(Sheet2!A:A,QUOTIENT(ROW()-1,19)+2)</f>
        <v>41255</v>
      </c>
      <c r="DJ1432" s="4">
        <f>INDEX(Sheet2!C:C,QUOTIENT(ROW()-1,19)+2)</f>
        <v>43100</v>
      </c>
      <c r="DK1432" s="4" t="e">
        <f>INDEX(Sheet2!$AA$2:$AS$228,QUOTIENT(ROW()-1,19)+1,MOD(ROW()-2,19)+1)</f>
        <v>#N/A</v>
      </c>
      <c r="DL1432" t="str">
        <f>IFERROR(INDEX(Sheet2!$AU$2:$BM$228,QUOTIENT(ROW()-1,19)+1,MOD(ROW()-2,19)+1),NA())</f>
        <v/>
      </c>
      <c r="DM1432" s="4" t="e">
        <f t="shared" si="87"/>
        <v>#N/A</v>
      </c>
      <c r="DN1432" t="e">
        <f t="shared" si="88"/>
        <v>#N/A</v>
      </c>
      <c r="DO1432" t="e">
        <f t="shared" si="89"/>
        <v>#N/A</v>
      </c>
    </row>
    <row r="1433" spans="7:119" x14ac:dyDescent="0.25">
      <c r="G1433"/>
      <c r="DI1433" s="4">
        <f>INDEX(Sheet2!A:A,QUOTIENT(ROW()-1,19)+2)</f>
        <v>41255</v>
      </c>
      <c r="DJ1433" s="4">
        <f>INDEX(Sheet2!C:C,QUOTIENT(ROW()-1,19)+2)</f>
        <v>43100</v>
      </c>
      <c r="DK1433" s="4" t="e">
        <f>INDEX(Sheet2!$AA$2:$AS$228,QUOTIENT(ROW()-1,19)+1,MOD(ROW()-2,19)+1)</f>
        <v>#N/A</v>
      </c>
      <c r="DL1433" t="str">
        <f>IFERROR(INDEX(Sheet2!$AU$2:$BM$228,QUOTIENT(ROW()-1,19)+1,MOD(ROW()-2,19)+1),NA())</f>
        <v/>
      </c>
      <c r="DM1433" s="4" t="e">
        <f t="shared" si="87"/>
        <v>#N/A</v>
      </c>
      <c r="DN1433" t="e">
        <f t="shared" si="88"/>
        <v>#N/A</v>
      </c>
      <c r="DO1433" t="e">
        <f t="shared" si="89"/>
        <v>#N/A</v>
      </c>
    </row>
    <row r="1434" spans="7:119" x14ac:dyDescent="0.25">
      <c r="G1434"/>
      <c r="DI1434" s="4">
        <f>INDEX(Sheet2!A:A,QUOTIENT(ROW()-1,19)+2)</f>
        <v>41255</v>
      </c>
      <c r="DJ1434" s="4">
        <f>INDEX(Sheet2!C:C,QUOTIENT(ROW()-1,19)+2)</f>
        <v>43100</v>
      </c>
      <c r="DK1434" s="4" t="e">
        <f>INDEX(Sheet2!$AA$2:$AS$228,QUOTIENT(ROW()-1,19)+1,MOD(ROW()-2,19)+1)</f>
        <v>#N/A</v>
      </c>
      <c r="DL1434" t="str">
        <f>IFERROR(INDEX(Sheet2!$AU$2:$BM$228,QUOTIENT(ROW()-1,19)+1,MOD(ROW()-2,19)+1),NA())</f>
        <v/>
      </c>
      <c r="DM1434" s="4" t="e">
        <f t="shared" si="87"/>
        <v>#N/A</v>
      </c>
      <c r="DN1434" t="e">
        <f t="shared" si="88"/>
        <v>#N/A</v>
      </c>
      <c r="DO1434" t="e">
        <f t="shared" si="89"/>
        <v>#N/A</v>
      </c>
    </row>
    <row r="1435" spans="7:119" x14ac:dyDescent="0.25">
      <c r="G1435"/>
      <c r="DI1435" s="4">
        <f>INDEX(Sheet2!A:A,QUOTIENT(ROW()-1,19)+2)</f>
        <v>41255</v>
      </c>
      <c r="DJ1435" s="4">
        <f>INDEX(Sheet2!C:C,QUOTIENT(ROW()-1,19)+2)</f>
        <v>43100</v>
      </c>
      <c r="DK1435" s="4" t="e">
        <f>INDEX(Sheet2!$AA$2:$AS$228,QUOTIENT(ROW()-1,19)+1,MOD(ROW()-2,19)+1)</f>
        <v>#N/A</v>
      </c>
      <c r="DL1435" t="str">
        <f>IFERROR(INDEX(Sheet2!$AU$2:$BM$228,QUOTIENT(ROW()-1,19)+1,MOD(ROW()-2,19)+1),NA())</f>
        <v/>
      </c>
      <c r="DM1435" s="4" t="e">
        <f t="shared" si="87"/>
        <v>#N/A</v>
      </c>
      <c r="DN1435" t="e">
        <f t="shared" si="88"/>
        <v>#N/A</v>
      </c>
      <c r="DO1435" t="e">
        <f t="shared" si="89"/>
        <v>#N/A</v>
      </c>
    </row>
    <row r="1436" spans="7:119" x14ac:dyDescent="0.25">
      <c r="G1436"/>
      <c r="DI1436" s="4">
        <f>INDEX(Sheet2!A:A,QUOTIENT(ROW()-1,19)+2)</f>
        <v>41255</v>
      </c>
      <c r="DJ1436" s="4">
        <f>INDEX(Sheet2!C:C,QUOTIENT(ROW()-1,19)+2)</f>
        <v>43100</v>
      </c>
      <c r="DK1436" s="4" t="e">
        <f>INDEX(Sheet2!$AA$2:$AS$228,QUOTIENT(ROW()-1,19)+1,MOD(ROW()-2,19)+1)</f>
        <v>#N/A</v>
      </c>
      <c r="DL1436" t="str">
        <f>IFERROR(INDEX(Sheet2!$AU$2:$BM$228,QUOTIENT(ROW()-1,19)+1,MOD(ROW()-2,19)+1),NA())</f>
        <v/>
      </c>
      <c r="DM1436" s="4" t="e">
        <f t="shared" si="87"/>
        <v>#N/A</v>
      </c>
      <c r="DN1436" t="e">
        <f t="shared" si="88"/>
        <v>#N/A</v>
      </c>
      <c r="DO1436" t="e">
        <f t="shared" si="89"/>
        <v>#N/A</v>
      </c>
    </row>
    <row r="1437" spans="7:119" x14ac:dyDescent="0.25">
      <c r="G1437"/>
      <c r="DI1437" s="4">
        <f>INDEX(Sheet2!A:A,QUOTIENT(ROW()-1,19)+2)</f>
        <v>41255</v>
      </c>
      <c r="DJ1437" s="4">
        <f>INDEX(Sheet2!C:C,QUOTIENT(ROW()-1,19)+2)</f>
        <v>43100</v>
      </c>
      <c r="DK1437" s="4" t="e">
        <f>INDEX(Sheet2!$AA$2:$AS$228,QUOTIENT(ROW()-1,19)+1,MOD(ROW()-2,19)+1)</f>
        <v>#N/A</v>
      </c>
      <c r="DL1437" t="str">
        <f>IFERROR(INDEX(Sheet2!$AU$2:$BM$228,QUOTIENT(ROW()-1,19)+1,MOD(ROW()-2,19)+1),NA())</f>
        <v/>
      </c>
      <c r="DM1437" s="4" t="e">
        <f t="shared" si="87"/>
        <v>#N/A</v>
      </c>
      <c r="DN1437" t="e">
        <f t="shared" si="88"/>
        <v>#N/A</v>
      </c>
      <c r="DO1437" t="e">
        <f t="shared" si="89"/>
        <v>#N/A</v>
      </c>
    </row>
    <row r="1438" spans="7:119" x14ac:dyDescent="0.25">
      <c r="G1438"/>
      <c r="DI1438" s="4">
        <f>INDEX(Sheet2!A:A,QUOTIENT(ROW()-1,19)+2)</f>
        <v>41255</v>
      </c>
      <c r="DJ1438" s="4">
        <f>INDEX(Sheet2!C:C,QUOTIENT(ROW()-1,19)+2)</f>
        <v>43100</v>
      </c>
      <c r="DK1438" s="4" t="e">
        <f>INDEX(Sheet2!$AA$2:$AS$228,QUOTIENT(ROW()-1,19)+1,MOD(ROW()-2,19)+1)</f>
        <v>#N/A</v>
      </c>
      <c r="DL1438" t="str">
        <f>IFERROR(INDEX(Sheet2!$AU$2:$BM$228,QUOTIENT(ROW()-1,19)+1,MOD(ROW()-2,19)+1),NA())</f>
        <v/>
      </c>
      <c r="DM1438" s="4" t="e">
        <f t="shared" si="87"/>
        <v>#N/A</v>
      </c>
      <c r="DN1438" t="e">
        <f t="shared" si="88"/>
        <v>#N/A</v>
      </c>
      <c r="DO1438" t="e">
        <f t="shared" si="89"/>
        <v>#N/A</v>
      </c>
    </row>
    <row r="1439" spans="7:119" x14ac:dyDescent="0.25">
      <c r="G1439"/>
      <c r="DI1439" s="4">
        <f>INDEX(Sheet2!A:A,QUOTIENT(ROW()-1,19)+2)</f>
        <v>41255</v>
      </c>
      <c r="DJ1439" s="4">
        <f>INDEX(Sheet2!C:C,QUOTIENT(ROW()-1,19)+2)</f>
        <v>43100</v>
      </c>
      <c r="DK1439" s="4" t="e">
        <f>INDEX(Sheet2!$AA$2:$AS$228,QUOTIENT(ROW()-1,19)+1,MOD(ROW()-2,19)+1)</f>
        <v>#N/A</v>
      </c>
      <c r="DL1439" t="str">
        <f>IFERROR(INDEX(Sheet2!$AU$2:$BM$228,QUOTIENT(ROW()-1,19)+1,MOD(ROW()-2,19)+1),NA())</f>
        <v/>
      </c>
      <c r="DM1439" s="4" t="e">
        <f t="shared" si="87"/>
        <v>#N/A</v>
      </c>
      <c r="DN1439" t="e">
        <f t="shared" si="88"/>
        <v>#N/A</v>
      </c>
      <c r="DO1439" t="e">
        <f t="shared" si="89"/>
        <v>#N/A</v>
      </c>
    </row>
    <row r="1440" spans="7:119" x14ac:dyDescent="0.25">
      <c r="G1440"/>
      <c r="DI1440" s="4">
        <f>INDEX(Sheet2!A:A,QUOTIENT(ROW()-1,19)+2)</f>
        <v>41255</v>
      </c>
      <c r="DJ1440" s="4">
        <f>INDEX(Sheet2!C:C,QUOTIENT(ROW()-1,19)+2)</f>
        <v>43100</v>
      </c>
      <c r="DK1440" s="4" t="e">
        <f>INDEX(Sheet2!$AA$2:$AS$228,QUOTIENT(ROW()-1,19)+1,MOD(ROW()-2,19)+1)</f>
        <v>#N/A</v>
      </c>
      <c r="DL1440" t="str">
        <f>IFERROR(INDEX(Sheet2!$AU$2:$BM$228,QUOTIENT(ROW()-1,19)+1,MOD(ROW()-2,19)+1),NA())</f>
        <v/>
      </c>
      <c r="DM1440" s="4" t="e">
        <f t="shared" si="87"/>
        <v>#N/A</v>
      </c>
      <c r="DN1440" t="e">
        <f t="shared" si="88"/>
        <v>#N/A</v>
      </c>
      <c r="DO1440" t="e">
        <f t="shared" si="89"/>
        <v>#N/A</v>
      </c>
    </row>
    <row r="1441" spans="7:119" x14ac:dyDescent="0.25">
      <c r="G1441"/>
      <c r="DI1441" s="4">
        <f>INDEX(Sheet2!A:A,QUOTIENT(ROW()-1,19)+2)</f>
        <v>41255</v>
      </c>
      <c r="DJ1441" s="4">
        <f>INDEX(Sheet2!C:C,QUOTIENT(ROW()-1,19)+2)</f>
        <v>43100</v>
      </c>
      <c r="DK1441" s="4" t="e">
        <f>INDEX(Sheet2!$AA$2:$AS$228,QUOTIENT(ROW()-1,19)+1,MOD(ROW()-2,19)+1)</f>
        <v>#N/A</v>
      </c>
      <c r="DL1441" t="str">
        <f>IFERROR(INDEX(Sheet2!$AU$2:$BM$228,QUOTIENT(ROW()-1,19)+1,MOD(ROW()-2,19)+1),NA())</f>
        <v/>
      </c>
      <c r="DM1441" s="4" t="e">
        <f t="shared" si="87"/>
        <v>#N/A</v>
      </c>
      <c r="DN1441" t="e">
        <f t="shared" si="88"/>
        <v>#N/A</v>
      </c>
      <c r="DO1441" t="e">
        <f t="shared" si="89"/>
        <v>#N/A</v>
      </c>
    </row>
    <row r="1442" spans="7:119" x14ac:dyDescent="0.25">
      <c r="G1442"/>
      <c r="DI1442" s="4">
        <f>INDEX(Sheet2!A:A,QUOTIENT(ROW()-1,19)+2)</f>
        <v>41255</v>
      </c>
      <c r="DJ1442" s="4">
        <f>INDEX(Sheet2!C:C,QUOTIENT(ROW()-1,19)+2)</f>
        <v>43100</v>
      </c>
      <c r="DK1442" s="4" t="e">
        <f>INDEX(Sheet2!$AA$2:$AS$228,QUOTIENT(ROW()-1,19)+1,MOD(ROW()-2,19)+1)</f>
        <v>#N/A</v>
      </c>
      <c r="DL1442" t="str">
        <f>IFERROR(INDEX(Sheet2!$AU$2:$BM$228,QUOTIENT(ROW()-1,19)+1,MOD(ROW()-2,19)+1),NA())</f>
        <v/>
      </c>
      <c r="DM1442" s="4" t="e">
        <f t="shared" si="87"/>
        <v>#N/A</v>
      </c>
      <c r="DN1442" t="e">
        <f t="shared" si="88"/>
        <v>#N/A</v>
      </c>
      <c r="DO1442" t="e">
        <f t="shared" si="89"/>
        <v>#N/A</v>
      </c>
    </row>
    <row r="1443" spans="7:119" x14ac:dyDescent="0.25">
      <c r="G1443"/>
      <c r="DI1443" s="4">
        <f>INDEX(Sheet2!A:A,QUOTIENT(ROW()-1,19)+2)</f>
        <v>41255</v>
      </c>
      <c r="DJ1443" s="4">
        <f>INDEX(Sheet2!C:C,QUOTIENT(ROW()-1,19)+2)</f>
        <v>43100</v>
      </c>
      <c r="DK1443" s="4" t="e">
        <f>INDEX(Sheet2!$AA$2:$AS$228,QUOTIENT(ROW()-1,19)+1,MOD(ROW()-2,19)+1)</f>
        <v>#N/A</v>
      </c>
      <c r="DL1443" t="str">
        <f>IFERROR(INDEX(Sheet2!$AU$2:$BM$228,QUOTIENT(ROW()-1,19)+1,MOD(ROW()-2,19)+1),NA())</f>
        <v/>
      </c>
      <c r="DM1443" s="4" t="e">
        <f t="shared" si="87"/>
        <v>#N/A</v>
      </c>
      <c r="DN1443" t="e">
        <f t="shared" si="88"/>
        <v>#N/A</v>
      </c>
      <c r="DO1443" t="e">
        <f t="shared" si="89"/>
        <v>#N/A</v>
      </c>
    </row>
    <row r="1444" spans="7:119" x14ac:dyDescent="0.25">
      <c r="G1444"/>
      <c r="DI1444" s="4">
        <f>INDEX(Sheet2!A:A,QUOTIENT(ROW()-1,19)+2)</f>
        <v>41255</v>
      </c>
      <c r="DJ1444" s="4">
        <f>INDEX(Sheet2!C:C,QUOTIENT(ROW()-1,19)+2)</f>
        <v>43100</v>
      </c>
      <c r="DK1444" s="4" t="e">
        <f>INDEX(Sheet2!$AA$2:$AS$228,QUOTIENT(ROW()-1,19)+1,MOD(ROW()-2,19)+1)</f>
        <v>#N/A</v>
      </c>
      <c r="DL1444" t="str">
        <f>IFERROR(INDEX(Sheet2!$AU$2:$BM$228,QUOTIENT(ROW()-1,19)+1,MOD(ROW()-2,19)+1),NA())</f>
        <v/>
      </c>
      <c r="DM1444" s="4" t="e">
        <f t="shared" si="87"/>
        <v>#N/A</v>
      </c>
      <c r="DN1444" t="e">
        <f t="shared" si="88"/>
        <v>#N/A</v>
      </c>
      <c r="DO1444" t="e">
        <f t="shared" si="89"/>
        <v>#N/A</v>
      </c>
    </row>
    <row r="1445" spans="7:119" x14ac:dyDescent="0.25">
      <c r="G1445"/>
      <c r="DI1445" s="4">
        <f>INDEX(Sheet2!A:A,QUOTIENT(ROW()-1,19)+2)</f>
        <v>41353</v>
      </c>
      <c r="DJ1445" s="4">
        <f>INDEX(Sheet2!C:C,QUOTIENT(ROW()-1,19)+2)</f>
        <v>41639</v>
      </c>
      <c r="DK1445" s="4" t="e">
        <f>INDEX(Sheet2!$AA$2:$AS$228,QUOTIENT(ROW()-1,19)+1,MOD(ROW()-2,19)+1)</f>
        <v>#N/A</v>
      </c>
      <c r="DL1445" t="str">
        <f>IFERROR(INDEX(Sheet2!$AU$2:$BM$228,QUOTIENT(ROW()-1,19)+1,MOD(ROW()-2,19)+1),NA())</f>
        <v/>
      </c>
      <c r="DM1445" s="4" t="e">
        <f t="shared" si="87"/>
        <v>#N/A</v>
      </c>
      <c r="DN1445" t="e">
        <f t="shared" si="88"/>
        <v>#N/A</v>
      </c>
      <c r="DO1445" t="e">
        <f t="shared" si="89"/>
        <v>#N/A</v>
      </c>
    </row>
    <row r="1446" spans="7:119" x14ac:dyDescent="0.25">
      <c r="G1446"/>
      <c r="DI1446" s="4">
        <f>INDEX(Sheet2!A:A,QUOTIENT(ROW()-1,19)+2)</f>
        <v>41353</v>
      </c>
      <c r="DJ1446" s="4">
        <f>INDEX(Sheet2!C:C,QUOTIENT(ROW()-1,19)+2)</f>
        <v>41639</v>
      </c>
      <c r="DK1446" s="4">
        <f>INDEX(Sheet2!$AA$2:$AS$228,QUOTIENT(ROW()-1,19)+1,MOD(ROW()-2,19)+1)</f>
        <v>41468.362499999996</v>
      </c>
      <c r="DL1446">
        <f>IFERROR(INDEX(Sheet2!$AU$2:$BM$228,QUOTIENT(ROW()-1,19)+1,MOD(ROW()-2,19)+1),NA())</f>
        <v>0.25</v>
      </c>
      <c r="DM1446" s="4" t="e">
        <f t="shared" si="87"/>
        <v>#N/A</v>
      </c>
      <c r="DN1446" t="e">
        <f t="shared" si="88"/>
        <v>#N/A</v>
      </c>
      <c r="DO1446" t="e">
        <f t="shared" si="89"/>
        <v>#N/A</v>
      </c>
    </row>
    <row r="1447" spans="7:119" x14ac:dyDescent="0.25">
      <c r="G1447"/>
      <c r="DI1447" s="4">
        <f>INDEX(Sheet2!A:A,QUOTIENT(ROW()-1,19)+2)</f>
        <v>41353</v>
      </c>
      <c r="DJ1447" s="4">
        <f>INDEX(Sheet2!C:C,QUOTIENT(ROW()-1,19)+2)</f>
        <v>41639</v>
      </c>
      <c r="DK1447" s="4">
        <f>INDEX(Sheet2!$AA$2:$AS$228,QUOTIENT(ROW()-1,19)+1,MOD(ROW()-2,19)+1)</f>
        <v>41488.4375</v>
      </c>
      <c r="DL1447">
        <f>IFERROR(INDEX(Sheet2!$AU$2:$BM$228,QUOTIENT(ROW()-1,19)+1,MOD(ROW()-2,19)+1),NA())</f>
        <v>0.25</v>
      </c>
      <c r="DM1447" s="4" t="e">
        <f t="shared" si="87"/>
        <v>#N/A</v>
      </c>
      <c r="DN1447" t="e">
        <f t="shared" si="88"/>
        <v>#N/A</v>
      </c>
      <c r="DO1447" t="e">
        <f t="shared" si="89"/>
        <v>#N/A</v>
      </c>
    </row>
    <row r="1448" spans="7:119" x14ac:dyDescent="0.25">
      <c r="G1448"/>
      <c r="DI1448" s="4">
        <f>INDEX(Sheet2!A:A,QUOTIENT(ROW()-1,19)+2)</f>
        <v>41353</v>
      </c>
      <c r="DJ1448" s="4">
        <f>INDEX(Sheet2!C:C,QUOTIENT(ROW()-1,19)+2)</f>
        <v>41639</v>
      </c>
      <c r="DK1448" s="4">
        <f>INDEX(Sheet2!$AA$2:$AS$228,QUOTIENT(ROW()-1,19)+1,MOD(ROW()-2,19)+1)</f>
        <v>41508.512499999997</v>
      </c>
      <c r="DL1448">
        <f>IFERROR(INDEX(Sheet2!$AU$2:$BM$228,QUOTIENT(ROW()-1,19)+1,MOD(ROW()-2,19)+1),NA())</f>
        <v>0.25</v>
      </c>
      <c r="DM1448" s="4" t="e">
        <f t="shared" si="87"/>
        <v>#N/A</v>
      </c>
      <c r="DN1448" t="e">
        <f t="shared" si="88"/>
        <v>#N/A</v>
      </c>
      <c r="DO1448" t="e">
        <f t="shared" si="89"/>
        <v>#N/A</v>
      </c>
    </row>
    <row r="1449" spans="7:119" x14ac:dyDescent="0.25">
      <c r="G1449"/>
      <c r="DI1449" s="4">
        <f>INDEX(Sheet2!A:A,QUOTIENT(ROW()-1,19)+2)</f>
        <v>41353</v>
      </c>
      <c r="DJ1449" s="4">
        <f>INDEX(Sheet2!C:C,QUOTIENT(ROW()-1,19)+2)</f>
        <v>41639</v>
      </c>
      <c r="DK1449" s="4">
        <f>INDEX(Sheet2!$AA$2:$AS$228,QUOTIENT(ROW()-1,19)+1,MOD(ROW()-2,19)+1)</f>
        <v>41528.587500000001</v>
      </c>
      <c r="DL1449">
        <f>IFERROR(INDEX(Sheet2!$AU$2:$BM$228,QUOTIENT(ROW()-1,19)+1,MOD(ROW()-2,19)+1),NA())</f>
        <v>0.25</v>
      </c>
      <c r="DM1449" s="4" t="e">
        <f t="shared" si="87"/>
        <v>#N/A</v>
      </c>
      <c r="DN1449" t="e">
        <f t="shared" si="88"/>
        <v>#N/A</v>
      </c>
      <c r="DO1449" t="e">
        <f t="shared" si="89"/>
        <v>#N/A</v>
      </c>
    </row>
    <row r="1450" spans="7:119" x14ac:dyDescent="0.25">
      <c r="G1450"/>
      <c r="DI1450" s="4">
        <f>INDEX(Sheet2!A:A,QUOTIENT(ROW()-1,19)+2)</f>
        <v>41353</v>
      </c>
      <c r="DJ1450" s="4">
        <f>INDEX(Sheet2!C:C,QUOTIENT(ROW()-1,19)+2)</f>
        <v>41639</v>
      </c>
      <c r="DK1450" s="4">
        <f>INDEX(Sheet2!$AA$2:$AS$228,QUOTIENT(ROW()-1,19)+1,MOD(ROW()-2,19)+1)</f>
        <v>41548.662499999999</v>
      </c>
      <c r="DL1450">
        <f>IFERROR(INDEX(Sheet2!$AU$2:$BM$228,QUOTIENT(ROW()-1,19)+1,MOD(ROW()-2,19)+1),NA())</f>
        <v>0.25</v>
      </c>
      <c r="DM1450" s="4" t="e">
        <f t="shared" si="87"/>
        <v>#N/A</v>
      </c>
      <c r="DN1450" t="e">
        <f t="shared" si="88"/>
        <v>#N/A</v>
      </c>
      <c r="DO1450" t="e">
        <f t="shared" si="89"/>
        <v>#N/A</v>
      </c>
    </row>
    <row r="1451" spans="7:119" x14ac:dyDescent="0.25">
      <c r="G1451"/>
      <c r="DI1451" s="4">
        <f>INDEX(Sheet2!A:A,QUOTIENT(ROW()-1,19)+2)</f>
        <v>41353</v>
      </c>
      <c r="DJ1451" s="4">
        <f>INDEX(Sheet2!C:C,QUOTIENT(ROW()-1,19)+2)</f>
        <v>41639</v>
      </c>
      <c r="DK1451" s="4">
        <f>INDEX(Sheet2!$AA$2:$AS$228,QUOTIENT(ROW()-1,19)+1,MOD(ROW()-2,19)+1)</f>
        <v>41568.737499999996</v>
      </c>
      <c r="DL1451">
        <f>IFERROR(INDEX(Sheet2!$AU$2:$BM$228,QUOTIENT(ROW()-1,19)+1,MOD(ROW()-2,19)+1),NA())</f>
        <v>0.25</v>
      </c>
      <c r="DM1451" s="4" t="e">
        <f t="shared" si="87"/>
        <v>#N/A</v>
      </c>
      <c r="DN1451" t="e">
        <f t="shared" si="88"/>
        <v>#N/A</v>
      </c>
      <c r="DO1451" t="e">
        <f t="shared" si="89"/>
        <v>#N/A</v>
      </c>
    </row>
    <row r="1452" spans="7:119" x14ac:dyDescent="0.25">
      <c r="G1452"/>
      <c r="DI1452" s="4">
        <f>INDEX(Sheet2!A:A,QUOTIENT(ROW()-1,19)+2)</f>
        <v>41353</v>
      </c>
      <c r="DJ1452" s="4">
        <f>INDEX(Sheet2!C:C,QUOTIENT(ROW()-1,19)+2)</f>
        <v>41639</v>
      </c>
      <c r="DK1452" s="4">
        <f>INDEX(Sheet2!$AA$2:$AS$228,QUOTIENT(ROW()-1,19)+1,MOD(ROW()-2,19)+1)</f>
        <v>41588.8125</v>
      </c>
      <c r="DL1452">
        <f>IFERROR(INDEX(Sheet2!$AU$2:$BM$228,QUOTIENT(ROW()-1,19)+1,MOD(ROW()-2,19)+1),NA())</f>
        <v>0.25</v>
      </c>
      <c r="DM1452" s="4" t="e">
        <f t="shared" si="87"/>
        <v>#N/A</v>
      </c>
      <c r="DN1452" t="e">
        <f t="shared" si="88"/>
        <v>#N/A</v>
      </c>
      <c r="DO1452" t="e">
        <f t="shared" si="89"/>
        <v>#N/A</v>
      </c>
    </row>
    <row r="1453" spans="7:119" x14ac:dyDescent="0.25">
      <c r="G1453"/>
      <c r="DI1453" s="4">
        <f>INDEX(Sheet2!A:A,QUOTIENT(ROW()-1,19)+2)</f>
        <v>41353</v>
      </c>
      <c r="DJ1453" s="4">
        <f>INDEX(Sheet2!C:C,QUOTIENT(ROW()-1,19)+2)</f>
        <v>41639</v>
      </c>
      <c r="DK1453" s="4">
        <f>INDEX(Sheet2!$AA$2:$AS$228,QUOTIENT(ROW()-1,19)+1,MOD(ROW()-2,19)+1)</f>
        <v>41608.887499999997</v>
      </c>
      <c r="DL1453">
        <f>IFERROR(INDEX(Sheet2!$AU$2:$BM$228,QUOTIENT(ROW()-1,19)+1,MOD(ROW()-2,19)+1),NA())</f>
        <v>0.25</v>
      </c>
      <c r="DM1453" s="4" t="e">
        <f t="shared" si="87"/>
        <v>#N/A</v>
      </c>
      <c r="DN1453" t="e">
        <f t="shared" si="88"/>
        <v>#N/A</v>
      </c>
      <c r="DO1453" t="e">
        <f t="shared" si="89"/>
        <v>#N/A</v>
      </c>
    </row>
    <row r="1454" spans="7:119" x14ac:dyDescent="0.25">
      <c r="G1454"/>
      <c r="DI1454" s="4">
        <f>INDEX(Sheet2!A:A,QUOTIENT(ROW()-1,19)+2)</f>
        <v>41353</v>
      </c>
      <c r="DJ1454" s="4">
        <f>INDEX(Sheet2!C:C,QUOTIENT(ROW()-1,19)+2)</f>
        <v>41639</v>
      </c>
      <c r="DK1454" s="4">
        <f>INDEX(Sheet2!$AA$2:$AS$228,QUOTIENT(ROW()-1,19)+1,MOD(ROW()-2,19)+1)</f>
        <v>41628.962500000001</v>
      </c>
      <c r="DL1454">
        <f>IFERROR(INDEX(Sheet2!$AU$2:$BM$228,QUOTIENT(ROW()-1,19)+1,MOD(ROW()-2,19)+1),NA())</f>
        <v>0.25</v>
      </c>
      <c r="DM1454" s="4" t="e">
        <f t="shared" si="87"/>
        <v>#N/A</v>
      </c>
      <c r="DN1454" t="e">
        <f t="shared" si="88"/>
        <v>#N/A</v>
      </c>
      <c r="DO1454" t="e">
        <f t="shared" si="89"/>
        <v>#N/A</v>
      </c>
    </row>
    <row r="1455" spans="7:119" x14ac:dyDescent="0.25">
      <c r="G1455"/>
      <c r="DI1455" s="4">
        <f>INDEX(Sheet2!A:A,QUOTIENT(ROW()-1,19)+2)</f>
        <v>41353</v>
      </c>
      <c r="DJ1455" s="4">
        <f>INDEX(Sheet2!C:C,QUOTIENT(ROW()-1,19)+2)</f>
        <v>41639</v>
      </c>
      <c r="DK1455" s="4">
        <f>INDEX(Sheet2!$AA$2:$AS$228,QUOTIENT(ROW()-1,19)+1,MOD(ROW()-2,19)+1)</f>
        <v>41649.037499999999</v>
      </c>
      <c r="DL1455">
        <f>IFERROR(INDEX(Sheet2!$AU$2:$BM$228,QUOTIENT(ROW()-1,19)+1,MOD(ROW()-2,19)+1),NA())</f>
        <v>0.25</v>
      </c>
      <c r="DM1455" s="4" t="e">
        <f t="shared" si="87"/>
        <v>#N/A</v>
      </c>
      <c r="DN1455" t="e">
        <f t="shared" si="88"/>
        <v>#N/A</v>
      </c>
      <c r="DO1455" t="e">
        <f t="shared" si="89"/>
        <v>#N/A</v>
      </c>
    </row>
    <row r="1456" spans="7:119" x14ac:dyDescent="0.25">
      <c r="G1456"/>
      <c r="DI1456" s="4">
        <f>INDEX(Sheet2!A:A,QUOTIENT(ROW()-1,19)+2)</f>
        <v>41353</v>
      </c>
      <c r="DJ1456" s="4">
        <f>INDEX(Sheet2!C:C,QUOTIENT(ROW()-1,19)+2)</f>
        <v>41639</v>
      </c>
      <c r="DK1456" s="4">
        <f>INDEX(Sheet2!$AA$2:$AS$228,QUOTIENT(ROW()-1,19)+1,MOD(ROW()-2,19)+1)</f>
        <v>41669.112499999996</v>
      </c>
      <c r="DL1456">
        <f>IFERROR(INDEX(Sheet2!$AU$2:$BM$228,QUOTIENT(ROW()-1,19)+1,MOD(ROW()-2,19)+1),NA())</f>
        <v>0.25</v>
      </c>
      <c r="DM1456" s="4" t="e">
        <f t="shared" si="87"/>
        <v>#N/A</v>
      </c>
      <c r="DN1456" t="e">
        <f t="shared" si="88"/>
        <v>#N/A</v>
      </c>
      <c r="DO1456" t="e">
        <f t="shared" si="89"/>
        <v>#N/A</v>
      </c>
    </row>
    <row r="1457" spans="7:119" x14ac:dyDescent="0.25">
      <c r="G1457"/>
      <c r="DI1457" s="4">
        <f>INDEX(Sheet2!A:A,QUOTIENT(ROW()-1,19)+2)</f>
        <v>41353</v>
      </c>
      <c r="DJ1457" s="4">
        <f>INDEX(Sheet2!C:C,QUOTIENT(ROW()-1,19)+2)</f>
        <v>41639</v>
      </c>
      <c r="DK1457" s="4">
        <f>INDEX(Sheet2!$AA$2:$AS$228,QUOTIENT(ROW()-1,19)+1,MOD(ROW()-2,19)+1)</f>
        <v>41689.1875</v>
      </c>
      <c r="DL1457">
        <f>IFERROR(INDEX(Sheet2!$AU$2:$BM$228,QUOTIENT(ROW()-1,19)+1,MOD(ROW()-2,19)+1),NA())</f>
        <v>0.25</v>
      </c>
      <c r="DM1457" s="4" t="e">
        <f t="shared" si="87"/>
        <v>#N/A</v>
      </c>
      <c r="DN1457" t="e">
        <f t="shared" si="88"/>
        <v>#N/A</v>
      </c>
      <c r="DO1457" t="e">
        <f t="shared" si="89"/>
        <v>#N/A</v>
      </c>
    </row>
    <row r="1458" spans="7:119" x14ac:dyDescent="0.25">
      <c r="G1458"/>
      <c r="DI1458" s="4">
        <f>INDEX(Sheet2!A:A,QUOTIENT(ROW()-1,19)+2)</f>
        <v>41353</v>
      </c>
      <c r="DJ1458" s="4">
        <f>INDEX(Sheet2!C:C,QUOTIENT(ROW()-1,19)+2)</f>
        <v>41639</v>
      </c>
      <c r="DK1458" s="4">
        <f>INDEX(Sheet2!$AA$2:$AS$228,QUOTIENT(ROW()-1,19)+1,MOD(ROW()-2,19)+1)</f>
        <v>41709.262499999997</v>
      </c>
      <c r="DL1458">
        <f>IFERROR(INDEX(Sheet2!$AU$2:$BM$228,QUOTIENT(ROW()-1,19)+1,MOD(ROW()-2,19)+1),NA())</f>
        <v>0.25</v>
      </c>
      <c r="DM1458" s="4" t="e">
        <f t="shared" si="87"/>
        <v>#N/A</v>
      </c>
      <c r="DN1458" t="e">
        <f t="shared" si="88"/>
        <v>#N/A</v>
      </c>
      <c r="DO1458" t="e">
        <f t="shared" si="89"/>
        <v>#N/A</v>
      </c>
    </row>
    <row r="1459" spans="7:119" x14ac:dyDescent="0.25">
      <c r="G1459"/>
      <c r="DI1459" s="4">
        <f>INDEX(Sheet2!A:A,QUOTIENT(ROW()-1,19)+2)</f>
        <v>41353</v>
      </c>
      <c r="DJ1459" s="4">
        <f>INDEX(Sheet2!C:C,QUOTIENT(ROW()-1,19)+2)</f>
        <v>41639</v>
      </c>
      <c r="DK1459" s="4">
        <f>INDEX(Sheet2!$AA$2:$AS$228,QUOTIENT(ROW()-1,19)+1,MOD(ROW()-2,19)+1)</f>
        <v>41729.337500000001</v>
      </c>
      <c r="DL1459">
        <f>IFERROR(INDEX(Sheet2!$AU$2:$BM$228,QUOTIENT(ROW()-1,19)+1,MOD(ROW()-2,19)+1),NA())</f>
        <v>0.25</v>
      </c>
      <c r="DM1459" s="4" t="e">
        <f t="shared" si="87"/>
        <v>#N/A</v>
      </c>
      <c r="DN1459" t="e">
        <f t="shared" si="88"/>
        <v>#N/A</v>
      </c>
      <c r="DO1459" t="e">
        <f t="shared" si="89"/>
        <v>#N/A</v>
      </c>
    </row>
    <row r="1460" spans="7:119" x14ac:dyDescent="0.25">
      <c r="G1460"/>
      <c r="DI1460" s="4">
        <f>INDEX(Sheet2!A:A,QUOTIENT(ROW()-1,19)+2)</f>
        <v>41353</v>
      </c>
      <c r="DJ1460" s="4">
        <f>INDEX(Sheet2!C:C,QUOTIENT(ROW()-1,19)+2)</f>
        <v>41639</v>
      </c>
      <c r="DK1460" s="4">
        <f>INDEX(Sheet2!$AA$2:$AS$228,QUOTIENT(ROW()-1,19)+1,MOD(ROW()-2,19)+1)</f>
        <v>41749.412499999999</v>
      </c>
      <c r="DL1460">
        <f>IFERROR(INDEX(Sheet2!$AU$2:$BM$228,QUOTIENT(ROW()-1,19)+1,MOD(ROW()-2,19)+1),NA())</f>
        <v>0.25</v>
      </c>
      <c r="DM1460" s="4" t="e">
        <f t="shared" si="87"/>
        <v>#N/A</v>
      </c>
      <c r="DN1460" t="e">
        <f t="shared" si="88"/>
        <v>#N/A</v>
      </c>
      <c r="DO1460" t="e">
        <f t="shared" si="89"/>
        <v>#N/A</v>
      </c>
    </row>
    <row r="1461" spans="7:119" x14ac:dyDescent="0.25">
      <c r="G1461"/>
      <c r="DI1461" s="4">
        <f>INDEX(Sheet2!A:A,QUOTIENT(ROW()-1,19)+2)</f>
        <v>41353</v>
      </c>
      <c r="DJ1461" s="4">
        <f>INDEX(Sheet2!C:C,QUOTIENT(ROW()-1,19)+2)</f>
        <v>41639</v>
      </c>
      <c r="DK1461" s="4">
        <f>INDEX(Sheet2!$AA$2:$AS$228,QUOTIENT(ROW()-1,19)+1,MOD(ROW()-2,19)+1)</f>
        <v>41769.487499999996</v>
      </c>
      <c r="DL1461">
        <f>IFERROR(INDEX(Sheet2!$AU$2:$BM$228,QUOTIENT(ROW()-1,19)+1,MOD(ROW()-2,19)+1),NA())</f>
        <v>0.25</v>
      </c>
      <c r="DM1461" s="4" t="e">
        <f t="shared" si="87"/>
        <v>#N/A</v>
      </c>
      <c r="DN1461" t="e">
        <f t="shared" si="88"/>
        <v>#N/A</v>
      </c>
      <c r="DO1461" t="e">
        <f t="shared" si="89"/>
        <v>#N/A</v>
      </c>
    </row>
    <row r="1462" spans="7:119" x14ac:dyDescent="0.25">
      <c r="G1462"/>
      <c r="DI1462" s="4">
        <f>INDEX(Sheet2!A:A,QUOTIENT(ROW()-1,19)+2)</f>
        <v>41353</v>
      </c>
      <c r="DJ1462" s="4">
        <f>INDEX(Sheet2!C:C,QUOTIENT(ROW()-1,19)+2)</f>
        <v>41639</v>
      </c>
      <c r="DK1462" s="4">
        <f>INDEX(Sheet2!$AA$2:$AS$228,QUOTIENT(ROW()-1,19)+1,MOD(ROW()-2,19)+1)</f>
        <v>41789.5625</v>
      </c>
      <c r="DL1462">
        <f>IFERROR(INDEX(Sheet2!$AU$2:$BM$228,QUOTIENT(ROW()-1,19)+1,MOD(ROW()-2,19)+1),NA())</f>
        <v>0.25</v>
      </c>
      <c r="DM1462" s="4" t="e">
        <f t="shared" si="87"/>
        <v>#N/A</v>
      </c>
      <c r="DN1462" t="e">
        <f t="shared" si="88"/>
        <v>#N/A</v>
      </c>
      <c r="DO1462" t="e">
        <f t="shared" si="89"/>
        <v>#N/A</v>
      </c>
    </row>
    <row r="1463" spans="7:119" x14ac:dyDescent="0.25">
      <c r="G1463"/>
      <c r="DI1463" s="4">
        <f>INDEX(Sheet2!A:A,QUOTIENT(ROW()-1,19)+2)</f>
        <v>41353</v>
      </c>
      <c r="DJ1463" s="4">
        <f>INDEX(Sheet2!C:C,QUOTIENT(ROW()-1,19)+2)</f>
        <v>41639</v>
      </c>
      <c r="DK1463" s="4">
        <f>INDEX(Sheet2!$AA$2:$AS$228,QUOTIENT(ROW()-1,19)+1,MOD(ROW()-2,19)+1)</f>
        <v>41809.637499999997</v>
      </c>
      <c r="DL1463">
        <f>IFERROR(INDEX(Sheet2!$AU$2:$BM$228,QUOTIENT(ROW()-1,19)+1,MOD(ROW()-2,19)+1),NA())</f>
        <v>0.25</v>
      </c>
      <c r="DM1463" s="4" t="e">
        <f t="shared" si="87"/>
        <v>#N/A</v>
      </c>
      <c r="DN1463" t="e">
        <f t="shared" si="88"/>
        <v>#N/A</v>
      </c>
      <c r="DO1463" t="e">
        <f t="shared" si="89"/>
        <v>#N/A</v>
      </c>
    </row>
    <row r="1464" spans="7:119" x14ac:dyDescent="0.25">
      <c r="G1464"/>
      <c r="DI1464" s="4">
        <f>INDEX(Sheet2!A:A,QUOTIENT(ROW()-1,19)+2)</f>
        <v>41353</v>
      </c>
      <c r="DJ1464" s="4">
        <f>INDEX(Sheet2!C:C,QUOTIENT(ROW()-1,19)+2)</f>
        <v>41639</v>
      </c>
      <c r="DK1464" s="4" t="e">
        <f>INDEX(Sheet2!$AA$2:$AS$228,QUOTIENT(ROW()-1,19)+1,MOD(ROW()-2,19)+1)</f>
        <v>#N/A</v>
      </c>
      <c r="DL1464" t="str">
        <f>IFERROR(INDEX(Sheet2!$AU$2:$BM$228,QUOTIENT(ROW()-1,19)+1,MOD(ROW()-2,19)+1),NA())</f>
        <v/>
      </c>
      <c r="DM1464" s="4" t="e">
        <f t="shared" si="87"/>
        <v>#N/A</v>
      </c>
      <c r="DN1464" t="e">
        <f t="shared" si="88"/>
        <v>#N/A</v>
      </c>
      <c r="DO1464" t="e">
        <f t="shared" si="89"/>
        <v>#N/A</v>
      </c>
    </row>
    <row r="1465" spans="7:119" x14ac:dyDescent="0.25">
      <c r="G1465"/>
      <c r="DI1465" s="4">
        <f>INDEX(Sheet2!A:A,QUOTIENT(ROW()-1,19)+2)</f>
        <v>41353</v>
      </c>
      <c r="DJ1465" s="4">
        <f>INDEX(Sheet2!C:C,QUOTIENT(ROW()-1,19)+2)</f>
        <v>41639</v>
      </c>
      <c r="DK1465" s="4">
        <f>INDEX(Sheet2!$AA$2:$AS$228,QUOTIENT(ROW()-1,19)+1,MOD(ROW()-2,19)+1)</f>
        <v>41639</v>
      </c>
      <c r="DL1465">
        <f>IFERROR(INDEX(Sheet2!$AU$2:$BM$228,QUOTIENT(ROW()-1,19)+1,MOD(ROW()-2,19)+1),NA())</f>
        <v>1</v>
      </c>
      <c r="DM1465" s="4" t="e">
        <f t="shared" si="87"/>
        <v>#N/A</v>
      </c>
      <c r="DN1465" t="e">
        <f t="shared" si="88"/>
        <v>#N/A</v>
      </c>
      <c r="DO1465" t="e">
        <f t="shared" si="89"/>
        <v>#N/A</v>
      </c>
    </row>
    <row r="1466" spans="7:119" x14ac:dyDescent="0.25">
      <c r="G1466"/>
      <c r="DI1466" s="4">
        <f>INDEX(Sheet2!A:A,QUOTIENT(ROW()-1,19)+2)</f>
        <v>41353</v>
      </c>
      <c r="DJ1466" s="4">
        <f>INDEX(Sheet2!C:C,QUOTIENT(ROW()-1,19)+2)</f>
        <v>41639</v>
      </c>
      <c r="DK1466" s="4" t="e">
        <f>INDEX(Sheet2!$AA$2:$AS$228,QUOTIENT(ROW()-1,19)+1,MOD(ROW()-2,19)+1)</f>
        <v>#N/A</v>
      </c>
      <c r="DL1466" t="str">
        <f>IFERROR(INDEX(Sheet2!$AU$2:$BM$228,QUOTIENT(ROW()-1,19)+1,MOD(ROW()-2,19)+1),NA())</f>
        <v/>
      </c>
      <c r="DM1466" s="4" t="e">
        <f t="shared" si="87"/>
        <v>#N/A</v>
      </c>
      <c r="DN1466" t="e">
        <f t="shared" si="88"/>
        <v>#N/A</v>
      </c>
      <c r="DO1466" t="e">
        <f t="shared" si="89"/>
        <v>#N/A</v>
      </c>
    </row>
    <row r="1467" spans="7:119" x14ac:dyDescent="0.25">
      <c r="G1467"/>
      <c r="DI1467" s="4">
        <f>INDEX(Sheet2!A:A,QUOTIENT(ROW()-1,19)+2)</f>
        <v>41353</v>
      </c>
      <c r="DJ1467" s="4">
        <f>INDEX(Sheet2!C:C,QUOTIENT(ROW()-1,19)+2)</f>
        <v>41639</v>
      </c>
      <c r="DK1467" s="4" t="e">
        <f>INDEX(Sheet2!$AA$2:$AS$228,QUOTIENT(ROW()-1,19)+1,MOD(ROW()-2,19)+1)</f>
        <v>#N/A</v>
      </c>
      <c r="DL1467" t="str">
        <f>IFERROR(INDEX(Sheet2!$AU$2:$BM$228,QUOTIENT(ROW()-1,19)+1,MOD(ROW()-2,19)+1),NA())</f>
        <v/>
      </c>
      <c r="DM1467" s="4" t="e">
        <f t="shared" si="87"/>
        <v>#N/A</v>
      </c>
      <c r="DN1467" t="e">
        <f t="shared" si="88"/>
        <v>#N/A</v>
      </c>
      <c r="DO1467" t="e">
        <f t="shared" si="89"/>
        <v>#N/A</v>
      </c>
    </row>
    <row r="1468" spans="7:119" x14ac:dyDescent="0.25">
      <c r="G1468"/>
      <c r="DI1468" s="4">
        <f>INDEX(Sheet2!A:A,QUOTIENT(ROW()-1,19)+2)</f>
        <v>41353</v>
      </c>
      <c r="DJ1468" s="4">
        <f>INDEX(Sheet2!C:C,QUOTIENT(ROW()-1,19)+2)</f>
        <v>41639</v>
      </c>
      <c r="DK1468" s="4" t="e">
        <f>INDEX(Sheet2!$AA$2:$AS$228,QUOTIENT(ROW()-1,19)+1,MOD(ROW()-2,19)+1)</f>
        <v>#N/A</v>
      </c>
      <c r="DL1468" t="str">
        <f>IFERROR(INDEX(Sheet2!$AU$2:$BM$228,QUOTIENT(ROW()-1,19)+1,MOD(ROW()-2,19)+1),NA())</f>
        <v/>
      </c>
      <c r="DM1468" s="4" t="e">
        <f t="shared" si="87"/>
        <v>#N/A</v>
      </c>
      <c r="DN1468" t="e">
        <f t="shared" si="88"/>
        <v>#N/A</v>
      </c>
      <c r="DO1468" t="e">
        <f t="shared" si="89"/>
        <v>#N/A</v>
      </c>
    </row>
    <row r="1469" spans="7:119" x14ac:dyDescent="0.25">
      <c r="G1469"/>
      <c r="DI1469" s="4">
        <f>INDEX(Sheet2!A:A,QUOTIENT(ROW()-1,19)+2)</f>
        <v>41353</v>
      </c>
      <c r="DJ1469" s="4">
        <f>INDEX(Sheet2!C:C,QUOTIENT(ROW()-1,19)+2)</f>
        <v>41639</v>
      </c>
      <c r="DK1469" s="4" t="e">
        <f>INDEX(Sheet2!$AA$2:$AS$228,QUOTIENT(ROW()-1,19)+1,MOD(ROW()-2,19)+1)</f>
        <v>#N/A</v>
      </c>
      <c r="DL1469" t="str">
        <f>IFERROR(INDEX(Sheet2!$AU$2:$BM$228,QUOTIENT(ROW()-1,19)+1,MOD(ROW()-2,19)+1),NA())</f>
        <v/>
      </c>
      <c r="DM1469" s="4" t="e">
        <f t="shared" si="87"/>
        <v>#N/A</v>
      </c>
      <c r="DN1469" t="e">
        <f t="shared" si="88"/>
        <v>#N/A</v>
      </c>
      <c r="DO1469" t="e">
        <f t="shared" si="89"/>
        <v>#N/A</v>
      </c>
    </row>
    <row r="1470" spans="7:119" x14ac:dyDescent="0.25">
      <c r="G1470"/>
      <c r="DI1470" s="4">
        <f>INDEX(Sheet2!A:A,QUOTIENT(ROW()-1,19)+2)</f>
        <v>41353</v>
      </c>
      <c r="DJ1470" s="4">
        <f>INDEX(Sheet2!C:C,QUOTIENT(ROW()-1,19)+2)</f>
        <v>41639</v>
      </c>
      <c r="DK1470" s="4" t="e">
        <f>INDEX(Sheet2!$AA$2:$AS$228,QUOTIENT(ROW()-1,19)+1,MOD(ROW()-2,19)+1)</f>
        <v>#N/A</v>
      </c>
      <c r="DL1470" t="str">
        <f>IFERROR(INDEX(Sheet2!$AU$2:$BM$228,QUOTIENT(ROW()-1,19)+1,MOD(ROW()-2,19)+1),NA())</f>
        <v/>
      </c>
      <c r="DM1470" s="4" t="e">
        <f t="shared" si="87"/>
        <v>#N/A</v>
      </c>
      <c r="DN1470" t="e">
        <f t="shared" si="88"/>
        <v>#N/A</v>
      </c>
      <c r="DO1470" t="e">
        <f t="shared" si="89"/>
        <v>#N/A</v>
      </c>
    </row>
    <row r="1471" spans="7:119" x14ac:dyDescent="0.25">
      <c r="G1471"/>
      <c r="DI1471" s="4">
        <f>INDEX(Sheet2!A:A,QUOTIENT(ROW()-1,19)+2)</f>
        <v>41353</v>
      </c>
      <c r="DJ1471" s="4">
        <f>INDEX(Sheet2!C:C,QUOTIENT(ROW()-1,19)+2)</f>
        <v>41639</v>
      </c>
      <c r="DK1471" s="4" t="e">
        <f>INDEX(Sheet2!$AA$2:$AS$228,QUOTIENT(ROW()-1,19)+1,MOD(ROW()-2,19)+1)</f>
        <v>#N/A</v>
      </c>
      <c r="DL1471" t="str">
        <f>IFERROR(INDEX(Sheet2!$AU$2:$BM$228,QUOTIENT(ROW()-1,19)+1,MOD(ROW()-2,19)+1),NA())</f>
        <v/>
      </c>
      <c r="DM1471" s="4" t="e">
        <f t="shared" si="87"/>
        <v>#N/A</v>
      </c>
      <c r="DN1471" t="e">
        <f t="shared" si="88"/>
        <v>#N/A</v>
      </c>
      <c r="DO1471" t="e">
        <f t="shared" si="89"/>
        <v>#N/A</v>
      </c>
    </row>
    <row r="1472" spans="7:119" x14ac:dyDescent="0.25">
      <c r="G1472"/>
      <c r="DI1472" s="4">
        <f>INDEX(Sheet2!A:A,QUOTIENT(ROW()-1,19)+2)</f>
        <v>41353</v>
      </c>
      <c r="DJ1472" s="4">
        <f>INDEX(Sheet2!C:C,QUOTIENT(ROW()-1,19)+2)</f>
        <v>41639</v>
      </c>
      <c r="DK1472" s="4" t="e">
        <f>INDEX(Sheet2!$AA$2:$AS$228,QUOTIENT(ROW()-1,19)+1,MOD(ROW()-2,19)+1)</f>
        <v>#N/A</v>
      </c>
      <c r="DL1472" t="str">
        <f>IFERROR(INDEX(Sheet2!$AU$2:$BM$228,QUOTIENT(ROW()-1,19)+1,MOD(ROW()-2,19)+1),NA())</f>
        <v/>
      </c>
      <c r="DM1472" s="4" t="e">
        <f t="shared" si="87"/>
        <v>#N/A</v>
      </c>
      <c r="DN1472" t="e">
        <f t="shared" si="88"/>
        <v>#N/A</v>
      </c>
      <c r="DO1472" t="e">
        <f t="shared" si="89"/>
        <v>#N/A</v>
      </c>
    </row>
    <row r="1473" spans="7:119" x14ac:dyDescent="0.25">
      <c r="G1473"/>
      <c r="DI1473" s="4">
        <f>INDEX(Sheet2!A:A,QUOTIENT(ROW()-1,19)+2)</f>
        <v>41353</v>
      </c>
      <c r="DJ1473" s="4">
        <f>INDEX(Sheet2!C:C,QUOTIENT(ROW()-1,19)+2)</f>
        <v>41639</v>
      </c>
      <c r="DK1473" s="4" t="e">
        <f>INDEX(Sheet2!$AA$2:$AS$228,QUOTIENT(ROW()-1,19)+1,MOD(ROW()-2,19)+1)</f>
        <v>#N/A</v>
      </c>
      <c r="DL1473" t="str">
        <f>IFERROR(INDEX(Sheet2!$AU$2:$BM$228,QUOTIENT(ROW()-1,19)+1,MOD(ROW()-2,19)+1),NA())</f>
        <v/>
      </c>
      <c r="DM1473" s="4" t="e">
        <f t="shared" si="87"/>
        <v>#N/A</v>
      </c>
      <c r="DN1473" t="e">
        <f t="shared" si="88"/>
        <v>#N/A</v>
      </c>
      <c r="DO1473" t="e">
        <f t="shared" si="89"/>
        <v>#N/A</v>
      </c>
    </row>
    <row r="1474" spans="7:119" x14ac:dyDescent="0.25">
      <c r="G1474"/>
      <c r="DI1474" s="4">
        <f>INDEX(Sheet2!A:A,QUOTIENT(ROW()-1,19)+2)</f>
        <v>41353</v>
      </c>
      <c r="DJ1474" s="4">
        <f>INDEX(Sheet2!C:C,QUOTIENT(ROW()-1,19)+2)</f>
        <v>41639</v>
      </c>
      <c r="DK1474" s="4" t="e">
        <f>INDEX(Sheet2!$AA$2:$AS$228,QUOTIENT(ROW()-1,19)+1,MOD(ROW()-2,19)+1)</f>
        <v>#N/A</v>
      </c>
      <c r="DL1474" t="str">
        <f>IFERROR(INDEX(Sheet2!$AU$2:$BM$228,QUOTIENT(ROW()-1,19)+1,MOD(ROW()-2,19)+1),NA())</f>
        <v/>
      </c>
      <c r="DM1474" s="4" t="e">
        <f t="shared" ref="DM1474:DM1537" si="90">+IF($C$2=$DI1474,DK1474,NA())</f>
        <v>#N/A</v>
      </c>
      <c r="DN1474" t="e">
        <f t="shared" ref="DN1474:DN1537" si="91">+IF($C$2=$DI1474,DL1474,NA())</f>
        <v>#N/A</v>
      </c>
      <c r="DO1474" t="e">
        <f t="shared" si="89"/>
        <v>#N/A</v>
      </c>
    </row>
    <row r="1475" spans="7:119" x14ac:dyDescent="0.25">
      <c r="G1475"/>
      <c r="DI1475" s="4">
        <f>INDEX(Sheet2!A:A,QUOTIENT(ROW()-1,19)+2)</f>
        <v>41353</v>
      </c>
      <c r="DJ1475" s="4">
        <f>INDEX(Sheet2!C:C,QUOTIENT(ROW()-1,19)+2)</f>
        <v>41639</v>
      </c>
      <c r="DK1475" s="4" t="e">
        <f>INDEX(Sheet2!$AA$2:$AS$228,QUOTIENT(ROW()-1,19)+1,MOD(ROW()-2,19)+1)</f>
        <v>#N/A</v>
      </c>
      <c r="DL1475" t="str">
        <f>IFERROR(INDEX(Sheet2!$AU$2:$BM$228,QUOTIENT(ROW()-1,19)+1,MOD(ROW()-2,19)+1),NA())</f>
        <v/>
      </c>
      <c r="DM1475" s="4" t="e">
        <f t="shared" si="90"/>
        <v>#N/A</v>
      </c>
      <c r="DN1475" t="e">
        <f t="shared" si="91"/>
        <v>#N/A</v>
      </c>
      <c r="DO1475" t="e">
        <f t="shared" ref="DO1475:DO1538" si="92">IF(DN1475="",NA(),DN1475)</f>
        <v>#N/A</v>
      </c>
    </row>
    <row r="1476" spans="7:119" x14ac:dyDescent="0.25">
      <c r="G1476"/>
      <c r="DI1476" s="4">
        <f>INDEX(Sheet2!A:A,QUOTIENT(ROW()-1,19)+2)</f>
        <v>41353</v>
      </c>
      <c r="DJ1476" s="4">
        <f>INDEX(Sheet2!C:C,QUOTIENT(ROW()-1,19)+2)</f>
        <v>41639</v>
      </c>
      <c r="DK1476" s="4" t="e">
        <f>INDEX(Sheet2!$AA$2:$AS$228,QUOTIENT(ROW()-1,19)+1,MOD(ROW()-2,19)+1)</f>
        <v>#N/A</v>
      </c>
      <c r="DL1476" t="str">
        <f>IFERROR(INDEX(Sheet2!$AU$2:$BM$228,QUOTIENT(ROW()-1,19)+1,MOD(ROW()-2,19)+1),NA())</f>
        <v/>
      </c>
      <c r="DM1476" s="4" t="e">
        <f t="shared" si="90"/>
        <v>#N/A</v>
      </c>
      <c r="DN1476" t="e">
        <f t="shared" si="91"/>
        <v>#N/A</v>
      </c>
      <c r="DO1476" t="e">
        <f t="shared" si="92"/>
        <v>#N/A</v>
      </c>
    </row>
    <row r="1477" spans="7:119" x14ac:dyDescent="0.25">
      <c r="G1477"/>
      <c r="DI1477" s="4">
        <f>INDEX(Sheet2!A:A,QUOTIENT(ROW()-1,19)+2)</f>
        <v>41353</v>
      </c>
      <c r="DJ1477" s="4">
        <f>INDEX(Sheet2!C:C,QUOTIENT(ROW()-1,19)+2)</f>
        <v>41639</v>
      </c>
      <c r="DK1477" s="4" t="e">
        <f>INDEX(Sheet2!$AA$2:$AS$228,QUOTIENT(ROW()-1,19)+1,MOD(ROW()-2,19)+1)</f>
        <v>#N/A</v>
      </c>
      <c r="DL1477" t="str">
        <f>IFERROR(INDEX(Sheet2!$AU$2:$BM$228,QUOTIENT(ROW()-1,19)+1,MOD(ROW()-2,19)+1),NA())</f>
        <v/>
      </c>
      <c r="DM1477" s="4" t="e">
        <f t="shared" si="90"/>
        <v>#N/A</v>
      </c>
      <c r="DN1477" t="e">
        <f t="shared" si="91"/>
        <v>#N/A</v>
      </c>
      <c r="DO1477" t="e">
        <f t="shared" si="92"/>
        <v>#N/A</v>
      </c>
    </row>
    <row r="1478" spans="7:119" x14ac:dyDescent="0.25">
      <c r="G1478"/>
      <c r="DI1478" s="4">
        <f>INDEX(Sheet2!A:A,QUOTIENT(ROW()-1,19)+2)</f>
        <v>41353</v>
      </c>
      <c r="DJ1478" s="4">
        <f>INDEX(Sheet2!C:C,QUOTIENT(ROW()-1,19)+2)</f>
        <v>41639</v>
      </c>
      <c r="DK1478" s="4" t="e">
        <f>INDEX(Sheet2!$AA$2:$AS$228,QUOTIENT(ROW()-1,19)+1,MOD(ROW()-2,19)+1)</f>
        <v>#N/A</v>
      </c>
      <c r="DL1478" t="str">
        <f>IFERROR(INDEX(Sheet2!$AU$2:$BM$228,QUOTIENT(ROW()-1,19)+1,MOD(ROW()-2,19)+1),NA())</f>
        <v/>
      </c>
      <c r="DM1478" s="4" t="e">
        <f t="shared" si="90"/>
        <v>#N/A</v>
      </c>
      <c r="DN1478" t="e">
        <f t="shared" si="91"/>
        <v>#N/A</v>
      </c>
      <c r="DO1478" t="e">
        <f t="shared" si="92"/>
        <v>#N/A</v>
      </c>
    </row>
    <row r="1479" spans="7:119" x14ac:dyDescent="0.25">
      <c r="G1479"/>
      <c r="DI1479" s="4">
        <f>INDEX(Sheet2!A:A,QUOTIENT(ROW()-1,19)+2)</f>
        <v>41353</v>
      </c>
      <c r="DJ1479" s="4">
        <f>INDEX(Sheet2!C:C,QUOTIENT(ROW()-1,19)+2)</f>
        <v>41639</v>
      </c>
      <c r="DK1479" s="4" t="e">
        <f>INDEX(Sheet2!$AA$2:$AS$228,QUOTIENT(ROW()-1,19)+1,MOD(ROW()-2,19)+1)</f>
        <v>#N/A</v>
      </c>
      <c r="DL1479" t="str">
        <f>IFERROR(INDEX(Sheet2!$AU$2:$BM$228,QUOTIENT(ROW()-1,19)+1,MOD(ROW()-2,19)+1),NA())</f>
        <v/>
      </c>
      <c r="DM1479" s="4" t="e">
        <f t="shared" si="90"/>
        <v>#N/A</v>
      </c>
      <c r="DN1479" t="e">
        <f t="shared" si="91"/>
        <v>#N/A</v>
      </c>
      <c r="DO1479" t="e">
        <f t="shared" si="92"/>
        <v>#N/A</v>
      </c>
    </row>
    <row r="1480" spans="7:119" x14ac:dyDescent="0.25">
      <c r="G1480"/>
      <c r="DI1480" s="4">
        <f>INDEX(Sheet2!A:A,QUOTIENT(ROW()-1,19)+2)</f>
        <v>41353</v>
      </c>
      <c r="DJ1480" s="4">
        <f>INDEX(Sheet2!C:C,QUOTIENT(ROW()-1,19)+2)</f>
        <v>41639</v>
      </c>
      <c r="DK1480" s="4" t="e">
        <f>INDEX(Sheet2!$AA$2:$AS$228,QUOTIENT(ROW()-1,19)+1,MOD(ROW()-2,19)+1)</f>
        <v>#N/A</v>
      </c>
      <c r="DL1480" t="str">
        <f>IFERROR(INDEX(Sheet2!$AU$2:$BM$228,QUOTIENT(ROW()-1,19)+1,MOD(ROW()-2,19)+1),NA())</f>
        <v/>
      </c>
      <c r="DM1480" s="4" t="e">
        <f t="shared" si="90"/>
        <v>#N/A</v>
      </c>
      <c r="DN1480" t="e">
        <f t="shared" si="91"/>
        <v>#N/A</v>
      </c>
      <c r="DO1480" t="e">
        <f t="shared" si="92"/>
        <v>#N/A</v>
      </c>
    </row>
    <row r="1481" spans="7:119" x14ac:dyDescent="0.25">
      <c r="G1481"/>
      <c r="DI1481" s="4">
        <f>INDEX(Sheet2!A:A,QUOTIENT(ROW()-1,19)+2)</f>
        <v>41353</v>
      </c>
      <c r="DJ1481" s="4">
        <f>INDEX(Sheet2!C:C,QUOTIENT(ROW()-1,19)+2)</f>
        <v>41639</v>
      </c>
      <c r="DK1481" s="4" t="e">
        <f>INDEX(Sheet2!$AA$2:$AS$228,QUOTIENT(ROW()-1,19)+1,MOD(ROW()-2,19)+1)</f>
        <v>#N/A</v>
      </c>
      <c r="DL1481" t="str">
        <f>IFERROR(INDEX(Sheet2!$AU$2:$BM$228,QUOTIENT(ROW()-1,19)+1,MOD(ROW()-2,19)+1),NA())</f>
        <v/>
      </c>
      <c r="DM1481" s="4" t="e">
        <f t="shared" si="90"/>
        <v>#N/A</v>
      </c>
      <c r="DN1481" t="e">
        <f t="shared" si="91"/>
        <v>#N/A</v>
      </c>
      <c r="DO1481" t="e">
        <f t="shared" si="92"/>
        <v>#N/A</v>
      </c>
    </row>
    <row r="1482" spans="7:119" x14ac:dyDescent="0.25">
      <c r="G1482"/>
      <c r="DI1482" s="4">
        <f>INDEX(Sheet2!A:A,QUOTIENT(ROW()-1,19)+2)</f>
        <v>41353</v>
      </c>
      <c r="DJ1482" s="4">
        <f>INDEX(Sheet2!C:C,QUOTIENT(ROW()-1,19)+2)</f>
        <v>41639</v>
      </c>
      <c r="DK1482" s="4" t="e">
        <f>INDEX(Sheet2!$AA$2:$AS$228,QUOTIENT(ROW()-1,19)+1,MOD(ROW()-2,19)+1)</f>
        <v>#N/A</v>
      </c>
      <c r="DL1482" t="str">
        <f>IFERROR(INDEX(Sheet2!$AU$2:$BM$228,QUOTIENT(ROW()-1,19)+1,MOD(ROW()-2,19)+1),NA())</f>
        <v/>
      </c>
      <c r="DM1482" s="4" t="e">
        <f t="shared" si="90"/>
        <v>#N/A</v>
      </c>
      <c r="DN1482" t="e">
        <f t="shared" si="91"/>
        <v>#N/A</v>
      </c>
      <c r="DO1482" t="e">
        <f t="shared" si="92"/>
        <v>#N/A</v>
      </c>
    </row>
    <row r="1483" spans="7:119" x14ac:dyDescent="0.25">
      <c r="G1483"/>
      <c r="DI1483" s="4">
        <f>INDEX(Sheet2!A:A,QUOTIENT(ROW()-1,19)+2)</f>
        <v>41353</v>
      </c>
      <c r="DJ1483" s="4">
        <f>INDEX(Sheet2!C:C,QUOTIENT(ROW()-1,19)+2)</f>
        <v>42004</v>
      </c>
      <c r="DK1483" s="4" t="e">
        <f>INDEX(Sheet2!$AA$2:$AS$228,QUOTIENT(ROW()-1,19)+1,MOD(ROW()-2,19)+1)</f>
        <v>#N/A</v>
      </c>
      <c r="DL1483" t="str">
        <f>IFERROR(INDEX(Sheet2!$AU$2:$BM$228,QUOTIENT(ROW()-1,19)+1,MOD(ROW()-2,19)+1),NA())</f>
        <v/>
      </c>
      <c r="DM1483" s="4" t="e">
        <f t="shared" si="90"/>
        <v>#N/A</v>
      </c>
      <c r="DN1483" t="e">
        <f t="shared" si="91"/>
        <v>#N/A</v>
      </c>
      <c r="DO1483" t="e">
        <f t="shared" si="92"/>
        <v>#N/A</v>
      </c>
    </row>
    <row r="1484" spans="7:119" x14ac:dyDescent="0.25">
      <c r="G1484"/>
      <c r="DI1484" s="4">
        <f>INDEX(Sheet2!A:A,QUOTIENT(ROW()-1,19)+2)</f>
        <v>41353</v>
      </c>
      <c r="DJ1484" s="4">
        <f>INDEX(Sheet2!C:C,QUOTIENT(ROW()-1,19)+2)</f>
        <v>42004</v>
      </c>
      <c r="DK1484" s="4">
        <f>INDEX(Sheet2!$AA$2:$AS$228,QUOTIENT(ROW()-1,19)+1,MOD(ROW()-2,19)+1)</f>
        <v>41873.512499999997</v>
      </c>
      <c r="DL1484">
        <f>IFERROR(INDEX(Sheet2!$AU$2:$BM$228,QUOTIENT(ROW()-1,19)+1,MOD(ROW()-2,19)+1),NA())</f>
        <v>0.25</v>
      </c>
      <c r="DM1484" s="4" t="e">
        <f t="shared" si="90"/>
        <v>#N/A</v>
      </c>
      <c r="DN1484" t="e">
        <f t="shared" si="91"/>
        <v>#N/A</v>
      </c>
      <c r="DO1484" t="e">
        <f t="shared" si="92"/>
        <v>#N/A</v>
      </c>
    </row>
    <row r="1485" spans="7:119" x14ac:dyDescent="0.25">
      <c r="G1485"/>
      <c r="DI1485" s="4">
        <f>INDEX(Sheet2!A:A,QUOTIENT(ROW()-1,19)+2)</f>
        <v>41353</v>
      </c>
      <c r="DJ1485" s="4">
        <f>INDEX(Sheet2!C:C,QUOTIENT(ROW()-1,19)+2)</f>
        <v>42004</v>
      </c>
      <c r="DK1485" s="4">
        <f>INDEX(Sheet2!$AA$2:$AS$228,QUOTIENT(ROW()-1,19)+1,MOD(ROW()-2,19)+1)</f>
        <v>41893.587500000001</v>
      </c>
      <c r="DL1485">
        <f>IFERROR(INDEX(Sheet2!$AU$2:$BM$228,QUOTIENT(ROW()-1,19)+1,MOD(ROW()-2,19)+1),NA())</f>
        <v>0.25</v>
      </c>
      <c r="DM1485" s="4" t="e">
        <f t="shared" si="90"/>
        <v>#N/A</v>
      </c>
      <c r="DN1485" t="e">
        <f t="shared" si="91"/>
        <v>#N/A</v>
      </c>
      <c r="DO1485" t="e">
        <f t="shared" si="92"/>
        <v>#N/A</v>
      </c>
    </row>
    <row r="1486" spans="7:119" x14ac:dyDescent="0.25">
      <c r="G1486"/>
      <c r="DI1486" s="4">
        <f>INDEX(Sheet2!A:A,QUOTIENT(ROW()-1,19)+2)</f>
        <v>41353</v>
      </c>
      <c r="DJ1486" s="4">
        <f>INDEX(Sheet2!C:C,QUOTIENT(ROW()-1,19)+2)</f>
        <v>42004</v>
      </c>
      <c r="DK1486" s="4">
        <f>INDEX(Sheet2!$AA$2:$AS$228,QUOTIENT(ROW()-1,19)+1,MOD(ROW()-2,19)+1)</f>
        <v>41913.662499999999</v>
      </c>
      <c r="DL1486">
        <f>IFERROR(INDEX(Sheet2!$AU$2:$BM$228,QUOTIENT(ROW()-1,19)+1,MOD(ROW()-2,19)+1),NA())</f>
        <v>0.25</v>
      </c>
      <c r="DM1486" s="4" t="e">
        <f t="shared" si="90"/>
        <v>#N/A</v>
      </c>
      <c r="DN1486" t="e">
        <f t="shared" si="91"/>
        <v>#N/A</v>
      </c>
      <c r="DO1486" t="e">
        <f t="shared" si="92"/>
        <v>#N/A</v>
      </c>
    </row>
    <row r="1487" spans="7:119" x14ac:dyDescent="0.25">
      <c r="G1487"/>
      <c r="DI1487" s="4">
        <f>INDEX(Sheet2!A:A,QUOTIENT(ROW()-1,19)+2)</f>
        <v>41353</v>
      </c>
      <c r="DJ1487" s="4">
        <f>INDEX(Sheet2!C:C,QUOTIENT(ROW()-1,19)+2)</f>
        <v>42004</v>
      </c>
      <c r="DK1487" s="4">
        <f>INDEX(Sheet2!$AA$2:$AS$228,QUOTIENT(ROW()-1,19)+1,MOD(ROW()-2,19)+1)</f>
        <v>41933.737500000003</v>
      </c>
      <c r="DL1487">
        <f>IFERROR(INDEX(Sheet2!$AU$2:$BM$228,QUOTIENT(ROW()-1,19)+1,MOD(ROW()-2,19)+1),NA())</f>
        <v>0.25</v>
      </c>
      <c r="DM1487" s="4" t="e">
        <f t="shared" si="90"/>
        <v>#N/A</v>
      </c>
      <c r="DN1487" t="e">
        <f t="shared" si="91"/>
        <v>#N/A</v>
      </c>
      <c r="DO1487" t="e">
        <f t="shared" si="92"/>
        <v>#N/A</v>
      </c>
    </row>
    <row r="1488" spans="7:119" x14ac:dyDescent="0.25">
      <c r="G1488"/>
      <c r="DI1488" s="4">
        <f>INDEX(Sheet2!A:A,QUOTIENT(ROW()-1,19)+2)</f>
        <v>41353</v>
      </c>
      <c r="DJ1488" s="4">
        <f>INDEX(Sheet2!C:C,QUOTIENT(ROW()-1,19)+2)</f>
        <v>42004</v>
      </c>
      <c r="DK1488" s="4">
        <f>INDEX(Sheet2!$AA$2:$AS$228,QUOTIENT(ROW()-1,19)+1,MOD(ROW()-2,19)+1)</f>
        <v>41953.8125</v>
      </c>
      <c r="DL1488">
        <f>IFERROR(INDEX(Sheet2!$AU$2:$BM$228,QUOTIENT(ROW()-1,19)+1,MOD(ROW()-2,19)+1),NA())</f>
        <v>0.25</v>
      </c>
      <c r="DM1488" s="4" t="e">
        <f t="shared" si="90"/>
        <v>#N/A</v>
      </c>
      <c r="DN1488" t="e">
        <f t="shared" si="91"/>
        <v>#N/A</v>
      </c>
      <c r="DO1488" t="e">
        <f t="shared" si="92"/>
        <v>#N/A</v>
      </c>
    </row>
    <row r="1489" spans="7:119" x14ac:dyDescent="0.25">
      <c r="G1489"/>
      <c r="DI1489" s="4">
        <f>INDEX(Sheet2!A:A,QUOTIENT(ROW()-1,19)+2)</f>
        <v>41353</v>
      </c>
      <c r="DJ1489" s="4">
        <f>INDEX(Sheet2!C:C,QUOTIENT(ROW()-1,19)+2)</f>
        <v>42004</v>
      </c>
      <c r="DK1489" s="4">
        <f>INDEX(Sheet2!$AA$2:$AS$228,QUOTIENT(ROW()-1,19)+1,MOD(ROW()-2,19)+1)</f>
        <v>41973.887499999997</v>
      </c>
      <c r="DL1489">
        <f>IFERROR(INDEX(Sheet2!$AU$2:$BM$228,QUOTIENT(ROW()-1,19)+1,MOD(ROW()-2,19)+1),NA())</f>
        <v>0.25</v>
      </c>
      <c r="DM1489" s="4" t="e">
        <f t="shared" si="90"/>
        <v>#N/A</v>
      </c>
      <c r="DN1489" t="e">
        <f t="shared" si="91"/>
        <v>#N/A</v>
      </c>
      <c r="DO1489" t="e">
        <f t="shared" si="92"/>
        <v>#N/A</v>
      </c>
    </row>
    <row r="1490" spans="7:119" x14ac:dyDescent="0.25">
      <c r="G1490"/>
      <c r="DI1490" s="4">
        <f>INDEX(Sheet2!A:A,QUOTIENT(ROW()-1,19)+2)</f>
        <v>41353</v>
      </c>
      <c r="DJ1490" s="4">
        <f>INDEX(Sheet2!C:C,QUOTIENT(ROW()-1,19)+2)</f>
        <v>42004</v>
      </c>
      <c r="DK1490" s="4">
        <f>INDEX(Sheet2!$AA$2:$AS$228,QUOTIENT(ROW()-1,19)+1,MOD(ROW()-2,19)+1)</f>
        <v>41993.962500000001</v>
      </c>
      <c r="DL1490">
        <f>IFERROR(INDEX(Sheet2!$AU$2:$BM$228,QUOTIENT(ROW()-1,19)+1,MOD(ROW()-2,19)+1),NA())</f>
        <v>0.25</v>
      </c>
      <c r="DM1490" s="4" t="e">
        <f t="shared" si="90"/>
        <v>#N/A</v>
      </c>
      <c r="DN1490" t="e">
        <f t="shared" si="91"/>
        <v>#N/A</v>
      </c>
      <c r="DO1490" t="e">
        <f t="shared" si="92"/>
        <v>#N/A</v>
      </c>
    </row>
    <row r="1491" spans="7:119" x14ac:dyDescent="0.25">
      <c r="G1491"/>
      <c r="DI1491" s="4">
        <f>INDEX(Sheet2!A:A,QUOTIENT(ROW()-1,19)+2)</f>
        <v>41353</v>
      </c>
      <c r="DJ1491" s="4">
        <f>INDEX(Sheet2!C:C,QUOTIENT(ROW()-1,19)+2)</f>
        <v>42004</v>
      </c>
      <c r="DK1491" s="4">
        <f>INDEX(Sheet2!$AA$2:$AS$228,QUOTIENT(ROW()-1,19)+1,MOD(ROW()-2,19)+1)</f>
        <v>42014.037499999999</v>
      </c>
      <c r="DL1491">
        <f>IFERROR(INDEX(Sheet2!$AU$2:$BM$228,QUOTIENT(ROW()-1,19)+1,MOD(ROW()-2,19)+1),NA())</f>
        <v>0.25</v>
      </c>
      <c r="DM1491" s="4" t="e">
        <f t="shared" si="90"/>
        <v>#N/A</v>
      </c>
      <c r="DN1491" t="e">
        <f t="shared" si="91"/>
        <v>#N/A</v>
      </c>
      <c r="DO1491" t="e">
        <f t="shared" si="92"/>
        <v>#N/A</v>
      </c>
    </row>
    <row r="1492" spans="7:119" x14ac:dyDescent="0.25">
      <c r="G1492"/>
      <c r="DI1492" s="4">
        <f>INDEX(Sheet2!A:A,QUOTIENT(ROW()-1,19)+2)</f>
        <v>41353</v>
      </c>
      <c r="DJ1492" s="4">
        <f>INDEX(Sheet2!C:C,QUOTIENT(ROW()-1,19)+2)</f>
        <v>42004</v>
      </c>
      <c r="DK1492" s="4">
        <f>INDEX(Sheet2!$AA$2:$AS$228,QUOTIENT(ROW()-1,19)+1,MOD(ROW()-2,19)+1)</f>
        <v>42034.112500000003</v>
      </c>
      <c r="DL1492">
        <f>IFERROR(INDEX(Sheet2!$AU$2:$BM$228,QUOTIENT(ROW()-1,19)+1,MOD(ROW()-2,19)+1),NA())</f>
        <v>0.25</v>
      </c>
      <c r="DM1492" s="4" t="e">
        <f t="shared" si="90"/>
        <v>#N/A</v>
      </c>
      <c r="DN1492" t="e">
        <f t="shared" si="91"/>
        <v>#N/A</v>
      </c>
      <c r="DO1492" t="e">
        <f t="shared" si="92"/>
        <v>#N/A</v>
      </c>
    </row>
    <row r="1493" spans="7:119" x14ac:dyDescent="0.25">
      <c r="G1493"/>
      <c r="DI1493" s="4">
        <f>INDEX(Sheet2!A:A,QUOTIENT(ROW()-1,19)+2)</f>
        <v>41353</v>
      </c>
      <c r="DJ1493" s="4">
        <f>INDEX(Sheet2!C:C,QUOTIENT(ROW()-1,19)+2)</f>
        <v>42004</v>
      </c>
      <c r="DK1493" s="4">
        <f>INDEX(Sheet2!$AA$2:$AS$228,QUOTIENT(ROW()-1,19)+1,MOD(ROW()-2,19)+1)</f>
        <v>42054.1875</v>
      </c>
      <c r="DL1493">
        <f>IFERROR(INDEX(Sheet2!$AU$2:$BM$228,QUOTIENT(ROW()-1,19)+1,MOD(ROW()-2,19)+1),NA())</f>
        <v>0.25</v>
      </c>
      <c r="DM1493" s="4" t="e">
        <f t="shared" si="90"/>
        <v>#N/A</v>
      </c>
      <c r="DN1493" t="e">
        <f t="shared" si="91"/>
        <v>#N/A</v>
      </c>
      <c r="DO1493" t="e">
        <f t="shared" si="92"/>
        <v>#N/A</v>
      </c>
    </row>
    <row r="1494" spans="7:119" x14ac:dyDescent="0.25">
      <c r="G1494"/>
      <c r="DI1494" s="4">
        <f>INDEX(Sheet2!A:A,QUOTIENT(ROW()-1,19)+2)</f>
        <v>41353</v>
      </c>
      <c r="DJ1494" s="4">
        <f>INDEX(Sheet2!C:C,QUOTIENT(ROW()-1,19)+2)</f>
        <v>42004</v>
      </c>
      <c r="DK1494" s="4">
        <f>INDEX(Sheet2!$AA$2:$AS$228,QUOTIENT(ROW()-1,19)+1,MOD(ROW()-2,19)+1)</f>
        <v>42074.262499999997</v>
      </c>
      <c r="DL1494">
        <f>IFERROR(INDEX(Sheet2!$AU$2:$BM$228,QUOTIENT(ROW()-1,19)+1,MOD(ROW()-2,19)+1),NA())</f>
        <v>0.25</v>
      </c>
      <c r="DM1494" s="4" t="e">
        <f t="shared" si="90"/>
        <v>#N/A</v>
      </c>
      <c r="DN1494" t="e">
        <f t="shared" si="91"/>
        <v>#N/A</v>
      </c>
      <c r="DO1494" t="e">
        <f t="shared" si="92"/>
        <v>#N/A</v>
      </c>
    </row>
    <row r="1495" spans="7:119" x14ac:dyDescent="0.25">
      <c r="G1495"/>
      <c r="DI1495" s="4">
        <f>INDEX(Sheet2!A:A,QUOTIENT(ROW()-1,19)+2)</f>
        <v>41353</v>
      </c>
      <c r="DJ1495" s="4">
        <f>INDEX(Sheet2!C:C,QUOTIENT(ROW()-1,19)+2)</f>
        <v>42004</v>
      </c>
      <c r="DK1495" s="4">
        <f>INDEX(Sheet2!$AA$2:$AS$228,QUOTIENT(ROW()-1,19)+1,MOD(ROW()-2,19)+1)</f>
        <v>42094.337500000001</v>
      </c>
      <c r="DL1495">
        <f>IFERROR(INDEX(Sheet2!$AU$2:$BM$228,QUOTIENT(ROW()-1,19)+1,MOD(ROW()-2,19)+1),NA())</f>
        <v>0.25</v>
      </c>
      <c r="DM1495" s="4" t="e">
        <f t="shared" si="90"/>
        <v>#N/A</v>
      </c>
      <c r="DN1495" t="e">
        <f t="shared" si="91"/>
        <v>#N/A</v>
      </c>
      <c r="DO1495" t="e">
        <f t="shared" si="92"/>
        <v>#N/A</v>
      </c>
    </row>
    <row r="1496" spans="7:119" x14ac:dyDescent="0.25">
      <c r="G1496"/>
      <c r="DI1496" s="4">
        <f>INDEX(Sheet2!A:A,QUOTIENT(ROW()-1,19)+2)</f>
        <v>41353</v>
      </c>
      <c r="DJ1496" s="4">
        <f>INDEX(Sheet2!C:C,QUOTIENT(ROW()-1,19)+2)</f>
        <v>42004</v>
      </c>
      <c r="DK1496" s="4">
        <f>INDEX(Sheet2!$AA$2:$AS$228,QUOTIENT(ROW()-1,19)+1,MOD(ROW()-2,19)+1)</f>
        <v>42114.412499999999</v>
      </c>
      <c r="DL1496">
        <f>IFERROR(INDEX(Sheet2!$AU$2:$BM$228,QUOTIENT(ROW()-1,19)+1,MOD(ROW()-2,19)+1),NA())</f>
        <v>0.25</v>
      </c>
      <c r="DM1496" s="4" t="e">
        <f t="shared" si="90"/>
        <v>#N/A</v>
      </c>
      <c r="DN1496" t="e">
        <f t="shared" si="91"/>
        <v>#N/A</v>
      </c>
      <c r="DO1496" t="e">
        <f t="shared" si="92"/>
        <v>#N/A</v>
      </c>
    </row>
    <row r="1497" spans="7:119" x14ac:dyDescent="0.25">
      <c r="G1497"/>
      <c r="DI1497" s="4">
        <f>INDEX(Sheet2!A:A,QUOTIENT(ROW()-1,19)+2)</f>
        <v>41353</v>
      </c>
      <c r="DJ1497" s="4">
        <f>INDEX(Sheet2!C:C,QUOTIENT(ROW()-1,19)+2)</f>
        <v>42004</v>
      </c>
      <c r="DK1497" s="4">
        <f>INDEX(Sheet2!$AA$2:$AS$228,QUOTIENT(ROW()-1,19)+1,MOD(ROW()-2,19)+1)</f>
        <v>42134.487500000003</v>
      </c>
      <c r="DL1497">
        <f>IFERROR(INDEX(Sheet2!$AU$2:$BM$228,QUOTIENT(ROW()-1,19)+1,MOD(ROW()-2,19)+1),NA())</f>
        <v>0.25</v>
      </c>
      <c r="DM1497" s="4" t="e">
        <f t="shared" si="90"/>
        <v>#N/A</v>
      </c>
      <c r="DN1497" t="e">
        <f t="shared" si="91"/>
        <v>#N/A</v>
      </c>
      <c r="DO1497" t="e">
        <f t="shared" si="92"/>
        <v>#N/A</v>
      </c>
    </row>
    <row r="1498" spans="7:119" x14ac:dyDescent="0.25">
      <c r="G1498"/>
      <c r="DI1498" s="4">
        <f>INDEX(Sheet2!A:A,QUOTIENT(ROW()-1,19)+2)</f>
        <v>41353</v>
      </c>
      <c r="DJ1498" s="4">
        <f>INDEX(Sheet2!C:C,QUOTIENT(ROW()-1,19)+2)</f>
        <v>42004</v>
      </c>
      <c r="DK1498" s="4" t="e">
        <f>INDEX(Sheet2!$AA$2:$AS$228,QUOTIENT(ROW()-1,19)+1,MOD(ROW()-2,19)+1)</f>
        <v>#N/A</v>
      </c>
      <c r="DL1498" t="str">
        <f>IFERROR(INDEX(Sheet2!$AU$2:$BM$228,QUOTIENT(ROW()-1,19)+1,MOD(ROW()-2,19)+1),NA())</f>
        <v/>
      </c>
      <c r="DM1498" s="4" t="e">
        <f t="shared" si="90"/>
        <v>#N/A</v>
      </c>
      <c r="DN1498" t="e">
        <f t="shared" si="91"/>
        <v>#N/A</v>
      </c>
      <c r="DO1498" t="e">
        <f t="shared" si="92"/>
        <v>#N/A</v>
      </c>
    </row>
    <row r="1499" spans="7:119" x14ac:dyDescent="0.25">
      <c r="G1499"/>
      <c r="DI1499" s="4">
        <f>INDEX(Sheet2!A:A,QUOTIENT(ROW()-1,19)+2)</f>
        <v>41353</v>
      </c>
      <c r="DJ1499" s="4">
        <f>INDEX(Sheet2!C:C,QUOTIENT(ROW()-1,19)+2)</f>
        <v>42004</v>
      </c>
      <c r="DK1499" s="4" t="e">
        <f>INDEX(Sheet2!$AA$2:$AS$228,QUOTIENT(ROW()-1,19)+1,MOD(ROW()-2,19)+1)</f>
        <v>#N/A</v>
      </c>
      <c r="DL1499" t="str">
        <f>IFERROR(INDEX(Sheet2!$AU$2:$BM$228,QUOTIENT(ROW()-1,19)+1,MOD(ROW()-2,19)+1),NA())</f>
        <v/>
      </c>
      <c r="DM1499" s="4" t="e">
        <f t="shared" si="90"/>
        <v>#N/A</v>
      </c>
      <c r="DN1499" t="e">
        <f t="shared" si="91"/>
        <v>#N/A</v>
      </c>
      <c r="DO1499" t="e">
        <f t="shared" si="92"/>
        <v>#N/A</v>
      </c>
    </row>
    <row r="1500" spans="7:119" x14ac:dyDescent="0.25">
      <c r="G1500"/>
      <c r="DI1500" s="4">
        <f>INDEX(Sheet2!A:A,QUOTIENT(ROW()-1,19)+2)</f>
        <v>41353</v>
      </c>
      <c r="DJ1500" s="4">
        <f>INDEX(Sheet2!C:C,QUOTIENT(ROW()-1,19)+2)</f>
        <v>42004</v>
      </c>
      <c r="DK1500" s="4" t="e">
        <f>INDEX(Sheet2!$AA$2:$AS$228,QUOTIENT(ROW()-1,19)+1,MOD(ROW()-2,19)+1)</f>
        <v>#N/A</v>
      </c>
      <c r="DL1500" t="str">
        <f>IFERROR(INDEX(Sheet2!$AU$2:$BM$228,QUOTIENT(ROW()-1,19)+1,MOD(ROW()-2,19)+1),NA())</f>
        <v/>
      </c>
      <c r="DM1500" s="4" t="e">
        <f t="shared" si="90"/>
        <v>#N/A</v>
      </c>
      <c r="DN1500" t="e">
        <f t="shared" si="91"/>
        <v>#N/A</v>
      </c>
      <c r="DO1500" t="e">
        <f t="shared" si="92"/>
        <v>#N/A</v>
      </c>
    </row>
    <row r="1501" spans="7:119" x14ac:dyDescent="0.25">
      <c r="G1501"/>
      <c r="DI1501" s="4">
        <f>INDEX(Sheet2!A:A,QUOTIENT(ROW()-1,19)+2)</f>
        <v>41353</v>
      </c>
      <c r="DJ1501" s="4">
        <f>INDEX(Sheet2!C:C,QUOTIENT(ROW()-1,19)+2)</f>
        <v>42004</v>
      </c>
      <c r="DK1501" s="4" t="e">
        <f>INDEX(Sheet2!$AA$2:$AS$228,QUOTIENT(ROW()-1,19)+1,MOD(ROW()-2,19)+1)</f>
        <v>#N/A</v>
      </c>
      <c r="DL1501" t="str">
        <f>IFERROR(INDEX(Sheet2!$AU$2:$BM$228,QUOTIENT(ROW()-1,19)+1,MOD(ROW()-2,19)+1),NA())</f>
        <v/>
      </c>
      <c r="DM1501" s="4" t="e">
        <f t="shared" si="90"/>
        <v>#N/A</v>
      </c>
      <c r="DN1501" t="e">
        <f t="shared" si="91"/>
        <v>#N/A</v>
      </c>
      <c r="DO1501" t="e">
        <f t="shared" si="92"/>
        <v>#N/A</v>
      </c>
    </row>
    <row r="1502" spans="7:119" x14ac:dyDescent="0.25">
      <c r="G1502"/>
      <c r="DI1502" s="4">
        <f>INDEX(Sheet2!A:A,QUOTIENT(ROW()-1,19)+2)</f>
        <v>41353</v>
      </c>
      <c r="DJ1502" s="4">
        <f>INDEX(Sheet2!C:C,QUOTIENT(ROW()-1,19)+2)</f>
        <v>42004</v>
      </c>
      <c r="DK1502" s="4" t="e">
        <f>INDEX(Sheet2!$AA$2:$AS$228,QUOTIENT(ROW()-1,19)+1,MOD(ROW()-2,19)+1)</f>
        <v>#N/A</v>
      </c>
      <c r="DL1502" t="str">
        <f>IFERROR(INDEX(Sheet2!$AU$2:$BM$228,QUOTIENT(ROW()-1,19)+1,MOD(ROW()-2,19)+1),NA())</f>
        <v/>
      </c>
      <c r="DM1502" s="4" t="e">
        <f t="shared" si="90"/>
        <v>#N/A</v>
      </c>
      <c r="DN1502" t="e">
        <f t="shared" si="91"/>
        <v>#N/A</v>
      </c>
      <c r="DO1502" t="e">
        <f t="shared" si="92"/>
        <v>#N/A</v>
      </c>
    </row>
    <row r="1503" spans="7:119" x14ac:dyDescent="0.25">
      <c r="G1503"/>
      <c r="DI1503" s="4">
        <f>INDEX(Sheet2!A:A,QUOTIENT(ROW()-1,19)+2)</f>
        <v>41353</v>
      </c>
      <c r="DJ1503" s="4">
        <f>INDEX(Sheet2!C:C,QUOTIENT(ROW()-1,19)+2)</f>
        <v>42004</v>
      </c>
      <c r="DK1503" s="4">
        <f>INDEX(Sheet2!$AA$2:$AS$228,QUOTIENT(ROW()-1,19)+1,MOD(ROW()-2,19)+1)</f>
        <v>42004</v>
      </c>
      <c r="DL1503">
        <f>IFERROR(INDEX(Sheet2!$AU$2:$BM$228,QUOTIENT(ROW()-1,19)+1,MOD(ROW()-2,19)+1),NA())</f>
        <v>0.5</v>
      </c>
      <c r="DM1503" s="4" t="e">
        <f t="shared" si="90"/>
        <v>#N/A</v>
      </c>
      <c r="DN1503" t="e">
        <f t="shared" si="91"/>
        <v>#N/A</v>
      </c>
      <c r="DO1503" t="e">
        <f t="shared" si="92"/>
        <v>#N/A</v>
      </c>
    </row>
    <row r="1504" spans="7:119" x14ac:dyDescent="0.25">
      <c r="G1504"/>
      <c r="DI1504" s="4">
        <f>INDEX(Sheet2!A:A,QUOTIENT(ROW()-1,19)+2)</f>
        <v>41353</v>
      </c>
      <c r="DJ1504" s="4">
        <f>INDEX(Sheet2!C:C,QUOTIENT(ROW()-1,19)+2)</f>
        <v>42004</v>
      </c>
      <c r="DK1504" s="4" t="e">
        <f>INDEX(Sheet2!$AA$2:$AS$228,QUOTIENT(ROW()-1,19)+1,MOD(ROW()-2,19)+1)</f>
        <v>#N/A</v>
      </c>
      <c r="DL1504" t="str">
        <f>IFERROR(INDEX(Sheet2!$AU$2:$BM$228,QUOTIENT(ROW()-1,19)+1,MOD(ROW()-2,19)+1),NA())</f>
        <v/>
      </c>
      <c r="DM1504" s="4" t="e">
        <f t="shared" si="90"/>
        <v>#N/A</v>
      </c>
      <c r="DN1504" t="e">
        <f t="shared" si="91"/>
        <v>#N/A</v>
      </c>
      <c r="DO1504" t="e">
        <f t="shared" si="92"/>
        <v>#N/A</v>
      </c>
    </row>
    <row r="1505" spans="7:119" x14ac:dyDescent="0.25">
      <c r="G1505"/>
      <c r="DI1505" s="4">
        <f>INDEX(Sheet2!A:A,QUOTIENT(ROW()-1,19)+2)</f>
        <v>41353</v>
      </c>
      <c r="DJ1505" s="4">
        <f>INDEX(Sheet2!C:C,QUOTIENT(ROW()-1,19)+2)</f>
        <v>42004</v>
      </c>
      <c r="DK1505" s="4" t="e">
        <f>INDEX(Sheet2!$AA$2:$AS$228,QUOTIENT(ROW()-1,19)+1,MOD(ROW()-2,19)+1)</f>
        <v>#N/A</v>
      </c>
      <c r="DL1505" t="str">
        <f>IFERROR(INDEX(Sheet2!$AU$2:$BM$228,QUOTIENT(ROW()-1,19)+1,MOD(ROW()-2,19)+1),NA())</f>
        <v/>
      </c>
      <c r="DM1505" s="4" t="e">
        <f t="shared" si="90"/>
        <v>#N/A</v>
      </c>
      <c r="DN1505" t="e">
        <f t="shared" si="91"/>
        <v>#N/A</v>
      </c>
      <c r="DO1505" t="e">
        <f t="shared" si="92"/>
        <v>#N/A</v>
      </c>
    </row>
    <row r="1506" spans="7:119" x14ac:dyDescent="0.25">
      <c r="G1506"/>
      <c r="DI1506" s="4">
        <f>INDEX(Sheet2!A:A,QUOTIENT(ROW()-1,19)+2)</f>
        <v>41353</v>
      </c>
      <c r="DJ1506" s="4">
        <f>INDEX(Sheet2!C:C,QUOTIENT(ROW()-1,19)+2)</f>
        <v>42004</v>
      </c>
      <c r="DK1506" s="4" t="e">
        <f>INDEX(Sheet2!$AA$2:$AS$228,QUOTIENT(ROW()-1,19)+1,MOD(ROW()-2,19)+1)</f>
        <v>#N/A</v>
      </c>
      <c r="DL1506" t="str">
        <f>IFERROR(INDEX(Sheet2!$AU$2:$BM$228,QUOTIENT(ROW()-1,19)+1,MOD(ROW()-2,19)+1),NA())</f>
        <v/>
      </c>
      <c r="DM1506" s="4" t="e">
        <f t="shared" si="90"/>
        <v>#N/A</v>
      </c>
      <c r="DN1506" t="e">
        <f t="shared" si="91"/>
        <v>#N/A</v>
      </c>
      <c r="DO1506" t="e">
        <f t="shared" si="92"/>
        <v>#N/A</v>
      </c>
    </row>
    <row r="1507" spans="7:119" x14ac:dyDescent="0.25">
      <c r="G1507"/>
      <c r="DI1507" s="4">
        <f>INDEX(Sheet2!A:A,QUOTIENT(ROW()-1,19)+2)</f>
        <v>41353</v>
      </c>
      <c r="DJ1507" s="4">
        <f>INDEX(Sheet2!C:C,QUOTIENT(ROW()-1,19)+2)</f>
        <v>42004</v>
      </c>
      <c r="DK1507" s="4" t="e">
        <f>INDEX(Sheet2!$AA$2:$AS$228,QUOTIENT(ROW()-1,19)+1,MOD(ROW()-2,19)+1)</f>
        <v>#N/A</v>
      </c>
      <c r="DL1507" t="str">
        <f>IFERROR(INDEX(Sheet2!$AU$2:$BM$228,QUOTIENT(ROW()-1,19)+1,MOD(ROW()-2,19)+1),NA())</f>
        <v/>
      </c>
      <c r="DM1507" s="4" t="e">
        <f t="shared" si="90"/>
        <v>#N/A</v>
      </c>
      <c r="DN1507" t="e">
        <f t="shared" si="91"/>
        <v>#N/A</v>
      </c>
      <c r="DO1507" t="e">
        <f t="shared" si="92"/>
        <v>#N/A</v>
      </c>
    </row>
    <row r="1508" spans="7:119" x14ac:dyDescent="0.25">
      <c r="G1508"/>
      <c r="DI1508" s="4">
        <f>INDEX(Sheet2!A:A,QUOTIENT(ROW()-1,19)+2)</f>
        <v>41353</v>
      </c>
      <c r="DJ1508" s="4">
        <f>INDEX(Sheet2!C:C,QUOTIENT(ROW()-1,19)+2)</f>
        <v>42004</v>
      </c>
      <c r="DK1508" s="4" t="e">
        <f>INDEX(Sheet2!$AA$2:$AS$228,QUOTIENT(ROW()-1,19)+1,MOD(ROW()-2,19)+1)</f>
        <v>#N/A</v>
      </c>
      <c r="DL1508" t="str">
        <f>IFERROR(INDEX(Sheet2!$AU$2:$BM$228,QUOTIENT(ROW()-1,19)+1,MOD(ROW()-2,19)+1),NA())</f>
        <v/>
      </c>
      <c r="DM1508" s="4" t="e">
        <f t="shared" si="90"/>
        <v>#N/A</v>
      </c>
      <c r="DN1508" t="e">
        <f t="shared" si="91"/>
        <v>#N/A</v>
      </c>
      <c r="DO1508" t="e">
        <f t="shared" si="92"/>
        <v>#N/A</v>
      </c>
    </row>
    <row r="1509" spans="7:119" x14ac:dyDescent="0.25">
      <c r="G1509"/>
      <c r="DI1509" s="4">
        <f>INDEX(Sheet2!A:A,QUOTIENT(ROW()-1,19)+2)</f>
        <v>41353</v>
      </c>
      <c r="DJ1509" s="4">
        <f>INDEX(Sheet2!C:C,QUOTIENT(ROW()-1,19)+2)</f>
        <v>42004</v>
      </c>
      <c r="DK1509" s="4" t="e">
        <f>INDEX(Sheet2!$AA$2:$AS$228,QUOTIENT(ROW()-1,19)+1,MOD(ROW()-2,19)+1)</f>
        <v>#N/A</v>
      </c>
      <c r="DL1509" t="str">
        <f>IFERROR(INDEX(Sheet2!$AU$2:$BM$228,QUOTIENT(ROW()-1,19)+1,MOD(ROW()-2,19)+1),NA())</f>
        <v/>
      </c>
      <c r="DM1509" s="4" t="e">
        <f t="shared" si="90"/>
        <v>#N/A</v>
      </c>
      <c r="DN1509" t="e">
        <f t="shared" si="91"/>
        <v>#N/A</v>
      </c>
      <c r="DO1509" t="e">
        <f t="shared" si="92"/>
        <v>#N/A</v>
      </c>
    </row>
    <row r="1510" spans="7:119" x14ac:dyDescent="0.25">
      <c r="G1510"/>
      <c r="DI1510" s="4">
        <f>INDEX(Sheet2!A:A,QUOTIENT(ROW()-1,19)+2)</f>
        <v>41353</v>
      </c>
      <c r="DJ1510" s="4">
        <f>INDEX(Sheet2!C:C,QUOTIENT(ROW()-1,19)+2)</f>
        <v>42004</v>
      </c>
      <c r="DK1510" s="4" t="e">
        <f>INDEX(Sheet2!$AA$2:$AS$228,QUOTIENT(ROW()-1,19)+1,MOD(ROW()-2,19)+1)</f>
        <v>#N/A</v>
      </c>
      <c r="DL1510" t="str">
        <f>IFERROR(INDEX(Sheet2!$AU$2:$BM$228,QUOTIENT(ROW()-1,19)+1,MOD(ROW()-2,19)+1),NA())</f>
        <v/>
      </c>
      <c r="DM1510" s="4" t="e">
        <f t="shared" si="90"/>
        <v>#N/A</v>
      </c>
      <c r="DN1510" t="e">
        <f t="shared" si="91"/>
        <v>#N/A</v>
      </c>
      <c r="DO1510" t="e">
        <f t="shared" si="92"/>
        <v>#N/A</v>
      </c>
    </row>
    <row r="1511" spans="7:119" x14ac:dyDescent="0.25">
      <c r="G1511"/>
      <c r="DI1511" s="4">
        <f>INDEX(Sheet2!A:A,QUOTIENT(ROW()-1,19)+2)</f>
        <v>41353</v>
      </c>
      <c r="DJ1511" s="4">
        <f>INDEX(Sheet2!C:C,QUOTIENT(ROW()-1,19)+2)</f>
        <v>42004</v>
      </c>
      <c r="DK1511" s="4" t="e">
        <f>INDEX(Sheet2!$AA$2:$AS$228,QUOTIENT(ROW()-1,19)+1,MOD(ROW()-2,19)+1)</f>
        <v>#N/A</v>
      </c>
      <c r="DL1511" t="str">
        <f>IFERROR(INDEX(Sheet2!$AU$2:$BM$228,QUOTIENT(ROW()-1,19)+1,MOD(ROW()-2,19)+1),NA())</f>
        <v/>
      </c>
      <c r="DM1511" s="4" t="e">
        <f t="shared" si="90"/>
        <v>#N/A</v>
      </c>
      <c r="DN1511" t="e">
        <f t="shared" si="91"/>
        <v>#N/A</v>
      </c>
      <c r="DO1511" t="e">
        <f t="shared" si="92"/>
        <v>#N/A</v>
      </c>
    </row>
    <row r="1512" spans="7:119" x14ac:dyDescent="0.25">
      <c r="G1512"/>
      <c r="DI1512" s="4">
        <f>INDEX(Sheet2!A:A,QUOTIENT(ROW()-1,19)+2)</f>
        <v>41353</v>
      </c>
      <c r="DJ1512" s="4">
        <f>INDEX(Sheet2!C:C,QUOTIENT(ROW()-1,19)+2)</f>
        <v>42004</v>
      </c>
      <c r="DK1512" s="4" t="e">
        <f>INDEX(Sheet2!$AA$2:$AS$228,QUOTIENT(ROW()-1,19)+1,MOD(ROW()-2,19)+1)</f>
        <v>#N/A</v>
      </c>
      <c r="DL1512" t="str">
        <f>IFERROR(INDEX(Sheet2!$AU$2:$BM$228,QUOTIENT(ROW()-1,19)+1,MOD(ROW()-2,19)+1),NA())</f>
        <v/>
      </c>
      <c r="DM1512" s="4" t="e">
        <f t="shared" si="90"/>
        <v>#N/A</v>
      </c>
      <c r="DN1512" t="e">
        <f t="shared" si="91"/>
        <v>#N/A</v>
      </c>
      <c r="DO1512" t="e">
        <f t="shared" si="92"/>
        <v>#N/A</v>
      </c>
    </row>
    <row r="1513" spans="7:119" x14ac:dyDescent="0.25">
      <c r="G1513"/>
      <c r="DI1513" s="4">
        <f>INDEX(Sheet2!A:A,QUOTIENT(ROW()-1,19)+2)</f>
        <v>41353</v>
      </c>
      <c r="DJ1513" s="4">
        <f>INDEX(Sheet2!C:C,QUOTIENT(ROW()-1,19)+2)</f>
        <v>42004</v>
      </c>
      <c r="DK1513" s="4" t="e">
        <f>INDEX(Sheet2!$AA$2:$AS$228,QUOTIENT(ROW()-1,19)+1,MOD(ROW()-2,19)+1)</f>
        <v>#N/A</v>
      </c>
      <c r="DL1513" t="str">
        <f>IFERROR(INDEX(Sheet2!$AU$2:$BM$228,QUOTIENT(ROW()-1,19)+1,MOD(ROW()-2,19)+1),NA())</f>
        <v/>
      </c>
      <c r="DM1513" s="4" t="e">
        <f t="shared" si="90"/>
        <v>#N/A</v>
      </c>
      <c r="DN1513" t="e">
        <f t="shared" si="91"/>
        <v>#N/A</v>
      </c>
      <c r="DO1513" t="e">
        <f t="shared" si="92"/>
        <v>#N/A</v>
      </c>
    </row>
    <row r="1514" spans="7:119" x14ac:dyDescent="0.25">
      <c r="G1514"/>
      <c r="DI1514" s="4">
        <f>INDEX(Sheet2!A:A,QUOTIENT(ROW()-1,19)+2)</f>
        <v>41353</v>
      </c>
      <c r="DJ1514" s="4">
        <f>INDEX(Sheet2!C:C,QUOTIENT(ROW()-1,19)+2)</f>
        <v>42004</v>
      </c>
      <c r="DK1514" s="4" t="e">
        <f>INDEX(Sheet2!$AA$2:$AS$228,QUOTIENT(ROW()-1,19)+1,MOD(ROW()-2,19)+1)</f>
        <v>#N/A</v>
      </c>
      <c r="DL1514" t="str">
        <f>IFERROR(INDEX(Sheet2!$AU$2:$BM$228,QUOTIENT(ROW()-1,19)+1,MOD(ROW()-2,19)+1),NA())</f>
        <v/>
      </c>
      <c r="DM1514" s="4" t="e">
        <f t="shared" si="90"/>
        <v>#N/A</v>
      </c>
      <c r="DN1514" t="e">
        <f t="shared" si="91"/>
        <v>#N/A</v>
      </c>
      <c r="DO1514" t="e">
        <f t="shared" si="92"/>
        <v>#N/A</v>
      </c>
    </row>
    <row r="1515" spans="7:119" x14ac:dyDescent="0.25">
      <c r="G1515"/>
      <c r="DI1515" s="4">
        <f>INDEX(Sheet2!A:A,QUOTIENT(ROW()-1,19)+2)</f>
        <v>41353</v>
      </c>
      <c r="DJ1515" s="4">
        <f>INDEX(Sheet2!C:C,QUOTIENT(ROW()-1,19)+2)</f>
        <v>42004</v>
      </c>
      <c r="DK1515" s="4" t="e">
        <f>INDEX(Sheet2!$AA$2:$AS$228,QUOTIENT(ROW()-1,19)+1,MOD(ROW()-2,19)+1)</f>
        <v>#N/A</v>
      </c>
      <c r="DL1515" t="str">
        <f>IFERROR(INDEX(Sheet2!$AU$2:$BM$228,QUOTIENT(ROW()-1,19)+1,MOD(ROW()-2,19)+1),NA())</f>
        <v/>
      </c>
      <c r="DM1515" s="4" t="e">
        <f t="shared" si="90"/>
        <v>#N/A</v>
      </c>
      <c r="DN1515" t="e">
        <f t="shared" si="91"/>
        <v>#N/A</v>
      </c>
      <c r="DO1515" t="e">
        <f t="shared" si="92"/>
        <v>#N/A</v>
      </c>
    </row>
    <row r="1516" spans="7:119" x14ac:dyDescent="0.25">
      <c r="G1516"/>
      <c r="DI1516" s="4">
        <f>INDEX(Sheet2!A:A,QUOTIENT(ROW()-1,19)+2)</f>
        <v>41353</v>
      </c>
      <c r="DJ1516" s="4">
        <f>INDEX(Sheet2!C:C,QUOTIENT(ROW()-1,19)+2)</f>
        <v>42004</v>
      </c>
      <c r="DK1516" s="4" t="e">
        <f>INDEX(Sheet2!$AA$2:$AS$228,QUOTIENT(ROW()-1,19)+1,MOD(ROW()-2,19)+1)</f>
        <v>#N/A</v>
      </c>
      <c r="DL1516" t="str">
        <f>IFERROR(INDEX(Sheet2!$AU$2:$BM$228,QUOTIENT(ROW()-1,19)+1,MOD(ROW()-2,19)+1),NA())</f>
        <v/>
      </c>
      <c r="DM1516" s="4" t="e">
        <f t="shared" si="90"/>
        <v>#N/A</v>
      </c>
      <c r="DN1516" t="e">
        <f t="shared" si="91"/>
        <v>#N/A</v>
      </c>
      <c r="DO1516" t="e">
        <f t="shared" si="92"/>
        <v>#N/A</v>
      </c>
    </row>
    <row r="1517" spans="7:119" x14ac:dyDescent="0.25">
      <c r="G1517"/>
      <c r="DI1517" s="4">
        <f>INDEX(Sheet2!A:A,QUOTIENT(ROW()-1,19)+2)</f>
        <v>41353</v>
      </c>
      <c r="DJ1517" s="4">
        <f>INDEX(Sheet2!C:C,QUOTIENT(ROW()-1,19)+2)</f>
        <v>42004</v>
      </c>
      <c r="DK1517" s="4" t="e">
        <f>INDEX(Sheet2!$AA$2:$AS$228,QUOTIENT(ROW()-1,19)+1,MOD(ROW()-2,19)+1)</f>
        <v>#N/A</v>
      </c>
      <c r="DL1517" t="str">
        <f>IFERROR(INDEX(Sheet2!$AU$2:$BM$228,QUOTIENT(ROW()-1,19)+1,MOD(ROW()-2,19)+1),NA())</f>
        <v/>
      </c>
      <c r="DM1517" s="4" t="e">
        <f t="shared" si="90"/>
        <v>#N/A</v>
      </c>
      <c r="DN1517" t="e">
        <f t="shared" si="91"/>
        <v>#N/A</v>
      </c>
      <c r="DO1517" t="e">
        <f t="shared" si="92"/>
        <v>#N/A</v>
      </c>
    </row>
    <row r="1518" spans="7:119" x14ac:dyDescent="0.25">
      <c r="G1518"/>
      <c r="DI1518" s="4">
        <f>INDEX(Sheet2!A:A,QUOTIENT(ROW()-1,19)+2)</f>
        <v>41353</v>
      </c>
      <c r="DJ1518" s="4">
        <f>INDEX(Sheet2!C:C,QUOTIENT(ROW()-1,19)+2)</f>
        <v>42004</v>
      </c>
      <c r="DK1518" s="4" t="e">
        <f>INDEX(Sheet2!$AA$2:$AS$228,QUOTIENT(ROW()-1,19)+1,MOD(ROW()-2,19)+1)</f>
        <v>#N/A</v>
      </c>
      <c r="DL1518" t="str">
        <f>IFERROR(INDEX(Sheet2!$AU$2:$BM$228,QUOTIENT(ROW()-1,19)+1,MOD(ROW()-2,19)+1),NA())</f>
        <v/>
      </c>
      <c r="DM1518" s="4" t="e">
        <f t="shared" si="90"/>
        <v>#N/A</v>
      </c>
      <c r="DN1518" t="e">
        <f t="shared" si="91"/>
        <v>#N/A</v>
      </c>
      <c r="DO1518" t="e">
        <f t="shared" si="92"/>
        <v>#N/A</v>
      </c>
    </row>
    <row r="1519" spans="7:119" x14ac:dyDescent="0.25">
      <c r="G1519"/>
      <c r="DI1519" s="4">
        <f>INDEX(Sheet2!A:A,QUOTIENT(ROW()-1,19)+2)</f>
        <v>41353</v>
      </c>
      <c r="DJ1519" s="4">
        <f>INDEX(Sheet2!C:C,QUOTIENT(ROW()-1,19)+2)</f>
        <v>42004</v>
      </c>
      <c r="DK1519" s="4" t="e">
        <f>INDEX(Sheet2!$AA$2:$AS$228,QUOTIENT(ROW()-1,19)+1,MOD(ROW()-2,19)+1)</f>
        <v>#N/A</v>
      </c>
      <c r="DL1519" t="str">
        <f>IFERROR(INDEX(Sheet2!$AU$2:$BM$228,QUOTIENT(ROW()-1,19)+1,MOD(ROW()-2,19)+1),NA())</f>
        <v/>
      </c>
      <c r="DM1519" s="4" t="e">
        <f t="shared" si="90"/>
        <v>#N/A</v>
      </c>
      <c r="DN1519" t="e">
        <f t="shared" si="91"/>
        <v>#N/A</v>
      </c>
      <c r="DO1519" t="e">
        <f t="shared" si="92"/>
        <v>#N/A</v>
      </c>
    </row>
    <row r="1520" spans="7:119" x14ac:dyDescent="0.25">
      <c r="G1520"/>
      <c r="DI1520" s="4">
        <f>INDEX(Sheet2!A:A,QUOTIENT(ROW()-1,19)+2)</f>
        <v>41353</v>
      </c>
      <c r="DJ1520" s="4">
        <f>INDEX(Sheet2!C:C,QUOTIENT(ROW()-1,19)+2)</f>
        <v>42004</v>
      </c>
      <c r="DK1520" s="4" t="e">
        <f>INDEX(Sheet2!$AA$2:$AS$228,QUOTIENT(ROW()-1,19)+1,MOD(ROW()-2,19)+1)</f>
        <v>#N/A</v>
      </c>
      <c r="DL1520" t="str">
        <f>IFERROR(INDEX(Sheet2!$AU$2:$BM$228,QUOTIENT(ROW()-1,19)+1,MOD(ROW()-2,19)+1),NA())</f>
        <v/>
      </c>
      <c r="DM1520" s="4" t="e">
        <f t="shared" si="90"/>
        <v>#N/A</v>
      </c>
      <c r="DN1520" t="e">
        <f t="shared" si="91"/>
        <v>#N/A</v>
      </c>
      <c r="DO1520" t="e">
        <f t="shared" si="92"/>
        <v>#N/A</v>
      </c>
    </row>
    <row r="1521" spans="7:119" x14ac:dyDescent="0.25">
      <c r="G1521"/>
      <c r="DI1521" s="4">
        <f>INDEX(Sheet2!A:A,QUOTIENT(ROW()-1,19)+2)</f>
        <v>41353</v>
      </c>
      <c r="DJ1521" s="4">
        <f>INDEX(Sheet2!C:C,QUOTIENT(ROW()-1,19)+2)</f>
        <v>42004</v>
      </c>
      <c r="DK1521" s="4" t="e">
        <f>INDEX(Sheet2!$AA$2:$AS$228,QUOTIENT(ROW()-1,19)+1,MOD(ROW()-2,19)+1)</f>
        <v>#N/A</v>
      </c>
      <c r="DL1521" t="str">
        <f>IFERROR(INDEX(Sheet2!$AU$2:$BM$228,QUOTIENT(ROW()-1,19)+1,MOD(ROW()-2,19)+1),NA())</f>
        <v/>
      </c>
      <c r="DM1521" s="4" t="e">
        <f t="shared" si="90"/>
        <v>#N/A</v>
      </c>
      <c r="DN1521" t="e">
        <f t="shared" si="91"/>
        <v>#N/A</v>
      </c>
      <c r="DO1521" t="e">
        <f t="shared" si="92"/>
        <v>#N/A</v>
      </c>
    </row>
    <row r="1522" spans="7:119" x14ac:dyDescent="0.25">
      <c r="G1522"/>
      <c r="DI1522" s="4">
        <f>INDEX(Sheet2!A:A,QUOTIENT(ROW()-1,19)+2)</f>
        <v>41353</v>
      </c>
      <c r="DJ1522" s="4">
        <f>INDEX(Sheet2!C:C,QUOTIENT(ROW()-1,19)+2)</f>
        <v>42004</v>
      </c>
      <c r="DK1522" s="4">
        <f>INDEX(Sheet2!$AA$2:$AS$228,QUOTIENT(ROW()-1,19)+1,MOD(ROW()-2,19)+1)</f>
        <v>41993.962500000001</v>
      </c>
      <c r="DL1522">
        <f>IFERROR(INDEX(Sheet2!$AU$2:$BM$228,QUOTIENT(ROW()-1,19)+1,MOD(ROW()-2,19)+1),NA())</f>
        <v>1</v>
      </c>
      <c r="DM1522" s="4" t="e">
        <f t="shared" si="90"/>
        <v>#N/A</v>
      </c>
      <c r="DN1522" t="e">
        <f t="shared" si="91"/>
        <v>#N/A</v>
      </c>
      <c r="DO1522" t="e">
        <f t="shared" si="92"/>
        <v>#N/A</v>
      </c>
    </row>
    <row r="1523" spans="7:119" x14ac:dyDescent="0.25">
      <c r="G1523"/>
      <c r="DI1523" s="4">
        <f>INDEX(Sheet2!A:A,QUOTIENT(ROW()-1,19)+2)</f>
        <v>41353</v>
      </c>
      <c r="DJ1523" s="4">
        <f>INDEX(Sheet2!C:C,QUOTIENT(ROW()-1,19)+2)</f>
        <v>42004</v>
      </c>
      <c r="DK1523" s="4">
        <f>INDEX(Sheet2!$AA$2:$AS$228,QUOTIENT(ROW()-1,19)+1,MOD(ROW()-2,19)+1)</f>
        <v>42014.037500000006</v>
      </c>
      <c r="DL1523">
        <f>IFERROR(INDEX(Sheet2!$AU$2:$BM$228,QUOTIENT(ROW()-1,19)+1,MOD(ROW()-2,19)+1),NA())</f>
        <v>1</v>
      </c>
      <c r="DM1523" s="4" t="e">
        <f t="shared" si="90"/>
        <v>#N/A</v>
      </c>
      <c r="DN1523" t="e">
        <f t="shared" si="91"/>
        <v>#N/A</v>
      </c>
      <c r="DO1523" t="e">
        <f t="shared" si="92"/>
        <v>#N/A</v>
      </c>
    </row>
    <row r="1524" spans="7:119" x14ac:dyDescent="0.25">
      <c r="G1524"/>
      <c r="DI1524" s="4">
        <f>INDEX(Sheet2!A:A,QUOTIENT(ROW()-1,19)+2)</f>
        <v>41353</v>
      </c>
      <c r="DJ1524" s="4">
        <f>INDEX(Sheet2!C:C,QUOTIENT(ROW()-1,19)+2)</f>
        <v>42004</v>
      </c>
      <c r="DK1524" s="4" t="e">
        <f>INDEX(Sheet2!$AA$2:$AS$228,QUOTIENT(ROW()-1,19)+1,MOD(ROW()-2,19)+1)</f>
        <v>#N/A</v>
      </c>
      <c r="DL1524" t="str">
        <f>IFERROR(INDEX(Sheet2!$AU$2:$BM$228,QUOTIENT(ROW()-1,19)+1,MOD(ROW()-2,19)+1),NA())</f>
        <v/>
      </c>
      <c r="DM1524" s="4" t="e">
        <f t="shared" si="90"/>
        <v>#N/A</v>
      </c>
      <c r="DN1524" t="e">
        <f t="shared" si="91"/>
        <v>#N/A</v>
      </c>
      <c r="DO1524" t="e">
        <f t="shared" si="92"/>
        <v>#N/A</v>
      </c>
    </row>
    <row r="1525" spans="7:119" x14ac:dyDescent="0.25">
      <c r="G1525"/>
      <c r="DI1525" s="4">
        <f>INDEX(Sheet2!A:A,QUOTIENT(ROW()-1,19)+2)</f>
        <v>41353</v>
      </c>
      <c r="DJ1525" s="4">
        <f>INDEX(Sheet2!C:C,QUOTIENT(ROW()-1,19)+2)</f>
        <v>42004</v>
      </c>
      <c r="DK1525" s="4" t="e">
        <f>INDEX(Sheet2!$AA$2:$AS$228,QUOTIENT(ROW()-1,19)+1,MOD(ROW()-2,19)+1)</f>
        <v>#N/A</v>
      </c>
      <c r="DL1525" t="str">
        <f>IFERROR(INDEX(Sheet2!$AU$2:$BM$228,QUOTIENT(ROW()-1,19)+1,MOD(ROW()-2,19)+1),NA())</f>
        <v/>
      </c>
      <c r="DM1525" s="4" t="e">
        <f t="shared" si="90"/>
        <v>#N/A</v>
      </c>
      <c r="DN1525" t="e">
        <f t="shared" si="91"/>
        <v>#N/A</v>
      </c>
      <c r="DO1525" t="e">
        <f t="shared" si="92"/>
        <v>#N/A</v>
      </c>
    </row>
    <row r="1526" spans="7:119" x14ac:dyDescent="0.25">
      <c r="G1526"/>
      <c r="DI1526" s="4">
        <f>INDEX(Sheet2!A:A,QUOTIENT(ROW()-1,19)+2)</f>
        <v>41353</v>
      </c>
      <c r="DJ1526" s="4">
        <f>INDEX(Sheet2!C:C,QUOTIENT(ROW()-1,19)+2)</f>
        <v>42004</v>
      </c>
      <c r="DK1526" s="4" t="e">
        <f>INDEX(Sheet2!$AA$2:$AS$228,QUOTIENT(ROW()-1,19)+1,MOD(ROW()-2,19)+1)</f>
        <v>#N/A</v>
      </c>
      <c r="DL1526" t="str">
        <f>IFERROR(INDEX(Sheet2!$AU$2:$BM$228,QUOTIENT(ROW()-1,19)+1,MOD(ROW()-2,19)+1),NA())</f>
        <v/>
      </c>
      <c r="DM1526" s="4" t="e">
        <f t="shared" si="90"/>
        <v>#N/A</v>
      </c>
      <c r="DN1526" t="e">
        <f t="shared" si="91"/>
        <v>#N/A</v>
      </c>
      <c r="DO1526" t="e">
        <f t="shared" si="92"/>
        <v>#N/A</v>
      </c>
    </row>
    <row r="1527" spans="7:119" x14ac:dyDescent="0.25">
      <c r="G1527"/>
      <c r="DI1527" s="4">
        <f>INDEX(Sheet2!A:A,QUOTIENT(ROW()-1,19)+2)</f>
        <v>41353</v>
      </c>
      <c r="DJ1527" s="4">
        <f>INDEX(Sheet2!C:C,QUOTIENT(ROW()-1,19)+2)</f>
        <v>42004</v>
      </c>
      <c r="DK1527" s="4" t="e">
        <f>INDEX(Sheet2!$AA$2:$AS$228,QUOTIENT(ROW()-1,19)+1,MOD(ROW()-2,19)+1)</f>
        <v>#N/A</v>
      </c>
      <c r="DL1527" t="str">
        <f>IFERROR(INDEX(Sheet2!$AU$2:$BM$228,QUOTIENT(ROW()-1,19)+1,MOD(ROW()-2,19)+1),NA())</f>
        <v/>
      </c>
      <c r="DM1527" s="4" t="e">
        <f t="shared" si="90"/>
        <v>#N/A</v>
      </c>
      <c r="DN1527" t="e">
        <f t="shared" si="91"/>
        <v>#N/A</v>
      </c>
      <c r="DO1527" t="e">
        <f t="shared" si="92"/>
        <v>#N/A</v>
      </c>
    </row>
    <row r="1528" spans="7:119" x14ac:dyDescent="0.25">
      <c r="G1528"/>
      <c r="DI1528" s="4">
        <f>INDEX(Sheet2!A:A,QUOTIENT(ROW()-1,19)+2)</f>
        <v>41353</v>
      </c>
      <c r="DJ1528" s="4">
        <f>INDEX(Sheet2!C:C,QUOTIENT(ROW()-1,19)+2)</f>
        <v>42004</v>
      </c>
      <c r="DK1528" s="4" t="e">
        <f>INDEX(Sheet2!$AA$2:$AS$228,QUOTIENT(ROW()-1,19)+1,MOD(ROW()-2,19)+1)</f>
        <v>#N/A</v>
      </c>
      <c r="DL1528" t="str">
        <f>IFERROR(INDEX(Sheet2!$AU$2:$BM$228,QUOTIENT(ROW()-1,19)+1,MOD(ROW()-2,19)+1),NA())</f>
        <v/>
      </c>
      <c r="DM1528" s="4" t="e">
        <f t="shared" si="90"/>
        <v>#N/A</v>
      </c>
      <c r="DN1528" t="e">
        <f t="shared" si="91"/>
        <v>#N/A</v>
      </c>
      <c r="DO1528" t="e">
        <f t="shared" si="92"/>
        <v>#N/A</v>
      </c>
    </row>
    <row r="1529" spans="7:119" x14ac:dyDescent="0.25">
      <c r="G1529"/>
      <c r="DI1529" s="4">
        <f>INDEX(Sheet2!A:A,QUOTIENT(ROW()-1,19)+2)</f>
        <v>41353</v>
      </c>
      <c r="DJ1529" s="4">
        <f>INDEX(Sheet2!C:C,QUOTIENT(ROW()-1,19)+2)</f>
        <v>42004</v>
      </c>
      <c r="DK1529" s="4" t="e">
        <f>INDEX(Sheet2!$AA$2:$AS$228,QUOTIENT(ROW()-1,19)+1,MOD(ROW()-2,19)+1)</f>
        <v>#N/A</v>
      </c>
      <c r="DL1529" t="str">
        <f>IFERROR(INDEX(Sheet2!$AU$2:$BM$228,QUOTIENT(ROW()-1,19)+1,MOD(ROW()-2,19)+1),NA())</f>
        <v/>
      </c>
      <c r="DM1529" s="4" t="e">
        <f t="shared" si="90"/>
        <v>#N/A</v>
      </c>
      <c r="DN1529" t="e">
        <f t="shared" si="91"/>
        <v>#N/A</v>
      </c>
      <c r="DO1529" t="e">
        <f t="shared" si="92"/>
        <v>#N/A</v>
      </c>
    </row>
    <row r="1530" spans="7:119" x14ac:dyDescent="0.25">
      <c r="G1530"/>
      <c r="DI1530" s="4">
        <f>INDEX(Sheet2!A:A,QUOTIENT(ROW()-1,19)+2)</f>
        <v>41353</v>
      </c>
      <c r="DJ1530" s="4">
        <f>INDEX(Sheet2!C:C,QUOTIENT(ROW()-1,19)+2)</f>
        <v>42004</v>
      </c>
      <c r="DK1530" s="4" t="e">
        <f>INDEX(Sheet2!$AA$2:$AS$228,QUOTIENT(ROW()-1,19)+1,MOD(ROW()-2,19)+1)</f>
        <v>#N/A</v>
      </c>
      <c r="DL1530" t="str">
        <f>IFERROR(INDEX(Sheet2!$AU$2:$BM$228,QUOTIENT(ROW()-1,19)+1,MOD(ROW()-2,19)+1),NA())</f>
        <v/>
      </c>
      <c r="DM1530" s="4" t="e">
        <f t="shared" si="90"/>
        <v>#N/A</v>
      </c>
      <c r="DN1530" t="e">
        <f t="shared" si="91"/>
        <v>#N/A</v>
      </c>
      <c r="DO1530" t="e">
        <f t="shared" si="92"/>
        <v>#N/A</v>
      </c>
    </row>
    <row r="1531" spans="7:119" x14ac:dyDescent="0.25">
      <c r="G1531"/>
      <c r="DI1531" s="4">
        <f>INDEX(Sheet2!A:A,QUOTIENT(ROW()-1,19)+2)</f>
        <v>41353</v>
      </c>
      <c r="DJ1531" s="4">
        <f>INDEX(Sheet2!C:C,QUOTIENT(ROW()-1,19)+2)</f>
        <v>42004</v>
      </c>
      <c r="DK1531" s="4" t="e">
        <f>INDEX(Sheet2!$AA$2:$AS$228,QUOTIENT(ROW()-1,19)+1,MOD(ROW()-2,19)+1)</f>
        <v>#N/A</v>
      </c>
      <c r="DL1531" t="str">
        <f>IFERROR(INDEX(Sheet2!$AU$2:$BM$228,QUOTIENT(ROW()-1,19)+1,MOD(ROW()-2,19)+1),NA())</f>
        <v/>
      </c>
      <c r="DM1531" s="4" t="e">
        <f t="shared" si="90"/>
        <v>#N/A</v>
      </c>
      <c r="DN1531" t="e">
        <f t="shared" si="91"/>
        <v>#N/A</v>
      </c>
      <c r="DO1531" t="e">
        <f t="shared" si="92"/>
        <v>#N/A</v>
      </c>
    </row>
    <row r="1532" spans="7:119" x14ac:dyDescent="0.25">
      <c r="G1532"/>
      <c r="DI1532" s="4">
        <f>INDEX(Sheet2!A:A,QUOTIENT(ROW()-1,19)+2)</f>
        <v>41353</v>
      </c>
      <c r="DJ1532" s="4">
        <f>INDEX(Sheet2!C:C,QUOTIENT(ROW()-1,19)+2)</f>
        <v>42004</v>
      </c>
      <c r="DK1532" s="4" t="e">
        <f>INDEX(Sheet2!$AA$2:$AS$228,QUOTIENT(ROW()-1,19)+1,MOD(ROW()-2,19)+1)</f>
        <v>#N/A</v>
      </c>
      <c r="DL1532" t="str">
        <f>IFERROR(INDEX(Sheet2!$AU$2:$BM$228,QUOTIENT(ROW()-1,19)+1,MOD(ROW()-2,19)+1),NA())</f>
        <v/>
      </c>
      <c r="DM1532" s="4" t="e">
        <f t="shared" si="90"/>
        <v>#N/A</v>
      </c>
      <c r="DN1532" t="e">
        <f t="shared" si="91"/>
        <v>#N/A</v>
      </c>
      <c r="DO1532" t="e">
        <f t="shared" si="92"/>
        <v>#N/A</v>
      </c>
    </row>
    <row r="1533" spans="7:119" x14ac:dyDescent="0.25">
      <c r="G1533"/>
      <c r="DI1533" s="4">
        <f>INDEX(Sheet2!A:A,QUOTIENT(ROW()-1,19)+2)</f>
        <v>41353</v>
      </c>
      <c r="DJ1533" s="4">
        <f>INDEX(Sheet2!C:C,QUOTIENT(ROW()-1,19)+2)</f>
        <v>42004</v>
      </c>
      <c r="DK1533" s="4" t="e">
        <f>INDEX(Sheet2!$AA$2:$AS$228,QUOTIENT(ROW()-1,19)+1,MOD(ROW()-2,19)+1)</f>
        <v>#N/A</v>
      </c>
      <c r="DL1533" t="str">
        <f>IFERROR(INDEX(Sheet2!$AU$2:$BM$228,QUOTIENT(ROW()-1,19)+1,MOD(ROW()-2,19)+1),NA())</f>
        <v/>
      </c>
      <c r="DM1533" s="4" t="e">
        <f t="shared" si="90"/>
        <v>#N/A</v>
      </c>
      <c r="DN1533" t="e">
        <f t="shared" si="91"/>
        <v>#N/A</v>
      </c>
      <c r="DO1533" t="e">
        <f t="shared" si="92"/>
        <v>#N/A</v>
      </c>
    </row>
    <row r="1534" spans="7:119" x14ac:dyDescent="0.25">
      <c r="G1534"/>
      <c r="DI1534" s="4">
        <f>INDEX(Sheet2!A:A,QUOTIENT(ROW()-1,19)+2)</f>
        <v>41353</v>
      </c>
      <c r="DJ1534" s="4">
        <f>INDEX(Sheet2!C:C,QUOTIENT(ROW()-1,19)+2)</f>
        <v>42004</v>
      </c>
      <c r="DK1534" s="4" t="e">
        <f>INDEX(Sheet2!$AA$2:$AS$228,QUOTIENT(ROW()-1,19)+1,MOD(ROW()-2,19)+1)</f>
        <v>#N/A</v>
      </c>
      <c r="DL1534" t="str">
        <f>IFERROR(INDEX(Sheet2!$AU$2:$BM$228,QUOTIENT(ROW()-1,19)+1,MOD(ROW()-2,19)+1),NA())</f>
        <v/>
      </c>
      <c r="DM1534" s="4" t="e">
        <f t="shared" si="90"/>
        <v>#N/A</v>
      </c>
      <c r="DN1534" t="e">
        <f t="shared" si="91"/>
        <v>#N/A</v>
      </c>
      <c r="DO1534" t="e">
        <f t="shared" si="92"/>
        <v>#N/A</v>
      </c>
    </row>
    <row r="1535" spans="7:119" x14ac:dyDescent="0.25">
      <c r="G1535"/>
      <c r="DI1535" s="4">
        <f>INDEX(Sheet2!A:A,QUOTIENT(ROW()-1,19)+2)</f>
        <v>41353</v>
      </c>
      <c r="DJ1535" s="4">
        <f>INDEX(Sheet2!C:C,QUOTIENT(ROW()-1,19)+2)</f>
        <v>42004</v>
      </c>
      <c r="DK1535" s="4" t="e">
        <f>INDEX(Sheet2!$AA$2:$AS$228,QUOTIENT(ROW()-1,19)+1,MOD(ROW()-2,19)+1)</f>
        <v>#N/A</v>
      </c>
      <c r="DL1535" t="str">
        <f>IFERROR(INDEX(Sheet2!$AU$2:$BM$228,QUOTIENT(ROW()-1,19)+1,MOD(ROW()-2,19)+1),NA())</f>
        <v/>
      </c>
      <c r="DM1535" s="4" t="e">
        <f t="shared" si="90"/>
        <v>#N/A</v>
      </c>
      <c r="DN1535" t="e">
        <f t="shared" si="91"/>
        <v>#N/A</v>
      </c>
      <c r="DO1535" t="e">
        <f t="shared" si="92"/>
        <v>#N/A</v>
      </c>
    </row>
    <row r="1536" spans="7:119" x14ac:dyDescent="0.25">
      <c r="G1536"/>
      <c r="DI1536" s="4">
        <f>INDEX(Sheet2!A:A,QUOTIENT(ROW()-1,19)+2)</f>
        <v>41353</v>
      </c>
      <c r="DJ1536" s="4">
        <f>INDEX(Sheet2!C:C,QUOTIENT(ROW()-1,19)+2)</f>
        <v>42004</v>
      </c>
      <c r="DK1536" s="4" t="e">
        <f>INDEX(Sheet2!$AA$2:$AS$228,QUOTIENT(ROW()-1,19)+1,MOD(ROW()-2,19)+1)</f>
        <v>#N/A</v>
      </c>
      <c r="DL1536" t="str">
        <f>IFERROR(INDEX(Sheet2!$AU$2:$BM$228,QUOTIENT(ROW()-1,19)+1,MOD(ROW()-2,19)+1),NA())</f>
        <v/>
      </c>
      <c r="DM1536" s="4" t="e">
        <f t="shared" si="90"/>
        <v>#N/A</v>
      </c>
      <c r="DN1536" t="e">
        <f t="shared" si="91"/>
        <v>#N/A</v>
      </c>
      <c r="DO1536" t="e">
        <f t="shared" si="92"/>
        <v>#N/A</v>
      </c>
    </row>
    <row r="1537" spans="7:119" x14ac:dyDescent="0.25">
      <c r="G1537"/>
      <c r="DI1537" s="4">
        <f>INDEX(Sheet2!A:A,QUOTIENT(ROW()-1,19)+2)</f>
        <v>41353</v>
      </c>
      <c r="DJ1537" s="4">
        <f>INDEX(Sheet2!C:C,QUOTIENT(ROW()-1,19)+2)</f>
        <v>42004</v>
      </c>
      <c r="DK1537" s="4" t="e">
        <f>INDEX(Sheet2!$AA$2:$AS$228,QUOTIENT(ROW()-1,19)+1,MOD(ROW()-2,19)+1)</f>
        <v>#N/A</v>
      </c>
      <c r="DL1537" t="str">
        <f>IFERROR(INDEX(Sheet2!$AU$2:$BM$228,QUOTIENT(ROW()-1,19)+1,MOD(ROW()-2,19)+1),NA())</f>
        <v/>
      </c>
      <c r="DM1537" s="4" t="e">
        <f t="shared" si="90"/>
        <v>#N/A</v>
      </c>
      <c r="DN1537" t="e">
        <f t="shared" si="91"/>
        <v>#N/A</v>
      </c>
      <c r="DO1537" t="e">
        <f t="shared" si="92"/>
        <v>#N/A</v>
      </c>
    </row>
    <row r="1538" spans="7:119" x14ac:dyDescent="0.25">
      <c r="G1538"/>
      <c r="DI1538" s="4">
        <f>INDEX(Sheet2!A:A,QUOTIENT(ROW()-1,19)+2)</f>
        <v>41353</v>
      </c>
      <c r="DJ1538" s="4">
        <f>INDEX(Sheet2!C:C,QUOTIENT(ROW()-1,19)+2)</f>
        <v>42004</v>
      </c>
      <c r="DK1538" s="4" t="e">
        <f>INDEX(Sheet2!$AA$2:$AS$228,QUOTIENT(ROW()-1,19)+1,MOD(ROW()-2,19)+1)</f>
        <v>#N/A</v>
      </c>
      <c r="DL1538" t="str">
        <f>IFERROR(INDEX(Sheet2!$AU$2:$BM$228,QUOTIENT(ROW()-1,19)+1,MOD(ROW()-2,19)+1),NA())</f>
        <v/>
      </c>
      <c r="DM1538" s="4" t="e">
        <f t="shared" ref="DM1538:DM1601" si="93">+IF($C$2=$DI1538,DK1538,NA())</f>
        <v>#N/A</v>
      </c>
      <c r="DN1538" t="e">
        <f t="shared" ref="DN1538:DN1601" si="94">+IF($C$2=$DI1538,DL1538,NA())</f>
        <v>#N/A</v>
      </c>
      <c r="DO1538" t="e">
        <f t="shared" si="92"/>
        <v>#N/A</v>
      </c>
    </row>
    <row r="1539" spans="7:119" x14ac:dyDescent="0.25">
      <c r="G1539"/>
      <c r="DI1539" s="4">
        <f>INDEX(Sheet2!A:A,QUOTIENT(ROW()-1,19)+2)</f>
        <v>41353</v>
      </c>
      <c r="DJ1539" s="4">
        <f>INDEX(Sheet2!C:C,QUOTIENT(ROW()-1,19)+2)</f>
        <v>42004</v>
      </c>
      <c r="DK1539" s="4" t="e">
        <f>INDEX(Sheet2!$AA$2:$AS$228,QUOTIENT(ROW()-1,19)+1,MOD(ROW()-2,19)+1)</f>
        <v>#N/A</v>
      </c>
      <c r="DL1539" t="str">
        <f>IFERROR(INDEX(Sheet2!$AU$2:$BM$228,QUOTIENT(ROW()-1,19)+1,MOD(ROW()-2,19)+1),NA())</f>
        <v/>
      </c>
      <c r="DM1539" s="4" t="e">
        <f t="shared" si="93"/>
        <v>#N/A</v>
      </c>
      <c r="DN1539" t="e">
        <f t="shared" si="94"/>
        <v>#N/A</v>
      </c>
      <c r="DO1539" t="e">
        <f t="shared" ref="DO1539:DO1602" si="95">IF(DN1539="",NA(),DN1539)</f>
        <v>#N/A</v>
      </c>
    </row>
    <row r="1540" spans="7:119" x14ac:dyDescent="0.25">
      <c r="G1540"/>
      <c r="DI1540" s="4">
        <f>INDEX(Sheet2!A:A,QUOTIENT(ROW()-1,19)+2)</f>
        <v>41353</v>
      </c>
      <c r="DJ1540" s="4">
        <f>INDEX(Sheet2!C:C,QUOTIENT(ROW()-1,19)+2)</f>
        <v>42004</v>
      </c>
      <c r="DK1540" s="4" t="e">
        <f>INDEX(Sheet2!$AA$2:$AS$228,QUOTIENT(ROW()-1,19)+1,MOD(ROW()-2,19)+1)</f>
        <v>#N/A</v>
      </c>
      <c r="DL1540" t="str">
        <f>IFERROR(INDEX(Sheet2!$AU$2:$BM$228,QUOTIENT(ROW()-1,19)+1,MOD(ROW()-2,19)+1),NA())</f>
        <v/>
      </c>
      <c r="DM1540" s="4" t="e">
        <f t="shared" si="93"/>
        <v>#N/A</v>
      </c>
      <c r="DN1540" t="e">
        <f t="shared" si="94"/>
        <v>#N/A</v>
      </c>
      <c r="DO1540" t="e">
        <f t="shared" si="95"/>
        <v>#N/A</v>
      </c>
    </row>
    <row r="1541" spans="7:119" x14ac:dyDescent="0.25">
      <c r="G1541"/>
      <c r="DI1541" s="4">
        <f>INDEX(Sheet2!A:A,QUOTIENT(ROW()-1,19)+2)</f>
        <v>41353</v>
      </c>
      <c r="DJ1541" s="4">
        <f>INDEX(Sheet2!C:C,QUOTIENT(ROW()-1,19)+2)</f>
        <v>42004</v>
      </c>
      <c r="DK1541" s="4">
        <f>INDEX(Sheet2!$AA$2:$AS$228,QUOTIENT(ROW()-1,19)+1,MOD(ROW()-2,19)+1)</f>
        <v>42004</v>
      </c>
      <c r="DL1541">
        <f>IFERROR(INDEX(Sheet2!$AU$2:$BM$228,QUOTIENT(ROW()-1,19)+1,MOD(ROW()-2,19)+1),NA())</f>
        <v>1.75</v>
      </c>
      <c r="DM1541" s="4" t="e">
        <f t="shared" si="93"/>
        <v>#N/A</v>
      </c>
      <c r="DN1541" t="e">
        <f t="shared" si="94"/>
        <v>#N/A</v>
      </c>
      <c r="DO1541" t="e">
        <f t="shared" si="95"/>
        <v>#N/A</v>
      </c>
    </row>
    <row r="1542" spans="7:119" x14ac:dyDescent="0.25">
      <c r="G1542"/>
      <c r="DI1542" s="4">
        <f>INDEX(Sheet2!A:A,QUOTIENT(ROW()-1,19)+2)</f>
        <v>41353</v>
      </c>
      <c r="DJ1542" s="4">
        <f>INDEX(Sheet2!C:C,QUOTIENT(ROW()-1,19)+2)</f>
        <v>42004</v>
      </c>
      <c r="DK1542" s="4" t="e">
        <f>INDEX(Sheet2!$AA$2:$AS$228,QUOTIENT(ROW()-1,19)+1,MOD(ROW()-2,19)+1)</f>
        <v>#N/A</v>
      </c>
      <c r="DL1542" t="str">
        <f>IFERROR(INDEX(Sheet2!$AU$2:$BM$228,QUOTIENT(ROW()-1,19)+1,MOD(ROW()-2,19)+1),NA())</f>
        <v/>
      </c>
      <c r="DM1542" s="4" t="e">
        <f t="shared" si="93"/>
        <v>#N/A</v>
      </c>
      <c r="DN1542" t="e">
        <f t="shared" si="94"/>
        <v>#N/A</v>
      </c>
      <c r="DO1542" t="e">
        <f t="shared" si="95"/>
        <v>#N/A</v>
      </c>
    </row>
    <row r="1543" spans="7:119" x14ac:dyDescent="0.25">
      <c r="G1543"/>
      <c r="DI1543" s="4">
        <f>INDEX(Sheet2!A:A,QUOTIENT(ROW()-1,19)+2)</f>
        <v>41353</v>
      </c>
      <c r="DJ1543" s="4">
        <f>INDEX(Sheet2!C:C,QUOTIENT(ROW()-1,19)+2)</f>
        <v>42004</v>
      </c>
      <c r="DK1543" s="4" t="e">
        <f>INDEX(Sheet2!$AA$2:$AS$228,QUOTIENT(ROW()-1,19)+1,MOD(ROW()-2,19)+1)</f>
        <v>#N/A</v>
      </c>
      <c r="DL1543" t="str">
        <f>IFERROR(INDEX(Sheet2!$AU$2:$BM$228,QUOTIENT(ROW()-1,19)+1,MOD(ROW()-2,19)+1),NA())</f>
        <v/>
      </c>
      <c r="DM1543" s="4" t="e">
        <f t="shared" si="93"/>
        <v>#N/A</v>
      </c>
      <c r="DN1543" t="e">
        <f t="shared" si="94"/>
        <v>#N/A</v>
      </c>
      <c r="DO1543" t="e">
        <f t="shared" si="95"/>
        <v>#N/A</v>
      </c>
    </row>
    <row r="1544" spans="7:119" x14ac:dyDescent="0.25">
      <c r="G1544"/>
      <c r="DI1544" s="4">
        <f>INDEX(Sheet2!A:A,QUOTIENT(ROW()-1,19)+2)</f>
        <v>41353</v>
      </c>
      <c r="DJ1544" s="4">
        <f>INDEX(Sheet2!C:C,QUOTIENT(ROW()-1,19)+2)</f>
        <v>42004</v>
      </c>
      <c r="DK1544" s="4" t="e">
        <f>INDEX(Sheet2!$AA$2:$AS$228,QUOTIENT(ROW()-1,19)+1,MOD(ROW()-2,19)+1)</f>
        <v>#N/A</v>
      </c>
      <c r="DL1544" t="str">
        <f>IFERROR(INDEX(Sheet2!$AU$2:$BM$228,QUOTIENT(ROW()-1,19)+1,MOD(ROW()-2,19)+1),NA())</f>
        <v/>
      </c>
      <c r="DM1544" s="4" t="e">
        <f t="shared" si="93"/>
        <v>#N/A</v>
      </c>
      <c r="DN1544" t="e">
        <f t="shared" si="94"/>
        <v>#N/A</v>
      </c>
      <c r="DO1544" t="e">
        <f t="shared" si="95"/>
        <v>#N/A</v>
      </c>
    </row>
    <row r="1545" spans="7:119" x14ac:dyDescent="0.25">
      <c r="G1545"/>
      <c r="DI1545" s="4">
        <f>INDEX(Sheet2!A:A,QUOTIENT(ROW()-1,19)+2)</f>
        <v>41353</v>
      </c>
      <c r="DJ1545" s="4">
        <f>INDEX(Sheet2!C:C,QUOTIENT(ROW()-1,19)+2)</f>
        <v>42004</v>
      </c>
      <c r="DK1545" s="4" t="e">
        <f>INDEX(Sheet2!$AA$2:$AS$228,QUOTIENT(ROW()-1,19)+1,MOD(ROW()-2,19)+1)</f>
        <v>#N/A</v>
      </c>
      <c r="DL1545" t="str">
        <f>IFERROR(INDEX(Sheet2!$AU$2:$BM$228,QUOTIENT(ROW()-1,19)+1,MOD(ROW()-2,19)+1),NA())</f>
        <v/>
      </c>
      <c r="DM1545" s="4" t="e">
        <f t="shared" si="93"/>
        <v>#N/A</v>
      </c>
      <c r="DN1545" t="e">
        <f t="shared" si="94"/>
        <v>#N/A</v>
      </c>
      <c r="DO1545" t="e">
        <f t="shared" si="95"/>
        <v>#N/A</v>
      </c>
    </row>
    <row r="1546" spans="7:119" x14ac:dyDescent="0.25">
      <c r="G1546"/>
      <c r="DI1546" s="4">
        <f>INDEX(Sheet2!A:A,QUOTIENT(ROW()-1,19)+2)</f>
        <v>41353</v>
      </c>
      <c r="DJ1546" s="4">
        <f>INDEX(Sheet2!C:C,QUOTIENT(ROW()-1,19)+2)</f>
        <v>42004</v>
      </c>
      <c r="DK1546" s="4" t="e">
        <f>INDEX(Sheet2!$AA$2:$AS$228,QUOTIENT(ROW()-1,19)+1,MOD(ROW()-2,19)+1)</f>
        <v>#N/A</v>
      </c>
      <c r="DL1546" t="str">
        <f>IFERROR(INDEX(Sheet2!$AU$2:$BM$228,QUOTIENT(ROW()-1,19)+1,MOD(ROW()-2,19)+1),NA())</f>
        <v/>
      </c>
      <c r="DM1546" s="4" t="e">
        <f t="shared" si="93"/>
        <v>#N/A</v>
      </c>
      <c r="DN1546" t="e">
        <f t="shared" si="94"/>
        <v>#N/A</v>
      </c>
      <c r="DO1546" t="e">
        <f t="shared" si="95"/>
        <v>#N/A</v>
      </c>
    </row>
    <row r="1547" spans="7:119" x14ac:dyDescent="0.25">
      <c r="G1547"/>
      <c r="DI1547" s="4">
        <f>INDEX(Sheet2!A:A,QUOTIENT(ROW()-1,19)+2)</f>
        <v>41353</v>
      </c>
      <c r="DJ1547" s="4">
        <f>INDEX(Sheet2!C:C,QUOTIENT(ROW()-1,19)+2)</f>
        <v>42004</v>
      </c>
      <c r="DK1547" s="4" t="e">
        <f>INDEX(Sheet2!$AA$2:$AS$228,QUOTIENT(ROW()-1,19)+1,MOD(ROW()-2,19)+1)</f>
        <v>#N/A</v>
      </c>
      <c r="DL1547" t="str">
        <f>IFERROR(INDEX(Sheet2!$AU$2:$BM$228,QUOTIENT(ROW()-1,19)+1,MOD(ROW()-2,19)+1),NA())</f>
        <v/>
      </c>
      <c r="DM1547" s="4" t="e">
        <f t="shared" si="93"/>
        <v>#N/A</v>
      </c>
      <c r="DN1547" t="e">
        <f t="shared" si="94"/>
        <v>#N/A</v>
      </c>
      <c r="DO1547" t="e">
        <f t="shared" si="95"/>
        <v>#N/A</v>
      </c>
    </row>
    <row r="1548" spans="7:119" x14ac:dyDescent="0.25">
      <c r="G1548"/>
      <c r="DI1548" s="4">
        <f>INDEX(Sheet2!A:A,QUOTIENT(ROW()-1,19)+2)</f>
        <v>41353</v>
      </c>
      <c r="DJ1548" s="4">
        <f>INDEX(Sheet2!C:C,QUOTIENT(ROW()-1,19)+2)</f>
        <v>42004</v>
      </c>
      <c r="DK1548" s="4" t="e">
        <f>INDEX(Sheet2!$AA$2:$AS$228,QUOTIENT(ROW()-1,19)+1,MOD(ROW()-2,19)+1)</f>
        <v>#N/A</v>
      </c>
      <c r="DL1548" t="str">
        <f>IFERROR(INDEX(Sheet2!$AU$2:$BM$228,QUOTIENT(ROW()-1,19)+1,MOD(ROW()-2,19)+1),NA())</f>
        <v/>
      </c>
      <c r="DM1548" s="4" t="e">
        <f t="shared" si="93"/>
        <v>#N/A</v>
      </c>
      <c r="DN1548" t="e">
        <f t="shared" si="94"/>
        <v>#N/A</v>
      </c>
      <c r="DO1548" t="e">
        <f t="shared" si="95"/>
        <v>#N/A</v>
      </c>
    </row>
    <row r="1549" spans="7:119" x14ac:dyDescent="0.25">
      <c r="G1549"/>
      <c r="DI1549" s="4">
        <f>INDEX(Sheet2!A:A,QUOTIENT(ROW()-1,19)+2)</f>
        <v>41353</v>
      </c>
      <c r="DJ1549" s="4">
        <f>INDEX(Sheet2!C:C,QUOTIENT(ROW()-1,19)+2)</f>
        <v>42004</v>
      </c>
      <c r="DK1549" s="4" t="e">
        <f>INDEX(Sheet2!$AA$2:$AS$228,QUOTIENT(ROW()-1,19)+1,MOD(ROW()-2,19)+1)</f>
        <v>#N/A</v>
      </c>
      <c r="DL1549" t="str">
        <f>IFERROR(INDEX(Sheet2!$AU$2:$BM$228,QUOTIENT(ROW()-1,19)+1,MOD(ROW()-2,19)+1),NA())</f>
        <v/>
      </c>
      <c r="DM1549" s="4" t="e">
        <f t="shared" si="93"/>
        <v>#N/A</v>
      </c>
      <c r="DN1549" t="e">
        <f t="shared" si="94"/>
        <v>#N/A</v>
      </c>
      <c r="DO1549" t="e">
        <f t="shared" si="95"/>
        <v>#N/A</v>
      </c>
    </row>
    <row r="1550" spans="7:119" x14ac:dyDescent="0.25">
      <c r="G1550"/>
      <c r="DI1550" s="4">
        <f>INDEX(Sheet2!A:A,QUOTIENT(ROW()-1,19)+2)</f>
        <v>41353</v>
      </c>
      <c r="DJ1550" s="4">
        <f>INDEX(Sheet2!C:C,QUOTIENT(ROW()-1,19)+2)</f>
        <v>42004</v>
      </c>
      <c r="DK1550" s="4" t="e">
        <f>INDEX(Sheet2!$AA$2:$AS$228,QUOTIENT(ROW()-1,19)+1,MOD(ROW()-2,19)+1)</f>
        <v>#N/A</v>
      </c>
      <c r="DL1550" t="str">
        <f>IFERROR(INDEX(Sheet2!$AU$2:$BM$228,QUOTIENT(ROW()-1,19)+1,MOD(ROW()-2,19)+1),NA())</f>
        <v/>
      </c>
      <c r="DM1550" s="4" t="e">
        <f t="shared" si="93"/>
        <v>#N/A</v>
      </c>
      <c r="DN1550" t="e">
        <f t="shared" si="94"/>
        <v>#N/A</v>
      </c>
      <c r="DO1550" t="e">
        <f t="shared" si="95"/>
        <v>#N/A</v>
      </c>
    </row>
    <row r="1551" spans="7:119" x14ac:dyDescent="0.25">
      <c r="G1551"/>
      <c r="DI1551" s="4">
        <f>INDEX(Sheet2!A:A,QUOTIENT(ROW()-1,19)+2)</f>
        <v>41353</v>
      </c>
      <c r="DJ1551" s="4">
        <f>INDEX(Sheet2!C:C,QUOTIENT(ROW()-1,19)+2)</f>
        <v>42004</v>
      </c>
      <c r="DK1551" s="4" t="e">
        <f>INDEX(Sheet2!$AA$2:$AS$228,QUOTIENT(ROW()-1,19)+1,MOD(ROW()-2,19)+1)</f>
        <v>#N/A</v>
      </c>
      <c r="DL1551" t="str">
        <f>IFERROR(INDEX(Sheet2!$AU$2:$BM$228,QUOTIENT(ROW()-1,19)+1,MOD(ROW()-2,19)+1),NA())</f>
        <v/>
      </c>
      <c r="DM1551" s="4" t="e">
        <f t="shared" si="93"/>
        <v>#N/A</v>
      </c>
      <c r="DN1551" t="e">
        <f t="shared" si="94"/>
        <v>#N/A</v>
      </c>
      <c r="DO1551" t="e">
        <f t="shared" si="95"/>
        <v>#N/A</v>
      </c>
    </row>
    <row r="1552" spans="7:119" x14ac:dyDescent="0.25">
      <c r="G1552"/>
      <c r="DI1552" s="4">
        <f>INDEX(Sheet2!A:A,QUOTIENT(ROW()-1,19)+2)</f>
        <v>41353</v>
      </c>
      <c r="DJ1552" s="4">
        <f>INDEX(Sheet2!C:C,QUOTIENT(ROW()-1,19)+2)</f>
        <v>42004</v>
      </c>
      <c r="DK1552" s="4" t="e">
        <f>INDEX(Sheet2!$AA$2:$AS$228,QUOTIENT(ROW()-1,19)+1,MOD(ROW()-2,19)+1)</f>
        <v>#N/A</v>
      </c>
      <c r="DL1552" t="str">
        <f>IFERROR(INDEX(Sheet2!$AU$2:$BM$228,QUOTIENT(ROW()-1,19)+1,MOD(ROW()-2,19)+1),NA())</f>
        <v/>
      </c>
      <c r="DM1552" s="4" t="e">
        <f t="shared" si="93"/>
        <v>#N/A</v>
      </c>
      <c r="DN1552" t="e">
        <f t="shared" si="94"/>
        <v>#N/A</v>
      </c>
      <c r="DO1552" t="e">
        <f t="shared" si="95"/>
        <v>#N/A</v>
      </c>
    </row>
    <row r="1553" spans="7:119" x14ac:dyDescent="0.25">
      <c r="G1553"/>
      <c r="DI1553" s="4">
        <f>INDEX(Sheet2!A:A,QUOTIENT(ROW()-1,19)+2)</f>
        <v>41353</v>
      </c>
      <c r="DJ1553" s="4">
        <f>INDEX(Sheet2!C:C,QUOTIENT(ROW()-1,19)+2)</f>
        <v>42004</v>
      </c>
      <c r="DK1553" s="4" t="e">
        <f>INDEX(Sheet2!$AA$2:$AS$228,QUOTIENT(ROW()-1,19)+1,MOD(ROW()-2,19)+1)</f>
        <v>#N/A</v>
      </c>
      <c r="DL1553" t="str">
        <f>IFERROR(INDEX(Sheet2!$AU$2:$BM$228,QUOTIENT(ROW()-1,19)+1,MOD(ROW()-2,19)+1),NA())</f>
        <v/>
      </c>
      <c r="DM1553" s="4" t="e">
        <f t="shared" si="93"/>
        <v>#N/A</v>
      </c>
      <c r="DN1553" t="e">
        <f t="shared" si="94"/>
        <v>#N/A</v>
      </c>
      <c r="DO1553" t="e">
        <f t="shared" si="95"/>
        <v>#N/A</v>
      </c>
    </row>
    <row r="1554" spans="7:119" x14ac:dyDescent="0.25">
      <c r="G1554"/>
      <c r="DI1554" s="4">
        <f>INDEX(Sheet2!A:A,QUOTIENT(ROW()-1,19)+2)</f>
        <v>41353</v>
      </c>
      <c r="DJ1554" s="4">
        <f>INDEX(Sheet2!C:C,QUOTIENT(ROW()-1,19)+2)</f>
        <v>42004</v>
      </c>
      <c r="DK1554" s="4" t="e">
        <f>INDEX(Sheet2!$AA$2:$AS$228,QUOTIENT(ROW()-1,19)+1,MOD(ROW()-2,19)+1)</f>
        <v>#N/A</v>
      </c>
      <c r="DL1554" t="str">
        <f>IFERROR(INDEX(Sheet2!$AU$2:$BM$228,QUOTIENT(ROW()-1,19)+1,MOD(ROW()-2,19)+1),NA())</f>
        <v/>
      </c>
      <c r="DM1554" s="4" t="e">
        <f t="shared" si="93"/>
        <v>#N/A</v>
      </c>
      <c r="DN1554" t="e">
        <f t="shared" si="94"/>
        <v>#N/A</v>
      </c>
      <c r="DO1554" t="e">
        <f t="shared" si="95"/>
        <v>#N/A</v>
      </c>
    </row>
    <row r="1555" spans="7:119" x14ac:dyDescent="0.25">
      <c r="G1555"/>
      <c r="DI1555" s="4">
        <f>INDEX(Sheet2!A:A,QUOTIENT(ROW()-1,19)+2)</f>
        <v>41353</v>
      </c>
      <c r="DJ1555" s="4">
        <f>INDEX(Sheet2!C:C,QUOTIENT(ROW()-1,19)+2)</f>
        <v>42004</v>
      </c>
      <c r="DK1555" s="4" t="e">
        <f>INDEX(Sheet2!$AA$2:$AS$228,QUOTIENT(ROW()-1,19)+1,MOD(ROW()-2,19)+1)</f>
        <v>#N/A</v>
      </c>
      <c r="DL1555" t="str">
        <f>IFERROR(INDEX(Sheet2!$AU$2:$BM$228,QUOTIENT(ROW()-1,19)+1,MOD(ROW()-2,19)+1),NA())</f>
        <v/>
      </c>
      <c r="DM1555" s="4" t="e">
        <f t="shared" si="93"/>
        <v>#N/A</v>
      </c>
      <c r="DN1555" t="e">
        <f t="shared" si="94"/>
        <v>#N/A</v>
      </c>
      <c r="DO1555" t="e">
        <f t="shared" si="95"/>
        <v>#N/A</v>
      </c>
    </row>
    <row r="1556" spans="7:119" x14ac:dyDescent="0.25">
      <c r="G1556"/>
      <c r="DI1556" s="4">
        <f>INDEX(Sheet2!A:A,QUOTIENT(ROW()-1,19)+2)</f>
        <v>41353</v>
      </c>
      <c r="DJ1556" s="4">
        <f>INDEX(Sheet2!C:C,QUOTIENT(ROW()-1,19)+2)</f>
        <v>42004</v>
      </c>
      <c r="DK1556" s="4" t="e">
        <f>INDEX(Sheet2!$AA$2:$AS$228,QUOTIENT(ROW()-1,19)+1,MOD(ROW()-2,19)+1)</f>
        <v>#N/A</v>
      </c>
      <c r="DL1556" t="str">
        <f>IFERROR(INDEX(Sheet2!$AU$2:$BM$228,QUOTIENT(ROW()-1,19)+1,MOD(ROW()-2,19)+1),NA())</f>
        <v/>
      </c>
      <c r="DM1556" s="4" t="e">
        <f t="shared" si="93"/>
        <v>#N/A</v>
      </c>
      <c r="DN1556" t="e">
        <f t="shared" si="94"/>
        <v>#N/A</v>
      </c>
      <c r="DO1556" t="e">
        <f t="shared" si="95"/>
        <v>#N/A</v>
      </c>
    </row>
    <row r="1557" spans="7:119" x14ac:dyDescent="0.25">
      <c r="G1557"/>
      <c r="DI1557" s="4">
        <f>INDEX(Sheet2!A:A,QUOTIENT(ROW()-1,19)+2)</f>
        <v>41353</v>
      </c>
      <c r="DJ1557" s="4">
        <f>INDEX(Sheet2!C:C,QUOTIENT(ROW()-1,19)+2)</f>
        <v>42004</v>
      </c>
      <c r="DK1557" s="4" t="e">
        <f>INDEX(Sheet2!$AA$2:$AS$228,QUOTIENT(ROW()-1,19)+1,MOD(ROW()-2,19)+1)</f>
        <v>#N/A</v>
      </c>
      <c r="DL1557" t="str">
        <f>IFERROR(INDEX(Sheet2!$AU$2:$BM$228,QUOTIENT(ROW()-1,19)+1,MOD(ROW()-2,19)+1),NA())</f>
        <v/>
      </c>
      <c r="DM1557" s="4" t="e">
        <f t="shared" si="93"/>
        <v>#N/A</v>
      </c>
      <c r="DN1557" t="e">
        <f t="shared" si="94"/>
        <v>#N/A</v>
      </c>
      <c r="DO1557" t="e">
        <f t="shared" si="95"/>
        <v>#N/A</v>
      </c>
    </row>
    <row r="1558" spans="7:119" x14ac:dyDescent="0.25">
      <c r="G1558"/>
      <c r="DI1558" s="4">
        <f>INDEX(Sheet2!A:A,QUOTIENT(ROW()-1,19)+2)</f>
        <v>41353</v>
      </c>
      <c r="DJ1558" s="4">
        <f>INDEX(Sheet2!C:C,QUOTIENT(ROW()-1,19)+2)</f>
        <v>42004</v>
      </c>
      <c r="DK1558" s="4" t="e">
        <f>INDEX(Sheet2!$AA$2:$AS$228,QUOTIENT(ROW()-1,19)+1,MOD(ROW()-2,19)+1)</f>
        <v>#N/A</v>
      </c>
      <c r="DL1558" t="str">
        <f>IFERROR(INDEX(Sheet2!$AU$2:$BM$228,QUOTIENT(ROW()-1,19)+1,MOD(ROW()-2,19)+1),NA())</f>
        <v/>
      </c>
      <c r="DM1558" s="4" t="e">
        <f t="shared" si="93"/>
        <v>#N/A</v>
      </c>
      <c r="DN1558" t="e">
        <f t="shared" si="94"/>
        <v>#N/A</v>
      </c>
      <c r="DO1558" t="e">
        <f t="shared" si="95"/>
        <v>#N/A</v>
      </c>
    </row>
    <row r="1559" spans="7:119" x14ac:dyDescent="0.25">
      <c r="G1559"/>
      <c r="DI1559" s="4">
        <f>INDEX(Sheet2!A:A,QUOTIENT(ROW()-1,19)+2)</f>
        <v>41353</v>
      </c>
      <c r="DJ1559" s="4">
        <f>INDEX(Sheet2!C:C,QUOTIENT(ROW()-1,19)+2)</f>
        <v>42004</v>
      </c>
      <c r="DK1559" s="4" t="e">
        <f>INDEX(Sheet2!$AA$2:$AS$228,QUOTIENT(ROW()-1,19)+1,MOD(ROW()-2,19)+1)</f>
        <v>#N/A</v>
      </c>
      <c r="DL1559" t="str">
        <f>IFERROR(INDEX(Sheet2!$AU$2:$BM$228,QUOTIENT(ROW()-1,19)+1,MOD(ROW()-2,19)+1),NA())</f>
        <v/>
      </c>
      <c r="DM1559" s="4" t="e">
        <f t="shared" si="93"/>
        <v>#N/A</v>
      </c>
      <c r="DN1559" t="e">
        <f t="shared" si="94"/>
        <v>#N/A</v>
      </c>
      <c r="DO1559" t="e">
        <f t="shared" si="95"/>
        <v>#N/A</v>
      </c>
    </row>
    <row r="1560" spans="7:119" x14ac:dyDescent="0.25">
      <c r="G1560"/>
      <c r="DI1560" s="4">
        <f>INDEX(Sheet2!A:A,QUOTIENT(ROW()-1,19)+2)</f>
        <v>41353</v>
      </c>
      <c r="DJ1560" s="4">
        <f>INDEX(Sheet2!C:C,QUOTIENT(ROW()-1,19)+2)</f>
        <v>42004</v>
      </c>
      <c r="DK1560" s="4">
        <f>INDEX(Sheet2!$AA$2:$AS$228,QUOTIENT(ROW()-1,19)+1,MOD(ROW()-2,19)+1)</f>
        <v>42004</v>
      </c>
      <c r="DL1560">
        <f>IFERROR(INDEX(Sheet2!$AU$2:$BM$228,QUOTIENT(ROW()-1,19)+1,MOD(ROW()-2,19)+1),NA())</f>
        <v>2.75</v>
      </c>
      <c r="DM1560" s="4" t="e">
        <f t="shared" si="93"/>
        <v>#N/A</v>
      </c>
      <c r="DN1560" t="e">
        <f t="shared" si="94"/>
        <v>#N/A</v>
      </c>
      <c r="DO1560" t="e">
        <f t="shared" si="95"/>
        <v>#N/A</v>
      </c>
    </row>
    <row r="1561" spans="7:119" x14ac:dyDescent="0.25">
      <c r="G1561"/>
      <c r="DI1561" s="4">
        <f>INDEX(Sheet2!A:A,QUOTIENT(ROW()-1,19)+2)</f>
        <v>41353</v>
      </c>
      <c r="DJ1561" s="4">
        <f>INDEX(Sheet2!C:C,QUOTIENT(ROW()-1,19)+2)</f>
        <v>42004</v>
      </c>
      <c r="DK1561" s="4" t="e">
        <f>INDEX(Sheet2!$AA$2:$AS$228,QUOTIENT(ROW()-1,19)+1,MOD(ROW()-2,19)+1)</f>
        <v>#N/A</v>
      </c>
      <c r="DL1561" t="str">
        <f>IFERROR(INDEX(Sheet2!$AU$2:$BM$228,QUOTIENT(ROW()-1,19)+1,MOD(ROW()-2,19)+1),NA())</f>
        <v/>
      </c>
      <c r="DM1561" s="4" t="e">
        <f t="shared" si="93"/>
        <v>#N/A</v>
      </c>
      <c r="DN1561" t="e">
        <f t="shared" si="94"/>
        <v>#N/A</v>
      </c>
      <c r="DO1561" t="e">
        <f t="shared" si="95"/>
        <v>#N/A</v>
      </c>
    </row>
    <row r="1562" spans="7:119" x14ac:dyDescent="0.25">
      <c r="G1562"/>
      <c r="DI1562" s="4">
        <f>INDEX(Sheet2!A:A,QUOTIENT(ROW()-1,19)+2)</f>
        <v>41353</v>
      </c>
      <c r="DJ1562" s="4">
        <f>INDEX(Sheet2!C:C,QUOTIENT(ROW()-1,19)+2)</f>
        <v>42004</v>
      </c>
      <c r="DK1562" s="4" t="e">
        <f>INDEX(Sheet2!$AA$2:$AS$228,QUOTIENT(ROW()-1,19)+1,MOD(ROW()-2,19)+1)</f>
        <v>#N/A</v>
      </c>
      <c r="DL1562" t="str">
        <f>IFERROR(INDEX(Sheet2!$AU$2:$BM$228,QUOTIENT(ROW()-1,19)+1,MOD(ROW()-2,19)+1),NA())</f>
        <v/>
      </c>
      <c r="DM1562" s="4" t="e">
        <f t="shared" si="93"/>
        <v>#N/A</v>
      </c>
      <c r="DN1562" t="e">
        <f t="shared" si="94"/>
        <v>#N/A</v>
      </c>
      <c r="DO1562" t="e">
        <f t="shared" si="95"/>
        <v>#N/A</v>
      </c>
    </row>
    <row r="1563" spans="7:119" x14ac:dyDescent="0.25">
      <c r="G1563"/>
      <c r="DI1563" s="4">
        <f>INDEX(Sheet2!A:A,QUOTIENT(ROW()-1,19)+2)</f>
        <v>41353</v>
      </c>
      <c r="DJ1563" s="4">
        <f>INDEX(Sheet2!C:C,QUOTIENT(ROW()-1,19)+2)</f>
        <v>42004</v>
      </c>
      <c r="DK1563" s="4" t="e">
        <f>INDEX(Sheet2!$AA$2:$AS$228,QUOTIENT(ROW()-1,19)+1,MOD(ROW()-2,19)+1)</f>
        <v>#N/A</v>
      </c>
      <c r="DL1563" t="str">
        <f>IFERROR(INDEX(Sheet2!$AU$2:$BM$228,QUOTIENT(ROW()-1,19)+1,MOD(ROW()-2,19)+1),NA())</f>
        <v/>
      </c>
      <c r="DM1563" s="4" t="e">
        <f t="shared" si="93"/>
        <v>#N/A</v>
      </c>
      <c r="DN1563" t="e">
        <f t="shared" si="94"/>
        <v>#N/A</v>
      </c>
      <c r="DO1563" t="e">
        <f t="shared" si="95"/>
        <v>#N/A</v>
      </c>
    </row>
    <row r="1564" spans="7:119" x14ac:dyDescent="0.25">
      <c r="G1564"/>
      <c r="DI1564" s="4">
        <f>INDEX(Sheet2!A:A,QUOTIENT(ROW()-1,19)+2)</f>
        <v>41353</v>
      </c>
      <c r="DJ1564" s="4">
        <f>INDEX(Sheet2!C:C,QUOTIENT(ROW()-1,19)+2)</f>
        <v>42004</v>
      </c>
      <c r="DK1564" s="4" t="e">
        <f>INDEX(Sheet2!$AA$2:$AS$228,QUOTIENT(ROW()-1,19)+1,MOD(ROW()-2,19)+1)</f>
        <v>#N/A</v>
      </c>
      <c r="DL1564" t="str">
        <f>IFERROR(INDEX(Sheet2!$AU$2:$BM$228,QUOTIENT(ROW()-1,19)+1,MOD(ROW()-2,19)+1),NA())</f>
        <v/>
      </c>
      <c r="DM1564" s="4" t="e">
        <f t="shared" si="93"/>
        <v>#N/A</v>
      </c>
      <c r="DN1564" t="e">
        <f t="shared" si="94"/>
        <v>#N/A</v>
      </c>
      <c r="DO1564" t="e">
        <f t="shared" si="95"/>
        <v>#N/A</v>
      </c>
    </row>
    <row r="1565" spans="7:119" x14ac:dyDescent="0.25">
      <c r="G1565"/>
      <c r="DI1565" s="4">
        <f>INDEX(Sheet2!A:A,QUOTIENT(ROW()-1,19)+2)</f>
        <v>41353</v>
      </c>
      <c r="DJ1565" s="4">
        <f>INDEX(Sheet2!C:C,QUOTIENT(ROW()-1,19)+2)</f>
        <v>42004</v>
      </c>
      <c r="DK1565" s="4" t="e">
        <f>INDEX(Sheet2!$AA$2:$AS$228,QUOTIENT(ROW()-1,19)+1,MOD(ROW()-2,19)+1)</f>
        <v>#N/A</v>
      </c>
      <c r="DL1565" t="str">
        <f>IFERROR(INDEX(Sheet2!$AU$2:$BM$228,QUOTIENT(ROW()-1,19)+1,MOD(ROW()-2,19)+1),NA())</f>
        <v/>
      </c>
      <c r="DM1565" s="4" t="e">
        <f t="shared" si="93"/>
        <v>#N/A</v>
      </c>
      <c r="DN1565" t="e">
        <f t="shared" si="94"/>
        <v>#N/A</v>
      </c>
      <c r="DO1565" t="e">
        <f t="shared" si="95"/>
        <v>#N/A</v>
      </c>
    </row>
    <row r="1566" spans="7:119" x14ac:dyDescent="0.25">
      <c r="G1566"/>
      <c r="DI1566" s="4">
        <f>INDEX(Sheet2!A:A,QUOTIENT(ROW()-1,19)+2)</f>
        <v>41353</v>
      </c>
      <c r="DJ1566" s="4">
        <f>INDEX(Sheet2!C:C,QUOTIENT(ROW()-1,19)+2)</f>
        <v>42004</v>
      </c>
      <c r="DK1566" s="4" t="e">
        <f>INDEX(Sheet2!$AA$2:$AS$228,QUOTIENT(ROW()-1,19)+1,MOD(ROW()-2,19)+1)</f>
        <v>#N/A</v>
      </c>
      <c r="DL1566" t="str">
        <f>IFERROR(INDEX(Sheet2!$AU$2:$BM$228,QUOTIENT(ROW()-1,19)+1,MOD(ROW()-2,19)+1),NA())</f>
        <v/>
      </c>
      <c r="DM1566" s="4" t="e">
        <f t="shared" si="93"/>
        <v>#N/A</v>
      </c>
      <c r="DN1566" t="e">
        <f t="shared" si="94"/>
        <v>#N/A</v>
      </c>
      <c r="DO1566" t="e">
        <f t="shared" si="95"/>
        <v>#N/A</v>
      </c>
    </row>
    <row r="1567" spans="7:119" x14ac:dyDescent="0.25">
      <c r="G1567"/>
      <c r="DI1567" s="4">
        <f>INDEX(Sheet2!A:A,QUOTIENT(ROW()-1,19)+2)</f>
        <v>41353</v>
      </c>
      <c r="DJ1567" s="4">
        <f>INDEX(Sheet2!C:C,QUOTIENT(ROW()-1,19)+2)</f>
        <v>42004</v>
      </c>
      <c r="DK1567" s="4" t="e">
        <f>INDEX(Sheet2!$AA$2:$AS$228,QUOTIENT(ROW()-1,19)+1,MOD(ROW()-2,19)+1)</f>
        <v>#N/A</v>
      </c>
      <c r="DL1567" t="str">
        <f>IFERROR(INDEX(Sheet2!$AU$2:$BM$228,QUOTIENT(ROW()-1,19)+1,MOD(ROW()-2,19)+1),NA())</f>
        <v/>
      </c>
      <c r="DM1567" s="4" t="e">
        <f t="shared" si="93"/>
        <v>#N/A</v>
      </c>
      <c r="DN1567" t="e">
        <f t="shared" si="94"/>
        <v>#N/A</v>
      </c>
      <c r="DO1567" t="e">
        <f t="shared" si="95"/>
        <v>#N/A</v>
      </c>
    </row>
    <row r="1568" spans="7:119" x14ac:dyDescent="0.25">
      <c r="G1568"/>
      <c r="DI1568" s="4">
        <f>INDEX(Sheet2!A:A,QUOTIENT(ROW()-1,19)+2)</f>
        <v>41353</v>
      </c>
      <c r="DJ1568" s="4">
        <f>INDEX(Sheet2!C:C,QUOTIENT(ROW()-1,19)+2)</f>
        <v>42004</v>
      </c>
      <c r="DK1568" s="4" t="e">
        <f>INDEX(Sheet2!$AA$2:$AS$228,QUOTIENT(ROW()-1,19)+1,MOD(ROW()-2,19)+1)</f>
        <v>#N/A</v>
      </c>
      <c r="DL1568" t="str">
        <f>IFERROR(INDEX(Sheet2!$AU$2:$BM$228,QUOTIENT(ROW()-1,19)+1,MOD(ROW()-2,19)+1),NA())</f>
        <v/>
      </c>
      <c r="DM1568" s="4" t="e">
        <f t="shared" si="93"/>
        <v>#N/A</v>
      </c>
      <c r="DN1568" t="e">
        <f t="shared" si="94"/>
        <v>#N/A</v>
      </c>
      <c r="DO1568" t="e">
        <f t="shared" si="95"/>
        <v>#N/A</v>
      </c>
    </row>
    <row r="1569" spans="7:119" x14ac:dyDescent="0.25">
      <c r="G1569"/>
      <c r="DI1569" s="4">
        <f>INDEX(Sheet2!A:A,QUOTIENT(ROW()-1,19)+2)</f>
        <v>41353</v>
      </c>
      <c r="DJ1569" s="4">
        <f>INDEX(Sheet2!C:C,QUOTIENT(ROW()-1,19)+2)</f>
        <v>42004</v>
      </c>
      <c r="DK1569" s="4" t="e">
        <f>INDEX(Sheet2!$AA$2:$AS$228,QUOTIENT(ROW()-1,19)+1,MOD(ROW()-2,19)+1)</f>
        <v>#N/A</v>
      </c>
      <c r="DL1569" t="str">
        <f>IFERROR(INDEX(Sheet2!$AU$2:$BM$228,QUOTIENT(ROW()-1,19)+1,MOD(ROW()-2,19)+1),NA())</f>
        <v/>
      </c>
      <c r="DM1569" s="4" t="e">
        <f t="shared" si="93"/>
        <v>#N/A</v>
      </c>
      <c r="DN1569" t="e">
        <f t="shared" si="94"/>
        <v>#N/A</v>
      </c>
      <c r="DO1569" t="e">
        <f t="shared" si="95"/>
        <v>#N/A</v>
      </c>
    </row>
    <row r="1570" spans="7:119" x14ac:dyDescent="0.25">
      <c r="G1570"/>
      <c r="DI1570" s="4">
        <f>INDEX(Sheet2!A:A,QUOTIENT(ROW()-1,19)+2)</f>
        <v>41353</v>
      </c>
      <c r="DJ1570" s="4">
        <f>INDEX(Sheet2!C:C,QUOTIENT(ROW()-1,19)+2)</f>
        <v>42004</v>
      </c>
      <c r="DK1570" s="4" t="e">
        <f>INDEX(Sheet2!$AA$2:$AS$228,QUOTIENT(ROW()-1,19)+1,MOD(ROW()-2,19)+1)</f>
        <v>#N/A</v>
      </c>
      <c r="DL1570" t="str">
        <f>IFERROR(INDEX(Sheet2!$AU$2:$BM$228,QUOTIENT(ROW()-1,19)+1,MOD(ROW()-2,19)+1),NA())</f>
        <v/>
      </c>
      <c r="DM1570" s="4" t="e">
        <f t="shared" si="93"/>
        <v>#N/A</v>
      </c>
      <c r="DN1570" t="e">
        <f t="shared" si="94"/>
        <v>#N/A</v>
      </c>
      <c r="DO1570" t="e">
        <f t="shared" si="95"/>
        <v>#N/A</v>
      </c>
    </row>
    <row r="1571" spans="7:119" x14ac:dyDescent="0.25">
      <c r="G1571"/>
      <c r="DI1571" s="4">
        <f>INDEX(Sheet2!A:A,QUOTIENT(ROW()-1,19)+2)</f>
        <v>41353</v>
      </c>
      <c r="DJ1571" s="4">
        <f>INDEX(Sheet2!C:C,QUOTIENT(ROW()-1,19)+2)</f>
        <v>42004</v>
      </c>
      <c r="DK1571" s="4" t="e">
        <f>INDEX(Sheet2!$AA$2:$AS$228,QUOTIENT(ROW()-1,19)+1,MOD(ROW()-2,19)+1)</f>
        <v>#N/A</v>
      </c>
      <c r="DL1571" t="str">
        <f>IFERROR(INDEX(Sheet2!$AU$2:$BM$228,QUOTIENT(ROW()-1,19)+1,MOD(ROW()-2,19)+1),NA())</f>
        <v/>
      </c>
      <c r="DM1571" s="4" t="e">
        <f t="shared" si="93"/>
        <v>#N/A</v>
      </c>
      <c r="DN1571" t="e">
        <f t="shared" si="94"/>
        <v>#N/A</v>
      </c>
      <c r="DO1571" t="e">
        <f t="shared" si="95"/>
        <v>#N/A</v>
      </c>
    </row>
    <row r="1572" spans="7:119" x14ac:dyDescent="0.25">
      <c r="G1572"/>
      <c r="DI1572" s="4">
        <f>INDEX(Sheet2!A:A,QUOTIENT(ROW()-1,19)+2)</f>
        <v>41353</v>
      </c>
      <c r="DJ1572" s="4">
        <f>INDEX(Sheet2!C:C,QUOTIENT(ROW()-1,19)+2)</f>
        <v>42004</v>
      </c>
      <c r="DK1572" s="4" t="e">
        <f>INDEX(Sheet2!$AA$2:$AS$228,QUOTIENT(ROW()-1,19)+1,MOD(ROW()-2,19)+1)</f>
        <v>#N/A</v>
      </c>
      <c r="DL1572" t="str">
        <f>IFERROR(INDEX(Sheet2!$AU$2:$BM$228,QUOTIENT(ROW()-1,19)+1,MOD(ROW()-2,19)+1),NA())</f>
        <v/>
      </c>
      <c r="DM1572" s="4" t="e">
        <f t="shared" si="93"/>
        <v>#N/A</v>
      </c>
      <c r="DN1572" t="e">
        <f t="shared" si="94"/>
        <v>#N/A</v>
      </c>
      <c r="DO1572" t="e">
        <f t="shared" si="95"/>
        <v>#N/A</v>
      </c>
    </row>
    <row r="1573" spans="7:119" x14ac:dyDescent="0.25">
      <c r="G1573"/>
      <c r="DI1573" s="4">
        <f>INDEX(Sheet2!A:A,QUOTIENT(ROW()-1,19)+2)</f>
        <v>41353</v>
      </c>
      <c r="DJ1573" s="4">
        <f>INDEX(Sheet2!C:C,QUOTIENT(ROW()-1,19)+2)</f>
        <v>42004</v>
      </c>
      <c r="DK1573" s="4" t="e">
        <f>INDEX(Sheet2!$AA$2:$AS$228,QUOTIENT(ROW()-1,19)+1,MOD(ROW()-2,19)+1)</f>
        <v>#N/A</v>
      </c>
      <c r="DL1573" t="str">
        <f>IFERROR(INDEX(Sheet2!$AU$2:$BM$228,QUOTIENT(ROW()-1,19)+1,MOD(ROW()-2,19)+1),NA())</f>
        <v/>
      </c>
      <c r="DM1573" s="4" t="e">
        <f t="shared" si="93"/>
        <v>#N/A</v>
      </c>
      <c r="DN1573" t="e">
        <f t="shared" si="94"/>
        <v>#N/A</v>
      </c>
      <c r="DO1573" t="e">
        <f t="shared" si="95"/>
        <v>#N/A</v>
      </c>
    </row>
    <row r="1574" spans="7:119" x14ac:dyDescent="0.25">
      <c r="G1574"/>
      <c r="DI1574" s="4">
        <f>INDEX(Sheet2!A:A,QUOTIENT(ROW()-1,19)+2)</f>
        <v>41353</v>
      </c>
      <c r="DJ1574" s="4">
        <f>INDEX(Sheet2!C:C,QUOTIENT(ROW()-1,19)+2)</f>
        <v>42004</v>
      </c>
      <c r="DK1574" s="4" t="e">
        <f>INDEX(Sheet2!$AA$2:$AS$228,QUOTIENT(ROW()-1,19)+1,MOD(ROW()-2,19)+1)</f>
        <v>#N/A</v>
      </c>
      <c r="DL1574" t="str">
        <f>IFERROR(INDEX(Sheet2!$AU$2:$BM$228,QUOTIENT(ROW()-1,19)+1,MOD(ROW()-2,19)+1),NA())</f>
        <v/>
      </c>
      <c r="DM1574" s="4" t="e">
        <f t="shared" si="93"/>
        <v>#N/A</v>
      </c>
      <c r="DN1574" t="e">
        <f t="shared" si="94"/>
        <v>#N/A</v>
      </c>
      <c r="DO1574" t="e">
        <f t="shared" si="95"/>
        <v>#N/A</v>
      </c>
    </row>
    <row r="1575" spans="7:119" x14ac:dyDescent="0.25">
      <c r="G1575"/>
      <c r="DI1575" s="4">
        <f>INDEX(Sheet2!A:A,QUOTIENT(ROW()-1,19)+2)</f>
        <v>41353</v>
      </c>
      <c r="DJ1575" s="4">
        <f>INDEX(Sheet2!C:C,QUOTIENT(ROW()-1,19)+2)</f>
        <v>42004</v>
      </c>
      <c r="DK1575" s="4" t="e">
        <f>INDEX(Sheet2!$AA$2:$AS$228,QUOTIENT(ROW()-1,19)+1,MOD(ROW()-2,19)+1)</f>
        <v>#N/A</v>
      </c>
      <c r="DL1575" t="str">
        <f>IFERROR(INDEX(Sheet2!$AU$2:$BM$228,QUOTIENT(ROW()-1,19)+1,MOD(ROW()-2,19)+1),NA())</f>
        <v/>
      </c>
      <c r="DM1575" s="4" t="e">
        <f t="shared" si="93"/>
        <v>#N/A</v>
      </c>
      <c r="DN1575" t="e">
        <f t="shared" si="94"/>
        <v>#N/A</v>
      </c>
      <c r="DO1575" t="e">
        <f t="shared" si="95"/>
        <v>#N/A</v>
      </c>
    </row>
    <row r="1576" spans="7:119" x14ac:dyDescent="0.25">
      <c r="G1576"/>
      <c r="DI1576" s="4">
        <f>INDEX(Sheet2!A:A,QUOTIENT(ROW()-1,19)+2)</f>
        <v>41353</v>
      </c>
      <c r="DJ1576" s="4">
        <f>INDEX(Sheet2!C:C,QUOTIENT(ROW()-1,19)+2)</f>
        <v>42004</v>
      </c>
      <c r="DK1576" s="4" t="e">
        <f>INDEX(Sheet2!$AA$2:$AS$228,QUOTIENT(ROW()-1,19)+1,MOD(ROW()-2,19)+1)</f>
        <v>#N/A</v>
      </c>
      <c r="DL1576" t="str">
        <f>IFERROR(INDEX(Sheet2!$AU$2:$BM$228,QUOTIENT(ROW()-1,19)+1,MOD(ROW()-2,19)+1),NA())</f>
        <v/>
      </c>
      <c r="DM1576" s="4" t="e">
        <f t="shared" si="93"/>
        <v>#N/A</v>
      </c>
      <c r="DN1576" t="e">
        <f t="shared" si="94"/>
        <v>#N/A</v>
      </c>
      <c r="DO1576" t="e">
        <f t="shared" si="95"/>
        <v>#N/A</v>
      </c>
    </row>
    <row r="1577" spans="7:119" x14ac:dyDescent="0.25">
      <c r="G1577"/>
      <c r="DI1577" s="4">
        <f>INDEX(Sheet2!A:A,QUOTIENT(ROW()-1,19)+2)</f>
        <v>41353</v>
      </c>
      <c r="DJ1577" s="4">
        <f>INDEX(Sheet2!C:C,QUOTIENT(ROW()-1,19)+2)</f>
        <v>42004</v>
      </c>
      <c r="DK1577" s="4" t="e">
        <f>INDEX(Sheet2!$AA$2:$AS$228,QUOTIENT(ROW()-1,19)+1,MOD(ROW()-2,19)+1)</f>
        <v>#N/A</v>
      </c>
      <c r="DL1577" t="str">
        <f>IFERROR(INDEX(Sheet2!$AU$2:$BM$228,QUOTIENT(ROW()-1,19)+1,MOD(ROW()-2,19)+1),NA())</f>
        <v/>
      </c>
      <c r="DM1577" s="4" t="e">
        <f t="shared" si="93"/>
        <v>#N/A</v>
      </c>
      <c r="DN1577" t="e">
        <f t="shared" si="94"/>
        <v>#N/A</v>
      </c>
      <c r="DO1577" t="e">
        <f t="shared" si="95"/>
        <v>#N/A</v>
      </c>
    </row>
    <row r="1578" spans="7:119" x14ac:dyDescent="0.25">
      <c r="G1578"/>
      <c r="DI1578" s="4">
        <f>INDEX(Sheet2!A:A,QUOTIENT(ROW()-1,19)+2)</f>
        <v>41353</v>
      </c>
      <c r="DJ1578" s="4">
        <f>INDEX(Sheet2!C:C,QUOTIENT(ROW()-1,19)+2)</f>
        <v>42369</v>
      </c>
      <c r="DK1578" s="4" t="e">
        <f>INDEX(Sheet2!$AA$2:$AS$228,QUOTIENT(ROW()-1,19)+1,MOD(ROW()-2,19)+1)</f>
        <v>#N/A</v>
      </c>
      <c r="DL1578" t="str">
        <f>IFERROR(INDEX(Sheet2!$AU$2:$BM$228,QUOTIENT(ROW()-1,19)+1,MOD(ROW()-2,19)+1),NA())</f>
        <v/>
      </c>
      <c r="DM1578" s="4" t="e">
        <f t="shared" si="93"/>
        <v>#N/A</v>
      </c>
      <c r="DN1578" t="e">
        <f t="shared" si="94"/>
        <v>#N/A</v>
      </c>
      <c r="DO1578" t="e">
        <f t="shared" si="95"/>
        <v>#N/A</v>
      </c>
    </row>
    <row r="1579" spans="7:119" x14ac:dyDescent="0.25">
      <c r="G1579"/>
      <c r="DI1579" s="4">
        <f>INDEX(Sheet2!A:A,QUOTIENT(ROW()-1,19)+2)</f>
        <v>41353</v>
      </c>
      <c r="DJ1579" s="4">
        <f>INDEX(Sheet2!C:C,QUOTIENT(ROW()-1,19)+2)</f>
        <v>42369</v>
      </c>
      <c r="DK1579" s="4">
        <f>INDEX(Sheet2!$AA$2:$AS$228,QUOTIENT(ROW()-1,19)+1,MOD(ROW()-2,19)+1)</f>
        <v>42369</v>
      </c>
      <c r="DL1579">
        <f>IFERROR(INDEX(Sheet2!$AU$2:$BM$228,QUOTIENT(ROW()-1,19)+1,MOD(ROW()-2,19)+1),NA())</f>
        <v>0.25</v>
      </c>
      <c r="DM1579" s="4" t="e">
        <f t="shared" si="93"/>
        <v>#N/A</v>
      </c>
      <c r="DN1579" t="e">
        <f t="shared" si="94"/>
        <v>#N/A</v>
      </c>
      <c r="DO1579" t="e">
        <f t="shared" si="95"/>
        <v>#N/A</v>
      </c>
    </row>
    <row r="1580" spans="7:119" x14ac:dyDescent="0.25">
      <c r="G1580"/>
      <c r="DI1580" s="4">
        <f>INDEX(Sheet2!A:A,QUOTIENT(ROW()-1,19)+2)</f>
        <v>41353</v>
      </c>
      <c r="DJ1580" s="4">
        <f>INDEX(Sheet2!C:C,QUOTIENT(ROW()-1,19)+2)</f>
        <v>42369</v>
      </c>
      <c r="DK1580" s="4" t="e">
        <f>INDEX(Sheet2!$AA$2:$AS$228,QUOTIENT(ROW()-1,19)+1,MOD(ROW()-2,19)+1)</f>
        <v>#N/A</v>
      </c>
      <c r="DL1580" t="str">
        <f>IFERROR(INDEX(Sheet2!$AU$2:$BM$228,QUOTIENT(ROW()-1,19)+1,MOD(ROW()-2,19)+1),NA())</f>
        <v/>
      </c>
      <c r="DM1580" s="4" t="e">
        <f t="shared" si="93"/>
        <v>#N/A</v>
      </c>
      <c r="DN1580" t="e">
        <f t="shared" si="94"/>
        <v>#N/A</v>
      </c>
      <c r="DO1580" t="e">
        <f t="shared" si="95"/>
        <v>#N/A</v>
      </c>
    </row>
    <row r="1581" spans="7:119" x14ac:dyDescent="0.25">
      <c r="G1581"/>
      <c r="DI1581" s="4">
        <f>INDEX(Sheet2!A:A,QUOTIENT(ROW()-1,19)+2)</f>
        <v>41353</v>
      </c>
      <c r="DJ1581" s="4">
        <f>INDEX(Sheet2!C:C,QUOTIENT(ROW()-1,19)+2)</f>
        <v>42369</v>
      </c>
      <c r="DK1581" s="4" t="e">
        <f>INDEX(Sheet2!$AA$2:$AS$228,QUOTIENT(ROW()-1,19)+1,MOD(ROW()-2,19)+1)</f>
        <v>#N/A</v>
      </c>
      <c r="DL1581" t="str">
        <f>IFERROR(INDEX(Sheet2!$AU$2:$BM$228,QUOTIENT(ROW()-1,19)+1,MOD(ROW()-2,19)+1),NA())</f>
        <v/>
      </c>
      <c r="DM1581" s="4" t="e">
        <f t="shared" si="93"/>
        <v>#N/A</v>
      </c>
      <c r="DN1581" t="e">
        <f t="shared" si="94"/>
        <v>#N/A</v>
      </c>
      <c r="DO1581" t="e">
        <f t="shared" si="95"/>
        <v>#N/A</v>
      </c>
    </row>
    <row r="1582" spans="7:119" x14ac:dyDescent="0.25">
      <c r="G1582"/>
      <c r="DI1582" s="4">
        <f>INDEX(Sheet2!A:A,QUOTIENT(ROW()-1,19)+2)</f>
        <v>41353</v>
      </c>
      <c r="DJ1582" s="4">
        <f>INDEX(Sheet2!C:C,QUOTIENT(ROW()-1,19)+2)</f>
        <v>42369</v>
      </c>
      <c r="DK1582" s="4" t="e">
        <f>INDEX(Sheet2!$AA$2:$AS$228,QUOTIENT(ROW()-1,19)+1,MOD(ROW()-2,19)+1)</f>
        <v>#N/A</v>
      </c>
      <c r="DL1582" t="str">
        <f>IFERROR(INDEX(Sheet2!$AU$2:$BM$228,QUOTIENT(ROW()-1,19)+1,MOD(ROW()-2,19)+1),NA())</f>
        <v/>
      </c>
      <c r="DM1582" s="4" t="e">
        <f t="shared" si="93"/>
        <v>#N/A</v>
      </c>
      <c r="DN1582" t="e">
        <f t="shared" si="94"/>
        <v>#N/A</v>
      </c>
      <c r="DO1582" t="e">
        <f t="shared" si="95"/>
        <v>#N/A</v>
      </c>
    </row>
    <row r="1583" spans="7:119" x14ac:dyDescent="0.25">
      <c r="G1583"/>
      <c r="DI1583" s="4">
        <f>INDEX(Sheet2!A:A,QUOTIENT(ROW()-1,19)+2)</f>
        <v>41353</v>
      </c>
      <c r="DJ1583" s="4">
        <f>INDEX(Sheet2!C:C,QUOTIENT(ROW()-1,19)+2)</f>
        <v>42369</v>
      </c>
      <c r="DK1583" s="4" t="e">
        <f>INDEX(Sheet2!$AA$2:$AS$228,QUOTIENT(ROW()-1,19)+1,MOD(ROW()-2,19)+1)</f>
        <v>#N/A</v>
      </c>
      <c r="DL1583" t="str">
        <f>IFERROR(INDEX(Sheet2!$AU$2:$BM$228,QUOTIENT(ROW()-1,19)+1,MOD(ROW()-2,19)+1),NA())</f>
        <v/>
      </c>
      <c r="DM1583" s="4" t="e">
        <f t="shared" si="93"/>
        <v>#N/A</v>
      </c>
      <c r="DN1583" t="e">
        <f t="shared" si="94"/>
        <v>#N/A</v>
      </c>
      <c r="DO1583" t="e">
        <f t="shared" si="95"/>
        <v>#N/A</v>
      </c>
    </row>
    <row r="1584" spans="7:119" x14ac:dyDescent="0.25">
      <c r="G1584"/>
      <c r="DI1584" s="4">
        <f>INDEX(Sheet2!A:A,QUOTIENT(ROW()-1,19)+2)</f>
        <v>41353</v>
      </c>
      <c r="DJ1584" s="4">
        <f>INDEX(Sheet2!C:C,QUOTIENT(ROW()-1,19)+2)</f>
        <v>42369</v>
      </c>
      <c r="DK1584" s="4" t="e">
        <f>INDEX(Sheet2!$AA$2:$AS$228,QUOTIENT(ROW()-1,19)+1,MOD(ROW()-2,19)+1)</f>
        <v>#N/A</v>
      </c>
      <c r="DL1584" t="str">
        <f>IFERROR(INDEX(Sheet2!$AU$2:$BM$228,QUOTIENT(ROW()-1,19)+1,MOD(ROW()-2,19)+1),NA())</f>
        <v/>
      </c>
      <c r="DM1584" s="4" t="e">
        <f t="shared" si="93"/>
        <v>#N/A</v>
      </c>
      <c r="DN1584" t="e">
        <f t="shared" si="94"/>
        <v>#N/A</v>
      </c>
      <c r="DO1584" t="e">
        <f t="shared" si="95"/>
        <v>#N/A</v>
      </c>
    </row>
    <row r="1585" spans="7:119" x14ac:dyDescent="0.25">
      <c r="G1585"/>
      <c r="DI1585" s="4">
        <f>INDEX(Sheet2!A:A,QUOTIENT(ROW()-1,19)+2)</f>
        <v>41353</v>
      </c>
      <c r="DJ1585" s="4">
        <f>INDEX(Sheet2!C:C,QUOTIENT(ROW()-1,19)+2)</f>
        <v>42369</v>
      </c>
      <c r="DK1585" s="4" t="e">
        <f>INDEX(Sheet2!$AA$2:$AS$228,QUOTIENT(ROW()-1,19)+1,MOD(ROW()-2,19)+1)</f>
        <v>#N/A</v>
      </c>
      <c r="DL1585" t="str">
        <f>IFERROR(INDEX(Sheet2!$AU$2:$BM$228,QUOTIENT(ROW()-1,19)+1,MOD(ROW()-2,19)+1),NA())</f>
        <v/>
      </c>
      <c r="DM1585" s="4" t="e">
        <f t="shared" si="93"/>
        <v>#N/A</v>
      </c>
      <c r="DN1585" t="e">
        <f t="shared" si="94"/>
        <v>#N/A</v>
      </c>
      <c r="DO1585" t="e">
        <f t="shared" si="95"/>
        <v>#N/A</v>
      </c>
    </row>
    <row r="1586" spans="7:119" x14ac:dyDescent="0.25">
      <c r="G1586"/>
      <c r="DI1586" s="4">
        <f>INDEX(Sheet2!A:A,QUOTIENT(ROW()-1,19)+2)</f>
        <v>41353</v>
      </c>
      <c r="DJ1586" s="4">
        <f>INDEX(Sheet2!C:C,QUOTIENT(ROW()-1,19)+2)</f>
        <v>42369</v>
      </c>
      <c r="DK1586" s="4" t="e">
        <f>INDEX(Sheet2!$AA$2:$AS$228,QUOTIENT(ROW()-1,19)+1,MOD(ROW()-2,19)+1)</f>
        <v>#N/A</v>
      </c>
      <c r="DL1586" t="str">
        <f>IFERROR(INDEX(Sheet2!$AU$2:$BM$228,QUOTIENT(ROW()-1,19)+1,MOD(ROW()-2,19)+1),NA())</f>
        <v/>
      </c>
      <c r="DM1586" s="4" t="e">
        <f t="shared" si="93"/>
        <v>#N/A</v>
      </c>
      <c r="DN1586" t="e">
        <f t="shared" si="94"/>
        <v>#N/A</v>
      </c>
      <c r="DO1586" t="e">
        <f t="shared" si="95"/>
        <v>#N/A</v>
      </c>
    </row>
    <row r="1587" spans="7:119" x14ac:dyDescent="0.25">
      <c r="G1587"/>
      <c r="DI1587" s="4">
        <f>INDEX(Sheet2!A:A,QUOTIENT(ROW()-1,19)+2)</f>
        <v>41353</v>
      </c>
      <c r="DJ1587" s="4">
        <f>INDEX(Sheet2!C:C,QUOTIENT(ROW()-1,19)+2)</f>
        <v>42369</v>
      </c>
      <c r="DK1587" s="4" t="e">
        <f>INDEX(Sheet2!$AA$2:$AS$228,QUOTIENT(ROW()-1,19)+1,MOD(ROW()-2,19)+1)</f>
        <v>#N/A</v>
      </c>
      <c r="DL1587" t="str">
        <f>IFERROR(INDEX(Sheet2!$AU$2:$BM$228,QUOTIENT(ROW()-1,19)+1,MOD(ROW()-2,19)+1),NA())</f>
        <v/>
      </c>
      <c r="DM1587" s="4" t="e">
        <f t="shared" si="93"/>
        <v>#N/A</v>
      </c>
      <c r="DN1587" t="e">
        <f t="shared" si="94"/>
        <v>#N/A</v>
      </c>
      <c r="DO1587" t="e">
        <f t="shared" si="95"/>
        <v>#N/A</v>
      </c>
    </row>
    <row r="1588" spans="7:119" x14ac:dyDescent="0.25">
      <c r="G1588"/>
      <c r="DI1588" s="4">
        <f>INDEX(Sheet2!A:A,QUOTIENT(ROW()-1,19)+2)</f>
        <v>41353</v>
      </c>
      <c r="DJ1588" s="4">
        <f>INDEX(Sheet2!C:C,QUOTIENT(ROW()-1,19)+2)</f>
        <v>42369</v>
      </c>
      <c r="DK1588" s="4" t="e">
        <f>INDEX(Sheet2!$AA$2:$AS$228,QUOTIENT(ROW()-1,19)+1,MOD(ROW()-2,19)+1)</f>
        <v>#N/A</v>
      </c>
      <c r="DL1588" t="str">
        <f>IFERROR(INDEX(Sheet2!$AU$2:$BM$228,QUOTIENT(ROW()-1,19)+1,MOD(ROW()-2,19)+1),NA())</f>
        <v/>
      </c>
      <c r="DM1588" s="4" t="e">
        <f t="shared" si="93"/>
        <v>#N/A</v>
      </c>
      <c r="DN1588" t="e">
        <f t="shared" si="94"/>
        <v>#N/A</v>
      </c>
      <c r="DO1588" t="e">
        <f t="shared" si="95"/>
        <v>#N/A</v>
      </c>
    </row>
    <row r="1589" spans="7:119" x14ac:dyDescent="0.25">
      <c r="G1589"/>
      <c r="DI1589" s="4">
        <f>INDEX(Sheet2!A:A,QUOTIENT(ROW()-1,19)+2)</f>
        <v>41353</v>
      </c>
      <c r="DJ1589" s="4">
        <f>INDEX(Sheet2!C:C,QUOTIENT(ROW()-1,19)+2)</f>
        <v>42369</v>
      </c>
      <c r="DK1589" s="4" t="e">
        <f>INDEX(Sheet2!$AA$2:$AS$228,QUOTIENT(ROW()-1,19)+1,MOD(ROW()-2,19)+1)</f>
        <v>#N/A</v>
      </c>
      <c r="DL1589" t="str">
        <f>IFERROR(INDEX(Sheet2!$AU$2:$BM$228,QUOTIENT(ROW()-1,19)+1,MOD(ROW()-2,19)+1),NA())</f>
        <v/>
      </c>
      <c r="DM1589" s="4" t="e">
        <f t="shared" si="93"/>
        <v>#N/A</v>
      </c>
      <c r="DN1589" t="e">
        <f t="shared" si="94"/>
        <v>#N/A</v>
      </c>
      <c r="DO1589" t="e">
        <f t="shared" si="95"/>
        <v>#N/A</v>
      </c>
    </row>
    <row r="1590" spans="7:119" x14ac:dyDescent="0.25">
      <c r="G1590"/>
      <c r="DI1590" s="4">
        <f>INDEX(Sheet2!A:A,QUOTIENT(ROW()-1,19)+2)</f>
        <v>41353</v>
      </c>
      <c r="DJ1590" s="4">
        <f>INDEX(Sheet2!C:C,QUOTIENT(ROW()-1,19)+2)</f>
        <v>42369</v>
      </c>
      <c r="DK1590" s="4" t="e">
        <f>INDEX(Sheet2!$AA$2:$AS$228,QUOTIENT(ROW()-1,19)+1,MOD(ROW()-2,19)+1)</f>
        <v>#N/A</v>
      </c>
      <c r="DL1590" t="str">
        <f>IFERROR(INDEX(Sheet2!$AU$2:$BM$228,QUOTIENT(ROW()-1,19)+1,MOD(ROW()-2,19)+1),NA())</f>
        <v/>
      </c>
      <c r="DM1590" s="4" t="e">
        <f t="shared" si="93"/>
        <v>#N/A</v>
      </c>
      <c r="DN1590" t="e">
        <f t="shared" si="94"/>
        <v>#N/A</v>
      </c>
      <c r="DO1590" t="e">
        <f t="shared" si="95"/>
        <v>#N/A</v>
      </c>
    </row>
    <row r="1591" spans="7:119" x14ac:dyDescent="0.25">
      <c r="G1591"/>
      <c r="DI1591" s="4">
        <f>INDEX(Sheet2!A:A,QUOTIENT(ROW()-1,19)+2)</f>
        <v>41353</v>
      </c>
      <c r="DJ1591" s="4">
        <f>INDEX(Sheet2!C:C,QUOTIENT(ROW()-1,19)+2)</f>
        <v>42369</v>
      </c>
      <c r="DK1591" s="4" t="e">
        <f>INDEX(Sheet2!$AA$2:$AS$228,QUOTIENT(ROW()-1,19)+1,MOD(ROW()-2,19)+1)</f>
        <v>#N/A</v>
      </c>
      <c r="DL1591" t="str">
        <f>IFERROR(INDEX(Sheet2!$AU$2:$BM$228,QUOTIENT(ROW()-1,19)+1,MOD(ROW()-2,19)+1),NA())</f>
        <v/>
      </c>
      <c r="DM1591" s="4" t="e">
        <f t="shared" si="93"/>
        <v>#N/A</v>
      </c>
      <c r="DN1591" t="e">
        <f t="shared" si="94"/>
        <v>#N/A</v>
      </c>
      <c r="DO1591" t="e">
        <f t="shared" si="95"/>
        <v>#N/A</v>
      </c>
    </row>
    <row r="1592" spans="7:119" x14ac:dyDescent="0.25">
      <c r="G1592"/>
      <c r="DI1592" s="4">
        <f>INDEX(Sheet2!A:A,QUOTIENT(ROW()-1,19)+2)</f>
        <v>41353</v>
      </c>
      <c r="DJ1592" s="4">
        <f>INDEX(Sheet2!C:C,QUOTIENT(ROW()-1,19)+2)</f>
        <v>42369</v>
      </c>
      <c r="DK1592" s="4" t="e">
        <f>INDEX(Sheet2!$AA$2:$AS$228,QUOTIENT(ROW()-1,19)+1,MOD(ROW()-2,19)+1)</f>
        <v>#N/A</v>
      </c>
      <c r="DL1592" t="str">
        <f>IFERROR(INDEX(Sheet2!$AU$2:$BM$228,QUOTIENT(ROW()-1,19)+1,MOD(ROW()-2,19)+1),NA())</f>
        <v/>
      </c>
      <c r="DM1592" s="4" t="e">
        <f t="shared" si="93"/>
        <v>#N/A</v>
      </c>
      <c r="DN1592" t="e">
        <f t="shared" si="94"/>
        <v>#N/A</v>
      </c>
      <c r="DO1592" t="e">
        <f t="shared" si="95"/>
        <v>#N/A</v>
      </c>
    </row>
    <row r="1593" spans="7:119" x14ac:dyDescent="0.25">
      <c r="G1593"/>
      <c r="DI1593" s="4">
        <f>INDEX(Sheet2!A:A,QUOTIENT(ROW()-1,19)+2)</f>
        <v>41353</v>
      </c>
      <c r="DJ1593" s="4">
        <f>INDEX(Sheet2!C:C,QUOTIENT(ROW()-1,19)+2)</f>
        <v>42369</v>
      </c>
      <c r="DK1593" s="4" t="e">
        <f>INDEX(Sheet2!$AA$2:$AS$228,QUOTIENT(ROW()-1,19)+1,MOD(ROW()-2,19)+1)</f>
        <v>#N/A</v>
      </c>
      <c r="DL1593" t="str">
        <f>IFERROR(INDEX(Sheet2!$AU$2:$BM$228,QUOTIENT(ROW()-1,19)+1,MOD(ROW()-2,19)+1),NA())</f>
        <v/>
      </c>
      <c r="DM1593" s="4" t="e">
        <f t="shared" si="93"/>
        <v>#N/A</v>
      </c>
      <c r="DN1593" t="e">
        <f t="shared" si="94"/>
        <v>#N/A</v>
      </c>
      <c r="DO1593" t="e">
        <f t="shared" si="95"/>
        <v>#N/A</v>
      </c>
    </row>
    <row r="1594" spans="7:119" x14ac:dyDescent="0.25">
      <c r="G1594"/>
      <c r="DI1594" s="4">
        <f>INDEX(Sheet2!A:A,QUOTIENT(ROW()-1,19)+2)</f>
        <v>41353</v>
      </c>
      <c r="DJ1594" s="4">
        <f>INDEX(Sheet2!C:C,QUOTIENT(ROW()-1,19)+2)</f>
        <v>42369</v>
      </c>
      <c r="DK1594" s="4" t="e">
        <f>INDEX(Sheet2!$AA$2:$AS$228,QUOTIENT(ROW()-1,19)+1,MOD(ROW()-2,19)+1)</f>
        <v>#N/A</v>
      </c>
      <c r="DL1594" t="str">
        <f>IFERROR(INDEX(Sheet2!$AU$2:$BM$228,QUOTIENT(ROW()-1,19)+1,MOD(ROW()-2,19)+1),NA())</f>
        <v/>
      </c>
      <c r="DM1594" s="4" t="e">
        <f t="shared" si="93"/>
        <v>#N/A</v>
      </c>
      <c r="DN1594" t="e">
        <f t="shared" si="94"/>
        <v>#N/A</v>
      </c>
      <c r="DO1594" t="e">
        <f t="shared" si="95"/>
        <v>#N/A</v>
      </c>
    </row>
    <row r="1595" spans="7:119" x14ac:dyDescent="0.25">
      <c r="G1595"/>
      <c r="DI1595" s="4">
        <f>INDEX(Sheet2!A:A,QUOTIENT(ROW()-1,19)+2)</f>
        <v>41353</v>
      </c>
      <c r="DJ1595" s="4">
        <f>INDEX(Sheet2!C:C,QUOTIENT(ROW()-1,19)+2)</f>
        <v>42369</v>
      </c>
      <c r="DK1595" s="4" t="e">
        <f>INDEX(Sheet2!$AA$2:$AS$228,QUOTIENT(ROW()-1,19)+1,MOD(ROW()-2,19)+1)</f>
        <v>#N/A</v>
      </c>
      <c r="DL1595" t="str">
        <f>IFERROR(INDEX(Sheet2!$AU$2:$BM$228,QUOTIENT(ROW()-1,19)+1,MOD(ROW()-2,19)+1),NA())</f>
        <v/>
      </c>
      <c r="DM1595" s="4" t="e">
        <f t="shared" si="93"/>
        <v>#N/A</v>
      </c>
      <c r="DN1595" t="e">
        <f t="shared" si="94"/>
        <v>#N/A</v>
      </c>
      <c r="DO1595" t="e">
        <f t="shared" si="95"/>
        <v>#N/A</v>
      </c>
    </row>
    <row r="1596" spans="7:119" x14ac:dyDescent="0.25">
      <c r="G1596"/>
      <c r="DI1596" s="4">
        <f>INDEX(Sheet2!A:A,QUOTIENT(ROW()-1,19)+2)</f>
        <v>41353</v>
      </c>
      <c r="DJ1596" s="4">
        <f>INDEX(Sheet2!C:C,QUOTIENT(ROW()-1,19)+2)</f>
        <v>42369</v>
      </c>
      <c r="DK1596" s="4" t="e">
        <f>INDEX(Sheet2!$AA$2:$AS$228,QUOTIENT(ROW()-1,19)+1,MOD(ROW()-2,19)+1)</f>
        <v>#N/A</v>
      </c>
      <c r="DL1596" t="str">
        <f>IFERROR(INDEX(Sheet2!$AU$2:$BM$228,QUOTIENT(ROW()-1,19)+1,MOD(ROW()-2,19)+1),NA())</f>
        <v/>
      </c>
      <c r="DM1596" s="4" t="e">
        <f t="shared" si="93"/>
        <v>#N/A</v>
      </c>
      <c r="DN1596" t="e">
        <f t="shared" si="94"/>
        <v>#N/A</v>
      </c>
      <c r="DO1596" t="e">
        <f t="shared" si="95"/>
        <v>#N/A</v>
      </c>
    </row>
    <row r="1597" spans="7:119" x14ac:dyDescent="0.25">
      <c r="G1597"/>
      <c r="DI1597" s="4">
        <f>INDEX(Sheet2!A:A,QUOTIENT(ROW()-1,19)+2)</f>
        <v>41353</v>
      </c>
      <c r="DJ1597" s="4">
        <f>INDEX(Sheet2!C:C,QUOTIENT(ROW()-1,19)+2)</f>
        <v>42369</v>
      </c>
      <c r="DK1597" s="4" t="e">
        <f>INDEX(Sheet2!$AA$2:$AS$228,QUOTIENT(ROW()-1,19)+1,MOD(ROW()-2,19)+1)</f>
        <v>#N/A</v>
      </c>
      <c r="DL1597" t="str">
        <f>IFERROR(INDEX(Sheet2!$AU$2:$BM$228,QUOTIENT(ROW()-1,19)+1,MOD(ROW()-2,19)+1),NA())</f>
        <v/>
      </c>
      <c r="DM1597" s="4" t="e">
        <f t="shared" si="93"/>
        <v>#N/A</v>
      </c>
      <c r="DN1597" t="e">
        <f t="shared" si="94"/>
        <v>#N/A</v>
      </c>
      <c r="DO1597" t="e">
        <f t="shared" si="95"/>
        <v>#N/A</v>
      </c>
    </row>
    <row r="1598" spans="7:119" x14ac:dyDescent="0.25">
      <c r="G1598"/>
      <c r="DI1598" s="4">
        <f>INDEX(Sheet2!A:A,QUOTIENT(ROW()-1,19)+2)</f>
        <v>41353</v>
      </c>
      <c r="DJ1598" s="4">
        <f>INDEX(Sheet2!C:C,QUOTIENT(ROW()-1,19)+2)</f>
        <v>42369</v>
      </c>
      <c r="DK1598" s="4">
        <f>INDEX(Sheet2!$AA$2:$AS$228,QUOTIENT(ROW()-1,19)+1,MOD(ROW()-2,19)+1)</f>
        <v>42308.775000000001</v>
      </c>
      <c r="DL1598">
        <f>IFERROR(INDEX(Sheet2!$AU$2:$BM$228,QUOTIENT(ROW()-1,19)+1,MOD(ROW()-2,19)+1),NA())</f>
        <v>0.5</v>
      </c>
      <c r="DM1598" s="4" t="e">
        <f t="shared" si="93"/>
        <v>#N/A</v>
      </c>
      <c r="DN1598" t="e">
        <f t="shared" si="94"/>
        <v>#N/A</v>
      </c>
      <c r="DO1598" t="e">
        <f t="shared" si="95"/>
        <v>#N/A</v>
      </c>
    </row>
    <row r="1599" spans="7:119" x14ac:dyDescent="0.25">
      <c r="G1599"/>
      <c r="DI1599" s="4">
        <f>INDEX(Sheet2!A:A,QUOTIENT(ROW()-1,19)+2)</f>
        <v>41353</v>
      </c>
      <c r="DJ1599" s="4">
        <f>INDEX(Sheet2!C:C,QUOTIENT(ROW()-1,19)+2)</f>
        <v>42369</v>
      </c>
      <c r="DK1599" s="4">
        <f>INDEX(Sheet2!$AA$2:$AS$228,QUOTIENT(ROW()-1,19)+1,MOD(ROW()-2,19)+1)</f>
        <v>42328.850000000006</v>
      </c>
      <c r="DL1599">
        <f>IFERROR(INDEX(Sheet2!$AU$2:$BM$228,QUOTIENT(ROW()-1,19)+1,MOD(ROW()-2,19)+1),NA())</f>
        <v>0.5</v>
      </c>
      <c r="DM1599" s="4" t="e">
        <f t="shared" si="93"/>
        <v>#N/A</v>
      </c>
      <c r="DN1599" t="e">
        <f t="shared" si="94"/>
        <v>#N/A</v>
      </c>
      <c r="DO1599" t="e">
        <f t="shared" si="95"/>
        <v>#N/A</v>
      </c>
    </row>
    <row r="1600" spans="7:119" x14ac:dyDescent="0.25">
      <c r="G1600"/>
      <c r="DI1600" s="4">
        <f>INDEX(Sheet2!A:A,QUOTIENT(ROW()-1,19)+2)</f>
        <v>41353</v>
      </c>
      <c r="DJ1600" s="4">
        <f>INDEX(Sheet2!C:C,QUOTIENT(ROW()-1,19)+2)</f>
        <v>42369</v>
      </c>
      <c r="DK1600" s="4">
        <f>INDEX(Sheet2!$AA$2:$AS$228,QUOTIENT(ROW()-1,19)+1,MOD(ROW()-2,19)+1)</f>
        <v>42348.925000000003</v>
      </c>
      <c r="DL1600">
        <f>IFERROR(INDEX(Sheet2!$AU$2:$BM$228,QUOTIENT(ROW()-1,19)+1,MOD(ROW()-2,19)+1),NA())</f>
        <v>0.5</v>
      </c>
      <c r="DM1600" s="4" t="e">
        <f t="shared" si="93"/>
        <v>#N/A</v>
      </c>
      <c r="DN1600" t="e">
        <f t="shared" si="94"/>
        <v>#N/A</v>
      </c>
      <c r="DO1600" t="e">
        <f t="shared" si="95"/>
        <v>#N/A</v>
      </c>
    </row>
    <row r="1601" spans="7:119" x14ac:dyDescent="0.25">
      <c r="G1601"/>
      <c r="DI1601" s="4">
        <f>INDEX(Sheet2!A:A,QUOTIENT(ROW()-1,19)+2)</f>
        <v>41353</v>
      </c>
      <c r="DJ1601" s="4">
        <f>INDEX(Sheet2!C:C,QUOTIENT(ROW()-1,19)+2)</f>
        <v>42369</v>
      </c>
      <c r="DK1601" s="4">
        <f>INDEX(Sheet2!$AA$2:$AS$228,QUOTIENT(ROW()-1,19)+1,MOD(ROW()-2,19)+1)</f>
        <v>42369.000000000007</v>
      </c>
      <c r="DL1601">
        <f>IFERROR(INDEX(Sheet2!$AU$2:$BM$228,QUOTIENT(ROW()-1,19)+1,MOD(ROW()-2,19)+1),NA())</f>
        <v>0.5</v>
      </c>
      <c r="DM1601" s="4" t="e">
        <f t="shared" si="93"/>
        <v>#N/A</v>
      </c>
      <c r="DN1601" t="e">
        <f t="shared" si="94"/>
        <v>#N/A</v>
      </c>
      <c r="DO1601" t="e">
        <f t="shared" si="95"/>
        <v>#N/A</v>
      </c>
    </row>
    <row r="1602" spans="7:119" x14ac:dyDescent="0.25">
      <c r="G1602"/>
      <c r="DI1602" s="4">
        <f>INDEX(Sheet2!A:A,QUOTIENT(ROW()-1,19)+2)</f>
        <v>41353</v>
      </c>
      <c r="DJ1602" s="4">
        <f>INDEX(Sheet2!C:C,QUOTIENT(ROW()-1,19)+2)</f>
        <v>42369</v>
      </c>
      <c r="DK1602" s="4">
        <f>INDEX(Sheet2!$AA$2:$AS$228,QUOTIENT(ROW()-1,19)+1,MOD(ROW()-2,19)+1)</f>
        <v>42389.075000000004</v>
      </c>
      <c r="DL1602">
        <f>IFERROR(INDEX(Sheet2!$AU$2:$BM$228,QUOTIENT(ROW()-1,19)+1,MOD(ROW()-2,19)+1),NA())</f>
        <v>0.5</v>
      </c>
      <c r="DM1602" s="4" t="e">
        <f t="shared" ref="DM1602:DM1665" si="96">+IF($C$2=$DI1602,DK1602,NA())</f>
        <v>#N/A</v>
      </c>
      <c r="DN1602" t="e">
        <f t="shared" ref="DN1602:DN1665" si="97">+IF($C$2=$DI1602,DL1602,NA())</f>
        <v>#N/A</v>
      </c>
      <c r="DO1602" t="e">
        <f t="shared" si="95"/>
        <v>#N/A</v>
      </c>
    </row>
    <row r="1603" spans="7:119" x14ac:dyDescent="0.25">
      <c r="G1603"/>
      <c r="DI1603" s="4">
        <f>INDEX(Sheet2!A:A,QUOTIENT(ROW()-1,19)+2)</f>
        <v>41353</v>
      </c>
      <c r="DJ1603" s="4">
        <f>INDEX(Sheet2!C:C,QUOTIENT(ROW()-1,19)+2)</f>
        <v>42369</v>
      </c>
      <c r="DK1603" s="4">
        <f>INDEX(Sheet2!$AA$2:$AS$228,QUOTIENT(ROW()-1,19)+1,MOD(ROW()-2,19)+1)</f>
        <v>42409.15</v>
      </c>
      <c r="DL1603">
        <f>IFERROR(INDEX(Sheet2!$AU$2:$BM$228,QUOTIENT(ROW()-1,19)+1,MOD(ROW()-2,19)+1),NA())</f>
        <v>0.5</v>
      </c>
      <c r="DM1603" s="4" t="e">
        <f t="shared" si="96"/>
        <v>#N/A</v>
      </c>
      <c r="DN1603" t="e">
        <f t="shared" si="97"/>
        <v>#N/A</v>
      </c>
      <c r="DO1603" t="e">
        <f t="shared" ref="DO1603:DO1666" si="98">IF(DN1603="",NA(),DN1603)</f>
        <v>#N/A</v>
      </c>
    </row>
    <row r="1604" spans="7:119" x14ac:dyDescent="0.25">
      <c r="G1604"/>
      <c r="DI1604" s="4">
        <f>INDEX(Sheet2!A:A,QUOTIENT(ROW()-1,19)+2)</f>
        <v>41353</v>
      </c>
      <c r="DJ1604" s="4">
        <f>INDEX(Sheet2!C:C,QUOTIENT(ROW()-1,19)+2)</f>
        <v>42369</v>
      </c>
      <c r="DK1604" s="4">
        <f>INDEX(Sheet2!$AA$2:$AS$228,QUOTIENT(ROW()-1,19)+1,MOD(ROW()-2,19)+1)</f>
        <v>42429.225000000006</v>
      </c>
      <c r="DL1604">
        <f>IFERROR(INDEX(Sheet2!$AU$2:$BM$228,QUOTIENT(ROW()-1,19)+1,MOD(ROW()-2,19)+1),NA())</f>
        <v>0.5</v>
      </c>
      <c r="DM1604" s="4" t="e">
        <f t="shared" si="96"/>
        <v>#N/A</v>
      </c>
      <c r="DN1604" t="e">
        <f t="shared" si="97"/>
        <v>#N/A</v>
      </c>
      <c r="DO1604" t="e">
        <f t="shared" si="98"/>
        <v>#N/A</v>
      </c>
    </row>
    <row r="1605" spans="7:119" x14ac:dyDescent="0.25">
      <c r="G1605"/>
      <c r="DI1605" s="4">
        <f>INDEX(Sheet2!A:A,QUOTIENT(ROW()-1,19)+2)</f>
        <v>41353</v>
      </c>
      <c r="DJ1605" s="4">
        <f>INDEX(Sheet2!C:C,QUOTIENT(ROW()-1,19)+2)</f>
        <v>42369</v>
      </c>
      <c r="DK1605" s="4" t="e">
        <f>INDEX(Sheet2!$AA$2:$AS$228,QUOTIENT(ROW()-1,19)+1,MOD(ROW()-2,19)+1)</f>
        <v>#N/A</v>
      </c>
      <c r="DL1605" t="str">
        <f>IFERROR(INDEX(Sheet2!$AU$2:$BM$228,QUOTIENT(ROW()-1,19)+1,MOD(ROW()-2,19)+1),NA())</f>
        <v/>
      </c>
      <c r="DM1605" s="4" t="e">
        <f t="shared" si="96"/>
        <v>#N/A</v>
      </c>
      <c r="DN1605" t="e">
        <f t="shared" si="97"/>
        <v>#N/A</v>
      </c>
      <c r="DO1605" t="e">
        <f t="shared" si="98"/>
        <v>#N/A</v>
      </c>
    </row>
    <row r="1606" spans="7:119" x14ac:dyDescent="0.25">
      <c r="G1606"/>
      <c r="DI1606" s="4">
        <f>INDEX(Sheet2!A:A,QUOTIENT(ROW()-1,19)+2)</f>
        <v>41353</v>
      </c>
      <c r="DJ1606" s="4">
        <f>INDEX(Sheet2!C:C,QUOTIENT(ROW()-1,19)+2)</f>
        <v>42369</v>
      </c>
      <c r="DK1606" s="4" t="e">
        <f>INDEX(Sheet2!$AA$2:$AS$228,QUOTIENT(ROW()-1,19)+1,MOD(ROW()-2,19)+1)</f>
        <v>#N/A</v>
      </c>
      <c r="DL1606" t="str">
        <f>IFERROR(INDEX(Sheet2!$AU$2:$BM$228,QUOTIENT(ROW()-1,19)+1,MOD(ROW()-2,19)+1),NA())</f>
        <v/>
      </c>
      <c r="DM1606" s="4" t="e">
        <f t="shared" si="96"/>
        <v>#N/A</v>
      </c>
      <c r="DN1606" t="e">
        <f t="shared" si="97"/>
        <v>#N/A</v>
      </c>
      <c r="DO1606" t="e">
        <f t="shared" si="98"/>
        <v>#N/A</v>
      </c>
    </row>
    <row r="1607" spans="7:119" x14ac:dyDescent="0.25">
      <c r="G1607"/>
      <c r="DI1607" s="4">
        <f>INDEX(Sheet2!A:A,QUOTIENT(ROW()-1,19)+2)</f>
        <v>41353</v>
      </c>
      <c r="DJ1607" s="4">
        <f>INDEX(Sheet2!C:C,QUOTIENT(ROW()-1,19)+2)</f>
        <v>42369</v>
      </c>
      <c r="DK1607" s="4" t="e">
        <f>INDEX(Sheet2!$AA$2:$AS$228,QUOTIENT(ROW()-1,19)+1,MOD(ROW()-2,19)+1)</f>
        <v>#N/A</v>
      </c>
      <c r="DL1607" t="str">
        <f>IFERROR(INDEX(Sheet2!$AU$2:$BM$228,QUOTIENT(ROW()-1,19)+1,MOD(ROW()-2,19)+1),NA())</f>
        <v/>
      </c>
      <c r="DM1607" s="4" t="e">
        <f t="shared" si="96"/>
        <v>#N/A</v>
      </c>
      <c r="DN1607" t="e">
        <f t="shared" si="97"/>
        <v>#N/A</v>
      </c>
      <c r="DO1607" t="e">
        <f t="shared" si="98"/>
        <v>#N/A</v>
      </c>
    </row>
    <row r="1608" spans="7:119" x14ac:dyDescent="0.25">
      <c r="G1608"/>
      <c r="DI1608" s="4">
        <f>INDEX(Sheet2!A:A,QUOTIENT(ROW()-1,19)+2)</f>
        <v>41353</v>
      </c>
      <c r="DJ1608" s="4">
        <f>INDEX(Sheet2!C:C,QUOTIENT(ROW()-1,19)+2)</f>
        <v>42369</v>
      </c>
      <c r="DK1608" s="4" t="e">
        <f>INDEX(Sheet2!$AA$2:$AS$228,QUOTIENT(ROW()-1,19)+1,MOD(ROW()-2,19)+1)</f>
        <v>#N/A</v>
      </c>
      <c r="DL1608" t="str">
        <f>IFERROR(INDEX(Sheet2!$AU$2:$BM$228,QUOTIENT(ROW()-1,19)+1,MOD(ROW()-2,19)+1),NA())</f>
        <v/>
      </c>
      <c r="DM1608" s="4" t="e">
        <f t="shared" si="96"/>
        <v>#N/A</v>
      </c>
      <c r="DN1608" t="e">
        <f t="shared" si="97"/>
        <v>#N/A</v>
      </c>
      <c r="DO1608" t="e">
        <f t="shared" si="98"/>
        <v>#N/A</v>
      </c>
    </row>
    <row r="1609" spans="7:119" x14ac:dyDescent="0.25">
      <c r="G1609"/>
      <c r="DI1609" s="4">
        <f>INDEX(Sheet2!A:A,QUOTIENT(ROW()-1,19)+2)</f>
        <v>41353</v>
      </c>
      <c r="DJ1609" s="4">
        <f>INDEX(Sheet2!C:C,QUOTIENT(ROW()-1,19)+2)</f>
        <v>42369</v>
      </c>
      <c r="DK1609" s="4" t="e">
        <f>INDEX(Sheet2!$AA$2:$AS$228,QUOTIENT(ROW()-1,19)+1,MOD(ROW()-2,19)+1)</f>
        <v>#N/A</v>
      </c>
      <c r="DL1609" t="str">
        <f>IFERROR(INDEX(Sheet2!$AU$2:$BM$228,QUOTIENT(ROW()-1,19)+1,MOD(ROW()-2,19)+1),NA())</f>
        <v/>
      </c>
      <c r="DM1609" s="4" t="e">
        <f t="shared" si="96"/>
        <v>#N/A</v>
      </c>
      <c r="DN1609" t="e">
        <f t="shared" si="97"/>
        <v>#N/A</v>
      </c>
      <c r="DO1609" t="e">
        <f t="shared" si="98"/>
        <v>#N/A</v>
      </c>
    </row>
    <row r="1610" spans="7:119" x14ac:dyDescent="0.25">
      <c r="G1610"/>
      <c r="DI1610" s="4">
        <f>INDEX(Sheet2!A:A,QUOTIENT(ROW()-1,19)+2)</f>
        <v>41353</v>
      </c>
      <c r="DJ1610" s="4">
        <f>INDEX(Sheet2!C:C,QUOTIENT(ROW()-1,19)+2)</f>
        <v>42369</v>
      </c>
      <c r="DK1610" s="4" t="e">
        <f>INDEX(Sheet2!$AA$2:$AS$228,QUOTIENT(ROW()-1,19)+1,MOD(ROW()-2,19)+1)</f>
        <v>#N/A</v>
      </c>
      <c r="DL1610" t="str">
        <f>IFERROR(INDEX(Sheet2!$AU$2:$BM$228,QUOTIENT(ROW()-1,19)+1,MOD(ROW()-2,19)+1),NA())</f>
        <v/>
      </c>
      <c r="DM1610" s="4" t="e">
        <f t="shared" si="96"/>
        <v>#N/A</v>
      </c>
      <c r="DN1610" t="e">
        <f t="shared" si="97"/>
        <v>#N/A</v>
      </c>
      <c r="DO1610" t="e">
        <f t="shared" si="98"/>
        <v>#N/A</v>
      </c>
    </row>
    <row r="1611" spans="7:119" x14ac:dyDescent="0.25">
      <c r="G1611"/>
      <c r="DI1611" s="4">
        <f>INDEX(Sheet2!A:A,QUOTIENT(ROW()-1,19)+2)</f>
        <v>41353</v>
      </c>
      <c r="DJ1611" s="4">
        <f>INDEX(Sheet2!C:C,QUOTIENT(ROW()-1,19)+2)</f>
        <v>42369</v>
      </c>
      <c r="DK1611" s="4" t="e">
        <f>INDEX(Sheet2!$AA$2:$AS$228,QUOTIENT(ROW()-1,19)+1,MOD(ROW()-2,19)+1)</f>
        <v>#N/A</v>
      </c>
      <c r="DL1611" t="str">
        <f>IFERROR(INDEX(Sheet2!$AU$2:$BM$228,QUOTIENT(ROW()-1,19)+1,MOD(ROW()-2,19)+1),NA())</f>
        <v/>
      </c>
      <c r="DM1611" s="4" t="e">
        <f t="shared" si="96"/>
        <v>#N/A</v>
      </c>
      <c r="DN1611" t="e">
        <f t="shared" si="97"/>
        <v>#N/A</v>
      </c>
      <c r="DO1611" t="e">
        <f t="shared" si="98"/>
        <v>#N/A</v>
      </c>
    </row>
    <row r="1612" spans="7:119" x14ac:dyDescent="0.25">
      <c r="G1612"/>
      <c r="DI1612" s="4">
        <f>INDEX(Sheet2!A:A,QUOTIENT(ROW()-1,19)+2)</f>
        <v>41353</v>
      </c>
      <c r="DJ1612" s="4">
        <f>INDEX(Sheet2!C:C,QUOTIENT(ROW()-1,19)+2)</f>
        <v>42369</v>
      </c>
      <c r="DK1612" s="4" t="e">
        <f>INDEX(Sheet2!$AA$2:$AS$228,QUOTIENT(ROW()-1,19)+1,MOD(ROW()-2,19)+1)</f>
        <v>#N/A</v>
      </c>
      <c r="DL1612" t="str">
        <f>IFERROR(INDEX(Sheet2!$AU$2:$BM$228,QUOTIENT(ROW()-1,19)+1,MOD(ROW()-2,19)+1),NA())</f>
        <v/>
      </c>
      <c r="DM1612" s="4" t="e">
        <f t="shared" si="96"/>
        <v>#N/A</v>
      </c>
      <c r="DN1612" t="e">
        <f t="shared" si="97"/>
        <v>#N/A</v>
      </c>
      <c r="DO1612" t="e">
        <f t="shared" si="98"/>
        <v>#N/A</v>
      </c>
    </row>
    <row r="1613" spans="7:119" x14ac:dyDescent="0.25">
      <c r="G1613"/>
      <c r="DI1613" s="4">
        <f>INDEX(Sheet2!A:A,QUOTIENT(ROW()-1,19)+2)</f>
        <v>41353</v>
      </c>
      <c r="DJ1613" s="4">
        <f>INDEX(Sheet2!C:C,QUOTIENT(ROW()-1,19)+2)</f>
        <v>42369</v>
      </c>
      <c r="DK1613" s="4" t="e">
        <f>INDEX(Sheet2!$AA$2:$AS$228,QUOTIENT(ROW()-1,19)+1,MOD(ROW()-2,19)+1)</f>
        <v>#N/A</v>
      </c>
      <c r="DL1613" t="str">
        <f>IFERROR(INDEX(Sheet2!$AU$2:$BM$228,QUOTIENT(ROW()-1,19)+1,MOD(ROW()-2,19)+1),NA())</f>
        <v/>
      </c>
      <c r="DM1613" s="4" t="e">
        <f t="shared" si="96"/>
        <v>#N/A</v>
      </c>
      <c r="DN1613" t="e">
        <f t="shared" si="97"/>
        <v>#N/A</v>
      </c>
      <c r="DO1613" t="e">
        <f t="shared" si="98"/>
        <v>#N/A</v>
      </c>
    </row>
    <row r="1614" spans="7:119" x14ac:dyDescent="0.25">
      <c r="G1614"/>
      <c r="DI1614" s="4">
        <f>INDEX(Sheet2!A:A,QUOTIENT(ROW()-1,19)+2)</f>
        <v>41353</v>
      </c>
      <c r="DJ1614" s="4">
        <f>INDEX(Sheet2!C:C,QUOTIENT(ROW()-1,19)+2)</f>
        <v>42369</v>
      </c>
      <c r="DK1614" s="4" t="e">
        <f>INDEX(Sheet2!$AA$2:$AS$228,QUOTIENT(ROW()-1,19)+1,MOD(ROW()-2,19)+1)</f>
        <v>#N/A</v>
      </c>
      <c r="DL1614" t="str">
        <f>IFERROR(INDEX(Sheet2!$AU$2:$BM$228,QUOTIENT(ROW()-1,19)+1,MOD(ROW()-2,19)+1),NA())</f>
        <v/>
      </c>
      <c r="DM1614" s="4" t="e">
        <f t="shared" si="96"/>
        <v>#N/A</v>
      </c>
      <c r="DN1614" t="e">
        <f t="shared" si="97"/>
        <v>#N/A</v>
      </c>
      <c r="DO1614" t="e">
        <f t="shared" si="98"/>
        <v>#N/A</v>
      </c>
    </row>
    <row r="1615" spans="7:119" x14ac:dyDescent="0.25">
      <c r="G1615"/>
      <c r="DI1615" s="4">
        <f>INDEX(Sheet2!A:A,QUOTIENT(ROW()-1,19)+2)</f>
        <v>41353</v>
      </c>
      <c r="DJ1615" s="4">
        <f>INDEX(Sheet2!C:C,QUOTIENT(ROW()-1,19)+2)</f>
        <v>42369</v>
      </c>
      <c r="DK1615" s="4" t="e">
        <f>INDEX(Sheet2!$AA$2:$AS$228,QUOTIENT(ROW()-1,19)+1,MOD(ROW()-2,19)+1)</f>
        <v>#N/A</v>
      </c>
      <c r="DL1615" t="str">
        <f>IFERROR(INDEX(Sheet2!$AU$2:$BM$228,QUOTIENT(ROW()-1,19)+1,MOD(ROW()-2,19)+1),NA())</f>
        <v/>
      </c>
      <c r="DM1615" s="4" t="e">
        <f t="shared" si="96"/>
        <v>#N/A</v>
      </c>
      <c r="DN1615" t="e">
        <f t="shared" si="97"/>
        <v>#N/A</v>
      </c>
      <c r="DO1615" t="e">
        <f t="shared" si="98"/>
        <v>#N/A</v>
      </c>
    </row>
    <row r="1616" spans="7:119" x14ac:dyDescent="0.25">
      <c r="G1616"/>
      <c r="DI1616" s="4">
        <f>INDEX(Sheet2!A:A,QUOTIENT(ROW()-1,19)+2)</f>
        <v>41353</v>
      </c>
      <c r="DJ1616" s="4">
        <f>INDEX(Sheet2!C:C,QUOTIENT(ROW()-1,19)+2)</f>
        <v>42369</v>
      </c>
      <c r="DK1616" s="4" t="e">
        <f>INDEX(Sheet2!$AA$2:$AS$228,QUOTIENT(ROW()-1,19)+1,MOD(ROW()-2,19)+1)</f>
        <v>#N/A</v>
      </c>
      <c r="DL1616" t="str">
        <f>IFERROR(INDEX(Sheet2!$AU$2:$BM$228,QUOTIENT(ROW()-1,19)+1,MOD(ROW()-2,19)+1),NA())</f>
        <v/>
      </c>
      <c r="DM1616" s="4" t="e">
        <f t="shared" si="96"/>
        <v>#N/A</v>
      </c>
      <c r="DN1616" t="e">
        <f t="shared" si="97"/>
        <v>#N/A</v>
      </c>
      <c r="DO1616" t="e">
        <f t="shared" si="98"/>
        <v>#N/A</v>
      </c>
    </row>
    <row r="1617" spans="7:119" x14ac:dyDescent="0.25">
      <c r="G1617"/>
      <c r="DI1617" s="4">
        <f>INDEX(Sheet2!A:A,QUOTIENT(ROW()-1,19)+2)</f>
        <v>41353</v>
      </c>
      <c r="DJ1617" s="4">
        <f>INDEX(Sheet2!C:C,QUOTIENT(ROW()-1,19)+2)</f>
        <v>42369</v>
      </c>
      <c r="DK1617" s="4">
        <f>INDEX(Sheet2!$AA$2:$AS$228,QUOTIENT(ROW()-1,19)+1,MOD(ROW()-2,19)+1)</f>
        <v>42369</v>
      </c>
      <c r="DL1617">
        <f>IFERROR(INDEX(Sheet2!$AU$2:$BM$228,QUOTIENT(ROW()-1,19)+1,MOD(ROW()-2,19)+1),NA())</f>
        <v>0.75</v>
      </c>
      <c r="DM1617" s="4" t="e">
        <f t="shared" si="96"/>
        <v>#N/A</v>
      </c>
      <c r="DN1617" t="e">
        <f t="shared" si="97"/>
        <v>#N/A</v>
      </c>
      <c r="DO1617" t="e">
        <f t="shared" si="98"/>
        <v>#N/A</v>
      </c>
    </row>
    <row r="1618" spans="7:119" x14ac:dyDescent="0.25">
      <c r="G1618"/>
      <c r="DI1618" s="4">
        <f>INDEX(Sheet2!A:A,QUOTIENT(ROW()-1,19)+2)</f>
        <v>41353</v>
      </c>
      <c r="DJ1618" s="4">
        <f>INDEX(Sheet2!C:C,QUOTIENT(ROW()-1,19)+2)</f>
        <v>42369</v>
      </c>
      <c r="DK1618" s="4" t="e">
        <f>INDEX(Sheet2!$AA$2:$AS$228,QUOTIENT(ROW()-1,19)+1,MOD(ROW()-2,19)+1)</f>
        <v>#N/A</v>
      </c>
      <c r="DL1618" t="str">
        <f>IFERROR(INDEX(Sheet2!$AU$2:$BM$228,QUOTIENT(ROW()-1,19)+1,MOD(ROW()-2,19)+1),NA())</f>
        <v/>
      </c>
      <c r="DM1618" s="4" t="e">
        <f t="shared" si="96"/>
        <v>#N/A</v>
      </c>
      <c r="DN1618" t="e">
        <f t="shared" si="97"/>
        <v>#N/A</v>
      </c>
      <c r="DO1618" t="e">
        <f t="shared" si="98"/>
        <v>#N/A</v>
      </c>
    </row>
    <row r="1619" spans="7:119" x14ac:dyDescent="0.25">
      <c r="G1619"/>
      <c r="DI1619" s="4">
        <f>INDEX(Sheet2!A:A,QUOTIENT(ROW()-1,19)+2)</f>
        <v>41353</v>
      </c>
      <c r="DJ1619" s="4">
        <f>INDEX(Sheet2!C:C,QUOTIENT(ROW()-1,19)+2)</f>
        <v>42369</v>
      </c>
      <c r="DK1619" s="4" t="e">
        <f>INDEX(Sheet2!$AA$2:$AS$228,QUOTIENT(ROW()-1,19)+1,MOD(ROW()-2,19)+1)</f>
        <v>#N/A</v>
      </c>
      <c r="DL1619" t="str">
        <f>IFERROR(INDEX(Sheet2!$AU$2:$BM$228,QUOTIENT(ROW()-1,19)+1,MOD(ROW()-2,19)+1),NA())</f>
        <v/>
      </c>
      <c r="DM1619" s="4" t="e">
        <f t="shared" si="96"/>
        <v>#N/A</v>
      </c>
      <c r="DN1619" t="e">
        <f t="shared" si="97"/>
        <v>#N/A</v>
      </c>
      <c r="DO1619" t="e">
        <f t="shared" si="98"/>
        <v>#N/A</v>
      </c>
    </row>
    <row r="1620" spans="7:119" x14ac:dyDescent="0.25">
      <c r="G1620"/>
      <c r="DI1620" s="4">
        <f>INDEX(Sheet2!A:A,QUOTIENT(ROW()-1,19)+2)</f>
        <v>41353</v>
      </c>
      <c r="DJ1620" s="4">
        <f>INDEX(Sheet2!C:C,QUOTIENT(ROW()-1,19)+2)</f>
        <v>42369</v>
      </c>
      <c r="DK1620" s="4" t="e">
        <f>INDEX(Sheet2!$AA$2:$AS$228,QUOTIENT(ROW()-1,19)+1,MOD(ROW()-2,19)+1)</f>
        <v>#N/A</v>
      </c>
      <c r="DL1620" t="str">
        <f>IFERROR(INDEX(Sheet2!$AU$2:$BM$228,QUOTIENT(ROW()-1,19)+1,MOD(ROW()-2,19)+1),NA())</f>
        <v/>
      </c>
      <c r="DM1620" s="4" t="e">
        <f t="shared" si="96"/>
        <v>#N/A</v>
      </c>
      <c r="DN1620" t="e">
        <f t="shared" si="97"/>
        <v>#N/A</v>
      </c>
      <c r="DO1620" t="e">
        <f t="shared" si="98"/>
        <v>#N/A</v>
      </c>
    </row>
    <row r="1621" spans="7:119" x14ac:dyDescent="0.25">
      <c r="G1621"/>
      <c r="DI1621" s="4">
        <f>INDEX(Sheet2!A:A,QUOTIENT(ROW()-1,19)+2)</f>
        <v>41353</v>
      </c>
      <c r="DJ1621" s="4">
        <f>INDEX(Sheet2!C:C,QUOTIENT(ROW()-1,19)+2)</f>
        <v>42369</v>
      </c>
      <c r="DK1621" s="4" t="e">
        <f>INDEX(Sheet2!$AA$2:$AS$228,QUOTIENT(ROW()-1,19)+1,MOD(ROW()-2,19)+1)</f>
        <v>#N/A</v>
      </c>
      <c r="DL1621" t="str">
        <f>IFERROR(INDEX(Sheet2!$AU$2:$BM$228,QUOTIENT(ROW()-1,19)+1,MOD(ROW()-2,19)+1),NA())</f>
        <v/>
      </c>
      <c r="DM1621" s="4" t="e">
        <f t="shared" si="96"/>
        <v>#N/A</v>
      </c>
      <c r="DN1621" t="e">
        <f t="shared" si="97"/>
        <v>#N/A</v>
      </c>
      <c r="DO1621" t="e">
        <f t="shared" si="98"/>
        <v>#N/A</v>
      </c>
    </row>
    <row r="1622" spans="7:119" x14ac:dyDescent="0.25">
      <c r="G1622"/>
      <c r="DI1622" s="4">
        <f>INDEX(Sheet2!A:A,QUOTIENT(ROW()-1,19)+2)</f>
        <v>41353</v>
      </c>
      <c r="DJ1622" s="4">
        <f>INDEX(Sheet2!C:C,QUOTIENT(ROW()-1,19)+2)</f>
        <v>42369</v>
      </c>
      <c r="DK1622" s="4" t="e">
        <f>INDEX(Sheet2!$AA$2:$AS$228,QUOTIENT(ROW()-1,19)+1,MOD(ROW()-2,19)+1)</f>
        <v>#N/A</v>
      </c>
      <c r="DL1622" t="str">
        <f>IFERROR(INDEX(Sheet2!$AU$2:$BM$228,QUOTIENT(ROW()-1,19)+1,MOD(ROW()-2,19)+1),NA())</f>
        <v/>
      </c>
      <c r="DM1622" s="4" t="e">
        <f t="shared" si="96"/>
        <v>#N/A</v>
      </c>
      <c r="DN1622" t="e">
        <f t="shared" si="97"/>
        <v>#N/A</v>
      </c>
      <c r="DO1622" t="e">
        <f t="shared" si="98"/>
        <v>#N/A</v>
      </c>
    </row>
    <row r="1623" spans="7:119" x14ac:dyDescent="0.25">
      <c r="G1623"/>
      <c r="DI1623" s="4">
        <f>INDEX(Sheet2!A:A,QUOTIENT(ROW()-1,19)+2)</f>
        <v>41353</v>
      </c>
      <c r="DJ1623" s="4">
        <f>INDEX(Sheet2!C:C,QUOTIENT(ROW()-1,19)+2)</f>
        <v>42369</v>
      </c>
      <c r="DK1623" s="4" t="e">
        <f>INDEX(Sheet2!$AA$2:$AS$228,QUOTIENT(ROW()-1,19)+1,MOD(ROW()-2,19)+1)</f>
        <v>#N/A</v>
      </c>
      <c r="DL1623" t="str">
        <f>IFERROR(INDEX(Sheet2!$AU$2:$BM$228,QUOTIENT(ROW()-1,19)+1,MOD(ROW()-2,19)+1),NA())</f>
        <v/>
      </c>
      <c r="DM1623" s="4" t="e">
        <f t="shared" si="96"/>
        <v>#N/A</v>
      </c>
      <c r="DN1623" t="e">
        <f t="shared" si="97"/>
        <v>#N/A</v>
      </c>
      <c r="DO1623" t="e">
        <f t="shared" si="98"/>
        <v>#N/A</v>
      </c>
    </row>
    <row r="1624" spans="7:119" x14ac:dyDescent="0.25">
      <c r="G1624"/>
      <c r="DI1624" s="4">
        <f>INDEX(Sheet2!A:A,QUOTIENT(ROW()-1,19)+2)</f>
        <v>41353</v>
      </c>
      <c r="DJ1624" s="4">
        <f>INDEX(Sheet2!C:C,QUOTIENT(ROW()-1,19)+2)</f>
        <v>42369</v>
      </c>
      <c r="DK1624" s="4" t="e">
        <f>INDEX(Sheet2!$AA$2:$AS$228,QUOTIENT(ROW()-1,19)+1,MOD(ROW()-2,19)+1)</f>
        <v>#N/A</v>
      </c>
      <c r="DL1624" t="str">
        <f>IFERROR(INDEX(Sheet2!$AU$2:$BM$228,QUOTIENT(ROW()-1,19)+1,MOD(ROW()-2,19)+1),NA())</f>
        <v/>
      </c>
      <c r="DM1624" s="4" t="e">
        <f t="shared" si="96"/>
        <v>#N/A</v>
      </c>
      <c r="DN1624" t="e">
        <f t="shared" si="97"/>
        <v>#N/A</v>
      </c>
      <c r="DO1624" t="e">
        <f t="shared" si="98"/>
        <v>#N/A</v>
      </c>
    </row>
    <row r="1625" spans="7:119" x14ac:dyDescent="0.25">
      <c r="G1625"/>
      <c r="DI1625" s="4">
        <f>INDEX(Sheet2!A:A,QUOTIENT(ROW()-1,19)+2)</f>
        <v>41353</v>
      </c>
      <c r="DJ1625" s="4">
        <f>INDEX(Sheet2!C:C,QUOTIENT(ROW()-1,19)+2)</f>
        <v>42369</v>
      </c>
      <c r="DK1625" s="4" t="e">
        <f>INDEX(Sheet2!$AA$2:$AS$228,QUOTIENT(ROW()-1,19)+1,MOD(ROW()-2,19)+1)</f>
        <v>#N/A</v>
      </c>
      <c r="DL1625" t="str">
        <f>IFERROR(INDEX(Sheet2!$AU$2:$BM$228,QUOTIENT(ROW()-1,19)+1,MOD(ROW()-2,19)+1),NA())</f>
        <v/>
      </c>
      <c r="DM1625" s="4" t="e">
        <f t="shared" si="96"/>
        <v>#N/A</v>
      </c>
      <c r="DN1625" t="e">
        <f t="shared" si="97"/>
        <v>#N/A</v>
      </c>
      <c r="DO1625" t="e">
        <f t="shared" si="98"/>
        <v>#N/A</v>
      </c>
    </row>
    <row r="1626" spans="7:119" x14ac:dyDescent="0.25">
      <c r="G1626"/>
      <c r="DI1626" s="4">
        <f>INDEX(Sheet2!A:A,QUOTIENT(ROW()-1,19)+2)</f>
        <v>41353</v>
      </c>
      <c r="DJ1626" s="4">
        <f>INDEX(Sheet2!C:C,QUOTIENT(ROW()-1,19)+2)</f>
        <v>42369</v>
      </c>
      <c r="DK1626" s="4" t="e">
        <f>INDEX(Sheet2!$AA$2:$AS$228,QUOTIENT(ROW()-1,19)+1,MOD(ROW()-2,19)+1)</f>
        <v>#N/A</v>
      </c>
      <c r="DL1626" t="str">
        <f>IFERROR(INDEX(Sheet2!$AU$2:$BM$228,QUOTIENT(ROW()-1,19)+1,MOD(ROW()-2,19)+1),NA())</f>
        <v/>
      </c>
      <c r="DM1626" s="4" t="e">
        <f t="shared" si="96"/>
        <v>#N/A</v>
      </c>
      <c r="DN1626" t="e">
        <f t="shared" si="97"/>
        <v>#N/A</v>
      </c>
      <c r="DO1626" t="e">
        <f t="shared" si="98"/>
        <v>#N/A</v>
      </c>
    </row>
    <row r="1627" spans="7:119" x14ac:dyDescent="0.25">
      <c r="G1627"/>
      <c r="DI1627" s="4">
        <f>INDEX(Sheet2!A:A,QUOTIENT(ROW()-1,19)+2)</f>
        <v>41353</v>
      </c>
      <c r="DJ1627" s="4">
        <f>INDEX(Sheet2!C:C,QUOTIENT(ROW()-1,19)+2)</f>
        <v>42369</v>
      </c>
      <c r="DK1627" s="4" t="e">
        <f>INDEX(Sheet2!$AA$2:$AS$228,QUOTIENT(ROW()-1,19)+1,MOD(ROW()-2,19)+1)</f>
        <v>#N/A</v>
      </c>
      <c r="DL1627" t="str">
        <f>IFERROR(INDEX(Sheet2!$AU$2:$BM$228,QUOTIENT(ROW()-1,19)+1,MOD(ROW()-2,19)+1),NA())</f>
        <v/>
      </c>
      <c r="DM1627" s="4" t="e">
        <f t="shared" si="96"/>
        <v>#N/A</v>
      </c>
      <c r="DN1627" t="e">
        <f t="shared" si="97"/>
        <v>#N/A</v>
      </c>
      <c r="DO1627" t="e">
        <f t="shared" si="98"/>
        <v>#N/A</v>
      </c>
    </row>
    <row r="1628" spans="7:119" x14ac:dyDescent="0.25">
      <c r="G1628"/>
      <c r="DI1628" s="4">
        <f>INDEX(Sheet2!A:A,QUOTIENT(ROW()-1,19)+2)</f>
        <v>41353</v>
      </c>
      <c r="DJ1628" s="4">
        <f>INDEX(Sheet2!C:C,QUOTIENT(ROW()-1,19)+2)</f>
        <v>42369</v>
      </c>
      <c r="DK1628" s="4" t="e">
        <f>INDEX(Sheet2!$AA$2:$AS$228,QUOTIENT(ROW()-1,19)+1,MOD(ROW()-2,19)+1)</f>
        <v>#N/A</v>
      </c>
      <c r="DL1628" t="str">
        <f>IFERROR(INDEX(Sheet2!$AU$2:$BM$228,QUOTIENT(ROW()-1,19)+1,MOD(ROW()-2,19)+1),NA())</f>
        <v/>
      </c>
      <c r="DM1628" s="4" t="e">
        <f t="shared" si="96"/>
        <v>#N/A</v>
      </c>
      <c r="DN1628" t="e">
        <f t="shared" si="97"/>
        <v>#N/A</v>
      </c>
      <c r="DO1628" t="e">
        <f t="shared" si="98"/>
        <v>#N/A</v>
      </c>
    </row>
    <row r="1629" spans="7:119" x14ac:dyDescent="0.25">
      <c r="G1629"/>
      <c r="DI1629" s="4">
        <f>INDEX(Sheet2!A:A,QUOTIENT(ROW()-1,19)+2)</f>
        <v>41353</v>
      </c>
      <c r="DJ1629" s="4">
        <f>INDEX(Sheet2!C:C,QUOTIENT(ROW()-1,19)+2)</f>
        <v>42369</v>
      </c>
      <c r="DK1629" s="4" t="e">
        <f>INDEX(Sheet2!$AA$2:$AS$228,QUOTIENT(ROW()-1,19)+1,MOD(ROW()-2,19)+1)</f>
        <v>#N/A</v>
      </c>
      <c r="DL1629" t="str">
        <f>IFERROR(INDEX(Sheet2!$AU$2:$BM$228,QUOTIENT(ROW()-1,19)+1,MOD(ROW()-2,19)+1),NA())</f>
        <v/>
      </c>
      <c r="DM1629" s="4" t="e">
        <f t="shared" si="96"/>
        <v>#N/A</v>
      </c>
      <c r="DN1629" t="e">
        <f t="shared" si="97"/>
        <v>#N/A</v>
      </c>
      <c r="DO1629" t="e">
        <f t="shared" si="98"/>
        <v>#N/A</v>
      </c>
    </row>
    <row r="1630" spans="7:119" x14ac:dyDescent="0.25">
      <c r="G1630"/>
      <c r="DI1630" s="4">
        <f>INDEX(Sheet2!A:A,QUOTIENT(ROW()-1,19)+2)</f>
        <v>41353</v>
      </c>
      <c r="DJ1630" s="4">
        <f>INDEX(Sheet2!C:C,QUOTIENT(ROW()-1,19)+2)</f>
        <v>42369</v>
      </c>
      <c r="DK1630" s="4" t="e">
        <f>INDEX(Sheet2!$AA$2:$AS$228,QUOTIENT(ROW()-1,19)+1,MOD(ROW()-2,19)+1)</f>
        <v>#N/A</v>
      </c>
      <c r="DL1630" t="str">
        <f>IFERROR(INDEX(Sheet2!$AU$2:$BM$228,QUOTIENT(ROW()-1,19)+1,MOD(ROW()-2,19)+1),NA())</f>
        <v/>
      </c>
      <c r="DM1630" s="4" t="e">
        <f t="shared" si="96"/>
        <v>#N/A</v>
      </c>
      <c r="DN1630" t="e">
        <f t="shared" si="97"/>
        <v>#N/A</v>
      </c>
      <c r="DO1630" t="e">
        <f t="shared" si="98"/>
        <v>#N/A</v>
      </c>
    </row>
    <row r="1631" spans="7:119" x14ac:dyDescent="0.25">
      <c r="G1631"/>
      <c r="DI1631" s="4">
        <f>INDEX(Sheet2!A:A,QUOTIENT(ROW()-1,19)+2)</f>
        <v>41353</v>
      </c>
      <c r="DJ1631" s="4">
        <f>INDEX(Sheet2!C:C,QUOTIENT(ROW()-1,19)+2)</f>
        <v>42369</v>
      </c>
      <c r="DK1631" s="4" t="e">
        <f>INDEX(Sheet2!$AA$2:$AS$228,QUOTIENT(ROW()-1,19)+1,MOD(ROW()-2,19)+1)</f>
        <v>#N/A</v>
      </c>
      <c r="DL1631" t="str">
        <f>IFERROR(INDEX(Sheet2!$AU$2:$BM$228,QUOTIENT(ROW()-1,19)+1,MOD(ROW()-2,19)+1),NA())</f>
        <v/>
      </c>
      <c r="DM1631" s="4" t="e">
        <f t="shared" si="96"/>
        <v>#N/A</v>
      </c>
      <c r="DN1631" t="e">
        <f t="shared" si="97"/>
        <v>#N/A</v>
      </c>
      <c r="DO1631" t="e">
        <f t="shared" si="98"/>
        <v>#N/A</v>
      </c>
    </row>
    <row r="1632" spans="7:119" x14ac:dyDescent="0.25">
      <c r="G1632"/>
      <c r="DI1632" s="4">
        <f>INDEX(Sheet2!A:A,QUOTIENT(ROW()-1,19)+2)</f>
        <v>41353</v>
      </c>
      <c r="DJ1632" s="4">
        <f>INDEX(Sheet2!C:C,QUOTIENT(ROW()-1,19)+2)</f>
        <v>42369</v>
      </c>
      <c r="DK1632" s="4" t="e">
        <f>INDEX(Sheet2!$AA$2:$AS$228,QUOTIENT(ROW()-1,19)+1,MOD(ROW()-2,19)+1)</f>
        <v>#N/A</v>
      </c>
      <c r="DL1632" t="str">
        <f>IFERROR(INDEX(Sheet2!$AU$2:$BM$228,QUOTIENT(ROW()-1,19)+1,MOD(ROW()-2,19)+1),NA())</f>
        <v/>
      </c>
      <c r="DM1632" s="4" t="e">
        <f t="shared" si="96"/>
        <v>#N/A</v>
      </c>
      <c r="DN1632" t="e">
        <f t="shared" si="97"/>
        <v>#N/A</v>
      </c>
      <c r="DO1632" t="e">
        <f t="shared" si="98"/>
        <v>#N/A</v>
      </c>
    </row>
    <row r="1633" spans="7:119" x14ac:dyDescent="0.25">
      <c r="G1633"/>
      <c r="DI1633" s="4">
        <f>INDEX(Sheet2!A:A,QUOTIENT(ROW()-1,19)+2)</f>
        <v>41353</v>
      </c>
      <c r="DJ1633" s="4">
        <f>INDEX(Sheet2!C:C,QUOTIENT(ROW()-1,19)+2)</f>
        <v>42369</v>
      </c>
      <c r="DK1633" s="4" t="e">
        <f>INDEX(Sheet2!$AA$2:$AS$228,QUOTIENT(ROW()-1,19)+1,MOD(ROW()-2,19)+1)</f>
        <v>#N/A</v>
      </c>
      <c r="DL1633" t="str">
        <f>IFERROR(INDEX(Sheet2!$AU$2:$BM$228,QUOTIENT(ROW()-1,19)+1,MOD(ROW()-2,19)+1),NA())</f>
        <v/>
      </c>
      <c r="DM1633" s="4" t="e">
        <f t="shared" si="96"/>
        <v>#N/A</v>
      </c>
      <c r="DN1633" t="e">
        <f t="shared" si="97"/>
        <v>#N/A</v>
      </c>
      <c r="DO1633" t="e">
        <f t="shared" si="98"/>
        <v>#N/A</v>
      </c>
    </row>
    <row r="1634" spans="7:119" x14ac:dyDescent="0.25">
      <c r="G1634"/>
      <c r="DI1634" s="4">
        <f>INDEX(Sheet2!A:A,QUOTIENT(ROW()-1,19)+2)</f>
        <v>41353</v>
      </c>
      <c r="DJ1634" s="4">
        <f>INDEX(Sheet2!C:C,QUOTIENT(ROW()-1,19)+2)</f>
        <v>42369</v>
      </c>
      <c r="DK1634" s="4" t="e">
        <f>INDEX(Sheet2!$AA$2:$AS$228,QUOTIENT(ROW()-1,19)+1,MOD(ROW()-2,19)+1)</f>
        <v>#N/A</v>
      </c>
      <c r="DL1634" t="str">
        <f>IFERROR(INDEX(Sheet2!$AU$2:$BM$228,QUOTIENT(ROW()-1,19)+1,MOD(ROW()-2,19)+1),NA())</f>
        <v/>
      </c>
      <c r="DM1634" s="4" t="e">
        <f t="shared" si="96"/>
        <v>#N/A</v>
      </c>
      <c r="DN1634" t="e">
        <f t="shared" si="97"/>
        <v>#N/A</v>
      </c>
      <c r="DO1634" t="e">
        <f t="shared" si="98"/>
        <v>#N/A</v>
      </c>
    </row>
    <row r="1635" spans="7:119" x14ac:dyDescent="0.25">
      <c r="G1635"/>
      <c r="DI1635" s="4">
        <f>INDEX(Sheet2!A:A,QUOTIENT(ROW()-1,19)+2)</f>
        <v>41353</v>
      </c>
      <c r="DJ1635" s="4">
        <f>INDEX(Sheet2!C:C,QUOTIENT(ROW()-1,19)+2)</f>
        <v>42369</v>
      </c>
      <c r="DK1635" s="4" t="e">
        <f>INDEX(Sheet2!$AA$2:$AS$228,QUOTIENT(ROW()-1,19)+1,MOD(ROW()-2,19)+1)</f>
        <v>#N/A</v>
      </c>
      <c r="DL1635" t="str">
        <f>IFERROR(INDEX(Sheet2!$AU$2:$BM$228,QUOTIENT(ROW()-1,19)+1,MOD(ROW()-2,19)+1),NA())</f>
        <v/>
      </c>
      <c r="DM1635" s="4" t="e">
        <f t="shared" si="96"/>
        <v>#N/A</v>
      </c>
      <c r="DN1635" t="e">
        <f t="shared" si="97"/>
        <v>#N/A</v>
      </c>
      <c r="DO1635" t="e">
        <f t="shared" si="98"/>
        <v>#N/A</v>
      </c>
    </row>
    <row r="1636" spans="7:119" x14ac:dyDescent="0.25">
      <c r="G1636"/>
      <c r="DI1636" s="4">
        <f>INDEX(Sheet2!A:A,QUOTIENT(ROW()-1,19)+2)</f>
        <v>41353</v>
      </c>
      <c r="DJ1636" s="4">
        <f>INDEX(Sheet2!C:C,QUOTIENT(ROW()-1,19)+2)</f>
        <v>42369</v>
      </c>
      <c r="DK1636" s="4">
        <f>INDEX(Sheet2!$AA$2:$AS$228,QUOTIENT(ROW()-1,19)+1,MOD(ROW()-2,19)+1)</f>
        <v>42358.962500000001</v>
      </c>
      <c r="DL1636">
        <f>IFERROR(INDEX(Sheet2!$AU$2:$BM$228,QUOTIENT(ROW()-1,19)+1,MOD(ROW()-2,19)+1),NA())</f>
        <v>1</v>
      </c>
      <c r="DM1636" s="4" t="e">
        <f t="shared" si="96"/>
        <v>#N/A</v>
      </c>
      <c r="DN1636" t="e">
        <f t="shared" si="97"/>
        <v>#N/A</v>
      </c>
      <c r="DO1636" t="e">
        <f t="shared" si="98"/>
        <v>#N/A</v>
      </c>
    </row>
    <row r="1637" spans="7:119" x14ac:dyDescent="0.25">
      <c r="G1637"/>
      <c r="DI1637" s="4">
        <f>INDEX(Sheet2!A:A,QUOTIENT(ROW()-1,19)+2)</f>
        <v>41353</v>
      </c>
      <c r="DJ1637" s="4">
        <f>INDEX(Sheet2!C:C,QUOTIENT(ROW()-1,19)+2)</f>
        <v>42369</v>
      </c>
      <c r="DK1637" s="4">
        <f>INDEX(Sheet2!$AA$2:$AS$228,QUOTIENT(ROW()-1,19)+1,MOD(ROW()-2,19)+1)</f>
        <v>42379.037500000006</v>
      </c>
      <c r="DL1637">
        <f>IFERROR(INDEX(Sheet2!$AU$2:$BM$228,QUOTIENT(ROW()-1,19)+1,MOD(ROW()-2,19)+1),NA())</f>
        <v>1</v>
      </c>
      <c r="DM1637" s="4" t="e">
        <f t="shared" si="96"/>
        <v>#N/A</v>
      </c>
      <c r="DN1637" t="e">
        <f t="shared" si="97"/>
        <v>#N/A</v>
      </c>
      <c r="DO1637" t="e">
        <f t="shared" si="98"/>
        <v>#N/A</v>
      </c>
    </row>
    <row r="1638" spans="7:119" x14ac:dyDescent="0.25">
      <c r="G1638"/>
      <c r="DI1638" s="4">
        <f>INDEX(Sheet2!A:A,QUOTIENT(ROW()-1,19)+2)</f>
        <v>41353</v>
      </c>
      <c r="DJ1638" s="4">
        <f>INDEX(Sheet2!C:C,QUOTIENT(ROW()-1,19)+2)</f>
        <v>42369</v>
      </c>
      <c r="DK1638" s="4" t="e">
        <f>INDEX(Sheet2!$AA$2:$AS$228,QUOTIENT(ROW()-1,19)+1,MOD(ROW()-2,19)+1)</f>
        <v>#N/A</v>
      </c>
      <c r="DL1638" t="str">
        <f>IFERROR(INDEX(Sheet2!$AU$2:$BM$228,QUOTIENT(ROW()-1,19)+1,MOD(ROW()-2,19)+1),NA())</f>
        <v/>
      </c>
      <c r="DM1638" s="4" t="e">
        <f t="shared" si="96"/>
        <v>#N/A</v>
      </c>
      <c r="DN1638" t="e">
        <f t="shared" si="97"/>
        <v>#N/A</v>
      </c>
      <c r="DO1638" t="e">
        <f t="shared" si="98"/>
        <v>#N/A</v>
      </c>
    </row>
    <row r="1639" spans="7:119" x14ac:dyDescent="0.25">
      <c r="G1639"/>
      <c r="DI1639" s="4">
        <f>INDEX(Sheet2!A:A,QUOTIENT(ROW()-1,19)+2)</f>
        <v>41353</v>
      </c>
      <c r="DJ1639" s="4">
        <f>INDEX(Sheet2!C:C,QUOTIENT(ROW()-1,19)+2)</f>
        <v>42369</v>
      </c>
      <c r="DK1639" s="4" t="e">
        <f>INDEX(Sheet2!$AA$2:$AS$228,QUOTIENT(ROW()-1,19)+1,MOD(ROW()-2,19)+1)</f>
        <v>#N/A</v>
      </c>
      <c r="DL1639" t="str">
        <f>IFERROR(INDEX(Sheet2!$AU$2:$BM$228,QUOTIENT(ROW()-1,19)+1,MOD(ROW()-2,19)+1),NA())</f>
        <v/>
      </c>
      <c r="DM1639" s="4" t="e">
        <f t="shared" si="96"/>
        <v>#N/A</v>
      </c>
      <c r="DN1639" t="e">
        <f t="shared" si="97"/>
        <v>#N/A</v>
      </c>
      <c r="DO1639" t="e">
        <f t="shared" si="98"/>
        <v>#N/A</v>
      </c>
    </row>
    <row r="1640" spans="7:119" x14ac:dyDescent="0.25">
      <c r="G1640"/>
      <c r="DI1640" s="4">
        <f>INDEX(Sheet2!A:A,QUOTIENT(ROW()-1,19)+2)</f>
        <v>41353</v>
      </c>
      <c r="DJ1640" s="4">
        <f>INDEX(Sheet2!C:C,QUOTIENT(ROW()-1,19)+2)</f>
        <v>42369</v>
      </c>
      <c r="DK1640" s="4" t="e">
        <f>INDEX(Sheet2!$AA$2:$AS$228,QUOTIENT(ROW()-1,19)+1,MOD(ROW()-2,19)+1)</f>
        <v>#N/A</v>
      </c>
      <c r="DL1640" t="str">
        <f>IFERROR(INDEX(Sheet2!$AU$2:$BM$228,QUOTIENT(ROW()-1,19)+1,MOD(ROW()-2,19)+1),NA())</f>
        <v/>
      </c>
      <c r="DM1640" s="4" t="e">
        <f t="shared" si="96"/>
        <v>#N/A</v>
      </c>
      <c r="DN1640" t="e">
        <f t="shared" si="97"/>
        <v>#N/A</v>
      </c>
      <c r="DO1640" t="e">
        <f t="shared" si="98"/>
        <v>#N/A</v>
      </c>
    </row>
    <row r="1641" spans="7:119" x14ac:dyDescent="0.25">
      <c r="G1641"/>
      <c r="DI1641" s="4">
        <f>INDEX(Sheet2!A:A,QUOTIENT(ROW()-1,19)+2)</f>
        <v>41353</v>
      </c>
      <c r="DJ1641" s="4">
        <f>INDEX(Sheet2!C:C,QUOTIENT(ROW()-1,19)+2)</f>
        <v>42369</v>
      </c>
      <c r="DK1641" s="4" t="e">
        <f>INDEX(Sheet2!$AA$2:$AS$228,QUOTIENT(ROW()-1,19)+1,MOD(ROW()-2,19)+1)</f>
        <v>#N/A</v>
      </c>
      <c r="DL1641" t="str">
        <f>IFERROR(INDEX(Sheet2!$AU$2:$BM$228,QUOTIENT(ROW()-1,19)+1,MOD(ROW()-2,19)+1),NA())</f>
        <v/>
      </c>
      <c r="DM1641" s="4" t="e">
        <f t="shared" si="96"/>
        <v>#N/A</v>
      </c>
      <c r="DN1641" t="e">
        <f t="shared" si="97"/>
        <v>#N/A</v>
      </c>
      <c r="DO1641" t="e">
        <f t="shared" si="98"/>
        <v>#N/A</v>
      </c>
    </row>
    <row r="1642" spans="7:119" x14ac:dyDescent="0.25">
      <c r="G1642"/>
      <c r="DI1642" s="4">
        <f>INDEX(Sheet2!A:A,QUOTIENT(ROW()-1,19)+2)</f>
        <v>41353</v>
      </c>
      <c r="DJ1642" s="4">
        <f>INDEX(Sheet2!C:C,QUOTIENT(ROW()-1,19)+2)</f>
        <v>42369</v>
      </c>
      <c r="DK1642" s="4" t="e">
        <f>INDEX(Sheet2!$AA$2:$AS$228,QUOTIENT(ROW()-1,19)+1,MOD(ROW()-2,19)+1)</f>
        <v>#N/A</v>
      </c>
      <c r="DL1642" t="str">
        <f>IFERROR(INDEX(Sheet2!$AU$2:$BM$228,QUOTIENT(ROW()-1,19)+1,MOD(ROW()-2,19)+1),NA())</f>
        <v/>
      </c>
      <c r="DM1642" s="4" t="e">
        <f t="shared" si="96"/>
        <v>#N/A</v>
      </c>
      <c r="DN1642" t="e">
        <f t="shared" si="97"/>
        <v>#N/A</v>
      </c>
      <c r="DO1642" t="e">
        <f t="shared" si="98"/>
        <v>#N/A</v>
      </c>
    </row>
    <row r="1643" spans="7:119" x14ac:dyDescent="0.25">
      <c r="G1643"/>
      <c r="DI1643" s="4">
        <f>INDEX(Sheet2!A:A,QUOTIENT(ROW()-1,19)+2)</f>
        <v>41353</v>
      </c>
      <c r="DJ1643" s="4">
        <f>INDEX(Sheet2!C:C,QUOTIENT(ROW()-1,19)+2)</f>
        <v>42369</v>
      </c>
      <c r="DK1643" s="4" t="e">
        <f>INDEX(Sheet2!$AA$2:$AS$228,QUOTIENT(ROW()-1,19)+1,MOD(ROW()-2,19)+1)</f>
        <v>#N/A</v>
      </c>
      <c r="DL1643" t="str">
        <f>IFERROR(INDEX(Sheet2!$AU$2:$BM$228,QUOTIENT(ROW()-1,19)+1,MOD(ROW()-2,19)+1),NA())</f>
        <v/>
      </c>
      <c r="DM1643" s="4" t="e">
        <f t="shared" si="96"/>
        <v>#N/A</v>
      </c>
      <c r="DN1643" t="e">
        <f t="shared" si="97"/>
        <v>#N/A</v>
      </c>
      <c r="DO1643" t="e">
        <f t="shared" si="98"/>
        <v>#N/A</v>
      </c>
    </row>
    <row r="1644" spans="7:119" x14ac:dyDescent="0.25">
      <c r="G1644"/>
      <c r="DI1644" s="4">
        <f>INDEX(Sheet2!A:A,QUOTIENT(ROW()-1,19)+2)</f>
        <v>41353</v>
      </c>
      <c r="DJ1644" s="4">
        <f>INDEX(Sheet2!C:C,QUOTIENT(ROW()-1,19)+2)</f>
        <v>42369</v>
      </c>
      <c r="DK1644" s="4" t="e">
        <f>INDEX(Sheet2!$AA$2:$AS$228,QUOTIENT(ROW()-1,19)+1,MOD(ROW()-2,19)+1)</f>
        <v>#N/A</v>
      </c>
      <c r="DL1644" t="str">
        <f>IFERROR(INDEX(Sheet2!$AU$2:$BM$228,QUOTIENT(ROW()-1,19)+1,MOD(ROW()-2,19)+1),NA())</f>
        <v/>
      </c>
      <c r="DM1644" s="4" t="e">
        <f t="shared" si="96"/>
        <v>#N/A</v>
      </c>
      <c r="DN1644" t="e">
        <f t="shared" si="97"/>
        <v>#N/A</v>
      </c>
      <c r="DO1644" t="e">
        <f t="shared" si="98"/>
        <v>#N/A</v>
      </c>
    </row>
    <row r="1645" spans="7:119" x14ac:dyDescent="0.25">
      <c r="G1645"/>
      <c r="DI1645" s="4">
        <f>INDEX(Sheet2!A:A,QUOTIENT(ROW()-1,19)+2)</f>
        <v>41353</v>
      </c>
      <c r="DJ1645" s="4">
        <f>INDEX(Sheet2!C:C,QUOTIENT(ROW()-1,19)+2)</f>
        <v>42369</v>
      </c>
      <c r="DK1645" s="4" t="e">
        <f>INDEX(Sheet2!$AA$2:$AS$228,QUOTIENT(ROW()-1,19)+1,MOD(ROW()-2,19)+1)</f>
        <v>#N/A</v>
      </c>
      <c r="DL1645" t="str">
        <f>IFERROR(INDEX(Sheet2!$AU$2:$BM$228,QUOTIENT(ROW()-1,19)+1,MOD(ROW()-2,19)+1),NA())</f>
        <v/>
      </c>
      <c r="DM1645" s="4" t="e">
        <f t="shared" si="96"/>
        <v>#N/A</v>
      </c>
      <c r="DN1645" t="e">
        <f t="shared" si="97"/>
        <v>#N/A</v>
      </c>
      <c r="DO1645" t="e">
        <f t="shared" si="98"/>
        <v>#N/A</v>
      </c>
    </row>
    <row r="1646" spans="7:119" x14ac:dyDescent="0.25">
      <c r="G1646"/>
      <c r="DI1646" s="4">
        <f>INDEX(Sheet2!A:A,QUOTIENT(ROW()-1,19)+2)</f>
        <v>41353</v>
      </c>
      <c r="DJ1646" s="4">
        <f>INDEX(Sheet2!C:C,QUOTIENT(ROW()-1,19)+2)</f>
        <v>42369</v>
      </c>
      <c r="DK1646" s="4" t="e">
        <f>INDEX(Sheet2!$AA$2:$AS$228,QUOTIENT(ROW()-1,19)+1,MOD(ROW()-2,19)+1)</f>
        <v>#N/A</v>
      </c>
      <c r="DL1646" t="str">
        <f>IFERROR(INDEX(Sheet2!$AU$2:$BM$228,QUOTIENT(ROW()-1,19)+1,MOD(ROW()-2,19)+1),NA())</f>
        <v/>
      </c>
      <c r="DM1646" s="4" t="e">
        <f t="shared" si="96"/>
        <v>#N/A</v>
      </c>
      <c r="DN1646" t="e">
        <f t="shared" si="97"/>
        <v>#N/A</v>
      </c>
      <c r="DO1646" t="e">
        <f t="shared" si="98"/>
        <v>#N/A</v>
      </c>
    </row>
    <row r="1647" spans="7:119" x14ac:dyDescent="0.25">
      <c r="G1647"/>
      <c r="DI1647" s="4">
        <f>INDEX(Sheet2!A:A,QUOTIENT(ROW()-1,19)+2)</f>
        <v>41353</v>
      </c>
      <c r="DJ1647" s="4">
        <f>INDEX(Sheet2!C:C,QUOTIENT(ROW()-1,19)+2)</f>
        <v>42369</v>
      </c>
      <c r="DK1647" s="4" t="e">
        <f>INDEX(Sheet2!$AA$2:$AS$228,QUOTIENT(ROW()-1,19)+1,MOD(ROW()-2,19)+1)</f>
        <v>#N/A</v>
      </c>
      <c r="DL1647" t="str">
        <f>IFERROR(INDEX(Sheet2!$AU$2:$BM$228,QUOTIENT(ROW()-1,19)+1,MOD(ROW()-2,19)+1),NA())</f>
        <v/>
      </c>
      <c r="DM1647" s="4" t="e">
        <f t="shared" si="96"/>
        <v>#N/A</v>
      </c>
      <c r="DN1647" t="e">
        <f t="shared" si="97"/>
        <v>#N/A</v>
      </c>
      <c r="DO1647" t="e">
        <f t="shared" si="98"/>
        <v>#N/A</v>
      </c>
    </row>
    <row r="1648" spans="7:119" x14ac:dyDescent="0.25">
      <c r="G1648"/>
      <c r="DI1648" s="4">
        <f>INDEX(Sheet2!A:A,QUOTIENT(ROW()-1,19)+2)</f>
        <v>41353</v>
      </c>
      <c r="DJ1648" s="4">
        <f>INDEX(Sheet2!C:C,QUOTIENT(ROW()-1,19)+2)</f>
        <v>42369</v>
      </c>
      <c r="DK1648" s="4" t="e">
        <f>INDEX(Sheet2!$AA$2:$AS$228,QUOTIENT(ROW()-1,19)+1,MOD(ROW()-2,19)+1)</f>
        <v>#N/A</v>
      </c>
      <c r="DL1648" t="str">
        <f>IFERROR(INDEX(Sheet2!$AU$2:$BM$228,QUOTIENT(ROW()-1,19)+1,MOD(ROW()-2,19)+1),NA())</f>
        <v/>
      </c>
      <c r="DM1648" s="4" t="e">
        <f t="shared" si="96"/>
        <v>#N/A</v>
      </c>
      <c r="DN1648" t="e">
        <f t="shared" si="97"/>
        <v>#N/A</v>
      </c>
      <c r="DO1648" t="e">
        <f t="shared" si="98"/>
        <v>#N/A</v>
      </c>
    </row>
    <row r="1649" spans="7:119" x14ac:dyDescent="0.25">
      <c r="G1649"/>
      <c r="DI1649" s="4">
        <f>INDEX(Sheet2!A:A,QUOTIENT(ROW()-1,19)+2)</f>
        <v>41353</v>
      </c>
      <c r="DJ1649" s="4">
        <f>INDEX(Sheet2!C:C,QUOTIENT(ROW()-1,19)+2)</f>
        <v>42369</v>
      </c>
      <c r="DK1649" s="4" t="e">
        <f>INDEX(Sheet2!$AA$2:$AS$228,QUOTIENT(ROW()-1,19)+1,MOD(ROW()-2,19)+1)</f>
        <v>#N/A</v>
      </c>
      <c r="DL1649" t="str">
        <f>IFERROR(INDEX(Sheet2!$AU$2:$BM$228,QUOTIENT(ROW()-1,19)+1,MOD(ROW()-2,19)+1),NA())</f>
        <v/>
      </c>
      <c r="DM1649" s="4" t="e">
        <f t="shared" si="96"/>
        <v>#N/A</v>
      </c>
      <c r="DN1649" t="e">
        <f t="shared" si="97"/>
        <v>#N/A</v>
      </c>
      <c r="DO1649" t="e">
        <f t="shared" si="98"/>
        <v>#N/A</v>
      </c>
    </row>
    <row r="1650" spans="7:119" x14ac:dyDescent="0.25">
      <c r="G1650"/>
      <c r="DI1650" s="4">
        <f>INDEX(Sheet2!A:A,QUOTIENT(ROW()-1,19)+2)</f>
        <v>41353</v>
      </c>
      <c r="DJ1650" s="4">
        <f>INDEX(Sheet2!C:C,QUOTIENT(ROW()-1,19)+2)</f>
        <v>42369</v>
      </c>
      <c r="DK1650" s="4" t="e">
        <f>INDEX(Sheet2!$AA$2:$AS$228,QUOTIENT(ROW()-1,19)+1,MOD(ROW()-2,19)+1)</f>
        <v>#N/A</v>
      </c>
      <c r="DL1650" t="str">
        <f>IFERROR(INDEX(Sheet2!$AU$2:$BM$228,QUOTIENT(ROW()-1,19)+1,MOD(ROW()-2,19)+1),NA())</f>
        <v/>
      </c>
      <c r="DM1650" s="4" t="e">
        <f t="shared" si="96"/>
        <v>#N/A</v>
      </c>
      <c r="DN1650" t="e">
        <f t="shared" si="97"/>
        <v>#N/A</v>
      </c>
      <c r="DO1650" t="e">
        <f t="shared" si="98"/>
        <v>#N/A</v>
      </c>
    </row>
    <row r="1651" spans="7:119" x14ac:dyDescent="0.25">
      <c r="G1651"/>
      <c r="DI1651" s="4">
        <f>INDEX(Sheet2!A:A,QUOTIENT(ROW()-1,19)+2)</f>
        <v>41353</v>
      </c>
      <c r="DJ1651" s="4">
        <f>INDEX(Sheet2!C:C,QUOTIENT(ROW()-1,19)+2)</f>
        <v>42369</v>
      </c>
      <c r="DK1651" s="4" t="e">
        <f>INDEX(Sheet2!$AA$2:$AS$228,QUOTIENT(ROW()-1,19)+1,MOD(ROW()-2,19)+1)</f>
        <v>#N/A</v>
      </c>
      <c r="DL1651" t="str">
        <f>IFERROR(INDEX(Sheet2!$AU$2:$BM$228,QUOTIENT(ROW()-1,19)+1,MOD(ROW()-2,19)+1),NA())</f>
        <v/>
      </c>
      <c r="DM1651" s="4" t="e">
        <f t="shared" si="96"/>
        <v>#N/A</v>
      </c>
      <c r="DN1651" t="e">
        <f t="shared" si="97"/>
        <v>#N/A</v>
      </c>
      <c r="DO1651" t="e">
        <f t="shared" si="98"/>
        <v>#N/A</v>
      </c>
    </row>
    <row r="1652" spans="7:119" x14ac:dyDescent="0.25">
      <c r="G1652"/>
      <c r="DI1652" s="4">
        <f>INDEX(Sheet2!A:A,QUOTIENT(ROW()-1,19)+2)</f>
        <v>41353</v>
      </c>
      <c r="DJ1652" s="4">
        <f>INDEX(Sheet2!C:C,QUOTIENT(ROW()-1,19)+2)</f>
        <v>42369</v>
      </c>
      <c r="DK1652" s="4" t="e">
        <f>INDEX(Sheet2!$AA$2:$AS$228,QUOTIENT(ROW()-1,19)+1,MOD(ROW()-2,19)+1)</f>
        <v>#N/A</v>
      </c>
      <c r="DL1652" t="str">
        <f>IFERROR(INDEX(Sheet2!$AU$2:$BM$228,QUOTIENT(ROW()-1,19)+1,MOD(ROW()-2,19)+1),NA())</f>
        <v/>
      </c>
      <c r="DM1652" s="4" t="e">
        <f t="shared" si="96"/>
        <v>#N/A</v>
      </c>
      <c r="DN1652" t="e">
        <f t="shared" si="97"/>
        <v>#N/A</v>
      </c>
      <c r="DO1652" t="e">
        <f t="shared" si="98"/>
        <v>#N/A</v>
      </c>
    </row>
    <row r="1653" spans="7:119" x14ac:dyDescent="0.25">
      <c r="G1653"/>
      <c r="DI1653" s="4">
        <f>INDEX(Sheet2!A:A,QUOTIENT(ROW()-1,19)+2)</f>
        <v>41353</v>
      </c>
      <c r="DJ1653" s="4">
        <f>INDEX(Sheet2!C:C,QUOTIENT(ROW()-1,19)+2)</f>
        <v>42369</v>
      </c>
      <c r="DK1653" s="4" t="e">
        <f>INDEX(Sheet2!$AA$2:$AS$228,QUOTIENT(ROW()-1,19)+1,MOD(ROW()-2,19)+1)</f>
        <v>#N/A</v>
      </c>
      <c r="DL1653" t="str">
        <f>IFERROR(INDEX(Sheet2!$AU$2:$BM$228,QUOTIENT(ROW()-1,19)+1,MOD(ROW()-2,19)+1),NA())</f>
        <v/>
      </c>
      <c r="DM1653" s="4" t="e">
        <f t="shared" si="96"/>
        <v>#N/A</v>
      </c>
      <c r="DN1653" t="e">
        <f t="shared" si="97"/>
        <v>#N/A</v>
      </c>
      <c r="DO1653" t="e">
        <f t="shared" si="98"/>
        <v>#N/A</v>
      </c>
    </row>
    <row r="1654" spans="7:119" x14ac:dyDescent="0.25">
      <c r="G1654"/>
      <c r="DI1654" s="4">
        <f>INDEX(Sheet2!A:A,QUOTIENT(ROW()-1,19)+2)</f>
        <v>41353</v>
      </c>
      <c r="DJ1654" s="4">
        <f>INDEX(Sheet2!C:C,QUOTIENT(ROW()-1,19)+2)</f>
        <v>42369</v>
      </c>
      <c r="DK1654" s="4" t="e">
        <f>INDEX(Sheet2!$AA$2:$AS$228,QUOTIENT(ROW()-1,19)+1,MOD(ROW()-2,19)+1)</f>
        <v>#N/A</v>
      </c>
      <c r="DL1654" t="str">
        <f>IFERROR(INDEX(Sheet2!$AU$2:$BM$228,QUOTIENT(ROW()-1,19)+1,MOD(ROW()-2,19)+1),NA())</f>
        <v/>
      </c>
      <c r="DM1654" s="4" t="e">
        <f t="shared" si="96"/>
        <v>#N/A</v>
      </c>
      <c r="DN1654" t="e">
        <f t="shared" si="97"/>
        <v>#N/A</v>
      </c>
      <c r="DO1654" t="e">
        <f t="shared" si="98"/>
        <v>#N/A</v>
      </c>
    </row>
    <row r="1655" spans="7:119" x14ac:dyDescent="0.25">
      <c r="G1655"/>
      <c r="DI1655" s="4">
        <f>INDEX(Sheet2!A:A,QUOTIENT(ROW()-1,19)+2)</f>
        <v>41353</v>
      </c>
      <c r="DJ1655" s="4">
        <f>INDEX(Sheet2!C:C,QUOTIENT(ROW()-1,19)+2)</f>
        <v>42369</v>
      </c>
      <c r="DK1655" s="4">
        <f>INDEX(Sheet2!$AA$2:$AS$228,QUOTIENT(ROW()-1,19)+1,MOD(ROW()-2,19)+1)</f>
        <v>42338.887499999997</v>
      </c>
      <c r="DL1655">
        <f>IFERROR(INDEX(Sheet2!$AU$2:$BM$228,QUOTIENT(ROW()-1,19)+1,MOD(ROW()-2,19)+1),NA())</f>
        <v>1.25</v>
      </c>
      <c r="DM1655" s="4" t="e">
        <f t="shared" si="96"/>
        <v>#N/A</v>
      </c>
      <c r="DN1655" t="e">
        <f t="shared" si="97"/>
        <v>#N/A</v>
      </c>
      <c r="DO1655" t="e">
        <f t="shared" si="98"/>
        <v>#N/A</v>
      </c>
    </row>
    <row r="1656" spans="7:119" x14ac:dyDescent="0.25">
      <c r="G1656"/>
      <c r="DI1656" s="4">
        <f>INDEX(Sheet2!A:A,QUOTIENT(ROW()-1,19)+2)</f>
        <v>41353</v>
      </c>
      <c r="DJ1656" s="4">
        <f>INDEX(Sheet2!C:C,QUOTIENT(ROW()-1,19)+2)</f>
        <v>42369</v>
      </c>
      <c r="DK1656" s="4">
        <f>INDEX(Sheet2!$AA$2:$AS$228,QUOTIENT(ROW()-1,19)+1,MOD(ROW()-2,19)+1)</f>
        <v>42358.962500000001</v>
      </c>
      <c r="DL1656">
        <f>IFERROR(INDEX(Sheet2!$AU$2:$BM$228,QUOTIENT(ROW()-1,19)+1,MOD(ROW()-2,19)+1),NA())</f>
        <v>1.25</v>
      </c>
      <c r="DM1656" s="4" t="e">
        <f t="shared" si="96"/>
        <v>#N/A</v>
      </c>
      <c r="DN1656" t="e">
        <f t="shared" si="97"/>
        <v>#N/A</v>
      </c>
      <c r="DO1656" t="e">
        <f t="shared" si="98"/>
        <v>#N/A</v>
      </c>
    </row>
    <row r="1657" spans="7:119" x14ac:dyDescent="0.25">
      <c r="G1657"/>
      <c r="DI1657" s="4">
        <f>INDEX(Sheet2!A:A,QUOTIENT(ROW()-1,19)+2)</f>
        <v>41353</v>
      </c>
      <c r="DJ1657" s="4">
        <f>INDEX(Sheet2!C:C,QUOTIENT(ROW()-1,19)+2)</f>
        <v>42369</v>
      </c>
      <c r="DK1657" s="4">
        <f>INDEX(Sheet2!$AA$2:$AS$228,QUOTIENT(ROW()-1,19)+1,MOD(ROW()-2,19)+1)</f>
        <v>42379.037499999999</v>
      </c>
      <c r="DL1657">
        <f>IFERROR(INDEX(Sheet2!$AU$2:$BM$228,QUOTIENT(ROW()-1,19)+1,MOD(ROW()-2,19)+1),NA())</f>
        <v>1.25</v>
      </c>
      <c r="DM1657" s="4" t="e">
        <f t="shared" si="96"/>
        <v>#N/A</v>
      </c>
      <c r="DN1657" t="e">
        <f t="shared" si="97"/>
        <v>#N/A</v>
      </c>
      <c r="DO1657" t="e">
        <f t="shared" si="98"/>
        <v>#N/A</v>
      </c>
    </row>
    <row r="1658" spans="7:119" x14ac:dyDescent="0.25">
      <c r="G1658"/>
      <c r="DI1658" s="4">
        <f>INDEX(Sheet2!A:A,QUOTIENT(ROW()-1,19)+2)</f>
        <v>41353</v>
      </c>
      <c r="DJ1658" s="4">
        <f>INDEX(Sheet2!C:C,QUOTIENT(ROW()-1,19)+2)</f>
        <v>42369</v>
      </c>
      <c r="DK1658" s="4">
        <f>INDEX(Sheet2!$AA$2:$AS$228,QUOTIENT(ROW()-1,19)+1,MOD(ROW()-2,19)+1)</f>
        <v>42399.112500000003</v>
      </c>
      <c r="DL1658">
        <f>IFERROR(INDEX(Sheet2!$AU$2:$BM$228,QUOTIENT(ROW()-1,19)+1,MOD(ROW()-2,19)+1),NA())</f>
        <v>1.25</v>
      </c>
      <c r="DM1658" s="4" t="e">
        <f t="shared" si="96"/>
        <v>#N/A</v>
      </c>
      <c r="DN1658" t="e">
        <f t="shared" si="97"/>
        <v>#N/A</v>
      </c>
      <c r="DO1658" t="e">
        <f t="shared" si="98"/>
        <v>#N/A</v>
      </c>
    </row>
    <row r="1659" spans="7:119" x14ac:dyDescent="0.25">
      <c r="G1659"/>
      <c r="DI1659" s="4">
        <f>INDEX(Sheet2!A:A,QUOTIENT(ROW()-1,19)+2)</f>
        <v>41353</v>
      </c>
      <c r="DJ1659" s="4">
        <f>INDEX(Sheet2!C:C,QUOTIENT(ROW()-1,19)+2)</f>
        <v>42369</v>
      </c>
      <c r="DK1659" s="4" t="e">
        <f>INDEX(Sheet2!$AA$2:$AS$228,QUOTIENT(ROW()-1,19)+1,MOD(ROW()-2,19)+1)</f>
        <v>#N/A</v>
      </c>
      <c r="DL1659" t="str">
        <f>IFERROR(INDEX(Sheet2!$AU$2:$BM$228,QUOTIENT(ROW()-1,19)+1,MOD(ROW()-2,19)+1),NA())</f>
        <v/>
      </c>
      <c r="DM1659" s="4" t="e">
        <f t="shared" si="96"/>
        <v>#N/A</v>
      </c>
      <c r="DN1659" t="e">
        <f t="shared" si="97"/>
        <v>#N/A</v>
      </c>
      <c r="DO1659" t="e">
        <f t="shared" si="98"/>
        <v>#N/A</v>
      </c>
    </row>
    <row r="1660" spans="7:119" x14ac:dyDescent="0.25">
      <c r="G1660"/>
      <c r="DI1660" s="4">
        <f>INDEX(Sheet2!A:A,QUOTIENT(ROW()-1,19)+2)</f>
        <v>41353</v>
      </c>
      <c r="DJ1660" s="4">
        <f>INDEX(Sheet2!C:C,QUOTIENT(ROW()-1,19)+2)</f>
        <v>42369</v>
      </c>
      <c r="DK1660" s="4" t="e">
        <f>INDEX(Sheet2!$AA$2:$AS$228,QUOTIENT(ROW()-1,19)+1,MOD(ROW()-2,19)+1)</f>
        <v>#N/A</v>
      </c>
      <c r="DL1660" t="str">
        <f>IFERROR(INDEX(Sheet2!$AU$2:$BM$228,QUOTIENT(ROW()-1,19)+1,MOD(ROW()-2,19)+1),NA())</f>
        <v/>
      </c>
      <c r="DM1660" s="4" t="e">
        <f t="shared" si="96"/>
        <v>#N/A</v>
      </c>
      <c r="DN1660" t="e">
        <f t="shared" si="97"/>
        <v>#N/A</v>
      </c>
      <c r="DO1660" t="e">
        <f t="shared" si="98"/>
        <v>#N/A</v>
      </c>
    </row>
    <row r="1661" spans="7:119" x14ac:dyDescent="0.25">
      <c r="G1661"/>
      <c r="DI1661" s="4">
        <f>INDEX(Sheet2!A:A,QUOTIENT(ROW()-1,19)+2)</f>
        <v>41353</v>
      </c>
      <c r="DJ1661" s="4">
        <f>INDEX(Sheet2!C:C,QUOTIENT(ROW()-1,19)+2)</f>
        <v>42369</v>
      </c>
      <c r="DK1661" s="4" t="e">
        <f>INDEX(Sheet2!$AA$2:$AS$228,QUOTIENT(ROW()-1,19)+1,MOD(ROW()-2,19)+1)</f>
        <v>#N/A</v>
      </c>
      <c r="DL1661" t="str">
        <f>IFERROR(INDEX(Sheet2!$AU$2:$BM$228,QUOTIENT(ROW()-1,19)+1,MOD(ROW()-2,19)+1),NA())</f>
        <v/>
      </c>
      <c r="DM1661" s="4" t="e">
        <f t="shared" si="96"/>
        <v>#N/A</v>
      </c>
      <c r="DN1661" t="e">
        <f t="shared" si="97"/>
        <v>#N/A</v>
      </c>
      <c r="DO1661" t="e">
        <f t="shared" si="98"/>
        <v>#N/A</v>
      </c>
    </row>
    <row r="1662" spans="7:119" x14ac:dyDescent="0.25">
      <c r="G1662"/>
      <c r="DI1662" s="4">
        <f>INDEX(Sheet2!A:A,QUOTIENT(ROW()-1,19)+2)</f>
        <v>41353</v>
      </c>
      <c r="DJ1662" s="4">
        <f>INDEX(Sheet2!C:C,QUOTIENT(ROW()-1,19)+2)</f>
        <v>42369</v>
      </c>
      <c r="DK1662" s="4" t="e">
        <f>INDEX(Sheet2!$AA$2:$AS$228,QUOTIENT(ROW()-1,19)+1,MOD(ROW()-2,19)+1)</f>
        <v>#N/A</v>
      </c>
      <c r="DL1662" t="str">
        <f>IFERROR(INDEX(Sheet2!$AU$2:$BM$228,QUOTIENT(ROW()-1,19)+1,MOD(ROW()-2,19)+1),NA())</f>
        <v/>
      </c>
      <c r="DM1662" s="4" t="e">
        <f t="shared" si="96"/>
        <v>#N/A</v>
      </c>
      <c r="DN1662" t="e">
        <f t="shared" si="97"/>
        <v>#N/A</v>
      </c>
      <c r="DO1662" t="e">
        <f t="shared" si="98"/>
        <v>#N/A</v>
      </c>
    </row>
    <row r="1663" spans="7:119" x14ac:dyDescent="0.25">
      <c r="G1663"/>
      <c r="DI1663" s="4">
        <f>INDEX(Sheet2!A:A,QUOTIENT(ROW()-1,19)+2)</f>
        <v>41353</v>
      </c>
      <c r="DJ1663" s="4">
        <f>INDEX(Sheet2!C:C,QUOTIENT(ROW()-1,19)+2)</f>
        <v>42369</v>
      </c>
      <c r="DK1663" s="4" t="e">
        <f>INDEX(Sheet2!$AA$2:$AS$228,QUOTIENT(ROW()-1,19)+1,MOD(ROW()-2,19)+1)</f>
        <v>#N/A</v>
      </c>
      <c r="DL1663" t="str">
        <f>IFERROR(INDEX(Sheet2!$AU$2:$BM$228,QUOTIENT(ROW()-1,19)+1,MOD(ROW()-2,19)+1),NA())</f>
        <v/>
      </c>
      <c r="DM1663" s="4" t="e">
        <f t="shared" si="96"/>
        <v>#N/A</v>
      </c>
      <c r="DN1663" t="e">
        <f t="shared" si="97"/>
        <v>#N/A</v>
      </c>
      <c r="DO1663" t="e">
        <f t="shared" si="98"/>
        <v>#N/A</v>
      </c>
    </row>
    <row r="1664" spans="7:119" x14ac:dyDescent="0.25">
      <c r="G1664"/>
      <c r="DI1664" s="4">
        <f>INDEX(Sheet2!A:A,QUOTIENT(ROW()-1,19)+2)</f>
        <v>41353</v>
      </c>
      <c r="DJ1664" s="4">
        <f>INDEX(Sheet2!C:C,QUOTIENT(ROW()-1,19)+2)</f>
        <v>42369</v>
      </c>
      <c r="DK1664" s="4" t="e">
        <f>INDEX(Sheet2!$AA$2:$AS$228,QUOTIENT(ROW()-1,19)+1,MOD(ROW()-2,19)+1)</f>
        <v>#N/A</v>
      </c>
      <c r="DL1664" t="str">
        <f>IFERROR(INDEX(Sheet2!$AU$2:$BM$228,QUOTIENT(ROW()-1,19)+1,MOD(ROW()-2,19)+1),NA())</f>
        <v/>
      </c>
      <c r="DM1664" s="4" t="e">
        <f t="shared" si="96"/>
        <v>#N/A</v>
      </c>
      <c r="DN1664" t="e">
        <f t="shared" si="97"/>
        <v>#N/A</v>
      </c>
      <c r="DO1664" t="e">
        <f t="shared" si="98"/>
        <v>#N/A</v>
      </c>
    </row>
    <row r="1665" spans="7:119" x14ac:dyDescent="0.25">
      <c r="G1665"/>
      <c r="DI1665" s="4">
        <f>INDEX(Sheet2!A:A,QUOTIENT(ROW()-1,19)+2)</f>
        <v>41353</v>
      </c>
      <c r="DJ1665" s="4">
        <f>INDEX(Sheet2!C:C,QUOTIENT(ROW()-1,19)+2)</f>
        <v>42369</v>
      </c>
      <c r="DK1665" s="4" t="e">
        <f>INDEX(Sheet2!$AA$2:$AS$228,QUOTIENT(ROW()-1,19)+1,MOD(ROW()-2,19)+1)</f>
        <v>#N/A</v>
      </c>
      <c r="DL1665" t="str">
        <f>IFERROR(INDEX(Sheet2!$AU$2:$BM$228,QUOTIENT(ROW()-1,19)+1,MOD(ROW()-2,19)+1),NA())</f>
        <v/>
      </c>
      <c r="DM1665" s="4" t="e">
        <f t="shared" si="96"/>
        <v>#N/A</v>
      </c>
      <c r="DN1665" t="e">
        <f t="shared" si="97"/>
        <v>#N/A</v>
      </c>
      <c r="DO1665" t="e">
        <f t="shared" si="98"/>
        <v>#N/A</v>
      </c>
    </row>
    <row r="1666" spans="7:119" x14ac:dyDescent="0.25">
      <c r="G1666"/>
      <c r="DI1666" s="4">
        <f>INDEX(Sheet2!A:A,QUOTIENT(ROW()-1,19)+2)</f>
        <v>41353</v>
      </c>
      <c r="DJ1666" s="4">
        <f>INDEX(Sheet2!C:C,QUOTIENT(ROW()-1,19)+2)</f>
        <v>42369</v>
      </c>
      <c r="DK1666" s="4" t="e">
        <f>INDEX(Sheet2!$AA$2:$AS$228,QUOTIENT(ROW()-1,19)+1,MOD(ROW()-2,19)+1)</f>
        <v>#N/A</v>
      </c>
      <c r="DL1666" t="str">
        <f>IFERROR(INDEX(Sheet2!$AU$2:$BM$228,QUOTIENT(ROW()-1,19)+1,MOD(ROW()-2,19)+1),NA())</f>
        <v/>
      </c>
      <c r="DM1666" s="4" t="e">
        <f t="shared" ref="DM1666:DM1729" si="99">+IF($C$2=$DI1666,DK1666,NA())</f>
        <v>#N/A</v>
      </c>
      <c r="DN1666" t="e">
        <f t="shared" ref="DN1666:DN1729" si="100">+IF($C$2=$DI1666,DL1666,NA())</f>
        <v>#N/A</v>
      </c>
      <c r="DO1666" t="e">
        <f t="shared" si="98"/>
        <v>#N/A</v>
      </c>
    </row>
    <row r="1667" spans="7:119" x14ac:dyDescent="0.25">
      <c r="G1667"/>
      <c r="DI1667" s="4">
        <f>INDEX(Sheet2!A:A,QUOTIENT(ROW()-1,19)+2)</f>
        <v>41353</v>
      </c>
      <c r="DJ1667" s="4">
        <f>INDEX(Sheet2!C:C,QUOTIENT(ROW()-1,19)+2)</f>
        <v>42369</v>
      </c>
      <c r="DK1667" s="4" t="e">
        <f>INDEX(Sheet2!$AA$2:$AS$228,QUOTIENT(ROW()-1,19)+1,MOD(ROW()-2,19)+1)</f>
        <v>#N/A</v>
      </c>
      <c r="DL1667" t="str">
        <f>IFERROR(INDEX(Sheet2!$AU$2:$BM$228,QUOTIENT(ROW()-1,19)+1,MOD(ROW()-2,19)+1),NA())</f>
        <v/>
      </c>
      <c r="DM1667" s="4" t="e">
        <f t="shared" si="99"/>
        <v>#N/A</v>
      </c>
      <c r="DN1667" t="e">
        <f t="shared" si="100"/>
        <v>#N/A</v>
      </c>
      <c r="DO1667" t="e">
        <f t="shared" ref="DO1667:DO1730" si="101">IF(DN1667="",NA(),DN1667)</f>
        <v>#N/A</v>
      </c>
    </row>
    <row r="1668" spans="7:119" x14ac:dyDescent="0.25">
      <c r="G1668"/>
      <c r="DI1668" s="4">
        <f>INDEX(Sheet2!A:A,QUOTIENT(ROW()-1,19)+2)</f>
        <v>41353</v>
      </c>
      <c r="DJ1668" s="4">
        <f>INDEX(Sheet2!C:C,QUOTIENT(ROW()-1,19)+2)</f>
        <v>42369</v>
      </c>
      <c r="DK1668" s="4" t="e">
        <f>INDEX(Sheet2!$AA$2:$AS$228,QUOTIENT(ROW()-1,19)+1,MOD(ROW()-2,19)+1)</f>
        <v>#N/A</v>
      </c>
      <c r="DL1668" t="str">
        <f>IFERROR(INDEX(Sheet2!$AU$2:$BM$228,QUOTIENT(ROW()-1,19)+1,MOD(ROW()-2,19)+1),NA())</f>
        <v/>
      </c>
      <c r="DM1668" s="4" t="e">
        <f t="shared" si="99"/>
        <v>#N/A</v>
      </c>
      <c r="DN1668" t="e">
        <f t="shared" si="100"/>
        <v>#N/A</v>
      </c>
      <c r="DO1668" t="e">
        <f t="shared" si="101"/>
        <v>#N/A</v>
      </c>
    </row>
    <row r="1669" spans="7:119" x14ac:dyDescent="0.25">
      <c r="G1669"/>
      <c r="DI1669" s="4">
        <f>INDEX(Sheet2!A:A,QUOTIENT(ROW()-1,19)+2)</f>
        <v>41353</v>
      </c>
      <c r="DJ1669" s="4">
        <f>INDEX(Sheet2!C:C,QUOTIENT(ROW()-1,19)+2)</f>
        <v>42369</v>
      </c>
      <c r="DK1669" s="4" t="e">
        <f>INDEX(Sheet2!$AA$2:$AS$228,QUOTIENT(ROW()-1,19)+1,MOD(ROW()-2,19)+1)</f>
        <v>#N/A</v>
      </c>
      <c r="DL1669" t="str">
        <f>IFERROR(INDEX(Sheet2!$AU$2:$BM$228,QUOTIENT(ROW()-1,19)+1,MOD(ROW()-2,19)+1),NA())</f>
        <v/>
      </c>
      <c r="DM1669" s="4" t="e">
        <f t="shared" si="99"/>
        <v>#N/A</v>
      </c>
      <c r="DN1669" t="e">
        <f t="shared" si="100"/>
        <v>#N/A</v>
      </c>
      <c r="DO1669" t="e">
        <f t="shared" si="101"/>
        <v>#N/A</v>
      </c>
    </row>
    <row r="1670" spans="7:119" x14ac:dyDescent="0.25">
      <c r="G1670"/>
      <c r="DI1670" s="4">
        <f>INDEX(Sheet2!A:A,QUOTIENT(ROW()-1,19)+2)</f>
        <v>41353</v>
      </c>
      <c r="DJ1670" s="4">
        <f>INDEX(Sheet2!C:C,QUOTIENT(ROW()-1,19)+2)</f>
        <v>42369</v>
      </c>
      <c r="DK1670" s="4" t="e">
        <f>INDEX(Sheet2!$AA$2:$AS$228,QUOTIENT(ROW()-1,19)+1,MOD(ROW()-2,19)+1)</f>
        <v>#N/A</v>
      </c>
      <c r="DL1670" t="str">
        <f>IFERROR(INDEX(Sheet2!$AU$2:$BM$228,QUOTIENT(ROW()-1,19)+1,MOD(ROW()-2,19)+1),NA())</f>
        <v/>
      </c>
      <c r="DM1670" s="4" t="e">
        <f t="shared" si="99"/>
        <v>#N/A</v>
      </c>
      <c r="DN1670" t="e">
        <f t="shared" si="100"/>
        <v>#N/A</v>
      </c>
      <c r="DO1670" t="e">
        <f t="shared" si="101"/>
        <v>#N/A</v>
      </c>
    </row>
    <row r="1671" spans="7:119" x14ac:dyDescent="0.25">
      <c r="G1671"/>
      <c r="DI1671" s="4">
        <f>INDEX(Sheet2!A:A,QUOTIENT(ROW()-1,19)+2)</f>
        <v>41353</v>
      </c>
      <c r="DJ1671" s="4">
        <f>INDEX(Sheet2!C:C,QUOTIENT(ROW()-1,19)+2)</f>
        <v>42369</v>
      </c>
      <c r="DK1671" s="4" t="e">
        <f>INDEX(Sheet2!$AA$2:$AS$228,QUOTIENT(ROW()-1,19)+1,MOD(ROW()-2,19)+1)</f>
        <v>#N/A</v>
      </c>
      <c r="DL1671" t="str">
        <f>IFERROR(INDEX(Sheet2!$AU$2:$BM$228,QUOTIENT(ROW()-1,19)+1,MOD(ROW()-2,19)+1),NA())</f>
        <v/>
      </c>
      <c r="DM1671" s="4" t="e">
        <f t="shared" si="99"/>
        <v>#N/A</v>
      </c>
      <c r="DN1671" t="e">
        <f t="shared" si="100"/>
        <v>#N/A</v>
      </c>
      <c r="DO1671" t="e">
        <f t="shared" si="101"/>
        <v>#N/A</v>
      </c>
    </row>
    <row r="1672" spans="7:119" x14ac:dyDescent="0.25">
      <c r="G1672"/>
      <c r="DI1672" s="4">
        <f>INDEX(Sheet2!A:A,QUOTIENT(ROW()-1,19)+2)</f>
        <v>41353</v>
      </c>
      <c r="DJ1672" s="4">
        <f>INDEX(Sheet2!C:C,QUOTIENT(ROW()-1,19)+2)</f>
        <v>42369</v>
      </c>
      <c r="DK1672" s="4" t="e">
        <f>INDEX(Sheet2!$AA$2:$AS$228,QUOTIENT(ROW()-1,19)+1,MOD(ROW()-2,19)+1)</f>
        <v>#N/A</v>
      </c>
      <c r="DL1672" t="str">
        <f>IFERROR(INDEX(Sheet2!$AU$2:$BM$228,QUOTIENT(ROW()-1,19)+1,MOD(ROW()-2,19)+1),NA())</f>
        <v/>
      </c>
      <c r="DM1672" s="4" t="e">
        <f t="shared" si="99"/>
        <v>#N/A</v>
      </c>
      <c r="DN1672" t="e">
        <f t="shared" si="100"/>
        <v>#N/A</v>
      </c>
      <c r="DO1672" t="e">
        <f t="shared" si="101"/>
        <v>#N/A</v>
      </c>
    </row>
    <row r="1673" spans="7:119" x14ac:dyDescent="0.25">
      <c r="G1673"/>
      <c r="DI1673" s="4">
        <f>INDEX(Sheet2!A:A,QUOTIENT(ROW()-1,19)+2)</f>
        <v>41353</v>
      </c>
      <c r="DJ1673" s="4">
        <f>INDEX(Sheet2!C:C,QUOTIENT(ROW()-1,19)+2)</f>
        <v>42369</v>
      </c>
      <c r="DK1673" s="4" t="e">
        <f>INDEX(Sheet2!$AA$2:$AS$228,QUOTIENT(ROW()-1,19)+1,MOD(ROW()-2,19)+1)</f>
        <v>#N/A</v>
      </c>
      <c r="DL1673" t="str">
        <f>IFERROR(INDEX(Sheet2!$AU$2:$BM$228,QUOTIENT(ROW()-1,19)+1,MOD(ROW()-2,19)+1),NA())</f>
        <v/>
      </c>
      <c r="DM1673" s="4" t="e">
        <f t="shared" si="99"/>
        <v>#N/A</v>
      </c>
      <c r="DN1673" t="e">
        <f t="shared" si="100"/>
        <v>#N/A</v>
      </c>
      <c r="DO1673" t="e">
        <f t="shared" si="101"/>
        <v>#N/A</v>
      </c>
    </row>
    <row r="1674" spans="7:119" x14ac:dyDescent="0.25">
      <c r="G1674"/>
      <c r="DI1674" s="4">
        <f>INDEX(Sheet2!A:A,QUOTIENT(ROW()-1,19)+2)</f>
        <v>41353</v>
      </c>
      <c r="DJ1674" s="4">
        <f>INDEX(Sheet2!C:C,QUOTIENT(ROW()-1,19)+2)</f>
        <v>42369</v>
      </c>
      <c r="DK1674" s="4">
        <f>INDEX(Sheet2!$AA$2:$AS$228,QUOTIENT(ROW()-1,19)+1,MOD(ROW()-2,19)+1)</f>
        <v>42369</v>
      </c>
      <c r="DL1674">
        <f>IFERROR(INDEX(Sheet2!$AU$2:$BM$228,QUOTIENT(ROW()-1,19)+1,MOD(ROW()-2,19)+1),NA())</f>
        <v>2</v>
      </c>
      <c r="DM1674" s="4" t="e">
        <f t="shared" si="99"/>
        <v>#N/A</v>
      </c>
      <c r="DN1674" t="e">
        <f t="shared" si="100"/>
        <v>#N/A</v>
      </c>
      <c r="DO1674" t="e">
        <f t="shared" si="101"/>
        <v>#N/A</v>
      </c>
    </row>
    <row r="1675" spans="7:119" x14ac:dyDescent="0.25">
      <c r="G1675"/>
      <c r="DI1675" s="4">
        <f>INDEX(Sheet2!A:A,QUOTIENT(ROW()-1,19)+2)</f>
        <v>41353</v>
      </c>
      <c r="DJ1675" s="4">
        <f>INDEX(Sheet2!C:C,QUOTIENT(ROW()-1,19)+2)</f>
        <v>42369</v>
      </c>
      <c r="DK1675" s="4" t="e">
        <f>INDEX(Sheet2!$AA$2:$AS$228,QUOTIENT(ROW()-1,19)+1,MOD(ROW()-2,19)+1)</f>
        <v>#N/A</v>
      </c>
      <c r="DL1675" t="str">
        <f>IFERROR(INDEX(Sheet2!$AU$2:$BM$228,QUOTIENT(ROW()-1,19)+1,MOD(ROW()-2,19)+1),NA())</f>
        <v/>
      </c>
      <c r="DM1675" s="4" t="e">
        <f t="shared" si="99"/>
        <v>#N/A</v>
      </c>
      <c r="DN1675" t="e">
        <f t="shared" si="100"/>
        <v>#N/A</v>
      </c>
      <c r="DO1675" t="e">
        <f t="shared" si="101"/>
        <v>#N/A</v>
      </c>
    </row>
    <row r="1676" spans="7:119" x14ac:dyDescent="0.25">
      <c r="G1676"/>
      <c r="DI1676" s="4">
        <f>INDEX(Sheet2!A:A,QUOTIENT(ROW()-1,19)+2)</f>
        <v>41353</v>
      </c>
      <c r="DJ1676" s="4">
        <f>INDEX(Sheet2!C:C,QUOTIENT(ROW()-1,19)+2)</f>
        <v>42369</v>
      </c>
      <c r="DK1676" s="4" t="e">
        <f>INDEX(Sheet2!$AA$2:$AS$228,QUOTIENT(ROW()-1,19)+1,MOD(ROW()-2,19)+1)</f>
        <v>#N/A</v>
      </c>
      <c r="DL1676" t="str">
        <f>IFERROR(INDEX(Sheet2!$AU$2:$BM$228,QUOTIENT(ROW()-1,19)+1,MOD(ROW()-2,19)+1),NA())</f>
        <v/>
      </c>
      <c r="DM1676" s="4" t="e">
        <f t="shared" si="99"/>
        <v>#N/A</v>
      </c>
      <c r="DN1676" t="e">
        <f t="shared" si="100"/>
        <v>#N/A</v>
      </c>
      <c r="DO1676" t="e">
        <f t="shared" si="101"/>
        <v>#N/A</v>
      </c>
    </row>
    <row r="1677" spans="7:119" x14ac:dyDescent="0.25">
      <c r="G1677"/>
      <c r="DI1677" s="4">
        <f>INDEX(Sheet2!A:A,QUOTIENT(ROW()-1,19)+2)</f>
        <v>41353</v>
      </c>
      <c r="DJ1677" s="4">
        <f>INDEX(Sheet2!C:C,QUOTIENT(ROW()-1,19)+2)</f>
        <v>42369</v>
      </c>
      <c r="DK1677" s="4" t="e">
        <f>INDEX(Sheet2!$AA$2:$AS$228,QUOTIENT(ROW()-1,19)+1,MOD(ROW()-2,19)+1)</f>
        <v>#N/A</v>
      </c>
      <c r="DL1677" t="str">
        <f>IFERROR(INDEX(Sheet2!$AU$2:$BM$228,QUOTIENT(ROW()-1,19)+1,MOD(ROW()-2,19)+1),NA())</f>
        <v/>
      </c>
      <c r="DM1677" s="4" t="e">
        <f t="shared" si="99"/>
        <v>#N/A</v>
      </c>
      <c r="DN1677" t="e">
        <f t="shared" si="100"/>
        <v>#N/A</v>
      </c>
      <c r="DO1677" t="e">
        <f t="shared" si="101"/>
        <v>#N/A</v>
      </c>
    </row>
    <row r="1678" spans="7:119" x14ac:dyDescent="0.25">
      <c r="G1678"/>
      <c r="DI1678" s="4">
        <f>INDEX(Sheet2!A:A,QUOTIENT(ROW()-1,19)+2)</f>
        <v>41353</v>
      </c>
      <c r="DJ1678" s="4">
        <f>INDEX(Sheet2!C:C,QUOTIENT(ROW()-1,19)+2)</f>
        <v>42369</v>
      </c>
      <c r="DK1678" s="4" t="e">
        <f>INDEX(Sheet2!$AA$2:$AS$228,QUOTIENT(ROW()-1,19)+1,MOD(ROW()-2,19)+1)</f>
        <v>#N/A</v>
      </c>
      <c r="DL1678" t="str">
        <f>IFERROR(INDEX(Sheet2!$AU$2:$BM$228,QUOTIENT(ROW()-1,19)+1,MOD(ROW()-2,19)+1),NA())</f>
        <v/>
      </c>
      <c r="DM1678" s="4" t="e">
        <f t="shared" si="99"/>
        <v>#N/A</v>
      </c>
      <c r="DN1678" t="e">
        <f t="shared" si="100"/>
        <v>#N/A</v>
      </c>
      <c r="DO1678" t="e">
        <f t="shared" si="101"/>
        <v>#N/A</v>
      </c>
    </row>
    <row r="1679" spans="7:119" x14ac:dyDescent="0.25">
      <c r="G1679"/>
      <c r="DI1679" s="4">
        <f>INDEX(Sheet2!A:A,QUOTIENT(ROW()-1,19)+2)</f>
        <v>41353</v>
      </c>
      <c r="DJ1679" s="4">
        <f>INDEX(Sheet2!C:C,QUOTIENT(ROW()-1,19)+2)</f>
        <v>42369</v>
      </c>
      <c r="DK1679" s="4" t="e">
        <f>INDEX(Sheet2!$AA$2:$AS$228,QUOTIENT(ROW()-1,19)+1,MOD(ROW()-2,19)+1)</f>
        <v>#N/A</v>
      </c>
      <c r="DL1679" t="str">
        <f>IFERROR(INDEX(Sheet2!$AU$2:$BM$228,QUOTIENT(ROW()-1,19)+1,MOD(ROW()-2,19)+1),NA())</f>
        <v/>
      </c>
      <c r="DM1679" s="4" t="e">
        <f t="shared" si="99"/>
        <v>#N/A</v>
      </c>
      <c r="DN1679" t="e">
        <f t="shared" si="100"/>
        <v>#N/A</v>
      </c>
      <c r="DO1679" t="e">
        <f t="shared" si="101"/>
        <v>#N/A</v>
      </c>
    </row>
    <row r="1680" spans="7:119" x14ac:dyDescent="0.25">
      <c r="G1680"/>
      <c r="DI1680" s="4">
        <f>INDEX(Sheet2!A:A,QUOTIENT(ROW()-1,19)+2)</f>
        <v>41353</v>
      </c>
      <c r="DJ1680" s="4">
        <f>INDEX(Sheet2!C:C,QUOTIENT(ROW()-1,19)+2)</f>
        <v>42369</v>
      </c>
      <c r="DK1680" s="4" t="e">
        <f>INDEX(Sheet2!$AA$2:$AS$228,QUOTIENT(ROW()-1,19)+1,MOD(ROW()-2,19)+1)</f>
        <v>#N/A</v>
      </c>
      <c r="DL1680" t="str">
        <f>IFERROR(INDEX(Sheet2!$AU$2:$BM$228,QUOTIENT(ROW()-1,19)+1,MOD(ROW()-2,19)+1),NA())</f>
        <v/>
      </c>
      <c r="DM1680" s="4" t="e">
        <f t="shared" si="99"/>
        <v>#N/A</v>
      </c>
      <c r="DN1680" t="e">
        <f t="shared" si="100"/>
        <v>#N/A</v>
      </c>
      <c r="DO1680" t="e">
        <f t="shared" si="101"/>
        <v>#N/A</v>
      </c>
    </row>
    <row r="1681" spans="7:119" x14ac:dyDescent="0.25">
      <c r="G1681"/>
      <c r="DI1681" s="4">
        <f>INDEX(Sheet2!A:A,QUOTIENT(ROW()-1,19)+2)</f>
        <v>41353</v>
      </c>
      <c r="DJ1681" s="4">
        <f>INDEX(Sheet2!C:C,QUOTIENT(ROW()-1,19)+2)</f>
        <v>42369</v>
      </c>
      <c r="DK1681" s="4" t="e">
        <f>INDEX(Sheet2!$AA$2:$AS$228,QUOTIENT(ROW()-1,19)+1,MOD(ROW()-2,19)+1)</f>
        <v>#N/A</v>
      </c>
      <c r="DL1681" t="str">
        <f>IFERROR(INDEX(Sheet2!$AU$2:$BM$228,QUOTIENT(ROW()-1,19)+1,MOD(ROW()-2,19)+1),NA())</f>
        <v/>
      </c>
      <c r="DM1681" s="4" t="e">
        <f t="shared" si="99"/>
        <v>#N/A</v>
      </c>
      <c r="DN1681" t="e">
        <f t="shared" si="100"/>
        <v>#N/A</v>
      </c>
      <c r="DO1681" t="e">
        <f t="shared" si="101"/>
        <v>#N/A</v>
      </c>
    </row>
    <row r="1682" spans="7:119" x14ac:dyDescent="0.25">
      <c r="G1682"/>
      <c r="DI1682" s="4">
        <f>INDEX(Sheet2!A:A,QUOTIENT(ROW()-1,19)+2)</f>
        <v>41353</v>
      </c>
      <c r="DJ1682" s="4">
        <f>INDEX(Sheet2!C:C,QUOTIENT(ROW()-1,19)+2)</f>
        <v>42369</v>
      </c>
      <c r="DK1682" s="4" t="e">
        <f>INDEX(Sheet2!$AA$2:$AS$228,QUOTIENT(ROW()-1,19)+1,MOD(ROW()-2,19)+1)</f>
        <v>#N/A</v>
      </c>
      <c r="DL1682" t="str">
        <f>IFERROR(INDEX(Sheet2!$AU$2:$BM$228,QUOTIENT(ROW()-1,19)+1,MOD(ROW()-2,19)+1),NA())</f>
        <v/>
      </c>
      <c r="DM1682" s="4" t="e">
        <f t="shared" si="99"/>
        <v>#N/A</v>
      </c>
      <c r="DN1682" t="e">
        <f t="shared" si="100"/>
        <v>#N/A</v>
      </c>
      <c r="DO1682" t="e">
        <f t="shared" si="101"/>
        <v>#N/A</v>
      </c>
    </row>
    <row r="1683" spans="7:119" x14ac:dyDescent="0.25">
      <c r="G1683"/>
      <c r="DI1683" s="4">
        <f>INDEX(Sheet2!A:A,QUOTIENT(ROW()-1,19)+2)</f>
        <v>41353</v>
      </c>
      <c r="DJ1683" s="4">
        <f>INDEX(Sheet2!C:C,QUOTIENT(ROW()-1,19)+2)</f>
        <v>42369</v>
      </c>
      <c r="DK1683" s="4" t="e">
        <f>INDEX(Sheet2!$AA$2:$AS$228,QUOTIENT(ROW()-1,19)+1,MOD(ROW()-2,19)+1)</f>
        <v>#N/A</v>
      </c>
      <c r="DL1683" t="str">
        <f>IFERROR(INDEX(Sheet2!$AU$2:$BM$228,QUOTIENT(ROW()-1,19)+1,MOD(ROW()-2,19)+1),NA())</f>
        <v/>
      </c>
      <c r="DM1683" s="4" t="e">
        <f t="shared" si="99"/>
        <v>#N/A</v>
      </c>
      <c r="DN1683" t="e">
        <f t="shared" si="100"/>
        <v>#N/A</v>
      </c>
      <c r="DO1683" t="e">
        <f t="shared" si="101"/>
        <v>#N/A</v>
      </c>
    </row>
    <row r="1684" spans="7:119" x14ac:dyDescent="0.25">
      <c r="G1684"/>
      <c r="DI1684" s="4">
        <f>INDEX(Sheet2!A:A,QUOTIENT(ROW()-1,19)+2)</f>
        <v>41353</v>
      </c>
      <c r="DJ1684" s="4">
        <f>INDEX(Sheet2!C:C,QUOTIENT(ROW()-1,19)+2)</f>
        <v>42369</v>
      </c>
      <c r="DK1684" s="4" t="e">
        <f>INDEX(Sheet2!$AA$2:$AS$228,QUOTIENT(ROW()-1,19)+1,MOD(ROW()-2,19)+1)</f>
        <v>#N/A</v>
      </c>
      <c r="DL1684" t="str">
        <f>IFERROR(INDEX(Sheet2!$AU$2:$BM$228,QUOTIENT(ROW()-1,19)+1,MOD(ROW()-2,19)+1),NA())</f>
        <v/>
      </c>
      <c r="DM1684" s="4" t="e">
        <f t="shared" si="99"/>
        <v>#N/A</v>
      </c>
      <c r="DN1684" t="e">
        <f t="shared" si="100"/>
        <v>#N/A</v>
      </c>
      <c r="DO1684" t="e">
        <f t="shared" si="101"/>
        <v>#N/A</v>
      </c>
    </row>
    <row r="1685" spans="7:119" x14ac:dyDescent="0.25">
      <c r="G1685"/>
      <c r="DI1685" s="4">
        <f>INDEX(Sheet2!A:A,QUOTIENT(ROW()-1,19)+2)</f>
        <v>41353</v>
      </c>
      <c r="DJ1685" s="4">
        <f>INDEX(Sheet2!C:C,QUOTIENT(ROW()-1,19)+2)</f>
        <v>42369</v>
      </c>
      <c r="DK1685" s="4" t="e">
        <f>INDEX(Sheet2!$AA$2:$AS$228,QUOTIENT(ROW()-1,19)+1,MOD(ROW()-2,19)+1)</f>
        <v>#N/A</v>
      </c>
      <c r="DL1685" t="str">
        <f>IFERROR(INDEX(Sheet2!$AU$2:$BM$228,QUOTIENT(ROW()-1,19)+1,MOD(ROW()-2,19)+1),NA())</f>
        <v/>
      </c>
      <c r="DM1685" s="4" t="e">
        <f t="shared" si="99"/>
        <v>#N/A</v>
      </c>
      <c r="DN1685" t="e">
        <f t="shared" si="100"/>
        <v>#N/A</v>
      </c>
      <c r="DO1685" t="e">
        <f t="shared" si="101"/>
        <v>#N/A</v>
      </c>
    </row>
    <row r="1686" spans="7:119" x14ac:dyDescent="0.25">
      <c r="G1686"/>
      <c r="DI1686" s="4">
        <f>INDEX(Sheet2!A:A,QUOTIENT(ROW()-1,19)+2)</f>
        <v>41353</v>
      </c>
      <c r="DJ1686" s="4">
        <f>INDEX(Sheet2!C:C,QUOTIENT(ROW()-1,19)+2)</f>
        <v>42369</v>
      </c>
      <c r="DK1686" s="4" t="e">
        <f>INDEX(Sheet2!$AA$2:$AS$228,QUOTIENT(ROW()-1,19)+1,MOD(ROW()-2,19)+1)</f>
        <v>#N/A</v>
      </c>
      <c r="DL1686" t="str">
        <f>IFERROR(INDEX(Sheet2!$AU$2:$BM$228,QUOTIENT(ROW()-1,19)+1,MOD(ROW()-2,19)+1),NA())</f>
        <v/>
      </c>
      <c r="DM1686" s="4" t="e">
        <f t="shared" si="99"/>
        <v>#N/A</v>
      </c>
      <c r="DN1686" t="e">
        <f t="shared" si="100"/>
        <v>#N/A</v>
      </c>
      <c r="DO1686" t="e">
        <f t="shared" si="101"/>
        <v>#N/A</v>
      </c>
    </row>
    <row r="1687" spans="7:119" x14ac:dyDescent="0.25">
      <c r="G1687"/>
      <c r="DI1687" s="4">
        <f>INDEX(Sheet2!A:A,QUOTIENT(ROW()-1,19)+2)</f>
        <v>41353</v>
      </c>
      <c r="DJ1687" s="4">
        <f>INDEX(Sheet2!C:C,QUOTIENT(ROW()-1,19)+2)</f>
        <v>42369</v>
      </c>
      <c r="DK1687" s="4" t="e">
        <f>INDEX(Sheet2!$AA$2:$AS$228,QUOTIENT(ROW()-1,19)+1,MOD(ROW()-2,19)+1)</f>
        <v>#N/A</v>
      </c>
      <c r="DL1687" t="str">
        <f>IFERROR(INDEX(Sheet2!$AU$2:$BM$228,QUOTIENT(ROW()-1,19)+1,MOD(ROW()-2,19)+1),NA())</f>
        <v/>
      </c>
      <c r="DM1687" s="4" t="e">
        <f t="shared" si="99"/>
        <v>#N/A</v>
      </c>
      <c r="DN1687" t="e">
        <f t="shared" si="100"/>
        <v>#N/A</v>
      </c>
      <c r="DO1687" t="e">
        <f t="shared" si="101"/>
        <v>#N/A</v>
      </c>
    </row>
    <row r="1688" spans="7:119" x14ac:dyDescent="0.25">
      <c r="G1688"/>
      <c r="DI1688" s="4">
        <f>INDEX(Sheet2!A:A,QUOTIENT(ROW()-1,19)+2)</f>
        <v>41353</v>
      </c>
      <c r="DJ1688" s="4">
        <f>INDEX(Sheet2!C:C,QUOTIENT(ROW()-1,19)+2)</f>
        <v>42369</v>
      </c>
      <c r="DK1688" s="4" t="e">
        <f>INDEX(Sheet2!$AA$2:$AS$228,QUOTIENT(ROW()-1,19)+1,MOD(ROW()-2,19)+1)</f>
        <v>#N/A</v>
      </c>
      <c r="DL1688" t="str">
        <f>IFERROR(INDEX(Sheet2!$AU$2:$BM$228,QUOTIENT(ROW()-1,19)+1,MOD(ROW()-2,19)+1),NA())</f>
        <v/>
      </c>
      <c r="DM1688" s="4" t="e">
        <f t="shared" si="99"/>
        <v>#N/A</v>
      </c>
      <c r="DN1688" t="e">
        <f t="shared" si="100"/>
        <v>#N/A</v>
      </c>
      <c r="DO1688" t="e">
        <f t="shared" si="101"/>
        <v>#N/A</v>
      </c>
    </row>
    <row r="1689" spans="7:119" x14ac:dyDescent="0.25">
      <c r="G1689"/>
      <c r="DI1689" s="4">
        <f>INDEX(Sheet2!A:A,QUOTIENT(ROW()-1,19)+2)</f>
        <v>41353</v>
      </c>
      <c r="DJ1689" s="4">
        <f>INDEX(Sheet2!C:C,QUOTIENT(ROW()-1,19)+2)</f>
        <v>42369</v>
      </c>
      <c r="DK1689" s="4" t="e">
        <f>INDEX(Sheet2!$AA$2:$AS$228,QUOTIENT(ROW()-1,19)+1,MOD(ROW()-2,19)+1)</f>
        <v>#N/A</v>
      </c>
      <c r="DL1689" t="str">
        <f>IFERROR(INDEX(Sheet2!$AU$2:$BM$228,QUOTIENT(ROW()-1,19)+1,MOD(ROW()-2,19)+1),NA())</f>
        <v/>
      </c>
      <c r="DM1689" s="4" t="e">
        <f t="shared" si="99"/>
        <v>#N/A</v>
      </c>
      <c r="DN1689" t="e">
        <f t="shared" si="100"/>
        <v>#N/A</v>
      </c>
      <c r="DO1689" t="e">
        <f t="shared" si="101"/>
        <v>#N/A</v>
      </c>
    </row>
    <row r="1690" spans="7:119" x14ac:dyDescent="0.25">
      <c r="G1690"/>
      <c r="DI1690" s="4">
        <f>INDEX(Sheet2!A:A,QUOTIENT(ROW()-1,19)+2)</f>
        <v>41353</v>
      </c>
      <c r="DJ1690" s="4">
        <f>INDEX(Sheet2!C:C,QUOTIENT(ROW()-1,19)+2)</f>
        <v>42369</v>
      </c>
      <c r="DK1690" s="4" t="e">
        <f>INDEX(Sheet2!$AA$2:$AS$228,QUOTIENT(ROW()-1,19)+1,MOD(ROW()-2,19)+1)</f>
        <v>#N/A</v>
      </c>
      <c r="DL1690" t="str">
        <f>IFERROR(INDEX(Sheet2!$AU$2:$BM$228,QUOTIENT(ROW()-1,19)+1,MOD(ROW()-2,19)+1),NA())</f>
        <v/>
      </c>
      <c r="DM1690" s="4" t="e">
        <f t="shared" si="99"/>
        <v>#N/A</v>
      </c>
      <c r="DN1690" t="e">
        <f t="shared" si="100"/>
        <v>#N/A</v>
      </c>
      <c r="DO1690" t="e">
        <f t="shared" si="101"/>
        <v>#N/A</v>
      </c>
    </row>
    <row r="1691" spans="7:119" x14ac:dyDescent="0.25">
      <c r="G1691"/>
      <c r="DI1691" s="4">
        <f>INDEX(Sheet2!A:A,QUOTIENT(ROW()-1,19)+2)</f>
        <v>41353</v>
      </c>
      <c r="DJ1691" s="4">
        <f>INDEX(Sheet2!C:C,QUOTIENT(ROW()-1,19)+2)</f>
        <v>42369</v>
      </c>
      <c r="DK1691" s="4" t="e">
        <f>INDEX(Sheet2!$AA$2:$AS$228,QUOTIENT(ROW()-1,19)+1,MOD(ROW()-2,19)+1)</f>
        <v>#N/A</v>
      </c>
      <c r="DL1691" t="str">
        <f>IFERROR(INDEX(Sheet2!$AU$2:$BM$228,QUOTIENT(ROW()-1,19)+1,MOD(ROW()-2,19)+1),NA())</f>
        <v/>
      </c>
      <c r="DM1691" s="4" t="e">
        <f t="shared" si="99"/>
        <v>#N/A</v>
      </c>
      <c r="DN1691" t="e">
        <f t="shared" si="100"/>
        <v>#N/A</v>
      </c>
      <c r="DO1691" t="e">
        <f t="shared" si="101"/>
        <v>#N/A</v>
      </c>
    </row>
    <row r="1692" spans="7:119" x14ac:dyDescent="0.25">
      <c r="G1692"/>
      <c r="DI1692" s="4">
        <f>INDEX(Sheet2!A:A,QUOTIENT(ROW()-1,19)+2)</f>
        <v>41353</v>
      </c>
      <c r="DJ1692" s="4">
        <f>INDEX(Sheet2!C:C,QUOTIENT(ROW()-1,19)+2)</f>
        <v>42369</v>
      </c>
      <c r="DK1692" s="4" t="e">
        <f>INDEX(Sheet2!$AA$2:$AS$228,QUOTIENT(ROW()-1,19)+1,MOD(ROW()-2,19)+1)</f>
        <v>#N/A</v>
      </c>
      <c r="DL1692" t="str">
        <f>IFERROR(INDEX(Sheet2!$AU$2:$BM$228,QUOTIENT(ROW()-1,19)+1,MOD(ROW()-2,19)+1),NA())</f>
        <v/>
      </c>
      <c r="DM1692" s="4" t="e">
        <f t="shared" si="99"/>
        <v>#N/A</v>
      </c>
      <c r="DN1692" t="e">
        <f t="shared" si="100"/>
        <v>#N/A</v>
      </c>
      <c r="DO1692" t="e">
        <f t="shared" si="101"/>
        <v>#N/A</v>
      </c>
    </row>
    <row r="1693" spans="7:119" x14ac:dyDescent="0.25">
      <c r="G1693"/>
      <c r="DI1693" s="4">
        <f>INDEX(Sheet2!A:A,QUOTIENT(ROW()-1,19)+2)</f>
        <v>41353</v>
      </c>
      <c r="DJ1693" s="4">
        <f>INDEX(Sheet2!C:C,QUOTIENT(ROW()-1,19)+2)</f>
        <v>42369</v>
      </c>
      <c r="DK1693" s="4">
        <f>INDEX(Sheet2!$AA$2:$AS$228,QUOTIENT(ROW()-1,19)+1,MOD(ROW()-2,19)+1)</f>
        <v>42369</v>
      </c>
      <c r="DL1693">
        <f>IFERROR(INDEX(Sheet2!$AU$2:$BM$228,QUOTIENT(ROW()-1,19)+1,MOD(ROW()-2,19)+1),NA())</f>
        <v>3</v>
      </c>
      <c r="DM1693" s="4" t="e">
        <f t="shared" si="99"/>
        <v>#N/A</v>
      </c>
      <c r="DN1693" t="e">
        <f t="shared" si="100"/>
        <v>#N/A</v>
      </c>
      <c r="DO1693" t="e">
        <f t="shared" si="101"/>
        <v>#N/A</v>
      </c>
    </row>
    <row r="1694" spans="7:119" x14ac:dyDescent="0.25">
      <c r="G1694"/>
      <c r="DI1694" s="4">
        <f>INDEX(Sheet2!A:A,QUOTIENT(ROW()-1,19)+2)</f>
        <v>41353</v>
      </c>
      <c r="DJ1694" s="4">
        <f>INDEX(Sheet2!C:C,QUOTIENT(ROW()-1,19)+2)</f>
        <v>42369</v>
      </c>
      <c r="DK1694" s="4" t="e">
        <f>INDEX(Sheet2!$AA$2:$AS$228,QUOTIENT(ROW()-1,19)+1,MOD(ROW()-2,19)+1)</f>
        <v>#N/A</v>
      </c>
      <c r="DL1694" t="str">
        <f>IFERROR(INDEX(Sheet2!$AU$2:$BM$228,QUOTIENT(ROW()-1,19)+1,MOD(ROW()-2,19)+1),NA())</f>
        <v/>
      </c>
      <c r="DM1694" s="4" t="e">
        <f t="shared" si="99"/>
        <v>#N/A</v>
      </c>
      <c r="DN1694" t="e">
        <f t="shared" si="100"/>
        <v>#N/A</v>
      </c>
      <c r="DO1694" t="e">
        <f t="shared" si="101"/>
        <v>#N/A</v>
      </c>
    </row>
    <row r="1695" spans="7:119" x14ac:dyDescent="0.25">
      <c r="G1695"/>
      <c r="DI1695" s="4">
        <f>INDEX(Sheet2!A:A,QUOTIENT(ROW()-1,19)+2)</f>
        <v>41353</v>
      </c>
      <c r="DJ1695" s="4">
        <f>INDEX(Sheet2!C:C,QUOTIENT(ROW()-1,19)+2)</f>
        <v>42369</v>
      </c>
      <c r="DK1695" s="4" t="e">
        <f>INDEX(Sheet2!$AA$2:$AS$228,QUOTIENT(ROW()-1,19)+1,MOD(ROW()-2,19)+1)</f>
        <v>#N/A</v>
      </c>
      <c r="DL1695" t="str">
        <f>IFERROR(INDEX(Sheet2!$AU$2:$BM$228,QUOTIENT(ROW()-1,19)+1,MOD(ROW()-2,19)+1),NA())</f>
        <v/>
      </c>
      <c r="DM1695" s="4" t="e">
        <f t="shared" si="99"/>
        <v>#N/A</v>
      </c>
      <c r="DN1695" t="e">
        <f t="shared" si="100"/>
        <v>#N/A</v>
      </c>
      <c r="DO1695" t="e">
        <f t="shared" si="101"/>
        <v>#N/A</v>
      </c>
    </row>
    <row r="1696" spans="7:119" x14ac:dyDescent="0.25">
      <c r="G1696"/>
      <c r="DI1696" s="4">
        <f>INDEX(Sheet2!A:A,QUOTIENT(ROW()-1,19)+2)</f>
        <v>41353</v>
      </c>
      <c r="DJ1696" s="4">
        <f>INDEX(Sheet2!C:C,QUOTIENT(ROW()-1,19)+2)</f>
        <v>42369</v>
      </c>
      <c r="DK1696" s="4" t="e">
        <f>INDEX(Sheet2!$AA$2:$AS$228,QUOTIENT(ROW()-1,19)+1,MOD(ROW()-2,19)+1)</f>
        <v>#N/A</v>
      </c>
      <c r="DL1696" t="str">
        <f>IFERROR(INDEX(Sheet2!$AU$2:$BM$228,QUOTIENT(ROW()-1,19)+1,MOD(ROW()-2,19)+1),NA())</f>
        <v/>
      </c>
      <c r="DM1696" s="4" t="e">
        <f t="shared" si="99"/>
        <v>#N/A</v>
      </c>
      <c r="DN1696" t="e">
        <f t="shared" si="100"/>
        <v>#N/A</v>
      </c>
      <c r="DO1696" t="e">
        <f t="shared" si="101"/>
        <v>#N/A</v>
      </c>
    </row>
    <row r="1697" spans="7:119" x14ac:dyDescent="0.25">
      <c r="G1697"/>
      <c r="DI1697" s="4">
        <f>INDEX(Sheet2!A:A,QUOTIENT(ROW()-1,19)+2)</f>
        <v>41353</v>
      </c>
      <c r="DJ1697" s="4">
        <f>INDEX(Sheet2!C:C,QUOTIENT(ROW()-1,19)+2)</f>
        <v>42369</v>
      </c>
      <c r="DK1697" s="4" t="e">
        <f>INDEX(Sheet2!$AA$2:$AS$228,QUOTIENT(ROW()-1,19)+1,MOD(ROW()-2,19)+1)</f>
        <v>#N/A</v>
      </c>
      <c r="DL1697" t="str">
        <f>IFERROR(INDEX(Sheet2!$AU$2:$BM$228,QUOTIENT(ROW()-1,19)+1,MOD(ROW()-2,19)+1),NA())</f>
        <v/>
      </c>
      <c r="DM1697" s="4" t="e">
        <f t="shared" si="99"/>
        <v>#N/A</v>
      </c>
      <c r="DN1697" t="e">
        <f t="shared" si="100"/>
        <v>#N/A</v>
      </c>
      <c r="DO1697" t="e">
        <f t="shared" si="101"/>
        <v>#N/A</v>
      </c>
    </row>
    <row r="1698" spans="7:119" x14ac:dyDescent="0.25">
      <c r="G1698"/>
      <c r="DI1698" s="4">
        <f>INDEX(Sheet2!A:A,QUOTIENT(ROW()-1,19)+2)</f>
        <v>41353</v>
      </c>
      <c r="DJ1698" s="4">
        <f>INDEX(Sheet2!C:C,QUOTIENT(ROW()-1,19)+2)</f>
        <v>42369</v>
      </c>
      <c r="DK1698" s="4" t="e">
        <f>INDEX(Sheet2!$AA$2:$AS$228,QUOTIENT(ROW()-1,19)+1,MOD(ROW()-2,19)+1)</f>
        <v>#N/A</v>
      </c>
      <c r="DL1698" t="str">
        <f>IFERROR(INDEX(Sheet2!$AU$2:$BM$228,QUOTIENT(ROW()-1,19)+1,MOD(ROW()-2,19)+1),NA())</f>
        <v/>
      </c>
      <c r="DM1698" s="4" t="e">
        <f t="shared" si="99"/>
        <v>#N/A</v>
      </c>
      <c r="DN1698" t="e">
        <f t="shared" si="100"/>
        <v>#N/A</v>
      </c>
      <c r="DO1698" t="e">
        <f t="shared" si="101"/>
        <v>#N/A</v>
      </c>
    </row>
    <row r="1699" spans="7:119" x14ac:dyDescent="0.25">
      <c r="G1699"/>
      <c r="DI1699" s="4">
        <f>INDEX(Sheet2!A:A,QUOTIENT(ROW()-1,19)+2)</f>
        <v>41353</v>
      </c>
      <c r="DJ1699" s="4">
        <f>INDEX(Sheet2!C:C,QUOTIENT(ROW()-1,19)+2)</f>
        <v>42369</v>
      </c>
      <c r="DK1699" s="4" t="e">
        <f>INDEX(Sheet2!$AA$2:$AS$228,QUOTIENT(ROW()-1,19)+1,MOD(ROW()-2,19)+1)</f>
        <v>#N/A</v>
      </c>
      <c r="DL1699" t="str">
        <f>IFERROR(INDEX(Sheet2!$AU$2:$BM$228,QUOTIENT(ROW()-1,19)+1,MOD(ROW()-2,19)+1),NA())</f>
        <v/>
      </c>
      <c r="DM1699" s="4" t="e">
        <f t="shared" si="99"/>
        <v>#N/A</v>
      </c>
      <c r="DN1699" t="e">
        <f t="shared" si="100"/>
        <v>#N/A</v>
      </c>
      <c r="DO1699" t="e">
        <f t="shared" si="101"/>
        <v>#N/A</v>
      </c>
    </row>
    <row r="1700" spans="7:119" x14ac:dyDescent="0.25">
      <c r="G1700"/>
      <c r="DI1700" s="4">
        <f>INDEX(Sheet2!A:A,QUOTIENT(ROW()-1,19)+2)</f>
        <v>41353</v>
      </c>
      <c r="DJ1700" s="4">
        <f>INDEX(Sheet2!C:C,QUOTIENT(ROW()-1,19)+2)</f>
        <v>42369</v>
      </c>
      <c r="DK1700" s="4" t="e">
        <f>INDEX(Sheet2!$AA$2:$AS$228,QUOTIENT(ROW()-1,19)+1,MOD(ROW()-2,19)+1)</f>
        <v>#N/A</v>
      </c>
      <c r="DL1700" t="str">
        <f>IFERROR(INDEX(Sheet2!$AU$2:$BM$228,QUOTIENT(ROW()-1,19)+1,MOD(ROW()-2,19)+1),NA())</f>
        <v/>
      </c>
      <c r="DM1700" s="4" t="e">
        <f t="shared" si="99"/>
        <v>#N/A</v>
      </c>
      <c r="DN1700" t="e">
        <f t="shared" si="100"/>
        <v>#N/A</v>
      </c>
      <c r="DO1700" t="e">
        <f t="shared" si="101"/>
        <v>#N/A</v>
      </c>
    </row>
    <row r="1701" spans="7:119" x14ac:dyDescent="0.25">
      <c r="G1701"/>
      <c r="DI1701" s="4">
        <f>INDEX(Sheet2!A:A,QUOTIENT(ROW()-1,19)+2)</f>
        <v>41353</v>
      </c>
      <c r="DJ1701" s="4">
        <f>INDEX(Sheet2!C:C,QUOTIENT(ROW()-1,19)+2)</f>
        <v>42369</v>
      </c>
      <c r="DK1701" s="4" t="e">
        <f>INDEX(Sheet2!$AA$2:$AS$228,QUOTIENT(ROW()-1,19)+1,MOD(ROW()-2,19)+1)</f>
        <v>#N/A</v>
      </c>
      <c r="DL1701" t="str">
        <f>IFERROR(INDEX(Sheet2!$AU$2:$BM$228,QUOTIENT(ROW()-1,19)+1,MOD(ROW()-2,19)+1),NA())</f>
        <v/>
      </c>
      <c r="DM1701" s="4" t="e">
        <f t="shared" si="99"/>
        <v>#N/A</v>
      </c>
      <c r="DN1701" t="e">
        <f t="shared" si="100"/>
        <v>#N/A</v>
      </c>
      <c r="DO1701" t="e">
        <f t="shared" si="101"/>
        <v>#N/A</v>
      </c>
    </row>
    <row r="1702" spans="7:119" x14ac:dyDescent="0.25">
      <c r="G1702"/>
      <c r="DI1702" s="4">
        <f>INDEX(Sheet2!A:A,QUOTIENT(ROW()-1,19)+2)</f>
        <v>41353</v>
      </c>
      <c r="DJ1702" s="4">
        <f>INDEX(Sheet2!C:C,QUOTIENT(ROW()-1,19)+2)</f>
        <v>42369</v>
      </c>
      <c r="DK1702" s="4" t="e">
        <f>INDEX(Sheet2!$AA$2:$AS$228,QUOTIENT(ROW()-1,19)+1,MOD(ROW()-2,19)+1)</f>
        <v>#N/A</v>
      </c>
      <c r="DL1702" t="str">
        <f>IFERROR(INDEX(Sheet2!$AU$2:$BM$228,QUOTIENT(ROW()-1,19)+1,MOD(ROW()-2,19)+1),NA())</f>
        <v/>
      </c>
      <c r="DM1702" s="4" t="e">
        <f t="shared" si="99"/>
        <v>#N/A</v>
      </c>
      <c r="DN1702" t="e">
        <f t="shared" si="100"/>
        <v>#N/A</v>
      </c>
      <c r="DO1702" t="e">
        <f t="shared" si="101"/>
        <v>#N/A</v>
      </c>
    </row>
    <row r="1703" spans="7:119" x14ac:dyDescent="0.25">
      <c r="G1703"/>
      <c r="DI1703" s="4">
        <f>INDEX(Sheet2!A:A,QUOTIENT(ROW()-1,19)+2)</f>
        <v>41353</v>
      </c>
      <c r="DJ1703" s="4">
        <f>INDEX(Sheet2!C:C,QUOTIENT(ROW()-1,19)+2)</f>
        <v>42369</v>
      </c>
      <c r="DK1703" s="4" t="e">
        <f>INDEX(Sheet2!$AA$2:$AS$228,QUOTIENT(ROW()-1,19)+1,MOD(ROW()-2,19)+1)</f>
        <v>#N/A</v>
      </c>
      <c r="DL1703" t="str">
        <f>IFERROR(INDEX(Sheet2!$AU$2:$BM$228,QUOTIENT(ROW()-1,19)+1,MOD(ROW()-2,19)+1),NA())</f>
        <v/>
      </c>
      <c r="DM1703" s="4" t="e">
        <f t="shared" si="99"/>
        <v>#N/A</v>
      </c>
      <c r="DN1703" t="e">
        <f t="shared" si="100"/>
        <v>#N/A</v>
      </c>
      <c r="DO1703" t="e">
        <f t="shared" si="101"/>
        <v>#N/A</v>
      </c>
    </row>
    <row r="1704" spans="7:119" x14ac:dyDescent="0.25">
      <c r="G1704"/>
      <c r="DI1704" s="4">
        <f>INDEX(Sheet2!A:A,QUOTIENT(ROW()-1,19)+2)</f>
        <v>41353</v>
      </c>
      <c r="DJ1704" s="4">
        <f>INDEX(Sheet2!C:C,QUOTIENT(ROW()-1,19)+2)</f>
        <v>42369</v>
      </c>
      <c r="DK1704" s="4" t="e">
        <f>INDEX(Sheet2!$AA$2:$AS$228,QUOTIENT(ROW()-1,19)+1,MOD(ROW()-2,19)+1)</f>
        <v>#N/A</v>
      </c>
      <c r="DL1704" t="str">
        <f>IFERROR(INDEX(Sheet2!$AU$2:$BM$228,QUOTIENT(ROW()-1,19)+1,MOD(ROW()-2,19)+1),NA())</f>
        <v/>
      </c>
      <c r="DM1704" s="4" t="e">
        <f t="shared" si="99"/>
        <v>#N/A</v>
      </c>
      <c r="DN1704" t="e">
        <f t="shared" si="100"/>
        <v>#N/A</v>
      </c>
      <c r="DO1704" t="e">
        <f t="shared" si="101"/>
        <v>#N/A</v>
      </c>
    </row>
    <row r="1705" spans="7:119" x14ac:dyDescent="0.25">
      <c r="G1705"/>
      <c r="DI1705" s="4">
        <f>INDEX(Sheet2!A:A,QUOTIENT(ROW()-1,19)+2)</f>
        <v>41353</v>
      </c>
      <c r="DJ1705" s="4">
        <f>INDEX(Sheet2!C:C,QUOTIENT(ROW()-1,19)+2)</f>
        <v>42369</v>
      </c>
      <c r="DK1705" s="4" t="e">
        <f>INDEX(Sheet2!$AA$2:$AS$228,QUOTIENT(ROW()-1,19)+1,MOD(ROW()-2,19)+1)</f>
        <v>#N/A</v>
      </c>
      <c r="DL1705" t="str">
        <f>IFERROR(INDEX(Sheet2!$AU$2:$BM$228,QUOTIENT(ROW()-1,19)+1,MOD(ROW()-2,19)+1),NA())</f>
        <v/>
      </c>
      <c r="DM1705" s="4" t="e">
        <f t="shared" si="99"/>
        <v>#N/A</v>
      </c>
      <c r="DN1705" t="e">
        <f t="shared" si="100"/>
        <v>#N/A</v>
      </c>
      <c r="DO1705" t="e">
        <f t="shared" si="101"/>
        <v>#N/A</v>
      </c>
    </row>
    <row r="1706" spans="7:119" x14ac:dyDescent="0.25">
      <c r="G1706"/>
      <c r="DI1706" s="4">
        <f>INDEX(Sheet2!A:A,QUOTIENT(ROW()-1,19)+2)</f>
        <v>41353</v>
      </c>
      <c r="DJ1706" s="4">
        <f>INDEX(Sheet2!C:C,QUOTIENT(ROW()-1,19)+2)</f>
        <v>42369</v>
      </c>
      <c r="DK1706" s="4" t="e">
        <f>INDEX(Sheet2!$AA$2:$AS$228,QUOTIENT(ROW()-1,19)+1,MOD(ROW()-2,19)+1)</f>
        <v>#N/A</v>
      </c>
      <c r="DL1706" t="str">
        <f>IFERROR(INDEX(Sheet2!$AU$2:$BM$228,QUOTIENT(ROW()-1,19)+1,MOD(ROW()-2,19)+1),NA())</f>
        <v/>
      </c>
      <c r="DM1706" s="4" t="e">
        <f t="shared" si="99"/>
        <v>#N/A</v>
      </c>
      <c r="DN1706" t="e">
        <f t="shared" si="100"/>
        <v>#N/A</v>
      </c>
      <c r="DO1706" t="e">
        <f t="shared" si="101"/>
        <v>#N/A</v>
      </c>
    </row>
    <row r="1707" spans="7:119" x14ac:dyDescent="0.25">
      <c r="G1707"/>
      <c r="DI1707" s="4">
        <f>INDEX(Sheet2!A:A,QUOTIENT(ROW()-1,19)+2)</f>
        <v>41353</v>
      </c>
      <c r="DJ1707" s="4">
        <f>INDEX(Sheet2!C:C,QUOTIENT(ROW()-1,19)+2)</f>
        <v>42369</v>
      </c>
      <c r="DK1707" s="4" t="e">
        <f>INDEX(Sheet2!$AA$2:$AS$228,QUOTIENT(ROW()-1,19)+1,MOD(ROW()-2,19)+1)</f>
        <v>#N/A</v>
      </c>
      <c r="DL1707" t="str">
        <f>IFERROR(INDEX(Sheet2!$AU$2:$BM$228,QUOTIENT(ROW()-1,19)+1,MOD(ROW()-2,19)+1),NA())</f>
        <v/>
      </c>
      <c r="DM1707" s="4" t="e">
        <f t="shared" si="99"/>
        <v>#N/A</v>
      </c>
      <c r="DN1707" t="e">
        <f t="shared" si="100"/>
        <v>#N/A</v>
      </c>
      <c r="DO1707" t="e">
        <f t="shared" si="101"/>
        <v>#N/A</v>
      </c>
    </row>
    <row r="1708" spans="7:119" x14ac:dyDescent="0.25">
      <c r="G1708"/>
      <c r="DI1708" s="4">
        <f>INDEX(Sheet2!A:A,QUOTIENT(ROW()-1,19)+2)</f>
        <v>41353</v>
      </c>
      <c r="DJ1708" s="4">
        <f>INDEX(Sheet2!C:C,QUOTIENT(ROW()-1,19)+2)</f>
        <v>42369</v>
      </c>
      <c r="DK1708" s="4" t="e">
        <f>INDEX(Sheet2!$AA$2:$AS$228,QUOTIENT(ROW()-1,19)+1,MOD(ROW()-2,19)+1)</f>
        <v>#N/A</v>
      </c>
      <c r="DL1708" t="str">
        <f>IFERROR(INDEX(Sheet2!$AU$2:$BM$228,QUOTIENT(ROW()-1,19)+1,MOD(ROW()-2,19)+1),NA())</f>
        <v/>
      </c>
      <c r="DM1708" s="4" t="e">
        <f t="shared" si="99"/>
        <v>#N/A</v>
      </c>
      <c r="DN1708" t="e">
        <f t="shared" si="100"/>
        <v>#N/A</v>
      </c>
      <c r="DO1708" t="e">
        <f t="shared" si="101"/>
        <v>#N/A</v>
      </c>
    </row>
    <row r="1709" spans="7:119" x14ac:dyDescent="0.25">
      <c r="G1709"/>
      <c r="DI1709" s="4">
        <f>INDEX(Sheet2!A:A,QUOTIENT(ROW()-1,19)+2)</f>
        <v>41353</v>
      </c>
      <c r="DJ1709" s="4">
        <f>INDEX(Sheet2!C:C,QUOTIENT(ROW()-1,19)+2)</f>
        <v>42369</v>
      </c>
      <c r="DK1709" s="4" t="e">
        <f>INDEX(Sheet2!$AA$2:$AS$228,QUOTIENT(ROW()-1,19)+1,MOD(ROW()-2,19)+1)</f>
        <v>#N/A</v>
      </c>
      <c r="DL1709" t="str">
        <f>IFERROR(INDEX(Sheet2!$AU$2:$BM$228,QUOTIENT(ROW()-1,19)+1,MOD(ROW()-2,19)+1),NA())</f>
        <v/>
      </c>
      <c r="DM1709" s="4" t="e">
        <f t="shared" si="99"/>
        <v>#N/A</v>
      </c>
      <c r="DN1709" t="e">
        <f t="shared" si="100"/>
        <v>#N/A</v>
      </c>
      <c r="DO1709" t="e">
        <f t="shared" si="101"/>
        <v>#N/A</v>
      </c>
    </row>
    <row r="1710" spans="7:119" x14ac:dyDescent="0.25">
      <c r="G1710"/>
      <c r="DI1710" s="4">
        <f>INDEX(Sheet2!A:A,QUOTIENT(ROW()-1,19)+2)</f>
        <v>41353</v>
      </c>
      <c r="DJ1710" s="4">
        <f>INDEX(Sheet2!C:C,QUOTIENT(ROW()-1,19)+2)</f>
        <v>42369</v>
      </c>
      <c r="DK1710" s="4" t="e">
        <f>INDEX(Sheet2!$AA$2:$AS$228,QUOTIENT(ROW()-1,19)+1,MOD(ROW()-2,19)+1)</f>
        <v>#N/A</v>
      </c>
      <c r="DL1710" t="str">
        <f>IFERROR(INDEX(Sheet2!$AU$2:$BM$228,QUOTIENT(ROW()-1,19)+1,MOD(ROW()-2,19)+1),NA())</f>
        <v/>
      </c>
      <c r="DM1710" s="4" t="e">
        <f t="shared" si="99"/>
        <v>#N/A</v>
      </c>
      <c r="DN1710" t="e">
        <f t="shared" si="100"/>
        <v>#N/A</v>
      </c>
      <c r="DO1710" t="e">
        <f t="shared" si="101"/>
        <v>#N/A</v>
      </c>
    </row>
    <row r="1711" spans="7:119" x14ac:dyDescent="0.25">
      <c r="G1711"/>
      <c r="DI1711" s="4">
        <f>INDEX(Sheet2!A:A,QUOTIENT(ROW()-1,19)+2)</f>
        <v>41353</v>
      </c>
      <c r="DJ1711" s="4">
        <f>INDEX(Sheet2!C:C,QUOTIENT(ROW()-1,19)+2)</f>
        <v>42369</v>
      </c>
      <c r="DK1711" s="4" t="e">
        <f>INDEX(Sheet2!$AA$2:$AS$228,QUOTIENT(ROW()-1,19)+1,MOD(ROW()-2,19)+1)</f>
        <v>#N/A</v>
      </c>
      <c r="DL1711" t="str">
        <f>IFERROR(INDEX(Sheet2!$AU$2:$BM$228,QUOTIENT(ROW()-1,19)+1,MOD(ROW()-2,19)+1),NA())</f>
        <v/>
      </c>
      <c r="DM1711" s="4" t="e">
        <f t="shared" si="99"/>
        <v>#N/A</v>
      </c>
      <c r="DN1711" t="e">
        <f t="shared" si="100"/>
        <v>#N/A</v>
      </c>
      <c r="DO1711" t="e">
        <f t="shared" si="101"/>
        <v>#N/A</v>
      </c>
    </row>
    <row r="1712" spans="7:119" x14ac:dyDescent="0.25">
      <c r="G1712"/>
      <c r="DI1712" s="4">
        <f>INDEX(Sheet2!A:A,QUOTIENT(ROW()-1,19)+2)</f>
        <v>41353</v>
      </c>
      <c r="DJ1712" s="4">
        <f>INDEX(Sheet2!C:C,QUOTIENT(ROW()-1,19)+2)</f>
        <v>42369</v>
      </c>
      <c r="DK1712" s="4">
        <f>INDEX(Sheet2!$AA$2:$AS$228,QUOTIENT(ROW()-1,19)+1,MOD(ROW()-2,19)+1)</f>
        <v>42369</v>
      </c>
      <c r="DL1712">
        <f>IFERROR(INDEX(Sheet2!$AU$2:$BM$228,QUOTIENT(ROW()-1,19)+1,MOD(ROW()-2,19)+1),NA())</f>
        <v>3.75</v>
      </c>
      <c r="DM1712" s="4" t="e">
        <f t="shared" si="99"/>
        <v>#N/A</v>
      </c>
      <c r="DN1712" t="e">
        <f t="shared" si="100"/>
        <v>#N/A</v>
      </c>
      <c r="DO1712" t="e">
        <f t="shared" si="101"/>
        <v>#N/A</v>
      </c>
    </row>
    <row r="1713" spans="7:119" x14ac:dyDescent="0.25">
      <c r="G1713"/>
      <c r="DI1713" s="4">
        <f>INDEX(Sheet2!A:A,QUOTIENT(ROW()-1,19)+2)</f>
        <v>41353</v>
      </c>
      <c r="DJ1713" s="4">
        <f>INDEX(Sheet2!C:C,QUOTIENT(ROW()-1,19)+2)</f>
        <v>42369</v>
      </c>
      <c r="DK1713" s="4" t="e">
        <f>INDEX(Sheet2!$AA$2:$AS$228,QUOTIENT(ROW()-1,19)+1,MOD(ROW()-2,19)+1)</f>
        <v>#N/A</v>
      </c>
      <c r="DL1713" t="str">
        <f>IFERROR(INDEX(Sheet2!$AU$2:$BM$228,QUOTIENT(ROW()-1,19)+1,MOD(ROW()-2,19)+1),NA())</f>
        <v/>
      </c>
      <c r="DM1713" s="4" t="e">
        <f t="shared" si="99"/>
        <v>#N/A</v>
      </c>
      <c r="DN1713" t="e">
        <f t="shared" si="100"/>
        <v>#N/A</v>
      </c>
      <c r="DO1713" t="e">
        <f t="shared" si="101"/>
        <v>#N/A</v>
      </c>
    </row>
    <row r="1714" spans="7:119" x14ac:dyDescent="0.25">
      <c r="G1714"/>
      <c r="DI1714" s="4">
        <f>INDEX(Sheet2!A:A,QUOTIENT(ROW()-1,19)+2)</f>
        <v>41353</v>
      </c>
      <c r="DJ1714" s="4">
        <f>INDEX(Sheet2!C:C,QUOTIENT(ROW()-1,19)+2)</f>
        <v>42369</v>
      </c>
      <c r="DK1714" s="4" t="e">
        <f>INDEX(Sheet2!$AA$2:$AS$228,QUOTIENT(ROW()-1,19)+1,MOD(ROW()-2,19)+1)</f>
        <v>#N/A</v>
      </c>
      <c r="DL1714" t="str">
        <f>IFERROR(INDEX(Sheet2!$AU$2:$BM$228,QUOTIENT(ROW()-1,19)+1,MOD(ROW()-2,19)+1),NA())</f>
        <v/>
      </c>
      <c r="DM1714" s="4" t="e">
        <f t="shared" si="99"/>
        <v>#N/A</v>
      </c>
      <c r="DN1714" t="e">
        <f t="shared" si="100"/>
        <v>#N/A</v>
      </c>
      <c r="DO1714" t="e">
        <f t="shared" si="101"/>
        <v>#N/A</v>
      </c>
    </row>
    <row r="1715" spans="7:119" x14ac:dyDescent="0.25">
      <c r="G1715"/>
      <c r="DI1715" s="4">
        <f>INDEX(Sheet2!A:A,QUOTIENT(ROW()-1,19)+2)</f>
        <v>41353</v>
      </c>
      <c r="DJ1715" s="4">
        <f>INDEX(Sheet2!C:C,QUOTIENT(ROW()-1,19)+2)</f>
        <v>42369</v>
      </c>
      <c r="DK1715" s="4" t="e">
        <f>INDEX(Sheet2!$AA$2:$AS$228,QUOTIENT(ROW()-1,19)+1,MOD(ROW()-2,19)+1)</f>
        <v>#N/A</v>
      </c>
      <c r="DL1715" t="str">
        <f>IFERROR(INDEX(Sheet2!$AU$2:$BM$228,QUOTIENT(ROW()-1,19)+1,MOD(ROW()-2,19)+1),NA())</f>
        <v/>
      </c>
      <c r="DM1715" s="4" t="e">
        <f t="shared" si="99"/>
        <v>#N/A</v>
      </c>
      <c r="DN1715" t="e">
        <f t="shared" si="100"/>
        <v>#N/A</v>
      </c>
      <c r="DO1715" t="e">
        <f t="shared" si="101"/>
        <v>#N/A</v>
      </c>
    </row>
    <row r="1716" spans="7:119" x14ac:dyDescent="0.25">
      <c r="G1716"/>
      <c r="DI1716" s="4">
        <f>INDEX(Sheet2!A:A,QUOTIENT(ROW()-1,19)+2)</f>
        <v>41353</v>
      </c>
      <c r="DJ1716" s="4">
        <f>INDEX(Sheet2!C:C,QUOTIENT(ROW()-1,19)+2)</f>
        <v>42369</v>
      </c>
      <c r="DK1716" s="4" t="e">
        <f>INDEX(Sheet2!$AA$2:$AS$228,QUOTIENT(ROW()-1,19)+1,MOD(ROW()-2,19)+1)</f>
        <v>#N/A</v>
      </c>
      <c r="DL1716" t="str">
        <f>IFERROR(INDEX(Sheet2!$AU$2:$BM$228,QUOTIENT(ROW()-1,19)+1,MOD(ROW()-2,19)+1),NA())</f>
        <v/>
      </c>
      <c r="DM1716" s="4" t="e">
        <f t="shared" si="99"/>
        <v>#N/A</v>
      </c>
      <c r="DN1716" t="e">
        <f t="shared" si="100"/>
        <v>#N/A</v>
      </c>
      <c r="DO1716" t="e">
        <f t="shared" si="101"/>
        <v>#N/A</v>
      </c>
    </row>
    <row r="1717" spans="7:119" x14ac:dyDescent="0.25">
      <c r="G1717"/>
      <c r="DI1717" s="4">
        <f>INDEX(Sheet2!A:A,QUOTIENT(ROW()-1,19)+2)</f>
        <v>41353</v>
      </c>
      <c r="DJ1717" s="4">
        <f>INDEX(Sheet2!C:C,QUOTIENT(ROW()-1,19)+2)</f>
        <v>42369</v>
      </c>
      <c r="DK1717" s="4" t="e">
        <f>INDEX(Sheet2!$AA$2:$AS$228,QUOTIENT(ROW()-1,19)+1,MOD(ROW()-2,19)+1)</f>
        <v>#N/A</v>
      </c>
      <c r="DL1717" t="str">
        <f>IFERROR(INDEX(Sheet2!$AU$2:$BM$228,QUOTIENT(ROW()-1,19)+1,MOD(ROW()-2,19)+1),NA())</f>
        <v/>
      </c>
      <c r="DM1717" s="4" t="e">
        <f t="shared" si="99"/>
        <v>#N/A</v>
      </c>
      <c r="DN1717" t="e">
        <f t="shared" si="100"/>
        <v>#N/A</v>
      </c>
      <c r="DO1717" t="e">
        <f t="shared" si="101"/>
        <v>#N/A</v>
      </c>
    </row>
    <row r="1718" spans="7:119" x14ac:dyDescent="0.25">
      <c r="G1718"/>
      <c r="DI1718" s="4">
        <f>INDEX(Sheet2!A:A,QUOTIENT(ROW()-1,19)+2)</f>
        <v>41353</v>
      </c>
      <c r="DJ1718" s="4">
        <f>INDEX(Sheet2!C:C,QUOTIENT(ROW()-1,19)+2)</f>
        <v>42369</v>
      </c>
      <c r="DK1718" s="4" t="e">
        <f>INDEX(Sheet2!$AA$2:$AS$228,QUOTIENT(ROW()-1,19)+1,MOD(ROW()-2,19)+1)</f>
        <v>#N/A</v>
      </c>
      <c r="DL1718" t="str">
        <f>IFERROR(INDEX(Sheet2!$AU$2:$BM$228,QUOTIENT(ROW()-1,19)+1,MOD(ROW()-2,19)+1),NA())</f>
        <v/>
      </c>
      <c r="DM1718" s="4" t="e">
        <f t="shared" si="99"/>
        <v>#N/A</v>
      </c>
      <c r="DN1718" t="e">
        <f t="shared" si="100"/>
        <v>#N/A</v>
      </c>
      <c r="DO1718" t="e">
        <f t="shared" si="101"/>
        <v>#N/A</v>
      </c>
    </row>
    <row r="1719" spans="7:119" x14ac:dyDescent="0.25">
      <c r="G1719"/>
      <c r="DI1719" s="4">
        <f>INDEX(Sheet2!A:A,QUOTIENT(ROW()-1,19)+2)</f>
        <v>41353</v>
      </c>
      <c r="DJ1719" s="4">
        <f>INDEX(Sheet2!C:C,QUOTIENT(ROW()-1,19)+2)</f>
        <v>42369</v>
      </c>
      <c r="DK1719" s="4" t="e">
        <f>INDEX(Sheet2!$AA$2:$AS$228,QUOTIENT(ROW()-1,19)+1,MOD(ROW()-2,19)+1)</f>
        <v>#N/A</v>
      </c>
      <c r="DL1719" t="str">
        <f>IFERROR(INDEX(Sheet2!$AU$2:$BM$228,QUOTIENT(ROW()-1,19)+1,MOD(ROW()-2,19)+1),NA())</f>
        <v/>
      </c>
      <c r="DM1719" s="4" t="e">
        <f t="shared" si="99"/>
        <v>#N/A</v>
      </c>
      <c r="DN1719" t="e">
        <f t="shared" si="100"/>
        <v>#N/A</v>
      </c>
      <c r="DO1719" t="e">
        <f t="shared" si="101"/>
        <v>#N/A</v>
      </c>
    </row>
    <row r="1720" spans="7:119" x14ac:dyDescent="0.25">
      <c r="G1720"/>
      <c r="DI1720" s="4">
        <f>INDEX(Sheet2!A:A,QUOTIENT(ROW()-1,19)+2)</f>
        <v>41353</v>
      </c>
      <c r="DJ1720" s="4">
        <f>INDEX(Sheet2!C:C,QUOTIENT(ROW()-1,19)+2)</f>
        <v>42369</v>
      </c>
      <c r="DK1720" s="4" t="e">
        <f>INDEX(Sheet2!$AA$2:$AS$228,QUOTIENT(ROW()-1,19)+1,MOD(ROW()-2,19)+1)</f>
        <v>#N/A</v>
      </c>
      <c r="DL1720" t="str">
        <f>IFERROR(INDEX(Sheet2!$AU$2:$BM$228,QUOTIENT(ROW()-1,19)+1,MOD(ROW()-2,19)+1),NA())</f>
        <v/>
      </c>
      <c r="DM1720" s="4" t="e">
        <f t="shared" si="99"/>
        <v>#N/A</v>
      </c>
      <c r="DN1720" t="e">
        <f t="shared" si="100"/>
        <v>#N/A</v>
      </c>
      <c r="DO1720" t="e">
        <f t="shared" si="101"/>
        <v>#N/A</v>
      </c>
    </row>
    <row r="1721" spans="7:119" x14ac:dyDescent="0.25">
      <c r="G1721"/>
      <c r="DI1721" s="4">
        <f>INDEX(Sheet2!A:A,QUOTIENT(ROW()-1,19)+2)</f>
        <v>41353</v>
      </c>
      <c r="DJ1721" s="4">
        <f>INDEX(Sheet2!C:C,QUOTIENT(ROW()-1,19)+2)</f>
        <v>42369</v>
      </c>
      <c r="DK1721" s="4" t="e">
        <f>INDEX(Sheet2!$AA$2:$AS$228,QUOTIENT(ROW()-1,19)+1,MOD(ROW()-2,19)+1)</f>
        <v>#N/A</v>
      </c>
      <c r="DL1721" t="str">
        <f>IFERROR(INDEX(Sheet2!$AU$2:$BM$228,QUOTIENT(ROW()-1,19)+1,MOD(ROW()-2,19)+1),NA())</f>
        <v/>
      </c>
      <c r="DM1721" s="4" t="e">
        <f t="shared" si="99"/>
        <v>#N/A</v>
      </c>
      <c r="DN1721" t="e">
        <f t="shared" si="100"/>
        <v>#N/A</v>
      </c>
      <c r="DO1721" t="e">
        <f t="shared" si="101"/>
        <v>#N/A</v>
      </c>
    </row>
    <row r="1722" spans="7:119" x14ac:dyDescent="0.25">
      <c r="G1722"/>
      <c r="DI1722" s="4">
        <f>INDEX(Sheet2!A:A,QUOTIENT(ROW()-1,19)+2)</f>
        <v>41353</v>
      </c>
      <c r="DJ1722" s="4">
        <f>INDEX(Sheet2!C:C,QUOTIENT(ROW()-1,19)+2)</f>
        <v>42369</v>
      </c>
      <c r="DK1722" s="4" t="e">
        <f>INDEX(Sheet2!$AA$2:$AS$228,QUOTIENT(ROW()-1,19)+1,MOD(ROW()-2,19)+1)</f>
        <v>#N/A</v>
      </c>
      <c r="DL1722" t="str">
        <f>IFERROR(INDEX(Sheet2!$AU$2:$BM$228,QUOTIENT(ROW()-1,19)+1,MOD(ROW()-2,19)+1),NA())</f>
        <v/>
      </c>
      <c r="DM1722" s="4" t="e">
        <f t="shared" si="99"/>
        <v>#N/A</v>
      </c>
      <c r="DN1722" t="e">
        <f t="shared" si="100"/>
        <v>#N/A</v>
      </c>
      <c r="DO1722" t="e">
        <f t="shared" si="101"/>
        <v>#N/A</v>
      </c>
    </row>
    <row r="1723" spans="7:119" x14ac:dyDescent="0.25">
      <c r="G1723"/>
      <c r="DI1723" s="4">
        <f>INDEX(Sheet2!A:A,QUOTIENT(ROW()-1,19)+2)</f>
        <v>41353</v>
      </c>
      <c r="DJ1723" s="4">
        <f>INDEX(Sheet2!C:C,QUOTIENT(ROW()-1,19)+2)</f>
        <v>42369</v>
      </c>
      <c r="DK1723" s="4" t="e">
        <f>INDEX(Sheet2!$AA$2:$AS$228,QUOTIENT(ROW()-1,19)+1,MOD(ROW()-2,19)+1)</f>
        <v>#N/A</v>
      </c>
      <c r="DL1723" t="str">
        <f>IFERROR(INDEX(Sheet2!$AU$2:$BM$228,QUOTIENT(ROW()-1,19)+1,MOD(ROW()-2,19)+1),NA())</f>
        <v/>
      </c>
      <c r="DM1723" s="4" t="e">
        <f t="shared" si="99"/>
        <v>#N/A</v>
      </c>
      <c r="DN1723" t="e">
        <f t="shared" si="100"/>
        <v>#N/A</v>
      </c>
      <c r="DO1723" t="e">
        <f t="shared" si="101"/>
        <v>#N/A</v>
      </c>
    </row>
    <row r="1724" spans="7:119" x14ac:dyDescent="0.25">
      <c r="G1724"/>
      <c r="DI1724" s="4">
        <f>INDEX(Sheet2!A:A,QUOTIENT(ROW()-1,19)+2)</f>
        <v>41353</v>
      </c>
      <c r="DJ1724" s="4">
        <f>INDEX(Sheet2!C:C,QUOTIENT(ROW()-1,19)+2)</f>
        <v>42369</v>
      </c>
      <c r="DK1724" s="4" t="e">
        <f>INDEX(Sheet2!$AA$2:$AS$228,QUOTIENT(ROW()-1,19)+1,MOD(ROW()-2,19)+1)</f>
        <v>#N/A</v>
      </c>
      <c r="DL1724" t="str">
        <f>IFERROR(INDEX(Sheet2!$AU$2:$BM$228,QUOTIENT(ROW()-1,19)+1,MOD(ROW()-2,19)+1),NA())</f>
        <v/>
      </c>
      <c r="DM1724" s="4" t="e">
        <f t="shared" si="99"/>
        <v>#N/A</v>
      </c>
      <c r="DN1724" t="e">
        <f t="shared" si="100"/>
        <v>#N/A</v>
      </c>
      <c r="DO1724" t="e">
        <f t="shared" si="101"/>
        <v>#N/A</v>
      </c>
    </row>
    <row r="1725" spans="7:119" x14ac:dyDescent="0.25">
      <c r="G1725"/>
      <c r="DI1725" s="4">
        <f>INDEX(Sheet2!A:A,QUOTIENT(ROW()-1,19)+2)</f>
        <v>41353</v>
      </c>
      <c r="DJ1725" s="4">
        <f>INDEX(Sheet2!C:C,QUOTIENT(ROW()-1,19)+2)</f>
        <v>42369</v>
      </c>
      <c r="DK1725" s="4" t="e">
        <f>INDEX(Sheet2!$AA$2:$AS$228,QUOTIENT(ROW()-1,19)+1,MOD(ROW()-2,19)+1)</f>
        <v>#N/A</v>
      </c>
      <c r="DL1725" t="str">
        <f>IFERROR(INDEX(Sheet2!$AU$2:$BM$228,QUOTIENT(ROW()-1,19)+1,MOD(ROW()-2,19)+1),NA())</f>
        <v/>
      </c>
      <c r="DM1725" s="4" t="e">
        <f t="shared" si="99"/>
        <v>#N/A</v>
      </c>
      <c r="DN1725" t="e">
        <f t="shared" si="100"/>
        <v>#N/A</v>
      </c>
      <c r="DO1725" t="e">
        <f t="shared" si="101"/>
        <v>#N/A</v>
      </c>
    </row>
    <row r="1726" spans="7:119" x14ac:dyDescent="0.25">
      <c r="G1726"/>
      <c r="DI1726" s="4">
        <f>INDEX(Sheet2!A:A,QUOTIENT(ROW()-1,19)+2)</f>
        <v>41353</v>
      </c>
      <c r="DJ1726" s="4">
        <f>INDEX(Sheet2!C:C,QUOTIENT(ROW()-1,19)+2)</f>
        <v>42369</v>
      </c>
      <c r="DK1726" s="4" t="e">
        <f>INDEX(Sheet2!$AA$2:$AS$228,QUOTIENT(ROW()-1,19)+1,MOD(ROW()-2,19)+1)</f>
        <v>#N/A</v>
      </c>
      <c r="DL1726" t="str">
        <f>IFERROR(INDEX(Sheet2!$AU$2:$BM$228,QUOTIENT(ROW()-1,19)+1,MOD(ROW()-2,19)+1),NA())</f>
        <v/>
      </c>
      <c r="DM1726" s="4" t="e">
        <f t="shared" si="99"/>
        <v>#N/A</v>
      </c>
      <c r="DN1726" t="e">
        <f t="shared" si="100"/>
        <v>#N/A</v>
      </c>
      <c r="DO1726" t="e">
        <f t="shared" si="101"/>
        <v>#N/A</v>
      </c>
    </row>
    <row r="1727" spans="7:119" x14ac:dyDescent="0.25">
      <c r="G1727"/>
      <c r="DI1727" s="4">
        <f>INDEX(Sheet2!A:A,QUOTIENT(ROW()-1,19)+2)</f>
        <v>41353</v>
      </c>
      <c r="DJ1727" s="4">
        <f>INDEX(Sheet2!C:C,QUOTIENT(ROW()-1,19)+2)</f>
        <v>42369</v>
      </c>
      <c r="DK1727" s="4" t="e">
        <f>INDEX(Sheet2!$AA$2:$AS$228,QUOTIENT(ROW()-1,19)+1,MOD(ROW()-2,19)+1)</f>
        <v>#N/A</v>
      </c>
      <c r="DL1727" t="str">
        <f>IFERROR(INDEX(Sheet2!$AU$2:$BM$228,QUOTIENT(ROW()-1,19)+1,MOD(ROW()-2,19)+1),NA())</f>
        <v/>
      </c>
      <c r="DM1727" s="4" t="e">
        <f t="shared" si="99"/>
        <v>#N/A</v>
      </c>
      <c r="DN1727" t="e">
        <f t="shared" si="100"/>
        <v>#N/A</v>
      </c>
      <c r="DO1727" t="e">
        <f t="shared" si="101"/>
        <v>#N/A</v>
      </c>
    </row>
    <row r="1728" spans="7:119" x14ac:dyDescent="0.25">
      <c r="G1728"/>
      <c r="DI1728" s="4">
        <f>INDEX(Sheet2!A:A,QUOTIENT(ROW()-1,19)+2)</f>
        <v>41353</v>
      </c>
      <c r="DJ1728" s="4">
        <f>INDEX(Sheet2!C:C,QUOTIENT(ROW()-1,19)+2)</f>
        <v>42369</v>
      </c>
      <c r="DK1728" s="4" t="e">
        <f>INDEX(Sheet2!$AA$2:$AS$228,QUOTIENT(ROW()-1,19)+1,MOD(ROW()-2,19)+1)</f>
        <v>#N/A</v>
      </c>
      <c r="DL1728" t="str">
        <f>IFERROR(INDEX(Sheet2!$AU$2:$BM$228,QUOTIENT(ROW()-1,19)+1,MOD(ROW()-2,19)+1),NA())</f>
        <v/>
      </c>
      <c r="DM1728" s="4" t="e">
        <f t="shared" si="99"/>
        <v>#N/A</v>
      </c>
      <c r="DN1728" t="e">
        <f t="shared" si="100"/>
        <v>#N/A</v>
      </c>
      <c r="DO1728" t="e">
        <f t="shared" si="101"/>
        <v>#N/A</v>
      </c>
    </row>
    <row r="1729" spans="7:119" x14ac:dyDescent="0.25">
      <c r="G1729"/>
      <c r="DI1729" s="4">
        <f>INDEX(Sheet2!A:A,QUOTIENT(ROW()-1,19)+2)</f>
        <v>41353</v>
      </c>
      <c r="DJ1729" s="4">
        <f>INDEX(Sheet2!C:C,QUOTIENT(ROW()-1,19)+2)</f>
        <v>42369</v>
      </c>
      <c r="DK1729" s="4" t="e">
        <f>INDEX(Sheet2!$AA$2:$AS$228,QUOTIENT(ROW()-1,19)+1,MOD(ROW()-2,19)+1)</f>
        <v>#N/A</v>
      </c>
      <c r="DL1729" t="str">
        <f>IFERROR(INDEX(Sheet2!$AU$2:$BM$228,QUOTIENT(ROW()-1,19)+1,MOD(ROW()-2,19)+1),NA())</f>
        <v/>
      </c>
      <c r="DM1729" s="4" t="e">
        <f t="shared" si="99"/>
        <v>#N/A</v>
      </c>
      <c r="DN1729" t="e">
        <f t="shared" si="100"/>
        <v>#N/A</v>
      </c>
      <c r="DO1729" t="e">
        <f t="shared" si="101"/>
        <v>#N/A</v>
      </c>
    </row>
    <row r="1730" spans="7:119" x14ac:dyDescent="0.25">
      <c r="G1730"/>
      <c r="DI1730" s="4">
        <f>INDEX(Sheet2!A:A,QUOTIENT(ROW()-1,19)+2)</f>
        <v>41353</v>
      </c>
      <c r="DJ1730" s="4">
        <f>INDEX(Sheet2!C:C,QUOTIENT(ROW()-1,19)+2)</f>
        <v>42369</v>
      </c>
      <c r="DK1730" s="4" t="e">
        <f>INDEX(Sheet2!$AA$2:$AS$228,QUOTIENT(ROW()-1,19)+1,MOD(ROW()-2,19)+1)</f>
        <v>#N/A</v>
      </c>
      <c r="DL1730" t="str">
        <f>IFERROR(INDEX(Sheet2!$AU$2:$BM$228,QUOTIENT(ROW()-1,19)+1,MOD(ROW()-2,19)+1),NA())</f>
        <v/>
      </c>
      <c r="DM1730" s="4" t="e">
        <f t="shared" ref="DM1730:DM1793" si="102">+IF($C$2=$DI1730,DK1730,NA())</f>
        <v>#N/A</v>
      </c>
      <c r="DN1730" t="e">
        <f t="shared" ref="DN1730:DN1793" si="103">+IF($C$2=$DI1730,DL1730,NA())</f>
        <v>#N/A</v>
      </c>
      <c r="DO1730" t="e">
        <f t="shared" si="101"/>
        <v>#N/A</v>
      </c>
    </row>
    <row r="1731" spans="7:119" x14ac:dyDescent="0.25">
      <c r="G1731"/>
      <c r="DI1731" s="4">
        <f>INDEX(Sheet2!A:A,QUOTIENT(ROW()-1,19)+2)</f>
        <v>41353</v>
      </c>
      <c r="DJ1731" s="4">
        <f>INDEX(Sheet2!C:C,QUOTIENT(ROW()-1,19)+2)</f>
        <v>42369</v>
      </c>
      <c r="DK1731" s="4">
        <f>INDEX(Sheet2!$AA$2:$AS$228,QUOTIENT(ROW()-1,19)+1,MOD(ROW()-2,19)+1)</f>
        <v>42369</v>
      </c>
      <c r="DL1731">
        <f>IFERROR(INDEX(Sheet2!$AU$2:$BM$228,QUOTIENT(ROW()-1,19)+1,MOD(ROW()-2,19)+1),NA())</f>
        <v>4.5</v>
      </c>
      <c r="DM1731" s="4" t="e">
        <f t="shared" si="102"/>
        <v>#N/A</v>
      </c>
      <c r="DN1731" t="e">
        <f t="shared" si="103"/>
        <v>#N/A</v>
      </c>
      <c r="DO1731" t="e">
        <f t="shared" ref="DO1731:DO1794" si="104">IF(DN1731="",NA(),DN1731)</f>
        <v>#N/A</v>
      </c>
    </row>
    <row r="1732" spans="7:119" x14ac:dyDescent="0.25">
      <c r="G1732"/>
      <c r="DI1732" s="4">
        <f>INDEX(Sheet2!A:A,QUOTIENT(ROW()-1,19)+2)</f>
        <v>41353</v>
      </c>
      <c r="DJ1732" s="4">
        <f>INDEX(Sheet2!C:C,QUOTIENT(ROW()-1,19)+2)</f>
        <v>42369</v>
      </c>
      <c r="DK1732" s="4" t="e">
        <f>INDEX(Sheet2!$AA$2:$AS$228,QUOTIENT(ROW()-1,19)+1,MOD(ROW()-2,19)+1)</f>
        <v>#N/A</v>
      </c>
      <c r="DL1732" t="str">
        <f>IFERROR(INDEX(Sheet2!$AU$2:$BM$228,QUOTIENT(ROW()-1,19)+1,MOD(ROW()-2,19)+1),NA())</f>
        <v/>
      </c>
      <c r="DM1732" s="4" t="e">
        <f t="shared" si="102"/>
        <v>#N/A</v>
      </c>
      <c r="DN1732" t="e">
        <f t="shared" si="103"/>
        <v>#N/A</v>
      </c>
      <c r="DO1732" t="e">
        <f t="shared" si="104"/>
        <v>#N/A</v>
      </c>
    </row>
    <row r="1733" spans="7:119" x14ac:dyDescent="0.25">
      <c r="G1733"/>
      <c r="DI1733" s="4">
        <f>INDEX(Sheet2!A:A,QUOTIENT(ROW()-1,19)+2)</f>
        <v>41353</v>
      </c>
      <c r="DJ1733" s="4">
        <f>INDEX(Sheet2!C:C,QUOTIENT(ROW()-1,19)+2)</f>
        <v>42369</v>
      </c>
      <c r="DK1733" s="4" t="e">
        <f>INDEX(Sheet2!$AA$2:$AS$228,QUOTIENT(ROW()-1,19)+1,MOD(ROW()-2,19)+1)</f>
        <v>#N/A</v>
      </c>
      <c r="DL1733" t="str">
        <f>IFERROR(INDEX(Sheet2!$AU$2:$BM$228,QUOTIENT(ROW()-1,19)+1,MOD(ROW()-2,19)+1),NA())</f>
        <v/>
      </c>
      <c r="DM1733" s="4" t="e">
        <f t="shared" si="102"/>
        <v>#N/A</v>
      </c>
      <c r="DN1733" t="e">
        <f t="shared" si="103"/>
        <v>#N/A</v>
      </c>
      <c r="DO1733" t="e">
        <f t="shared" si="104"/>
        <v>#N/A</v>
      </c>
    </row>
    <row r="1734" spans="7:119" x14ac:dyDescent="0.25">
      <c r="G1734"/>
      <c r="DI1734" s="4">
        <f>INDEX(Sheet2!A:A,QUOTIENT(ROW()-1,19)+2)</f>
        <v>41353</v>
      </c>
      <c r="DJ1734" s="4">
        <f>INDEX(Sheet2!C:C,QUOTIENT(ROW()-1,19)+2)</f>
        <v>42369</v>
      </c>
      <c r="DK1734" s="4" t="e">
        <f>INDEX(Sheet2!$AA$2:$AS$228,QUOTIENT(ROW()-1,19)+1,MOD(ROW()-2,19)+1)</f>
        <v>#N/A</v>
      </c>
      <c r="DL1734" t="str">
        <f>IFERROR(INDEX(Sheet2!$AU$2:$BM$228,QUOTIENT(ROW()-1,19)+1,MOD(ROW()-2,19)+1),NA())</f>
        <v/>
      </c>
      <c r="DM1734" s="4" t="e">
        <f t="shared" si="102"/>
        <v>#N/A</v>
      </c>
      <c r="DN1734" t="e">
        <f t="shared" si="103"/>
        <v>#N/A</v>
      </c>
      <c r="DO1734" t="e">
        <f t="shared" si="104"/>
        <v>#N/A</v>
      </c>
    </row>
    <row r="1735" spans="7:119" x14ac:dyDescent="0.25">
      <c r="G1735"/>
      <c r="DI1735" s="4">
        <f>INDEX(Sheet2!A:A,QUOTIENT(ROW()-1,19)+2)</f>
        <v>41353</v>
      </c>
      <c r="DJ1735" s="4">
        <f>INDEX(Sheet2!C:C,QUOTIENT(ROW()-1,19)+2)</f>
        <v>42369</v>
      </c>
      <c r="DK1735" s="4" t="e">
        <f>INDEX(Sheet2!$AA$2:$AS$228,QUOTIENT(ROW()-1,19)+1,MOD(ROW()-2,19)+1)</f>
        <v>#N/A</v>
      </c>
      <c r="DL1735" t="str">
        <f>IFERROR(INDEX(Sheet2!$AU$2:$BM$228,QUOTIENT(ROW()-1,19)+1,MOD(ROW()-2,19)+1),NA())</f>
        <v/>
      </c>
      <c r="DM1735" s="4" t="e">
        <f t="shared" si="102"/>
        <v>#N/A</v>
      </c>
      <c r="DN1735" t="e">
        <f t="shared" si="103"/>
        <v>#N/A</v>
      </c>
      <c r="DO1735" t="e">
        <f t="shared" si="104"/>
        <v>#N/A</v>
      </c>
    </row>
    <row r="1736" spans="7:119" x14ac:dyDescent="0.25">
      <c r="G1736"/>
      <c r="DI1736" s="4">
        <f>INDEX(Sheet2!A:A,QUOTIENT(ROW()-1,19)+2)</f>
        <v>41353</v>
      </c>
      <c r="DJ1736" s="4">
        <f>INDEX(Sheet2!C:C,QUOTIENT(ROW()-1,19)+2)</f>
        <v>42369</v>
      </c>
      <c r="DK1736" s="4" t="e">
        <f>INDEX(Sheet2!$AA$2:$AS$228,QUOTIENT(ROW()-1,19)+1,MOD(ROW()-2,19)+1)</f>
        <v>#N/A</v>
      </c>
      <c r="DL1736" t="str">
        <f>IFERROR(INDEX(Sheet2!$AU$2:$BM$228,QUOTIENT(ROW()-1,19)+1,MOD(ROW()-2,19)+1),NA())</f>
        <v/>
      </c>
      <c r="DM1736" s="4" t="e">
        <f t="shared" si="102"/>
        <v>#N/A</v>
      </c>
      <c r="DN1736" t="e">
        <f t="shared" si="103"/>
        <v>#N/A</v>
      </c>
      <c r="DO1736" t="e">
        <f t="shared" si="104"/>
        <v>#N/A</v>
      </c>
    </row>
    <row r="1737" spans="7:119" x14ac:dyDescent="0.25">
      <c r="G1737"/>
      <c r="DI1737" s="4">
        <f>INDEX(Sheet2!A:A,QUOTIENT(ROW()-1,19)+2)</f>
        <v>41353</v>
      </c>
      <c r="DJ1737" s="4">
        <f>INDEX(Sheet2!C:C,QUOTIENT(ROW()-1,19)+2)</f>
        <v>42369</v>
      </c>
      <c r="DK1737" s="4" t="e">
        <f>INDEX(Sheet2!$AA$2:$AS$228,QUOTIENT(ROW()-1,19)+1,MOD(ROW()-2,19)+1)</f>
        <v>#N/A</v>
      </c>
      <c r="DL1737" t="str">
        <f>IFERROR(INDEX(Sheet2!$AU$2:$BM$228,QUOTIENT(ROW()-1,19)+1,MOD(ROW()-2,19)+1),NA())</f>
        <v/>
      </c>
      <c r="DM1737" s="4" t="e">
        <f t="shared" si="102"/>
        <v>#N/A</v>
      </c>
      <c r="DN1737" t="e">
        <f t="shared" si="103"/>
        <v>#N/A</v>
      </c>
      <c r="DO1737" t="e">
        <f t="shared" si="104"/>
        <v>#N/A</v>
      </c>
    </row>
    <row r="1738" spans="7:119" x14ac:dyDescent="0.25">
      <c r="G1738"/>
      <c r="DI1738" s="4">
        <f>INDEX(Sheet2!A:A,QUOTIENT(ROW()-1,19)+2)</f>
        <v>41353</v>
      </c>
      <c r="DJ1738" s="4">
        <f>INDEX(Sheet2!C:C,QUOTIENT(ROW()-1,19)+2)</f>
        <v>42369</v>
      </c>
      <c r="DK1738" s="4" t="e">
        <f>INDEX(Sheet2!$AA$2:$AS$228,QUOTIENT(ROW()-1,19)+1,MOD(ROW()-2,19)+1)</f>
        <v>#N/A</v>
      </c>
      <c r="DL1738" t="str">
        <f>IFERROR(INDEX(Sheet2!$AU$2:$BM$228,QUOTIENT(ROW()-1,19)+1,MOD(ROW()-2,19)+1),NA())</f>
        <v/>
      </c>
      <c r="DM1738" s="4" t="e">
        <f t="shared" si="102"/>
        <v>#N/A</v>
      </c>
      <c r="DN1738" t="e">
        <f t="shared" si="103"/>
        <v>#N/A</v>
      </c>
      <c r="DO1738" t="e">
        <f t="shared" si="104"/>
        <v>#N/A</v>
      </c>
    </row>
    <row r="1739" spans="7:119" x14ac:dyDescent="0.25">
      <c r="G1739"/>
      <c r="DI1739" s="4">
        <f>INDEX(Sheet2!A:A,QUOTIENT(ROW()-1,19)+2)</f>
        <v>41353</v>
      </c>
      <c r="DJ1739" s="4">
        <f>INDEX(Sheet2!C:C,QUOTIENT(ROW()-1,19)+2)</f>
        <v>42369</v>
      </c>
      <c r="DK1739" s="4" t="e">
        <f>INDEX(Sheet2!$AA$2:$AS$228,QUOTIENT(ROW()-1,19)+1,MOD(ROW()-2,19)+1)</f>
        <v>#N/A</v>
      </c>
      <c r="DL1739" t="str">
        <f>IFERROR(INDEX(Sheet2!$AU$2:$BM$228,QUOTIENT(ROW()-1,19)+1,MOD(ROW()-2,19)+1),NA())</f>
        <v/>
      </c>
      <c r="DM1739" s="4" t="e">
        <f t="shared" si="102"/>
        <v>#N/A</v>
      </c>
      <c r="DN1739" t="e">
        <f t="shared" si="103"/>
        <v>#N/A</v>
      </c>
      <c r="DO1739" t="e">
        <f t="shared" si="104"/>
        <v>#N/A</v>
      </c>
    </row>
    <row r="1740" spans="7:119" x14ac:dyDescent="0.25">
      <c r="G1740"/>
      <c r="DI1740" s="4">
        <f>INDEX(Sheet2!A:A,QUOTIENT(ROW()-1,19)+2)</f>
        <v>41353</v>
      </c>
      <c r="DJ1740" s="4">
        <f>INDEX(Sheet2!C:C,QUOTIENT(ROW()-1,19)+2)</f>
        <v>42369</v>
      </c>
      <c r="DK1740" s="4" t="e">
        <f>INDEX(Sheet2!$AA$2:$AS$228,QUOTIENT(ROW()-1,19)+1,MOD(ROW()-2,19)+1)</f>
        <v>#N/A</v>
      </c>
      <c r="DL1740" t="str">
        <f>IFERROR(INDEX(Sheet2!$AU$2:$BM$228,QUOTIENT(ROW()-1,19)+1,MOD(ROW()-2,19)+1),NA())</f>
        <v/>
      </c>
      <c r="DM1740" s="4" t="e">
        <f t="shared" si="102"/>
        <v>#N/A</v>
      </c>
      <c r="DN1740" t="e">
        <f t="shared" si="103"/>
        <v>#N/A</v>
      </c>
      <c r="DO1740" t="e">
        <f t="shared" si="104"/>
        <v>#N/A</v>
      </c>
    </row>
    <row r="1741" spans="7:119" x14ac:dyDescent="0.25">
      <c r="G1741"/>
      <c r="DI1741" s="4">
        <f>INDEX(Sheet2!A:A,QUOTIENT(ROW()-1,19)+2)</f>
        <v>41353</v>
      </c>
      <c r="DJ1741" s="4">
        <f>INDEX(Sheet2!C:C,QUOTIENT(ROW()-1,19)+2)</f>
        <v>42369</v>
      </c>
      <c r="DK1741" s="4" t="e">
        <f>INDEX(Sheet2!$AA$2:$AS$228,QUOTIENT(ROW()-1,19)+1,MOD(ROW()-2,19)+1)</f>
        <v>#N/A</v>
      </c>
      <c r="DL1741" t="str">
        <f>IFERROR(INDEX(Sheet2!$AU$2:$BM$228,QUOTIENT(ROW()-1,19)+1,MOD(ROW()-2,19)+1),NA())</f>
        <v/>
      </c>
      <c r="DM1741" s="4" t="e">
        <f t="shared" si="102"/>
        <v>#N/A</v>
      </c>
      <c r="DN1741" t="e">
        <f t="shared" si="103"/>
        <v>#N/A</v>
      </c>
      <c r="DO1741" t="e">
        <f t="shared" si="104"/>
        <v>#N/A</v>
      </c>
    </row>
    <row r="1742" spans="7:119" x14ac:dyDescent="0.25">
      <c r="G1742"/>
      <c r="DI1742" s="4">
        <f>INDEX(Sheet2!A:A,QUOTIENT(ROW()-1,19)+2)</f>
        <v>41353</v>
      </c>
      <c r="DJ1742" s="4">
        <f>INDEX(Sheet2!C:C,QUOTIENT(ROW()-1,19)+2)</f>
        <v>42369</v>
      </c>
      <c r="DK1742" s="4" t="e">
        <f>INDEX(Sheet2!$AA$2:$AS$228,QUOTIENT(ROW()-1,19)+1,MOD(ROW()-2,19)+1)</f>
        <v>#N/A</v>
      </c>
      <c r="DL1742" t="str">
        <f>IFERROR(INDEX(Sheet2!$AU$2:$BM$228,QUOTIENT(ROW()-1,19)+1,MOD(ROW()-2,19)+1),NA())</f>
        <v/>
      </c>
      <c r="DM1742" s="4" t="e">
        <f t="shared" si="102"/>
        <v>#N/A</v>
      </c>
      <c r="DN1742" t="e">
        <f t="shared" si="103"/>
        <v>#N/A</v>
      </c>
      <c r="DO1742" t="e">
        <f t="shared" si="104"/>
        <v>#N/A</v>
      </c>
    </row>
    <row r="1743" spans="7:119" x14ac:dyDescent="0.25">
      <c r="G1743"/>
      <c r="DI1743" s="4">
        <f>INDEX(Sheet2!A:A,QUOTIENT(ROW()-1,19)+2)</f>
        <v>41353</v>
      </c>
      <c r="DJ1743" s="4">
        <f>INDEX(Sheet2!C:C,QUOTIENT(ROW()-1,19)+2)</f>
        <v>42369</v>
      </c>
      <c r="DK1743" s="4" t="e">
        <f>INDEX(Sheet2!$AA$2:$AS$228,QUOTIENT(ROW()-1,19)+1,MOD(ROW()-2,19)+1)</f>
        <v>#N/A</v>
      </c>
      <c r="DL1743" t="str">
        <f>IFERROR(INDEX(Sheet2!$AU$2:$BM$228,QUOTIENT(ROW()-1,19)+1,MOD(ROW()-2,19)+1),NA())</f>
        <v/>
      </c>
      <c r="DM1743" s="4" t="e">
        <f t="shared" si="102"/>
        <v>#N/A</v>
      </c>
      <c r="DN1743" t="e">
        <f t="shared" si="103"/>
        <v>#N/A</v>
      </c>
      <c r="DO1743" t="e">
        <f t="shared" si="104"/>
        <v>#N/A</v>
      </c>
    </row>
    <row r="1744" spans="7:119" x14ac:dyDescent="0.25">
      <c r="G1744"/>
      <c r="DI1744" s="4">
        <f>INDEX(Sheet2!A:A,QUOTIENT(ROW()-1,19)+2)</f>
        <v>41353</v>
      </c>
      <c r="DJ1744" s="4">
        <f>INDEX(Sheet2!C:C,QUOTIENT(ROW()-1,19)+2)</f>
        <v>42369</v>
      </c>
      <c r="DK1744" s="4" t="e">
        <f>INDEX(Sheet2!$AA$2:$AS$228,QUOTIENT(ROW()-1,19)+1,MOD(ROW()-2,19)+1)</f>
        <v>#N/A</v>
      </c>
      <c r="DL1744" t="str">
        <f>IFERROR(INDEX(Sheet2!$AU$2:$BM$228,QUOTIENT(ROW()-1,19)+1,MOD(ROW()-2,19)+1),NA())</f>
        <v/>
      </c>
      <c r="DM1744" s="4" t="e">
        <f t="shared" si="102"/>
        <v>#N/A</v>
      </c>
      <c r="DN1744" t="e">
        <f t="shared" si="103"/>
        <v>#N/A</v>
      </c>
      <c r="DO1744" t="e">
        <f t="shared" si="104"/>
        <v>#N/A</v>
      </c>
    </row>
    <row r="1745" spans="7:119" x14ac:dyDescent="0.25">
      <c r="G1745"/>
      <c r="DI1745" s="4">
        <f>INDEX(Sheet2!A:A,QUOTIENT(ROW()-1,19)+2)</f>
        <v>41353</v>
      </c>
      <c r="DJ1745" s="4">
        <f>INDEX(Sheet2!C:C,QUOTIENT(ROW()-1,19)+2)</f>
        <v>42369</v>
      </c>
      <c r="DK1745" s="4" t="e">
        <f>INDEX(Sheet2!$AA$2:$AS$228,QUOTIENT(ROW()-1,19)+1,MOD(ROW()-2,19)+1)</f>
        <v>#N/A</v>
      </c>
      <c r="DL1745" t="str">
        <f>IFERROR(INDEX(Sheet2!$AU$2:$BM$228,QUOTIENT(ROW()-1,19)+1,MOD(ROW()-2,19)+1),NA())</f>
        <v/>
      </c>
      <c r="DM1745" s="4" t="e">
        <f t="shared" si="102"/>
        <v>#N/A</v>
      </c>
      <c r="DN1745" t="e">
        <f t="shared" si="103"/>
        <v>#N/A</v>
      </c>
      <c r="DO1745" t="e">
        <f t="shared" si="104"/>
        <v>#N/A</v>
      </c>
    </row>
    <row r="1746" spans="7:119" x14ac:dyDescent="0.25">
      <c r="G1746"/>
      <c r="DI1746" s="4">
        <f>INDEX(Sheet2!A:A,QUOTIENT(ROW()-1,19)+2)</f>
        <v>41353</v>
      </c>
      <c r="DJ1746" s="4">
        <f>INDEX(Sheet2!C:C,QUOTIENT(ROW()-1,19)+2)</f>
        <v>42369</v>
      </c>
      <c r="DK1746" s="4" t="e">
        <f>INDEX(Sheet2!$AA$2:$AS$228,QUOTIENT(ROW()-1,19)+1,MOD(ROW()-2,19)+1)</f>
        <v>#N/A</v>
      </c>
      <c r="DL1746" t="str">
        <f>IFERROR(INDEX(Sheet2!$AU$2:$BM$228,QUOTIENT(ROW()-1,19)+1,MOD(ROW()-2,19)+1),NA())</f>
        <v/>
      </c>
      <c r="DM1746" s="4" t="e">
        <f t="shared" si="102"/>
        <v>#N/A</v>
      </c>
      <c r="DN1746" t="e">
        <f t="shared" si="103"/>
        <v>#N/A</v>
      </c>
      <c r="DO1746" t="e">
        <f t="shared" si="104"/>
        <v>#N/A</v>
      </c>
    </row>
    <row r="1747" spans="7:119" x14ac:dyDescent="0.25">
      <c r="G1747"/>
      <c r="DI1747" s="4">
        <f>INDEX(Sheet2!A:A,QUOTIENT(ROW()-1,19)+2)</f>
        <v>41353</v>
      </c>
      <c r="DJ1747" s="4">
        <f>INDEX(Sheet2!C:C,QUOTIENT(ROW()-1,19)+2)</f>
        <v>42369</v>
      </c>
      <c r="DK1747" s="4" t="e">
        <f>INDEX(Sheet2!$AA$2:$AS$228,QUOTIENT(ROW()-1,19)+1,MOD(ROW()-2,19)+1)</f>
        <v>#N/A</v>
      </c>
      <c r="DL1747" t="str">
        <f>IFERROR(INDEX(Sheet2!$AU$2:$BM$228,QUOTIENT(ROW()-1,19)+1,MOD(ROW()-2,19)+1),NA())</f>
        <v/>
      </c>
      <c r="DM1747" s="4" t="e">
        <f t="shared" si="102"/>
        <v>#N/A</v>
      </c>
      <c r="DN1747" t="e">
        <f t="shared" si="103"/>
        <v>#N/A</v>
      </c>
      <c r="DO1747" t="e">
        <f t="shared" si="104"/>
        <v>#N/A</v>
      </c>
    </row>
    <row r="1748" spans="7:119" x14ac:dyDescent="0.25">
      <c r="G1748"/>
      <c r="DI1748" s="4">
        <f>INDEX(Sheet2!A:A,QUOTIENT(ROW()-1,19)+2)</f>
        <v>41353</v>
      </c>
      <c r="DJ1748" s="4">
        <f>INDEX(Sheet2!C:C,QUOTIENT(ROW()-1,19)+2)</f>
        <v>42369</v>
      </c>
      <c r="DK1748" s="4" t="e">
        <f>INDEX(Sheet2!$AA$2:$AS$228,QUOTIENT(ROW()-1,19)+1,MOD(ROW()-2,19)+1)</f>
        <v>#N/A</v>
      </c>
      <c r="DL1748" t="str">
        <f>IFERROR(INDEX(Sheet2!$AU$2:$BM$228,QUOTIENT(ROW()-1,19)+1,MOD(ROW()-2,19)+1),NA())</f>
        <v/>
      </c>
      <c r="DM1748" s="4" t="e">
        <f t="shared" si="102"/>
        <v>#N/A</v>
      </c>
      <c r="DN1748" t="e">
        <f t="shared" si="103"/>
        <v>#N/A</v>
      </c>
      <c r="DO1748" t="e">
        <f t="shared" si="104"/>
        <v>#N/A</v>
      </c>
    </row>
    <row r="1749" spans="7:119" x14ac:dyDescent="0.25">
      <c r="G1749"/>
      <c r="DI1749" s="4">
        <f>INDEX(Sheet2!A:A,QUOTIENT(ROW()-1,19)+2)</f>
        <v>41353</v>
      </c>
      <c r="DJ1749" s="4">
        <f>INDEX(Sheet2!C:C,QUOTIENT(ROW()-1,19)+2)</f>
        <v>43100</v>
      </c>
      <c r="DK1749" s="4" t="e">
        <f>INDEX(Sheet2!$AA$2:$AS$228,QUOTIENT(ROW()-1,19)+1,MOD(ROW()-2,19)+1)</f>
        <v>#N/A</v>
      </c>
      <c r="DL1749" t="str">
        <f>IFERROR(INDEX(Sheet2!$AU$2:$BM$228,QUOTIENT(ROW()-1,19)+1,MOD(ROW()-2,19)+1),NA())</f>
        <v/>
      </c>
      <c r="DM1749" s="4" t="e">
        <f t="shared" si="102"/>
        <v>#N/A</v>
      </c>
      <c r="DN1749" t="e">
        <f t="shared" si="103"/>
        <v>#N/A</v>
      </c>
      <c r="DO1749" t="e">
        <f t="shared" si="104"/>
        <v>#N/A</v>
      </c>
    </row>
    <row r="1750" spans="7:119" x14ac:dyDescent="0.25">
      <c r="G1750"/>
      <c r="DI1750" s="4">
        <f>INDEX(Sheet2!A:A,QUOTIENT(ROW()-1,19)+2)</f>
        <v>41353</v>
      </c>
      <c r="DJ1750" s="4">
        <f>INDEX(Sheet2!C:C,QUOTIENT(ROW()-1,19)+2)</f>
        <v>43100</v>
      </c>
      <c r="DK1750" s="4">
        <f>INDEX(Sheet2!$AA$2:$AS$228,QUOTIENT(ROW()-1,19)+1,MOD(ROW()-2,19)+1)</f>
        <v>43100</v>
      </c>
      <c r="DL1750">
        <f>IFERROR(INDEX(Sheet2!$AU$2:$BM$228,QUOTIENT(ROW()-1,19)+1,MOD(ROW()-2,19)+1),NA())</f>
        <v>3.25</v>
      </c>
      <c r="DM1750" s="4" t="e">
        <f t="shared" si="102"/>
        <v>#N/A</v>
      </c>
      <c r="DN1750" t="e">
        <f t="shared" si="103"/>
        <v>#N/A</v>
      </c>
      <c r="DO1750" t="e">
        <f t="shared" si="104"/>
        <v>#N/A</v>
      </c>
    </row>
    <row r="1751" spans="7:119" x14ac:dyDescent="0.25">
      <c r="G1751"/>
      <c r="DI1751" s="4">
        <f>INDEX(Sheet2!A:A,QUOTIENT(ROW()-1,19)+2)</f>
        <v>41353</v>
      </c>
      <c r="DJ1751" s="4">
        <f>INDEX(Sheet2!C:C,QUOTIENT(ROW()-1,19)+2)</f>
        <v>43100</v>
      </c>
      <c r="DK1751" s="4" t="e">
        <f>INDEX(Sheet2!$AA$2:$AS$228,QUOTIENT(ROW()-1,19)+1,MOD(ROW()-2,19)+1)</f>
        <v>#N/A</v>
      </c>
      <c r="DL1751" t="str">
        <f>IFERROR(INDEX(Sheet2!$AU$2:$BM$228,QUOTIENT(ROW()-1,19)+1,MOD(ROW()-2,19)+1),NA())</f>
        <v/>
      </c>
      <c r="DM1751" s="4" t="e">
        <f t="shared" si="102"/>
        <v>#N/A</v>
      </c>
      <c r="DN1751" t="e">
        <f t="shared" si="103"/>
        <v>#N/A</v>
      </c>
      <c r="DO1751" t="e">
        <f t="shared" si="104"/>
        <v>#N/A</v>
      </c>
    </row>
    <row r="1752" spans="7:119" x14ac:dyDescent="0.25">
      <c r="G1752"/>
      <c r="DI1752" s="4">
        <f>INDEX(Sheet2!A:A,QUOTIENT(ROW()-1,19)+2)</f>
        <v>41353</v>
      </c>
      <c r="DJ1752" s="4">
        <f>INDEX(Sheet2!C:C,QUOTIENT(ROW()-1,19)+2)</f>
        <v>43100</v>
      </c>
      <c r="DK1752" s="4" t="e">
        <f>INDEX(Sheet2!$AA$2:$AS$228,QUOTIENT(ROW()-1,19)+1,MOD(ROW()-2,19)+1)</f>
        <v>#N/A</v>
      </c>
      <c r="DL1752" t="str">
        <f>IFERROR(INDEX(Sheet2!$AU$2:$BM$228,QUOTIENT(ROW()-1,19)+1,MOD(ROW()-2,19)+1),NA())</f>
        <v/>
      </c>
      <c r="DM1752" s="4" t="e">
        <f t="shared" si="102"/>
        <v>#N/A</v>
      </c>
      <c r="DN1752" t="e">
        <f t="shared" si="103"/>
        <v>#N/A</v>
      </c>
      <c r="DO1752" t="e">
        <f t="shared" si="104"/>
        <v>#N/A</v>
      </c>
    </row>
    <row r="1753" spans="7:119" x14ac:dyDescent="0.25">
      <c r="G1753"/>
      <c r="DI1753" s="4">
        <f>INDEX(Sheet2!A:A,QUOTIENT(ROW()-1,19)+2)</f>
        <v>41353</v>
      </c>
      <c r="DJ1753" s="4">
        <f>INDEX(Sheet2!C:C,QUOTIENT(ROW()-1,19)+2)</f>
        <v>43100</v>
      </c>
      <c r="DK1753" s="4" t="e">
        <f>INDEX(Sheet2!$AA$2:$AS$228,QUOTIENT(ROW()-1,19)+1,MOD(ROW()-2,19)+1)</f>
        <v>#N/A</v>
      </c>
      <c r="DL1753" t="str">
        <f>IFERROR(INDEX(Sheet2!$AU$2:$BM$228,QUOTIENT(ROW()-1,19)+1,MOD(ROW()-2,19)+1),NA())</f>
        <v/>
      </c>
      <c r="DM1753" s="4" t="e">
        <f t="shared" si="102"/>
        <v>#N/A</v>
      </c>
      <c r="DN1753" t="e">
        <f t="shared" si="103"/>
        <v>#N/A</v>
      </c>
      <c r="DO1753" t="e">
        <f t="shared" si="104"/>
        <v>#N/A</v>
      </c>
    </row>
    <row r="1754" spans="7:119" x14ac:dyDescent="0.25">
      <c r="G1754"/>
      <c r="DI1754" s="4">
        <f>INDEX(Sheet2!A:A,QUOTIENT(ROW()-1,19)+2)</f>
        <v>41353</v>
      </c>
      <c r="DJ1754" s="4">
        <f>INDEX(Sheet2!C:C,QUOTIENT(ROW()-1,19)+2)</f>
        <v>43100</v>
      </c>
      <c r="DK1754" s="4" t="e">
        <f>INDEX(Sheet2!$AA$2:$AS$228,QUOTIENT(ROW()-1,19)+1,MOD(ROW()-2,19)+1)</f>
        <v>#N/A</v>
      </c>
      <c r="DL1754" t="str">
        <f>IFERROR(INDEX(Sheet2!$AU$2:$BM$228,QUOTIENT(ROW()-1,19)+1,MOD(ROW()-2,19)+1),NA())</f>
        <v/>
      </c>
      <c r="DM1754" s="4" t="e">
        <f t="shared" si="102"/>
        <v>#N/A</v>
      </c>
      <c r="DN1754" t="e">
        <f t="shared" si="103"/>
        <v>#N/A</v>
      </c>
      <c r="DO1754" t="e">
        <f t="shared" si="104"/>
        <v>#N/A</v>
      </c>
    </row>
    <row r="1755" spans="7:119" x14ac:dyDescent="0.25">
      <c r="G1755"/>
      <c r="DI1755" s="4">
        <f>INDEX(Sheet2!A:A,QUOTIENT(ROW()-1,19)+2)</f>
        <v>41353</v>
      </c>
      <c r="DJ1755" s="4">
        <f>INDEX(Sheet2!C:C,QUOTIENT(ROW()-1,19)+2)</f>
        <v>43100</v>
      </c>
      <c r="DK1755" s="4" t="e">
        <f>INDEX(Sheet2!$AA$2:$AS$228,QUOTIENT(ROW()-1,19)+1,MOD(ROW()-2,19)+1)</f>
        <v>#N/A</v>
      </c>
      <c r="DL1755" t="str">
        <f>IFERROR(INDEX(Sheet2!$AU$2:$BM$228,QUOTIENT(ROW()-1,19)+1,MOD(ROW()-2,19)+1),NA())</f>
        <v/>
      </c>
      <c r="DM1755" s="4" t="e">
        <f t="shared" si="102"/>
        <v>#N/A</v>
      </c>
      <c r="DN1755" t="e">
        <f t="shared" si="103"/>
        <v>#N/A</v>
      </c>
      <c r="DO1755" t="e">
        <f t="shared" si="104"/>
        <v>#N/A</v>
      </c>
    </row>
    <row r="1756" spans="7:119" x14ac:dyDescent="0.25">
      <c r="G1756"/>
      <c r="DI1756" s="4">
        <f>INDEX(Sheet2!A:A,QUOTIENT(ROW()-1,19)+2)</f>
        <v>41353</v>
      </c>
      <c r="DJ1756" s="4">
        <f>INDEX(Sheet2!C:C,QUOTIENT(ROW()-1,19)+2)</f>
        <v>43100</v>
      </c>
      <c r="DK1756" s="4" t="e">
        <f>INDEX(Sheet2!$AA$2:$AS$228,QUOTIENT(ROW()-1,19)+1,MOD(ROW()-2,19)+1)</f>
        <v>#N/A</v>
      </c>
      <c r="DL1756" t="str">
        <f>IFERROR(INDEX(Sheet2!$AU$2:$BM$228,QUOTIENT(ROW()-1,19)+1,MOD(ROW()-2,19)+1),NA())</f>
        <v/>
      </c>
      <c r="DM1756" s="4" t="e">
        <f t="shared" si="102"/>
        <v>#N/A</v>
      </c>
      <c r="DN1756" t="e">
        <f t="shared" si="103"/>
        <v>#N/A</v>
      </c>
      <c r="DO1756" t="e">
        <f t="shared" si="104"/>
        <v>#N/A</v>
      </c>
    </row>
    <row r="1757" spans="7:119" x14ac:dyDescent="0.25">
      <c r="G1757"/>
      <c r="DI1757" s="4">
        <f>INDEX(Sheet2!A:A,QUOTIENT(ROW()-1,19)+2)</f>
        <v>41353</v>
      </c>
      <c r="DJ1757" s="4">
        <f>INDEX(Sheet2!C:C,QUOTIENT(ROW()-1,19)+2)</f>
        <v>43100</v>
      </c>
      <c r="DK1757" s="4" t="e">
        <f>INDEX(Sheet2!$AA$2:$AS$228,QUOTIENT(ROW()-1,19)+1,MOD(ROW()-2,19)+1)</f>
        <v>#N/A</v>
      </c>
      <c r="DL1757" t="str">
        <f>IFERROR(INDEX(Sheet2!$AU$2:$BM$228,QUOTIENT(ROW()-1,19)+1,MOD(ROW()-2,19)+1),NA())</f>
        <v/>
      </c>
      <c r="DM1757" s="4" t="e">
        <f t="shared" si="102"/>
        <v>#N/A</v>
      </c>
      <c r="DN1757" t="e">
        <f t="shared" si="103"/>
        <v>#N/A</v>
      </c>
      <c r="DO1757" t="e">
        <f t="shared" si="104"/>
        <v>#N/A</v>
      </c>
    </row>
    <row r="1758" spans="7:119" x14ac:dyDescent="0.25">
      <c r="G1758"/>
      <c r="DI1758" s="4">
        <f>INDEX(Sheet2!A:A,QUOTIENT(ROW()-1,19)+2)</f>
        <v>41353</v>
      </c>
      <c r="DJ1758" s="4">
        <f>INDEX(Sheet2!C:C,QUOTIENT(ROW()-1,19)+2)</f>
        <v>43100</v>
      </c>
      <c r="DK1758" s="4" t="e">
        <f>INDEX(Sheet2!$AA$2:$AS$228,QUOTIENT(ROW()-1,19)+1,MOD(ROW()-2,19)+1)</f>
        <v>#N/A</v>
      </c>
      <c r="DL1758" t="str">
        <f>IFERROR(INDEX(Sheet2!$AU$2:$BM$228,QUOTIENT(ROW()-1,19)+1,MOD(ROW()-2,19)+1),NA())</f>
        <v/>
      </c>
      <c r="DM1758" s="4" t="e">
        <f t="shared" si="102"/>
        <v>#N/A</v>
      </c>
      <c r="DN1758" t="e">
        <f t="shared" si="103"/>
        <v>#N/A</v>
      </c>
      <c r="DO1758" t="e">
        <f t="shared" si="104"/>
        <v>#N/A</v>
      </c>
    </row>
    <row r="1759" spans="7:119" x14ac:dyDescent="0.25">
      <c r="G1759"/>
      <c r="DI1759" s="4">
        <f>INDEX(Sheet2!A:A,QUOTIENT(ROW()-1,19)+2)</f>
        <v>41353</v>
      </c>
      <c r="DJ1759" s="4">
        <f>INDEX(Sheet2!C:C,QUOTIENT(ROW()-1,19)+2)</f>
        <v>43100</v>
      </c>
      <c r="DK1759" s="4" t="e">
        <f>INDEX(Sheet2!$AA$2:$AS$228,QUOTIENT(ROW()-1,19)+1,MOD(ROW()-2,19)+1)</f>
        <v>#N/A</v>
      </c>
      <c r="DL1759" t="str">
        <f>IFERROR(INDEX(Sheet2!$AU$2:$BM$228,QUOTIENT(ROW()-1,19)+1,MOD(ROW()-2,19)+1),NA())</f>
        <v/>
      </c>
      <c r="DM1759" s="4" t="e">
        <f t="shared" si="102"/>
        <v>#N/A</v>
      </c>
      <c r="DN1759" t="e">
        <f t="shared" si="103"/>
        <v>#N/A</v>
      </c>
      <c r="DO1759" t="e">
        <f t="shared" si="104"/>
        <v>#N/A</v>
      </c>
    </row>
    <row r="1760" spans="7:119" x14ac:dyDescent="0.25">
      <c r="G1760"/>
      <c r="DI1760" s="4">
        <f>INDEX(Sheet2!A:A,QUOTIENT(ROW()-1,19)+2)</f>
        <v>41353</v>
      </c>
      <c r="DJ1760" s="4">
        <f>INDEX(Sheet2!C:C,QUOTIENT(ROW()-1,19)+2)</f>
        <v>43100</v>
      </c>
      <c r="DK1760" s="4" t="e">
        <f>INDEX(Sheet2!$AA$2:$AS$228,QUOTIENT(ROW()-1,19)+1,MOD(ROW()-2,19)+1)</f>
        <v>#N/A</v>
      </c>
      <c r="DL1760" t="str">
        <f>IFERROR(INDEX(Sheet2!$AU$2:$BM$228,QUOTIENT(ROW()-1,19)+1,MOD(ROW()-2,19)+1),NA())</f>
        <v/>
      </c>
      <c r="DM1760" s="4" t="e">
        <f t="shared" si="102"/>
        <v>#N/A</v>
      </c>
      <c r="DN1760" t="e">
        <f t="shared" si="103"/>
        <v>#N/A</v>
      </c>
      <c r="DO1760" t="e">
        <f t="shared" si="104"/>
        <v>#N/A</v>
      </c>
    </row>
    <row r="1761" spans="7:119" x14ac:dyDescent="0.25">
      <c r="G1761"/>
      <c r="DI1761" s="4">
        <f>INDEX(Sheet2!A:A,QUOTIENT(ROW()-1,19)+2)</f>
        <v>41353</v>
      </c>
      <c r="DJ1761" s="4">
        <f>INDEX(Sheet2!C:C,QUOTIENT(ROW()-1,19)+2)</f>
        <v>43100</v>
      </c>
      <c r="DK1761" s="4" t="e">
        <f>INDEX(Sheet2!$AA$2:$AS$228,QUOTIENT(ROW()-1,19)+1,MOD(ROW()-2,19)+1)</f>
        <v>#N/A</v>
      </c>
      <c r="DL1761" t="str">
        <f>IFERROR(INDEX(Sheet2!$AU$2:$BM$228,QUOTIENT(ROW()-1,19)+1,MOD(ROW()-2,19)+1),NA())</f>
        <v/>
      </c>
      <c r="DM1761" s="4" t="e">
        <f t="shared" si="102"/>
        <v>#N/A</v>
      </c>
      <c r="DN1761" t="e">
        <f t="shared" si="103"/>
        <v>#N/A</v>
      </c>
      <c r="DO1761" t="e">
        <f t="shared" si="104"/>
        <v>#N/A</v>
      </c>
    </row>
    <row r="1762" spans="7:119" x14ac:dyDescent="0.25">
      <c r="G1762"/>
      <c r="DI1762" s="4">
        <f>INDEX(Sheet2!A:A,QUOTIENT(ROW()-1,19)+2)</f>
        <v>41353</v>
      </c>
      <c r="DJ1762" s="4">
        <f>INDEX(Sheet2!C:C,QUOTIENT(ROW()-1,19)+2)</f>
        <v>43100</v>
      </c>
      <c r="DK1762" s="4" t="e">
        <f>INDEX(Sheet2!$AA$2:$AS$228,QUOTIENT(ROW()-1,19)+1,MOD(ROW()-2,19)+1)</f>
        <v>#N/A</v>
      </c>
      <c r="DL1762" t="str">
        <f>IFERROR(INDEX(Sheet2!$AU$2:$BM$228,QUOTIENT(ROW()-1,19)+1,MOD(ROW()-2,19)+1),NA())</f>
        <v/>
      </c>
      <c r="DM1762" s="4" t="e">
        <f t="shared" si="102"/>
        <v>#N/A</v>
      </c>
      <c r="DN1762" t="e">
        <f t="shared" si="103"/>
        <v>#N/A</v>
      </c>
      <c r="DO1762" t="e">
        <f t="shared" si="104"/>
        <v>#N/A</v>
      </c>
    </row>
    <row r="1763" spans="7:119" x14ac:dyDescent="0.25">
      <c r="G1763"/>
      <c r="DI1763" s="4">
        <f>INDEX(Sheet2!A:A,QUOTIENT(ROW()-1,19)+2)</f>
        <v>41353</v>
      </c>
      <c r="DJ1763" s="4">
        <f>INDEX(Sheet2!C:C,QUOTIENT(ROW()-1,19)+2)</f>
        <v>43100</v>
      </c>
      <c r="DK1763" s="4" t="e">
        <f>INDEX(Sheet2!$AA$2:$AS$228,QUOTIENT(ROW()-1,19)+1,MOD(ROW()-2,19)+1)</f>
        <v>#N/A</v>
      </c>
      <c r="DL1763" t="str">
        <f>IFERROR(INDEX(Sheet2!$AU$2:$BM$228,QUOTIENT(ROW()-1,19)+1,MOD(ROW()-2,19)+1),NA())</f>
        <v/>
      </c>
      <c r="DM1763" s="4" t="e">
        <f t="shared" si="102"/>
        <v>#N/A</v>
      </c>
      <c r="DN1763" t="e">
        <f t="shared" si="103"/>
        <v>#N/A</v>
      </c>
      <c r="DO1763" t="e">
        <f t="shared" si="104"/>
        <v>#N/A</v>
      </c>
    </row>
    <row r="1764" spans="7:119" x14ac:dyDescent="0.25">
      <c r="G1764"/>
      <c r="DI1764" s="4">
        <f>INDEX(Sheet2!A:A,QUOTIENT(ROW()-1,19)+2)</f>
        <v>41353</v>
      </c>
      <c r="DJ1764" s="4">
        <f>INDEX(Sheet2!C:C,QUOTIENT(ROW()-1,19)+2)</f>
        <v>43100</v>
      </c>
      <c r="DK1764" s="4" t="e">
        <f>INDEX(Sheet2!$AA$2:$AS$228,QUOTIENT(ROW()-1,19)+1,MOD(ROW()-2,19)+1)</f>
        <v>#N/A</v>
      </c>
      <c r="DL1764" t="str">
        <f>IFERROR(INDEX(Sheet2!$AU$2:$BM$228,QUOTIENT(ROW()-1,19)+1,MOD(ROW()-2,19)+1),NA())</f>
        <v/>
      </c>
      <c r="DM1764" s="4" t="e">
        <f t="shared" si="102"/>
        <v>#N/A</v>
      </c>
      <c r="DN1764" t="e">
        <f t="shared" si="103"/>
        <v>#N/A</v>
      </c>
      <c r="DO1764" t="e">
        <f t="shared" si="104"/>
        <v>#N/A</v>
      </c>
    </row>
    <row r="1765" spans="7:119" x14ac:dyDescent="0.25">
      <c r="G1765"/>
      <c r="DI1765" s="4">
        <f>INDEX(Sheet2!A:A,QUOTIENT(ROW()-1,19)+2)</f>
        <v>41353</v>
      </c>
      <c r="DJ1765" s="4">
        <f>INDEX(Sheet2!C:C,QUOTIENT(ROW()-1,19)+2)</f>
        <v>43100</v>
      </c>
      <c r="DK1765" s="4" t="e">
        <f>INDEX(Sheet2!$AA$2:$AS$228,QUOTIENT(ROW()-1,19)+1,MOD(ROW()-2,19)+1)</f>
        <v>#N/A</v>
      </c>
      <c r="DL1765" t="str">
        <f>IFERROR(INDEX(Sheet2!$AU$2:$BM$228,QUOTIENT(ROW()-1,19)+1,MOD(ROW()-2,19)+1),NA())</f>
        <v/>
      </c>
      <c r="DM1765" s="4" t="e">
        <f t="shared" si="102"/>
        <v>#N/A</v>
      </c>
      <c r="DN1765" t="e">
        <f t="shared" si="103"/>
        <v>#N/A</v>
      </c>
      <c r="DO1765" t="e">
        <f t="shared" si="104"/>
        <v>#N/A</v>
      </c>
    </row>
    <row r="1766" spans="7:119" x14ac:dyDescent="0.25">
      <c r="G1766"/>
      <c r="DI1766" s="4">
        <f>INDEX(Sheet2!A:A,QUOTIENT(ROW()-1,19)+2)</f>
        <v>41353</v>
      </c>
      <c r="DJ1766" s="4">
        <f>INDEX(Sheet2!C:C,QUOTIENT(ROW()-1,19)+2)</f>
        <v>43100</v>
      </c>
      <c r="DK1766" s="4" t="e">
        <f>INDEX(Sheet2!$AA$2:$AS$228,QUOTIENT(ROW()-1,19)+1,MOD(ROW()-2,19)+1)</f>
        <v>#N/A</v>
      </c>
      <c r="DL1766" t="str">
        <f>IFERROR(INDEX(Sheet2!$AU$2:$BM$228,QUOTIENT(ROW()-1,19)+1,MOD(ROW()-2,19)+1),NA())</f>
        <v/>
      </c>
      <c r="DM1766" s="4" t="e">
        <f t="shared" si="102"/>
        <v>#N/A</v>
      </c>
      <c r="DN1766" t="e">
        <f t="shared" si="103"/>
        <v>#N/A</v>
      </c>
      <c r="DO1766" t="e">
        <f t="shared" si="104"/>
        <v>#N/A</v>
      </c>
    </row>
    <row r="1767" spans="7:119" x14ac:dyDescent="0.25">
      <c r="G1767"/>
      <c r="DI1767" s="4">
        <f>INDEX(Sheet2!A:A,QUOTIENT(ROW()-1,19)+2)</f>
        <v>41353</v>
      </c>
      <c r="DJ1767" s="4">
        <f>INDEX(Sheet2!C:C,QUOTIENT(ROW()-1,19)+2)</f>
        <v>43100</v>
      </c>
      <c r="DK1767" s="4" t="e">
        <f>INDEX(Sheet2!$AA$2:$AS$228,QUOTIENT(ROW()-1,19)+1,MOD(ROW()-2,19)+1)</f>
        <v>#N/A</v>
      </c>
      <c r="DL1767" t="str">
        <f>IFERROR(INDEX(Sheet2!$AU$2:$BM$228,QUOTIENT(ROW()-1,19)+1,MOD(ROW()-2,19)+1),NA())</f>
        <v/>
      </c>
      <c r="DM1767" s="4" t="e">
        <f t="shared" si="102"/>
        <v>#N/A</v>
      </c>
      <c r="DN1767" t="e">
        <f t="shared" si="103"/>
        <v>#N/A</v>
      </c>
      <c r="DO1767" t="e">
        <f t="shared" si="104"/>
        <v>#N/A</v>
      </c>
    </row>
    <row r="1768" spans="7:119" x14ac:dyDescent="0.25">
      <c r="G1768"/>
      <c r="DI1768" s="4">
        <f>INDEX(Sheet2!A:A,QUOTIENT(ROW()-1,19)+2)</f>
        <v>41353</v>
      </c>
      <c r="DJ1768" s="4">
        <f>INDEX(Sheet2!C:C,QUOTIENT(ROW()-1,19)+2)</f>
        <v>43100</v>
      </c>
      <c r="DK1768" s="4" t="e">
        <f>INDEX(Sheet2!$AA$2:$AS$228,QUOTIENT(ROW()-1,19)+1,MOD(ROW()-2,19)+1)</f>
        <v>#N/A</v>
      </c>
      <c r="DL1768" t="str">
        <f>IFERROR(INDEX(Sheet2!$AU$2:$BM$228,QUOTIENT(ROW()-1,19)+1,MOD(ROW()-2,19)+1),NA())</f>
        <v/>
      </c>
      <c r="DM1768" s="4" t="e">
        <f t="shared" si="102"/>
        <v>#N/A</v>
      </c>
      <c r="DN1768" t="e">
        <f t="shared" si="103"/>
        <v>#N/A</v>
      </c>
      <c r="DO1768" t="e">
        <f t="shared" si="104"/>
        <v>#N/A</v>
      </c>
    </row>
    <row r="1769" spans="7:119" x14ac:dyDescent="0.25">
      <c r="G1769"/>
      <c r="DI1769" s="4">
        <f>INDEX(Sheet2!A:A,QUOTIENT(ROW()-1,19)+2)</f>
        <v>41353</v>
      </c>
      <c r="DJ1769" s="4">
        <f>INDEX(Sheet2!C:C,QUOTIENT(ROW()-1,19)+2)</f>
        <v>43100</v>
      </c>
      <c r="DK1769" s="4">
        <f>INDEX(Sheet2!$AA$2:$AS$228,QUOTIENT(ROW()-1,19)+1,MOD(ROW()-2,19)+1)</f>
        <v>43089.962500000001</v>
      </c>
      <c r="DL1769">
        <f>IFERROR(INDEX(Sheet2!$AU$2:$BM$228,QUOTIENT(ROW()-1,19)+1,MOD(ROW()-2,19)+1),NA())</f>
        <v>3.5</v>
      </c>
      <c r="DM1769" s="4" t="e">
        <f t="shared" si="102"/>
        <v>#N/A</v>
      </c>
      <c r="DN1769" t="e">
        <f t="shared" si="103"/>
        <v>#N/A</v>
      </c>
      <c r="DO1769" t="e">
        <f t="shared" si="104"/>
        <v>#N/A</v>
      </c>
    </row>
    <row r="1770" spans="7:119" x14ac:dyDescent="0.25">
      <c r="G1770"/>
      <c r="DI1770" s="4">
        <f>INDEX(Sheet2!A:A,QUOTIENT(ROW()-1,19)+2)</f>
        <v>41353</v>
      </c>
      <c r="DJ1770" s="4">
        <f>INDEX(Sheet2!C:C,QUOTIENT(ROW()-1,19)+2)</f>
        <v>43100</v>
      </c>
      <c r="DK1770" s="4">
        <f>INDEX(Sheet2!$AA$2:$AS$228,QUOTIENT(ROW()-1,19)+1,MOD(ROW()-2,19)+1)</f>
        <v>43110.037500000006</v>
      </c>
      <c r="DL1770">
        <f>IFERROR(INDEX(Sheet2!$AU$2:$BM$228,QUOTIENT(ROW()-1,19)+1,MOD(ROW()-2,19)+1),NA())</f>
        <v>3.5</v>
      </c>
      <c r="DM1770" s="4" t="e">
        <f t="shared" si="102"/>
        <v>#N/A</v>
      </c>
      <c r="DN1770" t="e">
        <f t="shared" si="103"/>
        <v>#N/A</v>
      </c>
      <c r="DO1770" t="e">
        <f t="shared" si="104"/>
        <v>#N/A</v>
      </c>
    </row>
    <row r="1771" spans="7:119" x14ac:dyDescent="0.25">
      <c r="G1771"/>
      <c r="DI1771" s="4">
        <f>INDEX(Sheet2!A:A,QUOTIENT(ROW()-1,19)+2)</f>
        <v>41353</v>
      </c>
      <c r="DJ1771" s="4">
        <f>INDEX(Sheet2!C:C,QUOTIENT(ROW()-1,19)+2)</f>
        <v>43100</v>
      </c>
      <c r="DK1771" s="4" t="e">
        <f>INDEX(Sheet2!$AA$2:$AS$228,QUOTIENT(ROW()-1,19)+1,MOD(ROW()-2,19)+1)</f>
        <v>#N/A</v>
      </c>
      <c r="DL1771" t="str">
        <f>IFERROR(INDEX(Sheet2!$AU$2:$BM$228,QUOTIENT(ROW()-1,19)+1,MOD(ROW()-2,19)+1),NA())</f>
        <v/>
      </c>
      <c r="DM1771" s="4" t="e">
        <f t="shared" si="102"/>
        <v>#N/A</v>
      </c>
      <c r="DN1771" t="e">
        <f t="shared" si="103"/>
        <v>#N/A</v>
      </c>
      <c r="DO1771" t="e">
        <f t="shared" si="104"/>
        <v>#N/A</v>
      </c>
    </row>
    <row r="1772" spans="7:119" x14ac:dyDescent="0.25">
      <c r="G1772"/>
      <c r="DI1772" s="4">
        <f>INDEX(Sheet2!A:A,QUOTIENT(ROW()-1,19)+2)</f>
        <v>41353</v>
      </c>
      <c r="DJ1772" s="4">
        <f>INDEX(Sheet2!C:C,QUOTIENT(ROW()-1,19)+2)</f>
        <v>43100</v>
      </c>
      <c r="DK1772" s="4" t="e">
        <f>INDEX(Sheet2!$AA$2:$AS$228,QUOTIENT(ROW()-1,19)+1,MOD(ROW()-2,19)+1)</f>
        <v>#N/A</v>
      </c>
      <c r="DL1772" t="str">
        <f>IFERROR(INDEX(Sheet2!$AU$2:$BM$228,QUOTIENT(ROW()-1,19)+1,MOD(ROW()-2,19)+1),NA())</f>
        <v/>
      </c>
      <c r="DM1772" s="4" t="e">
        <f t="shared" si="102"/>
        <v>#N/A</v>
      </c>
      <c r="DN1772" t="e">
        <f t="shared" si="103"/>
        <v>#N/A</v>
      </c>
      <c r="DO1772" t="e">
        <f t="shared" si="104"/>
        <v>#N/A</v>
      </c>
    </row>
    <row r="1773" spans="7:119" x14ac:dyDescent="0.25">
      <c r="G1773"/>
      <c r="DI1773" s="4">
        <f>INDEX(Sheet2!A:A,QUOTIENT(ROW()-1,19)+2)</f>
        <v>41353</v>
      </c>
      <c r="DJ1773" s="4">
        <f>INDEX(Sheet2!C:C,QUOTIENT(ROW()-1,19)+2)</f>
        <v>43100</v>
      </c>
      <c r="DK1773" s="4" t="e">
        <f>INDEX(Sheet2!$AA$2:$AS$228,QUOTIENT(ROW()-1,19)+1,MOD(ROW()-2,19)+1)</f>
        <v>#N/A</v>
      </c>
      <c r="DL1773" t="str">
        <f>IFERROR(INDEX(Sheet2!$AU$2:$BM$228,QUOTIENT(ROW()-1,19)+1,MOD(ROW()-2,19)+1),NA())</f>
        <v/>
      </c>
      <c r="DM1773" s="4" t="e">
        <f t="shared" si="102"/>
        <v>#N/A</v>
      </c>
      <c r="DN1773" t="e">
        <f t="shared" si="103"/>
        <v>#N/A</v>
      </c>
      <c r="DO1773" t="e">
        <f t="shared" si="104"/>
        <v>#N/A</v>
      </c>
    </row>
    <row r="1774" spans="7:119" x14ac:dyDescent="0.25">
      <c r="G1774"/>
      <c r="DI1774" s="4">
        <f>INDEX(Sheet2!A:A,QUOTIENT(ROW()-1,19)+2)</f>
        <v>41353</v>
      </c>
      <c r="DJ1774" s="4">
        <f>INDEX(Sheet2!C:C,QUOTIENT(ROW()-1,19)+2)</f>
        <v>43100</v>
      </c>
      <c r="DK1774" s="4" t="e">
        <f>INDEX(Sheet2!$AA$2:$AS$228,QUOTIENT(ROW()-1,19)+1,MOD(ROW()-2,19)+1)</f>
        <v>#N/A</v>
      </c>
      <c r="DL1774" t="str">
        <f>IFERROR(INDEX(Sheet2!$AU$2:$BM$228,QUOTIENT(ROW()-1,19)+1,MOD(ROW()-2,19)+1),NA())</f>
        <v/>
      </c>
      <c r="DM1774" s="4" t="e">
        <f t="shared" si="102"/>
        <v>#N/A</v>
      </c>
      <c r="DN1774" t="e">
        <f t="shared" si="103"/>
        <v>#N/A</v>
      </c>
      <c r="DO1774" t="e">
        <f t="shared" si="104"/>
        <v>#N/A</v>
      </c>
    </row>
    <row r="1775" spans="7:119" x14ac:dyDescent="0.25">
      <c r="G1775"/>
      <c r="DI1775" s="4">
        <f>INDEX(Sheet2!A:A,QUOTIENT(ROW()-1,19)+2)</f>
        <v>41353</v>
      </c>
      <c r="DJ1775" s="4">
        <f>INDEX(Sheet2!C:C,QUOTIENT(ROW()-1,19)+2)</f>
        <v>43100</v>
      </c>
      <c r="DK1775" s="4" t="e">
        <f>INDEX(Sheet2!$AA$2:$AS$228,QUOTIENT(ROW()-1,19)+1,MOD(ROW()-2,19)+1)</f>
        <v>#N/A</v>
      </c>
      <c r="DL1775" t="str">
        <f>IFERROR(INDEX(Sheet2!$AU$2:$BM$228,QUOTIENT(ROW()-1,19)+1,MOD(ROW()-2,19)+1),NA())</f>
        <v/>
      </c>
      <c r="DM1775" s="4" t="e">
        <f t="shared" si="102"/>
        <v>#N/A</v>
      </c>
      <c r="DN1775" t="e">
        <f t="shared" si="103"/>
        <v>#N/A</v>
      </c>
      <c r="DO1775" t="e">
        <f t="shared" si="104"/>
        <v>#N/A</v>
      </c>
    </row>
    <row r="1776" spans="7:119" x14ac:dyDescent="0.25">
      <c r="G1776"/>
      <c r="DI1776" s="4">
        <f>INDEX(Sheet2!A:A,QUOTIENT(ROW()-1,19)+2)</f>
        <v>41353</v>
      </c>
      <c r="DJ1776" s="4">
        <f>INDEX(Sheet2!C:C,QUOTIENT(ROW()-1,19)+2)</f>
        <v>43100</v>
      </c>
      <c r="DK1776" s="4" t="e">
        <f>INDEX(Sheet2!$AA$2:$AS$228,QUOTIENT(ROW()-1,19)+1,MOD(ROW()-2,19)+1)</f>
        <v>#N/A</v>
      </c>
      <c r="DL1776" t="str">
        <f>IFERROR(INDEX(Sheet2!$AU$2:$BM$228,QUOTIENT(ROW()-1,19)+1,MOD(ROW()-2,19)+1),NA())</f>
        <v/>
      </c>
      <c r="DM1776" s="4" t="e">
        <f t="shared" si="102"/>
        <v>#N/A</v>
      </c>
      <c r="DN1776" t="e">
        <f t="shared" si="103"/>
        <v>#N/A</v>
      </c>
      <c r="DO1776" t="e">
        <f t="shared" si="104"/>
        <v>#N/A</v>
      </c>
    </row>
    <row r="1777" spans="7:119" x14ac:dyDescent="0.25">
      <c r="G1777"/>
      <c r="DI1777" s="4">
        <f>INDEX(Sheet2!A:A,QUOTIENT(ROW()-1,19)+2)</f>
        <v>41353</v>
      </c>
      <c r="DJ1777" s="4">
        <f>INDEX(Sheet2!C:C,QUOTIENT(ROW()-1,19)+2)</f>
        <v>43100</v>
      </c>
      <c r="DK1777" s="4" t="e">
        <f>INDEX(Sheet2!$AA$2:$AS$228,QUOTIENT(ROW()-1,19)+1,MOD(ROW()-2,19)+1)</f>
        <v>#N/A</v>
      </c>
      <c r="DL1777" t="str">
        <f>IFERROR(INDEX(Sheet2!$AU$2:$BM$228,QUOTIENT(ROW()-1,19)+1,MOD(ROW()-2,19)+1),NA())</f>
        <v/>
      </c>
      <c r="DM1777" s="4" t="e">
        <f t="shared" si="102"/>
        <v>#N/A</v>
      </c>
      <c r="DN1777" t="e">
        <f t="shared" si="103"/>
        <v>#N/A</v>
      </c>
      <c r="DO1777" t="e">
        <f t="shared" si="104"/>
        <v>#N/A</v>
      </c>
    </row>
    <row r="1778" spans="7:119" x14ac:dyDescent="0.25">
      <c r="G1778"/>
      <c r="DI1778" s="4">
        <f>INDEX(Sheet2!A:A,QUOTIENT(ROW()-1,19)+2)</f>
        <v>41353</v>
      </c>
      <c r="DJ1778" s="4">
        <f>INDEX(Sheet2!C:C,QUOTIENT(ROW()-1,19)+2)</f>
        <v>43100</v>
      </c>
      <c r="DK1778" s="4" t="e">
        <f>INDEX(Sheet2!$AA$2:$AS$228,QUOTIENT(ROW()-1,19)+1,MOD(ROW()-2,19)+1)</f>
        <v>#N/A</v>
      </c>
      <c r="DL1778" t="str">
        <f>IFERROR(INDEX(Sheet2!$AU$2:$BM$228,QUOTIENT(ROW()-1,19)+1,MOD(ROW()-2,19)+1),NA())</f>
        <v/>
      </c>
      <c r="DM1778" s="4" t="e">
        <f t="shared" si="102"/>
        <v>#N/A</v>
      </c>
      <c r="DN1778" t="e">
        <f t="shared" si="103"/>
        <v>#N/A</v>
      </c>
      <c r="DO1778" t="e">
        <f t="shared" si="104"/>
        <v>#N/A</v>
      </c>
    </row>
    <row r="1779" spans="7:119" x14ac:dyDescent="0.25">
      <c r="G1779"/>
      <c r="DI1779" s="4">
        <f>INDEX(Sheet2!A:A,QUOTIENT(ROW()-1,19)+2)</f>
        <v>41353</v>
      </c>
      <c r="DJ1779" s="4">
        <f>INDEX(Sheet2!C:C,QUOTIENT(ROW()-1,19)+2)</f>
        <v>43100</v>
      </c>
      <c r="DK1779" s="4" t="e">
        <f>INDEX(Sheet2!$AA$2:$AS$228,QUOTIENT(ROW()-1,19)+1,MOD(ROW()-2,19)+1)</f>
        <v>#N/A</v>
      </c>
      <c r="DL1779" t="str">
        <f>IFERROR(INDEX(Sheet2!$AU$2:$BM$228,QUOTIENT(ROW()-1,19)+1,MOD(ROW()-2,19)+1),NA())</f>
        <v/>
      </c>
      <c r="DM1779" s="4" t="e">
        <f t="shared" si="102"/>
        <v>#N/A</v>
      </c>
      <c r="DN1779" t="e">
        <f t="shared" si="103"/>
        <v>#N/A</v>
      </c>
      <c r="DO1779" t="e">
        <f t="shared" si="104"/>
        <v>#N/A</v>
      </c>
    </row>
    <row r="1780" spans="7:119" x14ac:dyDescent="0.25">
      <c r="G1780"/>
      <c r="DI1780" s="4">
        <f>INDEX(Sheet2!A:A,QUOTIENT(ROW()-1,19)+2)</f>
        <v>41353</v>
      </c>
      <c r="DJ1780" s="4">
        <f>INDEX(Sheet2!C:C,QUOTIENT(ROW()-1,19)+2)</f>
        <v>43100</v>
      </c>
      <c r="DK1780" s="4" t="e">
        <f>INDEX(Sheet2!$AA$2:$AS$228,QUOTIENT(ROW()-1,19)+1,MOD(ROW()-2,19)+1)</f>
        <v>#N/A</v>
      </c>
      <c r="DL1780" t="str">
        <f>IFERROR(INDEX(Sheet2!$AU$2:$BM$228,QUOTIENT(ROW()-1,19)+1,MOD(ROW()-2,19)+1),NA())</f>
        <v/>
      </c>
      <c r="DM1780" s="4" t="e">
        <f t="shared" si="102"/>
        <v>#N/A</v>
      </c>
      <c r="DN1780" t="e">
        <f t="shared" si="103"/>
        <v>#N/A</v>
      </c>
      <c r="DO1780" t="e">
        <f t="shared" si="104"/>
        <v>#N/A</v>
      </c>
    </row>
    <row r="1781" spans="7:119" x14ac:dyDescent="0.25">
      <c r="G1781"/>
      <c r="DI1781" s="4">
        <f>INDEX(Sheet2!A:A,QUOTIENT(ROW()-1,19)+2)</f>
        <v>41353</v>
      </c>
      <c r="DJ1781" s="4">
        <f>INDEX(Sheet2!C:C,QUOTIENT(ROW()-1,19)+2)</f>
        <v>43100</v>
      </c>
      <c r="DK1781" s="4" t="e">
        <f>INDEX(Sheet2!$AA$2:$AS$228,QUOTIENT(ROW()-1,19)+1,MOD(ROW()-2,19)+1)</f>
        <v>#N/A</v>
      </c>
      <c r="DL1781" t="str">
        <f>IFERROR(INDEX(Sheet2!$AU$2:$BM$228,QUOTIENT(ROW()-1,19)+1,MOD(ROW()-2,19)+1),NA())</f>
        <v/>
      </c>
      <c r="DM1781" s="4" t="e">
        <f t="shared" si="102"/>
        <v>#N/A</v>
      </c>
      <c r="DN1781" t="e">
        <f t="shared" si="103"/>
        <v>#N/A</v>
      </c>
      <c r="DO1781" t="e">
        <f t="shared" si="104"/>
        <v>#N/A</v>
      </c>
    </row>
    <row r="1782" spans="7:119" x14ac:dyDescent="0.25">
      <c r="G1782"/>
      <c r="DI1782" s="4">
        <f>INDEX(Sheet2!A:A,QUOTIENT(ROW()-1,19)+2)</f>
        <v>41353</v>
      </c>
      <c r="DJ1782" s="4">
        <f>INDEX(Sheet2!C:C,QUOTIENT(ROW()-1,19)+2)</f>
        <v>43100</v>
      </c>
      <c r="DK1782" s="4" t="e">
        <f>INDEX(Sheet2!$AA$2:$AS$228,QUOTIENT(ROW()-1,19)+1,MOD(ROW()-2,19)+1)</f>
        <v>#N/A</v>
      </c>
      <c r="DL1782" t="str">
        <f>IFERROR(INDEX(Sheet2!$AU$2:$BM$228,QUOTIENT(ROW()-1,19)+1,MOD(ROW()-2,19)+1),NA())</f>
        <v/>
      </c>
      <c r="DM1782" s="4" t="e">
        <f t="shared" si="102"/>
        <v>#N/A</v>
      </c>
      <c r="DN1782" t="e">
        <f t="shared" si="103"/>
        <v>#N/A</v>
      </c>
      <c r="DO1782" t="e">
        <f t="shared" si="104"/>
        <v>#N/A</v>
      </c>
    </row>
    <row r="1783" spans="7:119" x14ac:dyDescent="0.25">
      <c r="G1783"/>
      <c r="DI1783" s="4">
        <f>INDEX(Sheet2!A:A,QUOTIENT(ROW()-1,19)+2)</f>
        <v>41353</v>
      </c>
      <c r="DJ1783" s="4">
        <f>INDEX(Sheet2!C:C,QUOTIENT(ROW()-1,19)+2)</f>
        <v>43100</v>
      </c>
      <c r="DK1783" s="4" t="e">
        <f>INDEX(Sheet2!$AA$2:$AS$228,QUOTIENT(ROW()-1,19)+1,MOD(ROW()-2,19)+1)</f>
        <v>#N/A</v>
      </c>
      <c r="DL1783" t="str">
        <f>IFERROR(INDEX(Sheet2!$AU$2:$BM$228,QUOTIENT(ROW()-1,19)+1,MOD(ROW()-2,19)+1),NA())</f>
        <v/>
      </c>
      <c r="DM1783" s="4" t="e">
        <f t="shared" si="102"/>
        <v>#N/A</v>
      </c>
      <c r="DN1783" t="e">
        <f t="shared" si="103"/>
        <v>#N/A</v>
      </c>
      <c r="DO1783" t="e">
        <f t="shared" si="104"/>
        <v>#N/A</v>
      </c>
    </row>
    <row r="1784" spans="7:119" x14ac:dyDescent="0.25">
      <c r="G1784"/>
      <c r="DI1784" s="4">
        <f>INDEX(Sheet2!A:A,QUOTIENT(ROW()-1,19)+2)</f>
        <v>41353</v>
      </c>
      <c r="DJ1784" s="4">
        <f>INDEX(Sheet2!C:C,QUOTIENT(ROW()-1,19)+2)</f>
        <v>43100</v>
      </c>
      <c r="DK1784" s="4" t="e">
        <f>INDEX(Sheet2!$AA$2:$AS$228,QUOTIENT(ROW()-1,19)+1,MOD(ROW()-2,19)+1)</f>
        <v>#N/A</v>
      </c>
      <c r="DL1784" t="str">
        <f>IFERROR(INDEX(Sheet2!$AU$2:$BM$228,QUOTIENT(ROW()-1,19)+1,MOD(ROW()-2,19)+1),NA())</f>
        <v/>
      </c>
      <c r="DM1784" s="4" t="e">
        <f t="shared" si="102"/>
        <v>#N/A</v>
      </c>
      <c r="DN1784" t="e">
        <f t="shared" si="103"/>
        <v>#N/A</v>
      </c>
      <c r="DO1784" t="e">
        <f t="shared" si="104"/>
        <v>#N/A</v>
      </c>
    </row>
    <row r="1785" spans="7:119" x14ac:dyDescent="0.25">
      <c r="G1785"/>
      <c r="DI1785" s="4">
        <f>INDEX(Sheet2!A:A,QUOTIENT(ROW()-1,19)+2)</f>
        <v>41353</v>
      </c>
      <c r="DJ1785" s="4">
        <f>INDEX(Sheet2!C:C,QUOTIENT(ROW()-1,19)+2)</f>
        <v>43100</v>
      </c>
      <c r="DK1785" s="4" t="e">
        <f>INDEX(Sheet2!$AA$2:$AS$228,QUOTIENT(ROW()-1,19)+1,MOD(ROW()-2,19)+1)</f>
        <v>#N/A</v>
      </c>
      <c r="DL1785" t="str">
        <f>IFERROR(INDEX(Sheet2!$AU$2:$BM$228,QUOTIENT(ROW()-1,19)+1,MOD(ROW()-2,19)+1),NA())</f>
        <v/>
      </c>
      <c r="DM1785" s="4" t="e">
        <f t="shared" si="102"/>
        <v>#N/A</v>
      </c>
      <c r="DN1785" t="e">
        <f t="shared" si="103"/>
        <v>#N/A</v>
      </c>
      <c r="DO1785" t="e">
        <f t="shared" si="104"/>
        <v>#N/A</v>
      </c>
    </row>
    <row r="1786" spans="7:119" x14ac:dyDescent="0.25">
      <c r="G1786"/>
      <c r="DI1786" s="4">
        <f>INDEX(Sheet2!A:A,QUOTIENT(ROW()-1,19)+2)</f>
        <v>41353</v>
      </c>
      <c r="DJ1786" s="4">
        <f>INDEX(Sheet2!C:C,QUOTIENT(ROW()-1,19)+2)</f>
        <v>43100</v>
      </c>
      <c r="DK1786" s="4" t="e">
        <f>INDEX(Sheet2!$AA$2:$AS$228,QUOTIENT(ROW()-1,19)+1,MOD(ROW()-2,19)+1)</f>
        <v>#N/A</v>
      </c>
      <c r="DL1786" t="str">
        <f>IFERROR(INDEX(Sheet2!$AU$2:$BM$228,QUOTIENT(ROW()-1,19)+1,MOD(ROW()-2,19)+1),NA())</f>
        <v/>
      </c>
      <c r="DM1786" s="4" t="e">
        <f t="shared" si="102"/>
        <v>#N/A</v>
      </c>
      <c r="DN1786" t="e">
        <f t="shared" si="103"/>
        <v>#N/A</v>
      </c>
      <c r="DO1786" t="e">
        <f t="shared" si="104"/>
        <v>#N/A</v>
      </c>
    </row>
    <row r="1787" spans="7:119" x14ac:dyDescent="0.25">
      <c r="G1787"/>
      <c r="DI1787" s="4">
        <f>INDEX(Sheet2!A:A,QUOTIENT(ROW()-1,19)+2)</f>
        <v>41353</v>
      </c>
      <c r="DJ1787" s="4">
        <f>INDEX(Sheet2!C:C,QUOTIENT(ROW()-1,19)+2)</f>
        <v>43100</v>
      </c>
      <c r="DK1787" s="4" t="e">
        <f>INDEX(Sheet2!$AA$2:$AS$228,QUOTIENT(ROW()-1,19)+1,MOD(ROW()-2,19)+1)</f>
        <v>#N/A</v>
      </c>
      <c r="DL1787" t="str">
        <f>IFERROR(INDEX(Sheet2!$AU$2:$BM$228,QUOTIENT(ROW()-1,19)+1,MOD(ROW()-2,19)+1),NA())</f>
        <v/>
      </c>
      <c r="DM1787" s="4" t="e">
        <f t="shared" si="102"/>
        <v>#N/A</v>
      </c>
      <c r="DN1787" t="e">
        <f t="shared" si="103"/>
        <v>#N/A</v>
      </c>
      <c r="DO1787" t="e">
        <f t="shared" si="104"/>
        <v>#N/A</v>
      </c>
    </row>
    <row r="1788" spans="7:119" x14ac:dyDescent="0.25">
      <c r="G1788"/>
      <c r="DI1788" s="4">
        <f>INDEX(Sheet2!A:A,QUOTIENT(ROW()-1,19)+2)</f>
        <v>41353</v>
      </c>
      <c r="DJ1788" s="4">
        <f>INDEX(Sheet2!C:C,QUOTIENT(ROW()-1,19)+2)</f>
        <v>43100</v>
      </c>
      <c r="DK1788" s="4">
        <f>INDEX(Sheet2!$AA$2:$AS$228,QUOTIENT(ROW()-1,19)+1,MOD(ROW()-2,19)+1)</f>
        <v>43100</v>
      </c>
      <c r="DL1788">
        <f>IFERROR(INDEX(Sheet2!$AU$2:$BM$228,QUOTIENT(ROW()-1,19)+1,MOD(ROW()-2,19)+1),NA())</f>
        <v>3.75</v>
      </c>
      <c r="DM1788" s="4" t="e">
        <f t="shared" si="102"/>
        <v>#N/A</v>
      </c>
      <c r="DN1788" t="e">
        <f t="shared" si="103"/>
        <v>#N/A</v>
      </c>
      <c r="DO1788" t="e">
        <f t="shared" si="104"/>
        <v>#N/A</v>
      </c>
    </row>
    <row r="1789" spans="7:119" x14ac:dyDescent="0.25">
      <c r="G1789"/>
      <c r="DI1789" s="4">
        <f>INDEX(Sheet2!A:A,QUOTIENT(ROW()-1,19)+2)</f>
        <v>41353</v>
      </c>
      <c r="DJ1789" s="4">
        <f>INDEX(Sheet2!C:C,QUOTIENT(ROW()-1,19)+2)</f>
        <v>43100</v>
      </c>
      <c r="DK1789" s="4" t="e">
        <f>INDEX(Sheet2!$AA$2:$AS$228,QUOTIENT(ROW()-1,19)+1,MOD(ROW()-2,19)+1)</f>
        <v>#N/A</v>
      </c>
      <c r="DL1789" t="str">
        <f>IFERROR(INDEX(Sheet2!$AU$2:$BM$228,QUOTIENT(ROW()-1,19)+1,MOD(ROW()-2,19)+1),NA())</f>
        <v/>
      </c>
      <c r="DM1789" s="4" t="e">
        <f t="shared" si="102"/>
        <v>#N/A</v>
      </c>
      <c r="DN1789" t="e">
        <f t="shared" si="103"/>
        <v>#N/A</v>
      </c>
      <c r="DO1789" t="e">
        <f t="shared" si="104"/>
        <v>#N/A</v>
      </c>
    </row>
    <row r="1790" spans="7:119" x14ac:dyDescent="0.25">
      <c r="G1790"/>
      <c r="DI1790" s="4">
        <f>INDEX(Sheet2!A:A,QUOTIENT(ROW()-1,19)+2)</f>
        <v>41353</v>
      </c>
      <c r="DJ1790" s="4">
        <f>INDEX(Sheet2!C:C,QUOTIENT(ROW()-1,19)+2)</f>
        <v>43100</v>
      </c>
      <c r="DK1790" s="4" t="e">
        <f>INDEX(Sheet2!$AA$2:$AS$228,QUOTIENT(ROW()-1,19)+1,MOD(ROW()-2,19)+1)</f>
        <v>#N/A</v>
      </c>
      <c r="DL1790" t="str">
        <f>IFERROR(INDEX(Sheet2!$AU$2:$BM$228,QUOTIENT(ROW()-1,19)+1,MOD(ROW()-2,19)+1),NA())</f>
        <v/>
      </c>
      <c r="DM1790" s="4" t="e">
        <f t="shared" si="102"/>
        <v>#N/A</v>
      </c>
      <c r="DN1790" t="e">
        <f t="shared" si="103"/>
        <v>#N/A</v>
      </c>
      <c r="DO1790" t="e">
        <f t="shared" si="104"/>
        <v>#N/A</v>
      </c>
    </row>
    <row r="1791" spans="7:119" x14ac:dyDescent="0.25">
      <c r="G1791"/>
      <c r="DI1791" s="4">
        <f>INDEX(Sheet2!A:A,QUOTIENT(ROW()-1,19)+2)</f>
        <v>41353</v>
      </c>
      <c r="DJ1791" s="4">
        <f>INDEX(Sheet2!C:C,QUOTIENT(ROW()-1,19)+2)</f>
        <v>43100</v>
      </c>
      <c r="DK1791" s="4" t="e">
        <f>INDEX(Sheet2!$AA$2:$AS$228,QUOTIENT(ROW()-1,19)+1,MOD(ROW()-2,19)+1)</f>
        <v>#N/A</v>
      </c>
      <c r="DL1791" t="str">
        <f>IFERROR(INDEX(Sheet2!$AU$2:$BM$228,QUOTIENT(ROW()-1,19)+1,MOD(ROW()-2,19)+1),NA())</f>
        <v/>
      </c>
      <c r="DM1791" s="4" t="e">
        <f t="shared" si="102"/>
        <v>#N/A</v>
      </c>
      <c r="DN1791" t="e">
        <f t="shared" si="103"/>
        <v>#N/A</v>
      </c>
      <c r="DO1791" t="e">
        <f t="shared" si="104"/>
        <v>#N/A</v>
      </c>
    </row>
    <row r="1792" spans="7:119" x14ac:dyDescent="0.25">
      <c r="G1792"/>
      <c r="DI1792" s="4">
        <f>INDEX(Sheet2!A:A,QUOTIENT(ROW()-1,19)+2)</f>
        <v>41353</v>
      </c>
      <c r="DJ1792" s="4">
        <f>INDEX(Sheet2!C:C,QUOTIENT(ROW()-1,19)+2)</f>
        <v>43100</v>
      </c>
      <c r="DK1792" s="4" t="e">
        <f>INDEX(Sheet2!$AA$2:$AS$228,QUOTIENT(ROW()-1,19)+1,MOD(ROW()-2,19)+1)</f>
        <v>#N/A</v>
      </c>
      <c r="DL1792" t="str">
        <f>IFERROR(INDEX(Sheet2!$AU$2:$BM$228,QUOTIENT(ROW()-1,19)+1,MOD(ROW()-2,19)+1),NA())</f>
        <v/>
      </c>
      <c r="DM1792" s="4" t="e">
        <f t="shared" si="102"/>
        <v>#N/A</v>
      </c>
      <c r="DN1792" t="e">
        <f t="shared" si="103"/>
        <v>#N/A</v>
      </c>
      <c r="DO1792" t="e">
        <f t="shared" si="104"/>
        <v>#N/A</v>
      </c>
    </row>
    <row r="1793" spans="7:119" x14ac:dyDescent="0.25">
      <c r="G1793"/>
      <c r="DI1793" s="4">
        <f>INDEX(Sheet2!A:A,QUOTIENT(ROW()-1,19)+2)</f>
        <v>41353</v>
      </c>
      <c r="DJ1793" s="4">
        <f>INDEX(Sheet2!C:C,QUOTIENT(ROW()-1,19)+2)</f>
        <v>43100</v>
      </c>
      <c r="DK1793" s="4" t="e">
        <f>INDEX(Sheet2!$AA$2:$AS$228,QUOTIENT(ROW()-1,19)+1,MOD(ROW()-2,19)+1)</f>
        <v>#N/A</v>
      </c>
      <c r="DL1793" t="str">
        <f>IFERROR(INDEX(Sheet2!$AU$2:$BM$228,QUOTIENT(ROW()-1,19)+1,MOD(ROW()-2,19)+1),NA())</f>
        <v/>
      </c>
      <c r="DM1793" s="4" t="e">
        <f t="shared" si="102"/>
        <v>#N/A</v>
      </c>
      <c r="DN1793" t="e">
        <f t="shared" si="103"/>
        <v>#N/A</v>
      </c>
      <c r="DO1793" t="e">
        <f t="shared" si="104"/>
        <v>#N/A</v>
      </c>
    </row>
    <row r="1794" spans="7:119" x14ac:dyDescent="0.25">
      <c r="G1794"/>
      <c r="DI1794" s="4">
        <f>INDEX(Sheet2!A:A,QUOTIENT(ROW()-1,19)+2)</f>
        <v>41353</v>
      </c>
      <c r="DJ1794" s="4">
        <f>INDEX(Sheet2!C:C,QUOTIENT(ROW()-1,19)+2)</f>
        <v>43100</v>
      </c>
      <c r="DK1794" s="4" t="e">
        <f>INDEX(Sheet2!$AA$2:$AS$228,QUOTIENT(ROW()-1,19)+1,MOD(ROW()-2,19)+1)</f>
        <v>#N/A</v>
      </c>
      <c r="DL1794" t="str">
        <f>IFERROR(INDEX(Sheet2!$AU$2:$BM$228,QUOTIENT(ROW()-1,19)+1,MOD(ROW()-2,19)+1),NA())</f>
        <v/>
      </c>
      <c r="DM1794" s="4" t="e">
        <f t="shared" ref="DM1794:DM1857" si="105">+IF($C$2=$DI1794,DK1794,NA())</f>
        <v>#N/A</v>
      </c>
      <c r="DN1794" t="e">
        <f t="shared" ref="DN1794:DN1857" si="106">+IF($C$2=$DI1794,DL1794,NA())</f>
        <v>#N/A</v>
      </c>
      <c r="DO1794" t="e">
        <f t="shared" si="104"/>
        <v>#N/A</v>
      </c>
    </row>
    <row r="1795" spans="7:119" x14ac:dyDescent="0.25">
      <c r="G1795"/>
      <c r="DI1795" s="4">
        <f>INDEX(Sheet2!A:A,QUOTIENT(ROW()-1,19)+2)</f>
        <v>41353</v>
      </c>
      <c r="DJ1795" s="4">
        <f>INDEX(Sheet2!C:C,QUOTIENT(ROW()-1,19)+2)</f>
        <v>43100</v>
      </c>
      <c r="DK1795" s="4" t="e">
        <f>INDEX(Sheet2!$AA$2:$AS$228,QUOTIENT(ROW()-1,19)+1,MOD(ROW()-2,19)+1)</f>
        <v>#N/A</v>
      </c>
      <c r="DL1795" t="str">
        <f>IFERROR(INDEX(Sheet2!$AU$2:$BM$228,QUOTIENT(ROW()-1,19)+1,MOD(ROW()-2,19)+1),NA())</f>
        <v/>
      </c>
      <c r="DM1795" s="4" t="e">
        <f t="shared" si="105"/>
        <v>#N/A</v>
      </c>
      <c r="DN1795" t="e">
        <f t="shared" si="106"/>
        <v>#N/A</v>
      </c>
      <c r="DO1795" t="e">
        <f t="shared" ref="DO1795:DO1858" si="107">IF(DN1795="",NA(),DN1795)</f>
        <v>#N/A</v>
      </c>
    </row>
    <row r="1796" spans="7:119" x14ac:dyDescent="0.25">
      <c r="G1796"/>
      <c r="DI1796" s="4">
        <f>INDEX(Sheet2!A:A,QUOTIENT(ROW()-1,19)+2)</f>
        <v>41353</v>
      </c>
      <c r="DJ1796" s="4">
        <f>INDEX(Sheet2!C:C,QUOTIENT(ROW()-1,19)+2)</f>
        <v>43100</v>
      </c>
      <c r="DK1796" s="4" t="e">
        <f>INDEX(Sheet2!$AA$2:$AS$228,QUOTIENT(ROW()-1,19)+1,MOD(ROW()-2,19)+1)</f>
        <v>#N/A</v>
      </c>
      <c r="DL1796" t="str">
        <f>IFERROR(INDEX(Sheet2!$AU$2:$BM$228,QUOTIENT(ROW()-1,19)+1,MOD(ROW()-2,19)+1),NA())</f>
        <v/>
      </c>
      <c r="DM1796" s="4" t="e">
        <f t="shared" si="105"/>
        <v>#N/A</v>
      </c>
      <c r="DN1796" t="e">
        <f t="shared" si="106"/>
        <v>#N/A</v>
      </c>
      <c r="DO1796" t="e">
        <f t="shared" si="107"/>
        <v>#N/A</v>
      </c>
    </row>
    <row r="1797" spans="7:119" x14ac:dyDescent="0.25">
      <c r="G1797"/>
      <c r="DI1797" s="4">
        <f>INDEX(Sheet2!A:A,QUOTIENT(ROW()-1,19)+2)</f>
        <v>41353</v>
      </c>
      <c r="DJ1797" s="4">
        <f>INDEX(Sheet2!C:C,QUOTIENT(ROW()-1,19)+2)</f>
        <v>43100</v>
      </c>
      <c r="DK1797" s="4" t="e">
        <f>INDEX(Sheet2!$AA$2:$AS$228,QUOTIENT(ROW()-1,19)+1,MOD(ROW()-2,19)+1)</f>
        <v>#N/A</v>
      </c>
      <c r="DL1797" t="str">
        <f>IFERROR(INDEX(Sheet2!$AU$2:$BM$228,QUOTIENT(ROW()-1,19)+1,MOD(ROW()-2,19)+1),NA())</f>
        <v/>
      </c>
      <c r="DM1797" s="4" t="e">
        <f t="shared" si="105"/>
        <v>#N/A</v>
      </c>
      <c r="DN1797" t="e">
        <f t="shared" si="106"/>
        <v>#N/A</v>
      </c>
      <c r="DO1797" t="e">
        <f t="shared" si="107"/>
        <v>#N/A</v>
      </c>
    </row>
    <row r="1798" spans="7:119" x14ac:dyDescent="0.25">
      <c r="G1798"/>
      <c r="DI1798" s="4">
        <f>INDEX(Sheet2!A:A,QUOTIENT(ROW()-1,19)+2)</f>
        <v>41353</v>
      </c>
      <c r="DJ1798" s="4">
        <f>INDEX(Sheet2!C:C,QUOTIENT(ROW()-1,19)+2)</f>
        <v>43100</v>
      </c>
      <c r="DK1798" s="4" t="e">
        <f>INDEX(Sheet2!$AA$2:$AS$228,QUOTIENT(ROW()-1,19)+1,MOD(ROW()-2,19)+1)</f>
        <v>#N/A</v>
      </c>
      <c r="DL1798" t="str">
        <f>IFERROR(INDEX(Sheet2!$AU$2:$BM$228,QUOTIENT(ROW()-1,19)+1,MOD(ROW()-2,19)+1),NA())</f>
        <v/>
      </c>
      <c r="DM1798" s="4" t="e">
        <f t="shared" si="105"/>
        <v>#N/A</v>
      </c>
      <c r="DN1798" t="e">
        <f t="shared" si="106"/>
        <v>#N/A</v>
      </c>
      <c r="DO1798" t="e">
        <f t="shared" si="107"/>
        <v>#N/A</v>
      </c>
    </row>
    <row r="1799" spans="7:119" x14ac:dyDescent="0.25">
      <c r="G1799"/>
      <c r="DI1799" s="4">
        <f>INDEX(Sheet2!A:A,QUOTIENT(ROW()-1,19)+2)</f>
        <v>41353</v>
      </c>
      <c r="DJ1799" s="4">
        <f>INDEX(Sheet2!C:C,QUOTIENT(ROW()-1,19)+2)</f>
        <v>43100</v>
      </c>
      <c r="DK1799" s="4" t="e">
        <f>INDEX(Sheet2!$AA$2:$AS$228,QUOTIENT(ROW()-1,19)+1,MOD(ROW()-2,19)+1)</f>
        <v>#N/A</v>
      </c>
      <c r="DL1799" t="str">
        <f>IFERROR(INDEX(Sheet2!$AU$2:$BM$228,QUOTIENT(ROW()-1,19)+1,MOD(ROW()-2,19)+1),NA())</f>
        <v/>
      </c>
      <c r="DM1799" s="4" t="e">
        <f t="shared" si="105"/>
        <v>#N/A</v>
      </c>
      <c r="DN1799" t="e">
        <f t="shared" si="106"/>
        <v>#N/A</v>
      </c>
      <c r="DO1799" t="e">
        <f t="shared" si="107"/>
        <v>#N/A</v>
      </c>
    </row>
    <row r="1800" spans="7:119" x14ac:dyDescent="0.25">
      <c r="G1800"/>
      <c r="DI1800" s="4">
        <f>INDEX(Sheet2!A:A,QUOTIENT(ROW()-1,19)+2)</f>
        <v>41353</v>
      </c>
      <c r="DJ1800" s="4">
        <f>INDEX(Sheet2!C:C,QUOTIENT(ROW()-1,19)+2)</f>
        <v>43100</v>
      </c>
      <c r="DK1800" s="4" t="e">
        <f>INDEX(Sheet2!$AA$2:$AS$228,QUOTIENT(ROW()-1,19)+1,MOD(ROW()-2,19)+1)</f>
        <v>#N/A</v>
      </c>
      <c r="DL1800" t="str">
        <f>IFERROR(INDEX(Sheet2!$AU$2:$BM$228,QUOTIENT(ROW()-1,19)+1,MOD(ROW()-2,19)+1),NA())</f>
        <v/>
      </c>
      <c r="DM1800" s="4" t="e">
        <f t="shared" si="105"/>
        <v>#N/A</v>
      </c>
      <c r="DN1800" t="e">
        <f t="shared" si="106"/>
        <v>#N/A</v>
      </c>
      <c r="DO1800" t="e">
        <f t="shared" si="107"/>
        <v>#N/A</v>
      </c>
    </row>
    <row r="1801" spans="7:119" x14ac:dyDescent="0.25">
      <c r="G1801"/>
      <c r="DI1801" s="4">
        <f>INDEX(Sheet2!A:A,QUOTIENT(ROW()-1,19)+2)</f>
        <v>41353</v>
      </c>
      <c r="DJ1801" s="4">
        <f>INDEX(Sheet2!C:C,QUOTIENT(ROW()-1,19)+2)</f>
        <v>43100</v>
      </c>
      <c r="DK1801" s="4" t="e">
        <f>INDEX(Sheet2!$AA$2:$AS$228,QUOTIENT(ROW()-1,19)+1,MOD(ROW()-2,19)+1)</f>
        <v>#N/A</v>
      </c>
      <c r="DL1801" t="str">
        <f>IFERROR(INDEX(Sheet2!$AU$2:$BM$228,QUOTIENT(ROW()-1,19)+1,MOD(ROW()-2,19)+1),NA())</f>
        <v/>
      </c>
      <c r="DM1801" s="4" t="e">
        <f t="shared" si="105"/>
        <v>#N/A</v>
      </c>
      <c r="DN1801" t="e">
        <f t="shared" si="106"/>
        <v>#N/A</v>
      </c>
      <c r="DO1801" t="e">
        <f t="shared" si="107"/>
        <v>#N/A</v>
      </c>
    </row>
    <row r="1802" spans="7:119" x14ac:dyDescent="0.25">
      <c r="G1802"/>
      <c r="DI1802" s="4">
        <f>INDEX(Sheet2!A:A,QUOTIENT(ROW()-1,19)+2)</f>
        <v>41353</v>
      </c>
      <c r="DJ1802" s="4">
        <f>INDEX(Sheet2!C:C,QUOTIENT(ROW()-1,19)+2)</f>
        <v>43100</v>
      </c>
      <c r="DK1802" s="4" t="e">
        <f>INDEX(Sheet2!$AA$2:$AS$228,QUOTIENT(ROW()-1,19)+1,MOD(ROW()-2,19)+1)</f>
        <v>#N/A</v>
      </c>
      <c r="DL1802" t="str">
        <f>IFERROR(INDEX(Sheet2!$AU$2:$BM$228,QUOTIENT(ROW()-1,19)+1,MOD(ROW()-2,19)+1),NA())</f>
        <v/>
      </c>
      <c r="DM1802" s="4" t="e">
        <f t="shared" si="105"/>
        <v>#N/A</v>
      </c>
      <c r="DN1802" t="e">
        <f t="shared" si="106"/>
        <v>#N/A</v>
      </c>
      <c r="DO1802" t="e">
        <f t="shared" si="107"/>
        <v>#N/A</v>
      </c>
    </row>
    <row r="1803" spans="7:119" x14ac:dyDescent="0.25">
      <c r="G1803"/>
      <c r="DI1803" s="4">
        <f>INDEX(Sheet2!A:A,QUOTIENT(ROW()-1,19)+2)</f>
        <v>41353</v>
      </c>
      <c r="DJ1803" s="4">
        <f>INDEX(Sheet2!C:C,QUOTIENT(ROW()-1,19)+2)</f>
        <v>43100</v>
      </c>
      <c r="DK1803" s="4" t="e">
        <f>INDEX(Sheet2!$AA$2:$AS$228,QUOTIENT(ROW()-1,19)+1,MOD(ROW()-2,19)+1)</f>
        <v>#N/A</v>
      </c>
      <c r="DL1803" t="str">
        <f>IFERROR(INDEX(Sheet2!$AU$2:$BM$228,QUOTIENT(ROW()-1,19)+1,MOD(ROW()-2,19)+1),NA())</f>
        <v/>
      </c>
      <c r="DM1803" s="4" t="e">
        <f t="shared" si="105"/>
        <v>#N/A</v>
      </c>
      <c r="DN1803" t="e">
        <f t="shared" si="106"/>
        <v>#N/A</v>
      </c>
      <c r="DO1803" t="e">
        <f t="shared" si="107"/>
        <v>#N/A</v>
      </c>
    </row>
    <row r="1804" spans="7:119" x14ac:dyDescent="0.25">
      <c r="G1804"/>
      <c r="DI1804" s="4">
        <f>INDEX(Sheet2!A:A,QUOTIENT(ROW()-1,19)+2)</f>
        <v>41353</v>
      </c>
      <c r="DJ1804" s="4">
        <f>INDEX(Sheet2!C:C,QUOTIENT(ROW()-1,19)+2)</f>
        <v>43100</v>
      </c>
      <c r="DK1804" s="4" t="e">
        <f>INDEX(Sheet2!$AA$2:$AS$228,QUOTIENT(ROW()-1,19)+1,MOD(ROW()-2,19)+1)</f>
        <v>#N/A</v>
      </c>
      <c r="DL1804" t="str">
        <f>IFERROR(INDEX(Sheet2!$AU$2:$BM$228,QUOTIENT(ROW()-1,19)+1,MOD(ROW()-2,19)+1),NA())</f>
        <v/>
      </c>
      <c r="DM1804" s="4" t="e">
        <f t="shared" si="105"/>
        <v>#N/A</v>
      </c>
      <c r="DN1804" t="e">
        <f t="shared" si="106"/>
        <v>#N/A</v>
      </c>
      <c r="DO1804" t="e">
        <f t="shared" si="107"/>
        <v>#N/A</v>
      </c>
    </row>
    <row r="1805" spans="7:119" x14ac:dyDescent="0.25">
      <c r="G1805"/>
      <c r="DI1805" s="4">
        <f>INDEX(Sheet2!A:A,QUOTIENT(ROW()-1,19)+2)</f>
        <v>41353</v>
      </c>
      <c r="DJ1805" s="4">
        <f>INDEX(Sheet2!C:C,QUOTIENT(ROW()-1,19)+2)</f>
        <v>43100</v>
      </c>
      <c r="DK1805" s="4" t="e">
        <f>INDEX(Sheet2!$AA$2:$AS$228,QUOTIENT(ROW()-1,19)+1,MOD(ROW()-2,19)+1)</f>
        <v>#N/A</v>
      </c>
      <c r="DL1805" t="str">
        <f>IFERROR(INDEX(Sheet2!$AU$2:$BM$228,QUOTIENT(ROW()-1,19)+1,MOD(ROW()-2,19)+1),NA())</f>
        <v/>
      </c>
      <c r="DM1805" s="4" t="e">
        <f t="shared" si="105"/>
        <v>#N/A</v>
      </c>
      <c r="DN1805" t="e">
        <f t="shared" si="106"/>
        <v>#N/A</v>
      </c>
      <c r="DO1805" t="e">
        <f t="shared" si="107"/>
        <v>#N/A</v>
      </c>
    </row>
    <row r="1806" spans="7:119" x14ac:dyDescent="0.25">
      <c r="G1806"/>
      <c r="DI1806" s="4">
        <f>INDEX(Sheet2!A:A,QUOTIENT(ROW()-1,19)+2)</f>
        <v>41353</v>
      </c>
      <c r="DJ1806" s="4">
        <f>INDEX(Sheet2!C:C,QUOTIENT(ROW()-1,19)+2)</f>
        <v>43100</v>
      </c>
      <c r="DK1806" s="4" t="e">
        <f>INDEX(Sheet2!$AA$2:$AS$228,QUOTIENT(ROW()-1,19)+1,MOD(ROW()-2,19)+1)</f>
        <v>#N/A</v>
      </c>
      <c r="DL1806" t="str">
        <f>IFERROR(INDEX(Sheet2!$AU$2:$BM$228,QUOTIENT(ROW()-1,19)+1,MOD(ROW()-2,19)+1),NA())</f>
        <v/>
      </c>
      <c r="DM1806" s="4" t="e">
        <f t="shared" si="105"/>
        <v>#N/A</v>
      </c>
      <c r="DN1806" t="e">
        <f t="shared" si="106"/>
        <v>#N/A</v>
      </c>
      <c r="DO1806" t="e">
        <f t="shared" si="107"/>
        <v>#N/A</v>
      </c>
    </row>
    <row r="1807" spans="7:119" x14ac:dyDescent="0.25">
      <c r="G1807"/>
      <c r="DI1807" s="4">
        <f>INDEX(Sheet2!A:A,QUOTIENT(ROW()-1,19)+2)</f>
        <v>41353</v>
      </c>
      <c r="DJ1807" s="4">
        <f>INDEX(Sheet2!C:C,QUOTIENT(ROW()-1,19)+2)</f>
        <v>43100</v>
      </c>
      <c r="DK1807" s="4">
        <f>INDEX(Sheet2!$AA$2:$AS$228,QUOTIENT(ROW()-1,19)+1,MOD(ROW()-2,19)+1)</f>
        <v>43019.7</v>
      </c>
      <c r="DL1807">
        <f>IFERROR(INDEX(Sheet2!$AU$2:$BM$228,QUOTIENT(ROW()-1,19)+1,MOD(ROW()-2,19)+1),NA())</f>
        <v>4</v>
      </c>
      <c r="DM1807" s="4" t="e">
        <f t="shared" si="105"/>
        <v>#N/A</v>
      </c>
      <c r="DN1807" t="e">
        <f t="shared" si="106"/>
        <v>#N/A</v>
      </c>
      <c r="DO1807" t="e">
        <f t="shared" si="107"/>
        <v>#N/A</v>
      </c>
    </row>
    <row r="1808" spans="7:119" x14ac:dyDescent="0.25">
      <c r="G1808"/>
      <c r="DI1808" s="4">
        <f>INDEX(Sheet2!A:A,QUOTIENT(ROW()-1,19)+2)</f>
        <v>41353</v>
      </c>
      <c r="DJ1808" s="4">
        <f>INDEX(Sheet2!C:C,QUOTIENT(ROW()-1,19)+2)</f>
        <v>43100</v>
      </c>
      <c r="DK1808" s="4">
        <f>INDEX(Sheet2!$AA$2:$AS$228,QUOTIENT(ROW()-1,19)+1,MOD(ROW()-2,19)+1)</f>
        <v>43039.775000000001</v>
      </c>
      <c r="DL1808">
        <f>IFERROR(INDEX(Sheet2!$AU$2:$BM$228,QUOTIENT(ROW()-1,19)+1,MOD(ROW()-2,19)+1),NA())</f>
        <v>4</v>
      </c>
      <c r="DM1808" s="4" t="e">
        <f t="shared" si="105"/>
        <v>#N/A</v>
      </c>
      <c r="DN1808" t="e">
        <f t="shared" si="106"/>
        <v>#N/A</v>
      </c>
      <c r="DO1808" t="e">
        <f t="shared" si="107"/>
        <v>#N/A</v>
      </c>
    </row>
    <row r="1809" spans="7:119" x14ac:dyDescent="0.25">
      <c r="G1809"/>
      <c r="DI1809" s="4">
        <f>INDEX(Sheet2!A:A,QUOTIENT(ROW()-1,19)+2)</f>
        <v>41353</v>
      </c>
      <c r="DJ1809" s="4">
        <f>INDEX(Sheet2!C:C,QUOTIENT(ROW()-1,19)+2)</f>
        <v>43100</v>
      </c>
      <c r="DK1809" s="4">
        <f>INDEX(Sheet2!$AA$2:$AS$228,QUOTIENT(ROW()-1,19)+1,MOD(ROW()-2,19)+1)</f>
        <v>43059.85</v>
      </c>
      <c r="DL1809">
        <f>IFERROR(INDEX(Sheet2!$AU$2:$BM$228,QUOTIENT(ROW()-1,19)+1,MOD(ROW()-2,19)+1),NA())</f>
        <v>4</v>
      </c>
      <c r="DM1809" s="4" t="e">
        <f t="shared" si="105"/>
        <v>#N/A</v>
      </c>
      <c r="DN1809" t="e">
        <f t="shared" si="106"/>
        <v>#N/A</v>
      </c>
      <c r="DO1809" t="e">
        <f t="shared" si="107"/>
        <v>#N/A</v>
      </c>
    </row>
    <row r="1810" spans="7:119" x14ac:dyDescent="0.25">
      <c r="G1810"/>
      <c r="DI1810" s="4">
        <f>INDEX(Sheet2!A:A,QUOTIENT(ROW()-1,19)+2)</f>
        <v>41353</v>
      </c>
      <c r="DJ1810" s="4">
        <f>INDEX(Sheet2!C:C,QUOTIENT(ROW()-1,19)+2)</f>
        <v>43100</v>
      </c>
      <c r="DK1810" s="4">
        <f>INDEX(Sheet2!$AA$2:$AS$228,QUOTIENT(ROW()-1,19)+1,MOD(ROW()-2,19)+1)</f>
        <v>43079.925000000003</v>
      </c>
      <c r="DL1810">
        <f>IFERROR(INDEX(Sheet2!$AU$2:$BM$228,QUOTIENT(ROW()-1,19)+1,MOD(ROW()-2,19)+1),NA())</f>
        <v>4</v>
      </c>
      <c r="DM1810" s="4" t="e">
        <f t="shared" si="105"/>
        <v>#N/A</v>
      </c>
      <c r="DN1810" t="e">
        <f t="shared" si="106"/>
        <v>#N/A</v>
      </c>
      <c r="DO1810" t="e">
        <f t="shared" si="107"/>
        <v>#N/A</v>
      </c>
    </row>
    <row r="1811" spans="7:119" x14ac:dyDescent="0.25">
      <c r="G1811"/>
      <c r="DI1811" s="4">
        <f>INDEX(Sheet2!A:A,QUOTIENT(ROW()-1,19)+2)</f>
        <v>41353</v>
      </c>
      <c r="DJ1811" s="4">
        <f>INDEX(Sheet2!C:C,QUOTIENT(ROW()-1,19)+2)</f>
        <v>43100</v>
      </c>
      <c r="DK1811" s="4">
        <f>INDEX(Sheet2!$AA$2:$AS$228,QUOTIENT(ROW()-1,19)+1,MOD(ROW()-2,19)+1)</f>
        <v>43100</v>
      </c>
      <c r="DL1811">
        <f>IFERROR(INDEX(Sheet2!$AU$2:$BM$228,QUOTIENT(ROW()-1,19)+1,MOD(ROW()-2,19)+1),NA())</f>
        <v>4</v>
      </c>
      <c r="DM1811" s="4" t="e">
        <f t="shared" si="105"/>
        <v>#N/A</v>
      </c>
      <c r="DN1811" t="e">
        <f t="shared" si="106"/>
        <v>#N/A</v>
      </c>
      <c r="DO1811" t="e">
        <f t="shared" si="107"/>
        <v>#N/A</v>
      </c>
    </row>
    <row r="1812" spans="7:119" x14ac:dyDescent="0.25">
      <c r="G1812"/>
      <c r="DI1812" s="4">
        <f>INDEX(Sheet2!A:A,QUOTIENT(ROW()-1,19)+2)</f>
        <v>41353</v>
      </c>
      <c r="DJ1812" s="4">
        <f>INDEX(Sheet2!C:C,QUOTIENT(ROW()-1,19)+2)</f>
        <v>43100</v>
      </c>
      <c r="DK1812" s="4">
        <f>INDEX(Sheet2!$AA$2:$AS$228,QUOTIENT(ROW()-1,19)+1,MOD(ROW()-2,19)+1)</f>
        <v>43120.074999999997</v>
      </c>
      <c r="DL1812">
        <f>IFERROR(INDEX(Sheet2!$AU$2:$BM$228,QUOTIENT(ROW()-1,19)+1,MOD(ROW()-2,19)+1),NA())</f>
        <v>4</v>
      </c>
      <c r="DM1812" s="4" t="e">
        <f t="shared" si="105"/>
        <v>#N/A</v>
      </c>
      <c r="DN1812" t="e">
        <f t="shared" si="106"/>
        <v>#N/A</v>
      </c>
      <c r="DO1812" t="e">
        <f t="shared" si="107"/>
        <v>#N/A</v>
      </c>
    </row>
    <row r="1813" spans="7:119" x14ac:dyDescent="0.25">
      <c r="G1813"/>
      <c r="DI1813" s="4">
        <f>INDEX(Sheet2!A:A,QUOTIENT(ROW()-1,19)+2)</f>
        <v>41353</v>
      </c>
      <c r="DJ1813" s="4">
        <f>INDEX(Sheet2!C:C,QUOTIENT(ROW()-1,19)+2)</f>
        <v>43100</v>
      </c>
      <c r="DK1813" s="4">
        <f>INDEX(Sheet2!$AA$2:$AS$228,QUOTIENT(ROW()-1,19)+1,MOD(ROW()-2,19)+1)</f>
        <v>43140.15</v>
      </c>
      <c r="DL1813">
        <f>IFERROR(INDEX(Sheet2!$AU$2:$BM$228,QUOTIENT(ROW()-1,19)+1,MOD(ROW()-2,19)+1),NA())</f>
        <v>4</v>
      </c>
      <c r="DM1813" s="4" t="e">
        <f t="shared" si="105"/>
        <v>#N/A</v>
      </c>
      <c r="DN1813" t="e">
        <f t="shared" si="106"/>
        <v>#N/A</v>
      </c>
      <c r="DO1813" t="e">
        <f t="shared" si="107"/>
        <v>#N/A</v>
      </c>
    </row>
    <row r="1814" spans="7:119" x14ac:dyDescent="0.25">
      <c r="G1814"/>
      <c r="DI1814" s="4">
        <f>INDEX(Sheet2!A:A,QUOTIENT(ROW()-1,19)+2)</f>
        <v>41353</v>
      </c>
      <c r="DJ1814" s="4">
        <f>INDEX(Sheet2!C:C,QUOTIENT(ROW()-1,19)+2)</f>
        <v>43100</v>
      </c>
      <c r="DK1814" s="4">
        <f>INDEX(Sheet2!$AA$2:$AS$228,QUOTIENT(ROW()-1,19)+1,MOD(ROW()-2,19)+1)</f>
        <v>43160.224999999999</v>
      </c>
      <c r="DL1814">
        <f>IFERROR(INDEX(Sheet2!$AU$2:$BM$228,QUOTIENT(ROW()-1,19)+1,MOD(ROW()-2,19)+1),NA())</f>
        <v>4</v>
      </c>
      <c r="DM1814" s="4" t="e">
        <f t="shared" si="105"/>
        <v>#N/A</v>
      </c>
      <c r="DN1814" t="e">
        <f t="shared" si="106"/>
        <v>#N/A</v>
      </c>
      <c r="DO1814" t="e">
        <f t="shared" si="107"/>
        <v>#N/A</v>
      </c>
    </row>
    <row r="1815" spans="7:119" x14ac:dyDescent="0.25">
      <c r="G1815"/>
      <c r="DI1815" s="4">
        <f>INDEX(Sheet2!A:A,QUOTIENT(ROW()-1,19)+2)</f>
        <v>41353</v>
      </c>
      <c r="DJ1815" s="4">
        <f>INDEX(Sheet2!C:C,QUOTIENT(ROW()-1,19)+2)</f>
        <v>43100</v>
      </c>
      <c r="DK1815" s="4">
        <f>INDEX(Sheet2!$AA$2:$AS$228,QUOTIENT(ROW()-1,19)+1,MOD(ROW()-2,19)+1)</f>
        <v>43180.3</v>
      </c>
      <c r="DL1815">
        <f>IFERROR(INDEX(Sheet2!$AU$2:$BM$228,QUOTIENT(ROW()-1,19)+1,MOD(ROW()-2,19)+1),NA())</f>
        <v>4</v>
      </c>
      <c r="DM1815" s="4" t="e">
        <f t="shared" si="105"/>
        <v>#N/A</v>
      </c>
      <c r="DN1815" t="e">
        <f t="shared" si="106"/>
        <v>#N/A</v>
      </c>
      <c r="DO1815" t="e">
        <f t="shared" si="107"/>
        <v>#N/A</v>
      </c>
    </row>
    <row r="1816" spans="7:119" x14ac:dyDescent="0.25">
      <c r="G1816"/>
      <c r="DI1816" s="4">
        <f>INDEX(Sheet2!A:A,QUOTIENT(ROW()-1,19)+2)</f>
        <v>41353</v>
      </c>
      <c r="DJ1816" s="4">
        <f>INDEX(Sheet2!C:C,QUOTIENT(ROW()-1,19)+2)</f>
        <v>43100</v>
      </c>
      <c r="DK1816" s="4" t="e">
        <f>INDEX(Sheet2!$AA$2:$AS$228,QUOTIENT(ROW()-1,19)+1,MOD(ROW()-2,19)+1)</f>
        <v>#N/A</v>
      </c>
      <c r="DL1816" t="str">
        <f>IFERROR(INDEX(Sheet2!$AU$2:$BM$228,QUOTIENT(ROW()-1,19)+1,MOD(ROW()-2,19)+1),NA())</f>
        <v/>
      </c>
      <c r="DM1816" s="4" t="e">
        <f t="shared" si="105"/>
        <v>#N/A</v>
      </c>
      <c r="DN1816" t="e">
        <f t="shared" si="106"/>
        <v>#N/A</v>
      </c>
      <c r="DO1816" t="e">
        <f t="shared" si="107"/>
        <v>#N/A</v>
      </c>
    </row>
    <row r="1817" spans="7:119" x14ac:dyDescent="0.25">
      <c r="G1817"/>
      <c r="DI1817" s="4">
        <f>INDEX(Sheet2!A:A,QUOTIENT(ROW()-1,19)+2)</f>
        <v>41353</v>
      </c>
      <c r="DJ1817" s="4">
        <f>INDEX(Sheet2!C:C,QUOTIENT(ROW()-1,19)+2)</f>
        <v>43100</v>
      </c>
      <c r="DK1817" s="4" t="e">
        <f>INDEX(Sheet2!$AA$2:$AS$228,QUOTIENT(ROW()-1,19)+1,MOD(ROW()-2,19)+1)</f>
        <v>#N/A</v>
      </c>
      <c r="DL1817" t="str">
        <f>IFERROR(INDEX(Sheet2!$AU$2:$BM$228,QUOTIENT(ROW()-1,19)+1,MOD(ROW()-2,19)+1),NA())</f>
        <v/>
      </c>
      <c r="DM1817" s="4" t="e">
        <f t="shared" si="105"/>
        <v>#N/A</v>
      </c>
      <c r="DN1817" t="e">
        <f t="shared" si="106"/>
        <v>#N/A</v>
      </c>
      <c r="DO1817" t="e">
        <f t="shared" si="107"/>
        <v>#N/A</v>
      </c>
    </row>
    <row r="1818" spans="7:119" x14ac:dyDescent="0.25">
      <c r="G1818"/>
      <c r="DI1818" s="4">
        <f>INDEX(Sheet2!A:A,QUOTIENT(ROW()-1,19)+2)</f>
        <v>41353</v>
      </c>
      <c r="DJ1818" s="4">
        <f>INDEX(Sheet2!C:C,QUOTIENT(ROW()-1,19)+2)</f>
        <v>43100</v>
      </c>
      <c r="DK1818" s="4" t="e">
        <f>INDEX(Sheet2!$AA$2:$AS$228,QUOTIENT(ROW()-1,19)+1,MOD(ROW()-2,19)+1)</f>
        <v>#N/A</v>
      </c>
      <c r="DL1818" t="str">
        <f>IFERROR(INDEX(Sheet2!$AU$2:$BM$228,QUOTIENT(ROW()-1,19)+1,MOD(ROW()-2,19)+1),NA())</f>
        <v/>
      </c>
      <c r="DM1818" s="4" t="e">
        <f t="shared" si="105"/>
        <v>#N/A</v>
      </c>
      <c r="DN1818" t="e">
        <f t="shared" si="106"/>
        <v>#N/A</v>
      </c>
      <c r="DO1818" t="e">
        <f t="shared" si="107"/>
        <v>#N/A</v>
      </c>
    </row>
    <row r="1819" spans="7:119" x14ac:dyDescent="0.25">
      <c r="G1819"/>
      <c r="DI1819" s="4">
        <f>INDEX(Sheet2!A:A,QUOTIENT(ROW()-1,19)+2)</f>
        <v>41353</v>
      </c>
      <c r="DJ1819" s="4">
        <f>INDEX(Sheet2!C:C,QUOTIENT(ROW()-1,19)+2)</f>
        <v>43100</v>
      </c>
      <c r="DK1819" s="4" t="e">
        <f>INDEX(Sheet2!$AA$2:$AS$228,QUOTIENT(ROW()-1,19)+1,MOD(ROW()-2,19)+1)</f>
        <v>#N/A</v>
      </c>
      <c r="DL1819" t="str">
        <f>IFERROR(INDEX(Sheet2!$AU$2:$BM$228,QUOTIENT(ROW()-1,19)+1,MOD(ROW()-2,19)+1),NA())</f>
        <v/>
      </c>
      <c r="DM1819" s="4" t="e">
        <f t="shared" si="105"/>
        <v>#N/A</v>
      </c>
      <c r="DN1819" t="e">
        <f t="shared" si="106"/>
        <v>#N/A</v>
      </c>
      <c r="DO1819" t="e">
        <f t="shared" si="107"/>
        <v>#N/A</v>
      </c>
    </row>
    <row r="1820" spans="7:119" x14ac:dyDescent="0.25">
      <c r="G1820"/>
      <c r="DI1820" s="4">
        <f>INDEX(Sheet2!A:A,QUOTIENT(ROW()-1,19)+2)</f>
        <v>41353</v>
      </c>
      <c r="DJ1820" s="4">
        <f>INDEX(Sheet2!C:C,QUOTIENT(ROW()-1,19)+2)</f>
        <v>43100</v>
      </c>
      <c r="DK1820" s="4" t="e">
        <f>INDEX(Sheet2!$AA$2:$AS$228,QUOTIENT(ROW()-1,19)+1,MOD(ROW()-2,19)+1)</f>
        <v>#N/A</v>
      </c>
      <c r="DL1820" t="str">
        <f>IFERROR(INDEX(Sheet2!$AU$2:$BM$228,QUOTIENT(ROW()-1,19)+1,MOD(ROW()-2,19)+1),NA())</f>
        <v/>
      </c>
      <c r="DM1820" s="4" t="e">
        <f t="shared" si="105"/>
        <v>#N/A</v>
      </c>
      <c r="DN1820" t="e">
        <f t="shared" si="106"/>
        <v>#N/A</v>
      </c>
      <c r="DO1820" t="e">
        <f t="shared" si="107"/>
        <v>#N/A</v>
      </c>
    </row>
    <row r="1821" spans="7:119" x14ac:dyDescent="0.25">
      <c r="G1821"/>
      <c r="DI1821" s="4">
        <f>INDEX(Sheet2!A:A,QUOTIENT(ROW()-1,19)+2)</f>
        <v>41353</v>
      </c>
      <c r="DJ1821" s="4">
        <f>INDEX(Sheet2!C:C,QUOTIENT(ROW()-1,19)+2)</f>
        <v>43100</v>
      </c>
      <c r="DK1821" s="4" t="e">
        <f>INDEX(Sheet2!$AA$2:$AS$228,QUOTIENT(ROW()-1,19)+1,MOD(ROW()-2,19)+1)</f>
        <v>#N/A</v>
      </c>
      <c r="DL1821" t="str">
        <f>IFERROR(INDEX(Sheet2!$AU$2:$BM$228,QUOTIENT(ROW()-1,19)+1,MOD(ROW()-2,19)+1),NA())</f>
        <v/>
      </c>
      <c r="DM1821" s="4" t="e">
        <f t="shared" si="105"/>
        <v>#N/A</v>
      </c>
      <c r="DN1821" t="e">
        <f t="shared" si="106"/>
        <v>#N/A</v>
      </c>
      <c r="DO1821" t="e">
        <f t="shared" si="107"/>
        <v>#N/A</v>
      </c>
    </row>
    <row r="1822" spans="7:119" x14ac:dyDescent="0.25">
      <c r="G1822"/>
      <c r="DI1822" s="4">
        <f>INDEX(Sheet2!A:A,QUOTIENT(ROW()-1,19)+2)</f>
        <v>41353</v>
      </c>
      <c r="DJ1822" s="4">
        <f>INDEX(Sheet2!C:C,QUOTIENT(ROW()-1,19)+2)</f>
        <v>43100</v>
      </c>
      <c r="DK1822" s="4" t="e">
        <f>INDEX(Sheet2!$AA$2:$AS$228,QUOTIENT(ROW()-1,19)+1,MOD(ROW()-2,19)+1)</f>
        <v>#N/A</v>
      </c>
      <c r="DL1822" t="str">
        <f>IFERROR(INDEX(Sheet2!$AU$2:$BM$228,QUOTIENT(ROW()-1,19)+1,MOD(ROW()-2,19)+1),NA())</f>
        <v/>
      </c>
      <c r="DM1822" s="4" t="e">
        <f t="shared" si="105"/>
        <v>#N/A</v>
      </c>
      <c r="DN1822" t="e">
        <f t="shared" si="106"/>
        <v>#N/A</v>
      </c>
      <c r="DO1822" t="e">
        <f t="shared" si="107"/>
        <v>#N/A</v>
      </c>
    </row>
    <row r="1823" spans="7:119" x14ac:dyDescent="0.25">
      <c r="G1823"/>
      <c r="DI1823" s="4">
        <f>INDEX(Sheet2!A:A,QUOTIENT(ROW()-1,19)+2)</f>
        <v>41353</v>
      </c>
      <c r="DJ1823" s="4">
        <f>INDEX(Sheet2!C:C,QUOTIENT(ROW()-1,19)+2)</f>
        <v>43100</v>
      </c>
      <c r="DK1823" s="4" t="e">
        <f>INDEX(Sheet2!$AA$2:$AS$228,QUOTIENT(ROW()-1,19)+1,MOD(ROW()-2,19)+1)</f>
        <v>#N/A</v>
      </c>
      <c r="DL1823" t="str">
        <f>IFERROR(INDEX(Sheet2!$AU$2:$BM$228,QUOTIENT(ROW()-1,19)+1,MOD(ROW()-2,19)+1),NA())</f>
        <v/>
      </c>
      <c r="DM1823" s="4" t="e">
        <f t="shared" si="105"/>
        <v>#N/A</v>
      </c>
      <c r="DN1823" t="e">
        <f t="shared" si="106"/>
        <v>#N/A</v>
      </c>
      <c r="DO1823" t="e">
        <f t="shared" si="107"/>
        <v>#N/A</v>
      </c>
    </row>
    <row r="1824" spans="7:119" x14ac:dyDescent="0.25">
      <c r="G1824"/>
      <c r="DI1824" s="4">
        <f>INDEX(Sheet2!A:A,QUOTIENT(ROW()-1,19)+2)</f>
        <v>41353</v>
      </c>
      <c r="DJ1824" s="4">
        <f>INDEX(Sheet2!C:C,QUOTIENT(ROW()-1,19)+2)</f>
        <v>43100</v>
      </c>
      <c r="DK1824" s="4" t="e">
        <f>INDEX(Sheet2!$AA$2:$AS$228,QUOTIENT(ROW()-1,19)+1,MOD(ROW()-2,19)+1)</f>
        <v>#N/A</v>
      </c>
      <c r="DL1824" t="str">
        <f>IFERROR(INDEX(Sheet2!$AU$2:$BM$228,QUOTIENT(ROW()-1,19)+1,MOD(ROW()-2,19)+1),NA())</f>
        <v/>
      </c>
      <c r="DM1824" s="4" t="e">
        <f t="shared" si="105"/>
        <v>#N/A</v>
      </c>
      <c r="DN1824" t="e">
        <f t="shared" si="106"/>
        <v>#N/A</v>
      </c>
      <c r="DO1824" t="e">
        <f t="shared" si="107"/>
        <v>#N/A</v>
      </c>
    </row>
    <row r="1825" spans="7:119" x14ac:dyDescent="0.25">
      <c r="G1825"/>
      <c r="DI1825" s="4">
        <f>INDEX(Sheet2!A:A,QUOTIENT(ROW()-1,19)+2)</f>
        <v>41353</v>
      </c>
      <c r="DJ1825" s="4">
        <f>INDEX(Sheet2!C:C,QUOTIENT(ROW()-1,19)+2)</f>
        <v>43100</v>
      </c>
      <c r="DK1825" s="4" t="e">
        <f>INDEX(Sheet2!$AA$2:$AS$228,QUOTIENT(ROW()-1,19)+1,MOD(ROW()-2,19)+1)</f>
        <v>#N/A</v>
      </c>
      <c r="DL1825" t="str">
        <f>IFERROR(INDEX(Sheet2!$AU$2:$BM$228,QUOTIENT(ROW()-1,19)+1,MOD(ROW()-2,19)+1),NA())</f>
        <v/>
      </c>
      <c r="DM1825" s="4" t="e">
        <f t="shared" si="105"/>
        <v>#N/A</v>
      </c>
      <c r="DN1825" t="e">
        <f t="shared" si="106"/>
        <v>#N/A</v>
      </c>
      <c r="DO1825" t="e">
        <f t="shared" si="107"/>
        <v>#N/A</v>
      </c>
    </row>
    <row r="1826" spans="7:119" x14ac:dyDescent="0.25">
      <c r="G1826"/>
      <c r="DI1826" s="4">
        <f>INDEX(Sheet2!A:A,QUOTIENT(ROW()-1,19)+2)</f>
        <v>41353</v>
      </c>
      <c r="DJ1826" s="4">
        <f>INDEX(Sheet2!C:C,QUOTIENT(ROW()-1,19)+2)</f>
        <v>43100</v>
      </c>
      <c r="DK1826" s="4">
        <f>INDEX(Sheet2!$AA$2:$AS$228,QUOTIENT(ROW()-1,19)+1,MOD(ROW()-2,19)+1)</f>
        <v>43079.924999999996</v>
      </c>
      <c r="DL1826">
        <f>IFERROR(INDEX(Sheet2!$AU$2:$BM$228,QUOTIENT(ROW()-1,19)+1,MOD(ROW()-2,19)+1),NA())</f>
        <v>4.25</v>
      </c>
      <c r="DM1826" s="4" t="e">
        <f t="shared" si="105"/>
        <v>#N/A</v>
      </c>
      <c r="DN1826" t="e">
        <f t="shared" si="106"/>
        <v>#N/A</v>
      </c>
      <c r="DO1826" t="e">
        <f t="shared" si="107"/>
        <v>#N/A</v>
      </c>
    </row>
    <row r="1827" spans="7:119" x14ac:dyDescent="0.25">
      <c r="G1827"/>
      <c r="DI1827" s="4">
        <f>INDEX(Sheet2!A:A,QUOTIENT(ROW()-1,19)+2)</f>
        <v>41353</v>
      </c>
      <c r="DJ1827" s="4">
        <f>INDEX(Sheet2!C:C,QUOTIENT(ROW()-1,19)+2)</f>
        <v>43100</v>
      </c>
      <c r="DK1827" s="4">
        <f>INDEX(Sheet2!$AA$2:$AS$228,QUOTIENT(ROW()-1,19)+1,MOD(ROW()-2,19)+1)</f>
        <v>43100</v>
      </c>
      <c r="DL1827">
        <f>IFERROR(INDEX(Sheet2!$AU$2:$BM$228,QUOTIENT(ROW()-1,19)+1,MOD(ROW()-2,19)+1),NA())</f>
        <v>4.25</v>
      </c>
      <c r="DM1827" s="4" t="e">
        <f t="shared" si="105"/>
        <v>#N/A</v>
      </c>
      <c r="DN1827" t="e">
        <f t="shared" si="106"/>
        <v>#N/A</v>
      </c>
      <c r="DO1827" t="e">
        <f t="shared" si="107"/>
        <v>#N/A</v>
      </c>
    </row>
    <row r="1828" spans="7:119" x14ac:dyDescent="0.25">
      <c r="G1828"/>
      <c r="DI1828" s="4">
        <f>INDEX(Sheet2!A:A,QUOTIENT(ROW()-1,19)+2)</f>
        <v>41353</v>
      </c>
      <c r="DJ1828" s="4">
        <f>INDEX(Sheet2!C:C,QUOTIENT(ROW()-1,19)+2)</f>
        <v>43100</v>
      </c>
      <c r="DK1828" s="4">
        <f>INDEX(Sheet2!$AA$2:$AS$228,QUOTIENT(ROW()-1,19)+1,MOD(ROW()-2,19)+1)</f>
        <v>43120.074999999997</v>
      </c>
      <c r="DL1828">
        <f>IFERROR(INDEX(Sheet2!$AU$2:$BM$228,QUOTIENT(ROW()-1,19)+1,MOD(ROW()-2,19)+1),NA())</f>
        <v>4.25</v>
      </c>
      <c r="DM1828" s="4" t="e">
        <f t="shared" si="105"/>
        <v>#N/A</v>
      </c>
      <c r="DN1828" t="e">
        <f t="shared" si="106"/>
        <v>#N/A</v>
      </c>
      <c r="DO1828" t="e">
        <f t="shared" si="107"/>
        <v>#N/A</v>
      </c>
    </row>
    <row r="1829" spans="7:119" x14ac:dyDescent="0.25">
      <c r="G1829"/>
      <c r="DI1829" s="4">
        <f>INDEX(Sheet2!A:A,QUOTIENT(ROW()-1,19)+2)</f>
        <v>41353</v>
      </c>
      <c r="DJ1829" s="4">
        <f>INDEX(Sheet2!C:C,QUOTIENT(ROW()-1,19)+2)</f>
        <v>43100</v>
      </c>
      <c r="DK1829" s="4" t="e">
        <f>INDEX(Sheet2!$AA$2:$AS$228,QUOTIENT(ROW()-1,19)+1,MOD(ROW()-2,19)+1)</f>
        <v>#N/A</v>
      </c>
      <c r="DL1829" t="str">
        <f>IFERROR(INDEX(Sheet2!$AU$2:$BM$228,QUOTIENT(ROW()-1,19)+1,MOD(ROW()-2,19)+1),NA())</f>
        <v/>
      </c>
      <c r="DM1829" s="4" t="e">
        <f t="shared" si="105"/>
        <v>#N/A</v>
      </c>
      <c r="DN1829" t="e">
        <f t="shared" si="106"/>
        <v>#N/A</v>
      </c>
      <c r="DO1829" t="e">
        <f t="shared" si="107"/>
        <v>#N/A</v>
      </c>
    </row>
    <row r="1830" spans="7:119" x14ac:dyDescent="0.25">
      <c r="G1830"/>
      <c r="DI1830" s="4">
        <f>INDEX(Sheet2!A:A,QUOTIENT(ROW()-1,19)+2)</f>
        <v>41353</v>
      </c>
      <c r="DJ1830" s="4">
        <f>INDEX(Sheet2!C:C,QUOTIENT(ROW()-1,19)+2)</f>
        <v>43100</v>
      </c>
      <c r="DK1830" s="4" t="e">
        <f>INDEX(Sheet2!$AA$2:$AS$228,QUOTIENT(ROW()-1,19)+1,MOD(ROW()-2,19)+1)</f>
        <v>#N/A</v>
      </c>
      <c r="DL1830" t="str">
        <f>IFERROR(INDEX(Sheet2!$AU$2:$BM$228,QUOTIENT(ROW()-1,19)+1,MOD(ROW()-2,19)+1),NA())</f>
        <v/>
      </c>
      <c r="DM1830" s="4" t="e">
        <f t="shared" si="105"/>
        <v>#N/A</v>
      </c>
      <c r="DN1830" t="e">
        <f t="shared" si="106"/>
        <v>#N/A</v>
      </c>
      <c r="DO1830" t="e">
        <f t="shared" si="107"/>
        <v>#N/A</v>
      </c>
    </row>
    <row r="1831" spans="7:119" x14ac:dyDescent="0.25">
      <c r="G1831"/>
      <c r="DI1831" s="4">
        <f>INDEX(Sheet2!A:A,QUOTIENT(ROW()-1,19)+2)</f>
        <v>41353</v>
      </c>
      <c r="DJ1831" s="4">
        <f>INDEX(Sheet2!C:C,QUOTIENT(ROW()-1,19)+2)</f>
        <v>43100</v>
      </c>
      <c r="DK1831" s="4" t="e">
        <f>INDEX(Sheet2!$AA$2:$AS$228,QUOTIENT(ROW()-1,19)+1,MOD(ROW()-2,19)+1)</f>
        <v>#N/A</v>
      </c>
      <c r="DL1831" t="str">
        <f>IFERROR(INDEX(Sheet2!$AU$2:$BM$228,QUOTIENT(ROW()-1,19)+1,MOD(ROW()-2,19)+1),NA())</f>
        <v/>
      </c>
      <c r="DM1831" s="4" t="e">
        <f t="shared" si="105"/>
        <v>#N/A</v>
      </c>
      <c r="DN1831" t="e">
        <f t="shared" si="106"/>
        <v>#N/A</v>
      </c>
      <c r="DO1831" t="e">
        <f t="shared" si="107"/>
        <v>#N/A</v>
      </c>
    </row>
    <row r="1832" spans="7:119" x14ac:dyDescent="0.25">
      <c r="G1832"/>
      <c r="DI1832" s="4">
        <f>INDEX(Sheet2!A:A,QUOTIENT(ROW()-1,19)+2)</f>
        <v>41353</v>
      </c>
      <c r="DJ1832" s="4">
        <f>INDEX(Sheet2!C:C,QUOTIENT(ROW()-1,19)+2)</f>
        <v>43100</v>
      </c>
      <c r="DK1832" s="4" t="e">
        <f>INDEX(Sheet2!$AA$2:$AS$228,QUOTIENT(ROW()-1,19)+1,MOD(ROW()-2,19)+1)</f>
        <v>#N/A</v>
      </c>
      <c r="DL1832" t="str">
        <f>IFERROR(INDEX(Sheet2!$AU$2:$BM$228,QUOTIENT(ROW()-1,19)+1,MOD(ROW()-2,19)+1),NA())</f>
        <v/>
      </c>
      <c r="DM1832" s="4" t="e">
        <f t="shared" si="105"/>
        <v>#N/A</v>
      </c>
      <c r="DN1832" t="e">
        <f t="shared" si="106"/>
        <v>#N/A</v>
      </c>
      <c r="DO1832" t="e">
        <f t="shared" si="107"/>
        <v>#N/A</v>
      </c>
    </row>
    <row r="1833" spans="7:119" x14ac:dyDescent="0.25">
      <c r="G1833"/>
      <c r="DI1833" s="4">
        <f>INDEX(Sheet2!A:A,QUOTIENT(ROW()-1,19)+2)</f>
        <v>41353</v>
      </c>
      <c r="DJ1833" s="4">
        <f>INDEX(Sheet2!C:C,QUOTIENT(ROW()-1,19)+2)</f>
        <v>43100</v>
      </c>
      <c r="DK1833" s="4" t="e">
        <f>INDEX(Sheet2!$AA$2:$AS$228,QUOTIENT(ROW()-1,19)+1,MOD(ROW()-2,19)+1)</f>
        <v>#N/A</v>
      </c>
      <c r="DL1833" t="str">
        <f>IFERROR(INDEX(Sheet2!$AU$2:$BM$228,QUOTIENT(ROW()-1,19)+1,MOD(ROW()-2,19)+1),NA())</f>
        <v/>
      </c>
      <c r="DM1833" s="4" t="e">
        <f t="shared" si="105"/>
        <v>#N/A</v>
      </c>
      <c r="DN1833" t="e">
        <f t="shared" si="106"/>
        <v>#N/A</v>
      </c>
      <c r="DO1833" t="e">
        <f t="shared" si="107"/>
        <v>#N/A</v>
      </c>
    </row>
    <row r="1834" spans="7:119" x14ac:dyDescent="0.25">
      <c r="G1834"/>
      <c r="DI1834" s="4">
        <f>INDEX(Sheet2!A:A,QUOTIENT(ROW()-1,19)+2)</f>
        <v>41353</v>
      </c>
      <c r="DJ1834" s="4">
        <f>INDEX(Sheet2!C:C,QUOTIENT(ROW()-1,19)+2)</f>
        <v>43100</v>
      </c>
      <c r="DK1834" s="4" t="e">
        <f>INDEX(Sheet2!$AA$2:$AS$228,QUOTIENT(ROW()-1,19)+1,MOD(ROW()-2,19)+1)</f>
        <v>#N/A</v>
      </c>
      <c r="DL1834" t="str">
        <f>IFERROR(INDEX(Sheet2!$AU$2:$BM$228,QUOTIENT(ROW()-1,19)+1,MOD(ROW()-2,19)+1),NA())</f>
        <v/>
      </c>
      <c r="DM1834" s="4" t="e">
        <f t="shared" si="105"/>
        <v>#N/A</v>
      </c>
      <c r="DN1834" t="e">
        <f t="shared" si="106"/>
        <v>#N/A</v>
      </c>
      <c r="DO1834" t="e">
        <f t="shared" si="107"/>
        <v>#N/A</v>
      </c>
    </row>
    <row r="1835" spans="7:119" x14ac:dyDescent="0.25">
      <c r="G1835"/>
      <c r="DI1835" s="4">
        <f>INDEX(Sheet2!A:A,QUOTIENT(ROW()-1,19)+2)</f>
        <v>41353</v>
      </c>
      <c r="DJ1835" s="4">
        <f>INDEX(Sheet2!C:C,QUOTIENT(ROW()-1,19)+2)</f>
        <v>43100</v>
      </c>
      <c r="DK1835" s="4" t="e">
        <f>INDEX(Sheet2!$AA$2:$AS$228,QUOTIENT(ROW()-1,19)+1,MOD(ROW()-2,19)+1)</f>
        <v>#N/A</v>
      </c>
      <c r="DL1835" t="str">
        <f>IFERROR(INDEX(Sheet2!$AU$2:$BM$228,QUOTIENT(ROW()-1,19)+1,MOD(ROW()-2,19)+1),NA())</f>
        <v/>
      </c>
      <c r="DM1835" s="4" t="e">
        <f t="shared" si="105"/>
        <v>#N/A</v>
      </c>
      <c r="DN1835" t="e">
        <f t="shared" si="106"/>
        <v>#N/A</v>
      </c>
      <c r="DO1835" t="e">
        <f t="shared" si="107"/>
        <v>#N/A</v>
      </c>
    </row>
    <row r="1836" spans="7:119" x14ac:dyDescent="0.25">
      <c r="G1836"/>
      <c r="DI1836" s="4">
        <f>INDEX(Sheet2!A:A,QUOTIENT(ROW()-1,19)+2)</f>
        <v>41353</v>
      </c>
      <c r="DJ1836" s="4">
        <f>INDEX(Sheet2!C:C,QUOTIENT(ROW()-1,19)+2)</f>
        <v>43100</v>
      </c>
      <c r="DK1836" s="4" t="e">
        <f>INDEX(Sheet2!$AA$2:$AS$228,QUOTIENT(ROW()-1,19)+1,MOD(ROW()-2,19)+1)</f>
        <v>#N/A</v>
      </c>
      <c r="DL1836" t="str">
        <f>IFERROR(INDEX(Sheet2!$AU$2:$BM$228,QUOTIENT(ROW()-1,19)+1,MOD(ROW()-2,19)+1),NA())</f>
        <v/>
      </c>
      <c r="DM1836" s="4" t="e">
        <f t="shared" si="105"/>
        <v>#N/A</v>
      </c>
      <c r="DN1836" t="e">
        <f t="shared" si="106"/>
        <v>#N/A</v>
      </c>
      <c r="DO1836" t="e">
        <f t="shared" si="107"/>
        <v>#N/A</v>
      </c>
    </row>
    <row r="1837" spans="7:119" x14ac:dyDescent="0.25">
      <c r="G1837"/>
      <c r="DI1837" s="4">
        <f>INDEX(Sheet2!A:A,QUOTIENT(ROW()-1,19)+2)</f>
        <v>41353</v>
      </c>
      <c r="DJ1837" s="4">
        <f>INDEX(Sheet2!C:C,QUOTIENT(ROW()-1,19)+2)</f>
        <v>43100</v>
      </c>
      <c r="DK1837" s="4" t="e">
        <f>INDEX(Sheet2!$AA$2:$AS$228,QUOTIENT(ROW()-1,19)+1,MOD(ROW()-2,19)+1)</f>
        <v>#N/A</v>
      </c>
      <c r="DL1837" t="str">
        <f>IFERROR(INDEX(Sheet2!$AU$2:$BM$228,QUOTIENT(ROW()-1,19)+1,MOD(ROW()-2,19)+1),NA())</f>
        <v/>
      </c>
      <c r="DM1837" s="4" t="e">
        <f t="shared" si="105"/>
        <v>#N/A</v>
      </c>
      <c r="DN1837" t="e">
        <f t="shared" si="106"/>
        <v>#N/A</v>
      </c>
      <c r="DO1837" t="e">
        <f t="shared" si="107"/>
        <v>#N/A</v>
      </c>
    </row>
    <row r="1838" spans="7:119" x14ac:dyDescent="0.25">
      <c r="G1838"/>
      <c r="DI1838" s="4">
        <f>INDEX(Sheet2!A:A,QUOTIENT(ROW()-1,19)+2)</f>
        <v>41353</v>
      </c>
      <c r="DJ1838" s="4">
        <f>INDEX(Sheet2!C:C,QUOTIENT(ROW()-1,19)+2)</f>
        <v>43100</v>
      </c>
      <c r="DK1838" s="4" t="e">
        <f>INDEX(Sheet2!$AA$2:$AS$228,QUOTIENT(ROW()-1,19)+1,MOD(ROW()-2,19)+1)</f>
        <v>#N/A</v>
      </c>
      <c r="DL1838" t="str">
        <f>IFERROR(INDEX(Sheet2!$AU$2:$BM$228,QUOTIENT(ROW()-1,19)+1,MOD(ROW()-2,19)+1),NA())</f>
        <v/>
      </c>
      <c r="DM1838" s="4" t="e">
        <f t="shared" si="105"/>
        <v>#N/A</v>
      </c>
      <c r="DN1838" t="e">
        <f t="shared" si="106"/>
        <v>#N/A</v>
      </c>
      <c r="DO1838" t="e">
        <f t="shared" si="107"/>
        <v>#N/A</v>
      </c>
    </row>
    <row r="1839" spans="7:119" x14ac:dyDescent="0.25">
      <c r="G1839"/>
      <c r="DI1839" s="4">
        <f>INDEX(Sheet2!A:A,QUOTIENT(ROW()-1,19)+2)</f>
        <v>41353</v>
      </c>
      <c r="DJ1839" s="4">
        <f>INDEX(Sheet2!C:C,QUOTIENT(ROW()-1,19)+2)</f>
        <v>43100</v>
      </c>
      <c r="DK1839" s="4" t="e">
        <f>INDEX(Sheet2!$AA$2:$AS$228,QUOTIENT(ROW()-1,19)+1,MOD(ROW()-2,19)+1)</f>
        <v>#N/A</v>
      </c>
      <c r="DL1839" t="str">
        <f>IFERROR(INDEX(Sheet2!$AU$2:$BM$228,QUOTIENT(ROW()-1,19)+1,MOD(ROW()-2,19)+1),NA())</f>
        <v/>
      </c>
      <c r="DM1839" s="4" t="e">
        <f t="shared" si="105"/>
        <v>#N/A</v>
      </c>
      <c r="DN1839" t="e">
        <f t="shared" si="106"/>
        <v>#N/A</v>
      </c>
      <c r="DO1839" t="e">
        <f t="shared" si="107"/>
        <v>#N/A</v>
      </c>
    </row>
    <row r="1840" spans="7:119" x14ac:dyDescent="0.25">
      <c r="G1840"/>
      <c r="DI1840" s="4">
        <f>INDEX(Sheet2!A:A,QUOTIENT(ROW()-1,19)+2)</f>
        <v>41353</v>
      </c>
      <c r="DJ1840" s="4">
        <f>INDEX(Sheet2!C:C,QUOTIENT(ROW()-1,19)+2)</f>
        <v>43100</v>
      </c>
      <c r="DK1840" s="4" t="e">
        <f>INDEX(Sheet2!$AA$2:$AS$228,QUOTIENT(ROW()-1,19)+1,MOD(ROW()-2,19)+1)</f>
        <v>#N/A</v>
      </c>
      <c r="DL1840" t="str">
        <f>IFERROR(INDEX(Sheet2!$AU$2:$BM$228,QUOTIENT(ROW()-1,19)+1,MOD(ROW()-2,19)+1),NA())</f>
        <v/>
      </c>
      <c r="DM1840" s="4" t="e">
        <f t="shared" si="105"/>
        <v>#N/A</v>
      </c>
      <c r="DN1840" t="e">
        <f t="shared" si="106"/>
        <v>#N/A</v>
      </c>
      <c r="DO1840" t="e">
        <f t="shared" si="107"/>
        <v>#N/A</v>
      </c>
    </row>
    <row r="1841" spans="7:119" x14ac:dyDescent="0.25">
      <c r="G1841"/>
      <c r="DI1841" s="4">
        <f>INDEX(Sheet2!A:A,QUOTIENT(ROW()-1,19)+2)</f>
        <v>41353</v>
      </c>
      <c r="DJ1841" s="4">
        <f>INDEX(Sheet2!C:C,QUOTIENT(ROW()-1,19)+2)</f>
        <v>43100</v>
      </c>
      <c r="DK1841" s="4" t="e">
        <f>INDEX(Sheet2!$AA$2:$AS$228,QUOTIENT(ROW()-1,19)+1,MOD(ROW()-2,19)+1)</f>
        <v>#N/A</v>
      </c>
      <c r="DL1841" t="str">
        <f>IFERROR(INDEX(Sheet2!$AU$2:$BM$228,QUOTIENT(ROW()-1,19)+1,MOD(ROW()-2,19)+1),NA())</f>
        <v/>
      </c>
      <c r="DM1841" s="4" t="e">
        <f t="shared" si="105"/>
        <v>#N/A</v>
      </c>
      <c r="DN1841" t="e">
        <f t="shared" si="106"/>
        <v>#N/A</v>
      </c>
      <c r="DO1841" t="e">
        <f t="shared" si="107"/>
        <v>#N/A</v>
      </c>
    </row>
    <row r="1842" spans="7:119" x14ac:dyDescent="0.25">
      <c r="G1842"/>
      <c r="DI1842" s="4">
        <f>INDEX(Sheet2!A:A,QUOTIENT(ROW()-1,19)+2)</f>
        <v>41353</v>
      </c>
      <c r="DJ1842" s="4">
        <f>INDEX(Sheet2!C:C,QUOTIENT(ROW()-1,19)+2)</f>
        <v>43100</v>
      </c>
      <c r="DK1842" s="4" t="e">
        <f>INDEX(Sheet2!$AA$2:$AS$228,QUOTIENT(ROW()-1,19)+1,MOD(ROW()-2,19)+1)</f>
        <v>#N/A</v>
      </c>
      <c r="DL1842" t="str">
        <f>IFERROR(INDEX(Sheet2!$AU$2:$BM$228,QUOTIENT(ROW()-1,19)+1,MOD(ROW()-2,19)+1),NA())</f>
        <v/>
      </c>
      <c r="DM1842" s="4" t="e">
        <f t="shared" si="105"/>
        <v>#N/A</v>
      </c>
      <c r="DN1842" t="e">
        <f t="shared" si="106"/>
        <v>#N/A</v>
      </c>
      <c r="DO1842" t="e">
        <f t="shared" si="107"/>
        <v>#N/A</v>
      </c>
    </row>
    <row r="1843" spans="7:119" x14ac:dyDescent="0.25">
      <c r="G1843"/>
      <c r="DI1843" s="4">
        <f>INDEX(Sheet2!A:A,QUOTIENT(ROW()-1,19)+2)</f>
        <v>41353</v>
      </c>
      <c r="DJ1843" s="4">
        <f>INDEX(Sheet2!C:C,QUOTIENT(ROW()-1,19)+2)</f>
        <v>43100</v>
      </c>
      <c r="DK1843" s="4" t="e">
        <f>INDEX(Sheet2!$AA$2:$AS$228,QUOTIENT(ROW()-1,19)+1,MOD(ROW()-2,19)+1)</f>
        <v>#N/A</v>
      </c>
      <c r="DL1843" t="str">
        <f>IFERROR(INDEX(Sheet2!$AU$2:$BM$228,QUOTIENT(ROW()-1,19)+1,MOD(ROW()-2,19)+1),NA())</f>
        <v/>
      </c>
      <c r="DM1843" s="4" t="e">
        <f t="shared" si="105"/>
        <v>#N/A</v>
      </c>
      <c r="DN1843" t="e">
        <f t="shared" si="106"/>
        <v>#N/A</v>
      </c>
      <c r="DO1843" t="e">
        <f t="shared" si="107"/>
        <v>#N/A</v>
      </c>
    </row>
    <row r="1844" spans="7:119" x14ac:dyDescent="0.25">
      <c r="G1844"/>
      <c r="DI1844" s="4">
        <f>INDEX(Sheet2!A:A,QUOTIENT(ROW()-1,19)+2)</f>
        <v>41353</v>
      </c>
      <c r="DJ1844" s="4">
        <f>INDEX(Sheet2!C:C,QUOTIENT(ROW()-1,19)+2)</f>
        <v>43100</v>
      </c>
      <c r="DK1844" s="4" t="e">
        <f>INDEX(Sheet2!$AA$2:$AS$228,QUOTIENT(ROW()-1,19)+1,MOD(ROW()-2,19)+1)</f>
        <v>#N/A</v>
      </c>
      <c r="DL1844" t="str">
        <f>IFERROR(INDEX(Sheet2!$AU$2:$BM$228,QUOTIENT(ROW()-1,19)+1,MOD(ROW()-2,19)+1),NA())</f>
        <v/>
      </c>
      <c r="DM1844" s="4" t="e">
        <f t="shared" si="105"/>
        <v>#N/A</v>
      </c>
      <c r="DN1844" t="e">
        <f t="shared" si="106"/>
        <v>#N/A</v>
      </c>
      <c r="DO1844" t="e">
        <f t="shared" si="107"/>
        <v>#N/A</v>
      </c>
    </row>
    <row r="1845" spans="7:119" x14ac:dyDescent="0.25">
      <c r="G1845"/>
      <c r="DI1845" s="4">
        <f>INDEX(Sheet2!A:A,QUOTIENT(ROW()-1,19)+2)</f>
        <v>41353</v>
      </c>
      <c r="DJ1845" s="4">
        <f>INDEX(Sheet2!C:C,QUOTIENT(ROW()-1,19)+2)</f>
        <v>43100</v>
      </c>
      <c r="DK1845" s="4">
        <f>INDEX(Sheet2!$AA$2:$AS$228,QUOTIENT(ROW()-1,19)+1,MOD(ROW()-2,19)+1)</f>
        <v>43079.924999999996</v>
      </c>
      <c r="DL1845">
        <f>IFERROR(INDEX(Sheet2!$AU$2:$BM$228,QUOTIENT(ROW()-1,19)+1,MOD(ROW()-2,19)+1),NA())</f>
        <v>4.5</v>
      </c>
      <c r="DM1845" s="4" t="e">
        <f t="shared" si="105"/>
        <v>#N/A</v>
      </c>
      <c r="DN1845" t="e">
        <f t="shared" si="106"/>
        <v>#N/A</v>
      </c>
      <c r="DO1845" t="e">
        <f t="shared" si="107"/>
        <v>#N/A</v>
      </c>
    </row>
    <row r="1846" spans="7:119" x14ac:dyDescent="0.25">
      <c r="G1846"/>
      <c r="DI1846" s="4">
        <f>INDEX(Sheet2!A:A,QUOTIENT(ROW()-1,19)+2)</f>
        <v>41353</v>
      </c>
      <c r="DJ1846" s="4">
        <f>INDEX(Sheet2!C:C,QUOTIENT(ROW()-1,19)+2)</f>
        <v>43100</v>
      </c>
      <c r="DK1846" s="4">
        <f>INDEX(Sheet2!$AA$2:$AS$228,QUOTIENT(ROW()-1,19)+1,MOD(ROW()-2,19)+1)</f>
        <v>43100</v>
      </c>
      <c r="DL1846">
        <f>IFERROR(INDEX(Sheet2!$AU$2:$BM$228,QUOTIENT(ROW()-1,19)+1,MOD(ROW()-2,19)+1),NA())</f>
        <v>4.5</v>
      </c>
      <c r="DM1846" s="4" t="e">
        <f t="shared" si="105"/>
        <v>#N/A</v>
      </c>
      <c r="DN1846" t="e">
        <f t="shared" si="106"/>
        <v>#N/A</v>
      </c>
      <c r="DO1846" t="e">
        <f t="shared" si="107"/>
        <v>#N/A</v>
      </c>
    </row>
    <row r="1847" spans="7:119" x14ac:dyDescent="0.25">
      <c r="G1847"/>
      <c r="DI1847" s="4">
        <f>INDEX(Sheet2!A:A,QUOTIENT(ROW()-1,19)+2)</f>
        <v>41353</v>
      </c>
      <c r="DJ1847" s="4">
        <f>INDEX(Sheet2!C:C,QUOTIENT(ROW()-1,19)+2)</f>
        <v>43100</v>
      </c>
      <c r="DK1847" s="4">
        <f>INDEX(Sheet2!$AA$2:$AS$228,QUOTIENT(ROW()-1,19)+1,MOD(ROW()-2,19)+1)</f>
        <v>43120.074999999997</v>
      </c>
      <c r="DL1847">
        <f>IFERROR(INDEX(Sheet2!$AU$2:$BM$228,QUOTIENT(ROW()-1,19)+1,MOD(ROW()-2,19)+1),NA())</f>
        <v>4.5</v>
      </c>
      <c r="DM1847" s="4" t="e">
        <f t="shared" si="105"/>
        <v>#N/A</v>
      </c>
      <c r="DN1847" t="e">
        <f t="shared" si="106"/>
        <v>#N/A</v>
      </c>
      <c r="DO1847" t="e">
        <f t="shared" si="107"/>
        <v>#N/A</v>
      </c>
    </row>
    <row r="1848" spans="7:119" x14ac:dyDescent="0.25">
      <c r="G1848"/>
      <c r="DI1848" s="4">
        <f>INDEX(Sheet2!A:A,QUOTIENT(ROW()-1,19)+2)</f>
        <v>41353</v>
      </c>
      <c r="DJ1848" s="4">
        <f>INDEX(Sheet2!C:C,QUOTIENT(ROW()-1,19)+2)</f>
        <v>43100</v>
      </c>
      <c r="DK1848" s="4" t="e">
        <f>INDEX(Sheet2!$AA$2:$AS$228,QUOTIENT(ROW()-1,19)+1,MOD(ROW()-2,19)+1)</f>
        <v>#N/A</v>
      </c>
      <c r="DL1848" t="str">
        <f>IFERROR(INDEX(Sheet2!$AU$2:$BM$228,QUOTIENT(ROW()-1,19)+1,MOD(ROW()-2,19)+1),NA())</f>
        <v/>
      </c>
      <c r="DM1848" s="4" t="e">
        <f t="shared" si="105"/>
        <v>#N/A</v>
      </c>
      <c r="DN1848" t="e">
        <f t="shared" si="106"/>
        <v>#N/A</v>
      </c>
      <c r="DO1848" t="e">
        <f t="shared" si="107"/>
        <v>#N/A</v>
      </c>
    </row>
    <row r="1849" spans="7:119" x14ac:dyDescent="0.25">
      <c r="G1849"/>
      <c r="DI1849" s="4">
        <f>INDEX(Sheet2!A:A,QUOTIENT(ROW()-1,19)+2)</f>
        <v>41353</v>
      </c>
      <c r="DJ1849" s="4">
        <f>INDEX(Sheet2!C:C,QUOTIENT(ROW()-1,19)+2)</f>
        <v>43100</v>
      </c>
      <c r="DK1849" s="4" t="e">
        <f>INDEX(Sheet2!$AA$2:$AS$228,QUOTIENT(ROW()-1,19)+1,MOD(ROW()-2,19)+1)</f>
        <v>#N/A</v>
      </c>
      <c r="DL1849" t="str">
        <f>IFERROR(INDEX(Sheet2!$AU$2:$BM$228,QUOTIENT(ROW()-1,19)+1,MOD(ROW()-2,19)+1),NA())</f>
        <v/>
      </c>
      <c r="DM1849" s="4" t="e">
        <f t="shared" si="105"/>
        <v>#N/A</v>
      </c>
      <c r="DN1849" t="e">
        <f t="shared" si="106"/>
        <v>#N/A</v>
      </c>
      <c r="DO1849" t="e">
        <f t="shared" si="107"/>
        <v>#N/A</v>
      </c>
    </row>
    <row r="1850" spans="7:119" x14ac:dyDescent="0.25">
      <c r="G1850"/>
      <c r="DI1850" s="4">
        <f>INDEX(Sheet2!A:A,QUOTIENT(ROW()-1,19)+2)</f>
        <v>41353</v>
      </c>
      <c r="DJ1850" s="4">
        <f>INDEX(Sheet2!C:C,QUOTIENT(ROW()-1,19)+2)</f>
        <v>43100</v>
      </c>
      <c r="DK1850" s="4" t="e">
        <f>INDEX(Sheet2!$AA$2:$AS$228,QUOTIENT(ROW()-1,19)+1,MOD(ROW()-2,19)+1)</f>
        <v>#N/A</v>
      </c>
      <c r="DL1850" t="str">
        <f>IFERROR(INDEX(Sheet2!$AU$2:$BM$228,QUOTIENT(ROW()-1,19)+1,MOD(ROW()-2,19)+1),NA())</f>
        <v/>
      </c>
      <c r="DM1850" s="4" t="e">
        <f t="shared" si="105"/>
        <v>#N/A</v>
      </c>
      <c r="DN1850" t="e">
        <f t="shared" si="106"/>
        <v>#N/A</v>
      </c>
      <c r="DO1850" t="e">
        <f t="shared" si="107"/>
        <v>#N/A</v>
      </c>
    </row>
    <row r="1851" spans="7:119" x14ac:dyDescent="0.25">
      <c r="G1851"/>
      <c r="DI1851" s="4">
        <f>INDEX(Sheet2!A:A,QUOTIENT(ROW()-1,19)+2)</f>
        <v>41353</v>
      </c>
      <c r="DJ1851" s="4">
        <f>INDEX(Sheet2!C:C,QUOTIENT(ROW()-1,19)+2)</f>
        <v>43100</v>
      </c>
      <c r="DK1851" s="4" t="e">
        <f>INDEX(Sheet2!$AA$2:$AS$228,QUOTIENT(ROW()-1,19)+1,MOD(ROW()-2,19)+1)</f>
        <v>#N/A</v>
      </c>
      <c r="DL1851" t="str">
        <f>IFERROR(INDEX(Sheet2!$AU$2:$BM$228,QUOTIENT(ROW()-1,19)+1,MOD(ROW()-2,19)+1),NA())</f>
        <v/>
      </c>
      <c r="DM1851" s="4" t="e">
        <f t="shared" si="105"/>
        <v>#N/A</v>
      </c>
      <c r="DN1851" t="e">
        <f t="shared" si="106"/>
        <v>#N/A</v>
      </c>
      <c r="DO1851" t="e">
        <f t="shared" si="107"/>
        <v>#N/A</v>
      </c>
    </row>
    <row r="1852" spans="7:119" x14ac:dyDescent="0.25">
      <c r="G1852"/>
      <c r="DI1852" s="4">
        <f>INDEX(Sheet2!A:A,QUOTIENT(ROW()-1,19)+2)</f>
        <v>41353</v>
      </c>
      <c r="DJ1852" s="4">
        <f>INDEX(Sheet2!C:C,QUOTIENT(ROW()-1,19)+2)</f>
        <v>43100</v>
      </c>
      <c r="DK1852" s="4" t="e">
        <f>INDEX(Sheet2!$AA$2:$AS$228,QUOTIENT(ROW()-1,19)+1,MOD(ROW()-2,19)+1)</f>
        <v>#N/A</v>
      </c>
      <c r="DL1852" t="str">
        <f>IFERROR(INDEX(Sheet2!$AU$2:$BM$228,QUOTIENT(ROW()-1,19)+1,MOD(ROW()-2,19)+1),NA())</f>
        <v/>
      </c>
      <c r="DM1852" s="4" t="e">
        <f t="shared" si="105"/>
        <v>#N/A</v>
      </c>
      <c r="DN1852" t="e">
        <f t="shared" si="106"/>
        <v>#N/A</v>
      </c>
      <c r="DO1852" t="e">
        <f t="shared" si="107"/>
        <v>#N/A</v>
      </c>
    </row>
    <row r="1853" spans="7:119" x14ac:dyDescent="0.25">
      <c r="G1853"/>
      <c r="DI1853" s="4">
        <f>INDEX(Sheet2!A:A,QUOTIENT(ROW()-1,19)+2)</f>
        <v>41353</v>
      </c>
      <c r="DJ1853" s="4">
        <f>INDEX(Sheet2!C:C,QUOTIENT(ROW()-1,19)+2)</f>
        <v>43100</v>
      </c>
      <c r="DK1853" s="4" t="e">
        <f>INDEX(Sheet2!$AA$2:$AS$228,QUOTIENT(ROW()-1,19)+1,MOD(ROW()-2,19)+1)</f>
        <v>#N/A</v>
      </c>
      <c r="DL1853" t="str">
        <f>IFERROR(INDEX(Sheet2!$AU$2:$BM$228,QUOTIENT(ROW()-1,19)+1,MOD(ROW()-2,19)+1),NA())</f>
        <v/>
      </c>
      <c r="DM1853" s="4" t="e">
        <f t="shared" si="105"/>
        <v>#N/A</v>
      </c>
      <c r="DN1853" t="e">
        <f t="shared" si="106"/>
        <v>#N/A</v>
      </c>
      <c r="DO1853" t="e">
        <f t="shared" si="107"/>
        <v>#N/A</v>
      </c>
    </row>
    <row r="1854" spans="7:119" x14ac:dyDescent="0.25">
      <c r="G1854"/>
      <c r="DI1854" s="4">
        <f>INDEX(Sheet2!A:A,QUOTIENT(ROW()-1,19)+2)</f>
        <v>41353</v>
      </c>
      <c r="DJ1854" s="4">
        <f>INDEX(Sheet2!C:C,QUOTIENT(ROW()-1,19)+2)</f>
        <v>43100</v>
      </c>
      <c r="DK1854" s="4" t="e">
        <f>INDEX(Sheet2!$AA$2:$AS$228,QUOTIENT(ROW()-1,19)+1,MOD(ROW()-2,19)+1)</f>
        <v>#N/A</v>
      </c>
      <c r="DL1854" t="str">
        <f>IFERROR(INDEX(Sheet2!$AU$2:$BM$228,QUOTIENT(ROW()-1,19)+1,MOD(ROW()-2,19)+1),NA())</f>
        <v/>
      </c>
      <c r="DM1854" s="4" t="e">
        <f t="shared" si="105"/>
        <v>#N/A</v>
      </c>
      <c r="DN1854" t="e">
        <f t="shared" si="106"/>
        <v>#N/A</v>
      </c>
      <c r="DO1854" t="e">
        <f t="shared" si="107"/>
        <v>#N/A</v>
      </c>
    </row>
    <row r="1855" spans="7:119" x14ac:dyDescent="0.25">
      <c r="G1855"/>
      <c r="DI1855" s="4">
        <f>INDEX(Sheet2!A:A,QUOTIENT(ROW()-1,19)+2)</f>
        <v>41353</v>
      </c>
      <c r="DJ1855" s="4">
        <f>INDEX(Sheet2!C:C,QUOTIENT(ROW()-1,19)+2)</f>
        <v>43100</v>
      </c>
      <c r="DK1855" s="4" t="e">
        <f>INDEX(Sheet2!$AA$2:$AS$228,QUOTIENT(ROW()-1,19)+1,MOD(ROW()-2,19)+1)</f>
        <v>#N/A</v>
      </c>
      <c r="DL1855" t="str">
        <f>IFERROR(INDEX(Sheet2!$AU$2:$BM$228,QUOTIENT(ROW()-1,19)+1,MOD(ROW()-2,19)+1),NA())</f>
        <v/>
      </c>
      <c r="DM1855" s="4" t="e">
        <f t="shared" si="105"/>
        <v>#N/A</v>
      </c>
      <c r="DN1855" t="e">
        <f t="shared" si="106"/>
        <v>#N/A</v>
      </c>
      <c r="DO1855" t="e">
        <f t="shared" si="107"/>
        <v>#N/A</v>
      </c>
    </row>
    <row r="1856" spans="7:119" x14ac:dyDescent="0.25">
      <c r="G1856"/>
      <c r="DI1856" s="4">
        <f>INDEX(Sheet2!A:A,QUOTIENT(ROW()-1,19)+2)</f>
        <v>41353</v>
      </c>
      <c r="DJ1856" s="4">
        <f>INDEX(Sheet2!C:C,QUOTIENT(ROW()-1,19)+2)</f>
        <v>43100</v>
      </c>
      <c r="DK1856" s="4" t="e">
        <f>INDEX(Sheet2!$AA$2:$AS$228,QUOTIENT(ROW()-1,19)+1,MOD(ROW()-2,19)+1)</f>
        <v>#N/A</v>
      </c>
      <c r="DL1856" t="str">
        <f>IFERROR(INDEX(Sheet2!$AU$2:$BM$228,QUOTIENT(ROW()-1,19)+1,MOD(ROW()-2,19)+1),NA())</f>
        <v/>
      </c>
      <c r="DM1856" s="4" t="e">
        <f t="shared" si="105"/>
        <v>#N/A</v>
      </c>
      <c r="DN1856" t="e">
        <f t="shared" si="106"/>
        <v>#N/A</v>
      </c>
      <c r="DO1856" t="e">
        <f t="shared" si="107"/>
        <v>#N/A</v>
      </c>
    </row>
    <row r="1857" spans="7:119" x14ac:dyDescent="0.25">
      <c r="G1857"/>
      <c r="DI1857" s="4">
        <f>INDEX(Sheet2!A:A,QUOTIENT(ROW()-1,19)+2)</f>
        <v>41353</v>
      </c>
      <c r="DJ1857" s="4">
        <f>INDEX(Sheet2!C:C,QUOTIENT(ROW()-1,19)+2)</f>
        <v>43100</v>
      </c>
      <c r="DK1857" s="4" t="e">
        <f>INDEX(Sheet2!$AA$2:$AS$228,QUOTIENT(ROW()-1,19)+1,MOD(ROW()-2,19)+1)</f>
        <v>#N/A</v>
      </c>
      <c r="DL1857" t="str">
        <f>IFERROR(INDEX(Sheet2!$AU$2:$BM$228,QUOTIENT(ROW()-1,19)+1,MOD(ROW()-2,19)+1),NA())</f>
        <v/>
      </c>
      <c r="DM1857" s="4" t="e">
        <f t="shared" si="105"/>
        <v>#N/A</v>
      </c>
      <c r="DN1857" t="e">
        <f t="shared" si="106"/>
        <v>#N/A</v>
      </c>
      <c r="DO1857" t="e">
        <f t="shared" si="107"/>
        <v>#N/A</v>
      </c>
    </row>
    <row r="1858" spans="7:119" x14ac:dyDescent="0.25">
      <c r="G1858"/>
      <c r="DI1858" s="4">
        <f>INDEX(Sheet2!A:A,QUOTIENT(ROW()-1,19)+2)</f>
        <v>41353</v>
      </c>
      <c r="DJ1858" s="4">
        <f>INDEX(Sheet2!C:C,QUOTIENT(ROW()-1,19)+2)</f>
        <v>43100</v>
      </c>
      <c r="DK1858" s="4" t="e">
        <f>INDEX(Sheet2!$AA$2:$AS$228,QUOTIENT(ROW()-1,19)+1,MOD(ROW()-2,19)+1)</f>
        <v>#N/A</v>
      </c>
      <c r="DL1858" t="str">
        <f>IFERROR(INDEX(Sheet2!$AU$2:$BM$228,QUOTIENT(ROW()-1,19)+1,MOD(ROW()-2,19)+1),NA())</f>
        <v/>
      </c>
      <c r="DM1858" s="4" t="e">
        <f t="shared" ref="DM1858:DM1921" si="108">+IF($C$2=$DI1858,DK1858,NA())</f>
        <v>#N/A</v>
      </c>
      <c r="DN1858" t="e">
        <f t="shared" ref="DN1858:DN1921" si="109">+IF($C$2=$DI1858,DL1858,NA())</f>
        <v>#N/A</v>
      </c>
      <c r="DO1858" t="e">
        <f t="shared" si="107"/>
        <v>#N/A</v>
      </c>
    </row>
    <row r="1859" spans="7:119" x14ac:dyDescent="0.25">
      <c r="G1859"/>
      <c r="DI1859" s="4">
        <f>INDEX(Sheet2!A:A,QUOTIENT(ROW()-1,19)+2)</f>
        <v>41353</v>
      </c>
      <c r="DJ1859" s="4">
        <f>INDEX(Sheet2!C:C,QUOTIENT(ROW()-1,19)+2)</f>
        <v>43100</v>
      </c>
      <c r="DK1859" s="4" t="e">
        <f>INDEX(Sheet2!$AA$2:$AS$228,QUOTIENT(ROW()-1,19)+1,MOD(ROW()-2,19)+1)</f>
        <v>#N/A</v>
      </c>
      <c r="DL1859" t="str">
        <f>IFERROR(INDEX(Sheet2!$AU$2:$BM$228,QUOTIENT(ROW()-1,19)+1,MOD(ROW()-2,19)+1),NA())</f>
        <v/>
      </c>
      <c r="DM1859" s="4" t="e">
        <f t="shared" si="108"/>
        <v>#N/A</v>
      </c>
      <c r="DN1859" t="e">
        <f t="shared" si="109"/>
        <v>#N/A</v>
      </c>
      <c r="DO1859" t="e">
        <f t="shared" ref="DO1859:DO1922" si="110">IF(DN1859="",NA(),DN1859)</f>
        <v>#N/A</v>
      </c>
    </row>
    <row r="1860" spans="7:119" x14ac:dyDescent="0.25">
      <c r="G1860"/>
      <c r="DI1860" s="4">
        <f>INDEX(Sheet2!A:A,QUOTIENT(ROW()-1,19)+2)</f>
        <v>41353</v>
      </c>
      <c r="DJ1860" s="4">
        <f>INDEX(Sheet2!C:C,QUOTIENT(ROW()-1,19)+2)</f>
        <v>43100</v>
      </c>
      <c r="DK1860" s="4" t="e">
        <f>INDEX(Sheet2!$AA$2:$AS$228,QUOTIENT(ROW()-1,19)+1,MOD(ROW()-2,19)+1)</f>
        <v>#N/A</v>
      </c>
      <c r="DL1860" t="str">
        <f>IFERROR(INDEX(Sheet2!$AU$2:$BM$228,QUOTIENT(ROW()-1,19)+1,MOD(ROW()-2,19)+1),NA())</f>
        <v/>
      </c>
      <c r="DM1860" s="4" t="e">
        <f t="shared" si="108"/>
        <v>#N/A</v>
      </c>
      <c r="DN1860" t="e">
        <f t="shared" si="109"/>
        <v>#N/A</v>
      </c>
      <c r="DO1860" t="e">
        <f t="shared" si="110"/>
        <v>#N/A</v>
      </c>
    </row>
    <row r="1861" spans="7:119" x14ac:dyDescent="0.25">
      <c r="G1861"/>
      <c r="DI1861" s="4">
        <f>INDEX(Sheet2!A:A,QUOTIENT(ROW()-1,19)+2)</f>
        <v>41353</v>
      </c>
      <c r="DJ1861" s="4">
        <f>INDEX(Sheet2!C:C,QUOTIENT(ROW()-1,19)+2)</f>
        <v>43100</v>
      </c>
      <c r="DK1861" s="4" t="e">
        <f>INDEX(Sheet2!$AA$2:$AS$228,QUOTIENT(ROW()-1,19)+1,MOD(ROW()-2,19)+1)</f>
        <v>#N/A</v>
      </c>
      <c r="DL1861" t="str">
        <f>IFERROR(INDEX(Sheet2!$AU$2:$BM$228,QUOTIENT(ROW()-1,19)+1,MOD(ROW()-2,19)+1),NA())</f>
        <v/>
      </c>
      <c r="DM1861" s="4" t="e">
        <f t="shared" si="108"/>
        <v>#N/A</v>
      </c>
      <c r="DN1861" t="e">
        <f t="shared" si="109"/>
        <v>#N/A</v>
      </c>
      <c r="DO1861" t="e">
        <f t="shared" si="110"/>
        <v>#N/A</v>
      </c>
    </row>
    <row r="1862" spans="7:119" x14ac:dyDescent="0.25">
      <c r="G1862"/>
      <c r="DI1862" s="4">
        <f>INDEX(Sheet2!A:A,QUOTIENT(ROW()-1,19)+2)</f>
        <v>41353</v>
      </c>
      <c r="DJ1862" s="4">
        <f>INDEX(Sheet2!C:C,QUOTIENT(ROW()-1,19)+2)</f>
        <v>43100</v>
      </c>
      <c r="DK1862" s="4" t="e">
        <f>INDEX(Sheet2!$AA$2:$AS$228,QUOTIENT(ROW()-1,19)+1,MOD(ROW()-2,19)+1)</f>
        <v>#N/A</v>
      </c>
      <c r="DL1862" t="str">
        <f>IFERROR(INDEX(Sheet2!$AU$2:$BM$228,QUOTIENT(ROW()-1,19)+1,MOD(ROW()-2,19)+1),NA())</f>
        <v/>
      </c>
      <c r="DM1862" s="4" t="e">
        <f t="shared" si="108"/>
        <v>#N/A</v>
      </c>
      <c r="DN1862" t="e">
        <f t="shared" si="109"/>
        <v>#N/A</v>
      </c>
      <c r="DO1862" t="e">
        <f t="shared" si="110"/>
        <v>#N/A</v>
      </c>
    </row>
    <row r="1863" spans="7:119" x14ac:dyDescent="0.25">
      <c r="G1863"/>
      <c r="DI1863" s="4">
        <f>INDEX(Sheet2!A:A,QUOTIENT(ROW()-1,19)+2)</f>
        <v>41444</v>
      </c>
      <c r="DJ1863" s="4">
        <f>INDEX(Sheet2!C:C,QUOTIENT(ROW()-1,19)+2)</f>
        <v>41639</v>
      </c>
      <c r="DK1863" s="4" t="e">
        <f>INDEX(Sheet2!$AA$2:$AS$228,QUOTIENT(ROW()-1,19)+1,MOD(ROW()-2,19)+1)</f>
        <v>#N/A</v>
      </c>
      <c r="DL1863" t="str">
        <f>IFERROR(INDEX(Sheet2!$AU$2:$BM$228,QUOTIENT(ROW()-1,19)+1,MOD(ROW()-2,19)+1),NA())</f>
        <v/>
      </c>
      <c r="DM1863" s="4" t="e">
        <f t="shared" si="108"/>
        <v>#N/A</v>
      </c>
      <c r="DN1863" t="e">
        <f t="shared" si="109"/>
        <v>#N/A</v>
      </c>
      <c r="DO1863" t="e">
        <f t="shared" si="110"/>
        <v>#N/A</v>
      </c>
    </row>
    <row r="1864" spans="7:119" x14ac:dyDescent="0.25">
      <c r="G1864"/>
      <c r="DI1864" s="4">
        <f>INDEX(Sheet2!A:A,QUOTIENT(ROW()-1,19)+2)</f>
        <v>41444</v>
      </c>
      <c r="DJ1864" s="4">
        <f>INDEX(Sheet2!C:C,QUOTIENT(ROW()-1,19)+2)</f>
        <v>41639</v>
      </c>
      <c r="DK1864" s="4">
        <f>INDEX(Sheet2!$AA$2:$AS$228,QUOTIENT(ROW()-1,19)+1,MOD(ROW()-2,19)+1)</f>
        <v>41468.362499999996</v>
      </c>
      <c r="DL1864">
        <f>IFERROR(INDEX(Sheet2!$AU$2:$BM$228,QUOTIENT(ROW()-1,19)+1,MOD(ROW()-2,19)+1),NA())</f>
        <v>0.25</v>
      </c>
      <c r="DM1864" s="4" t="e">
        <f t="shared" si="108"/>
        <v>#N/A</v>
      </c>
      <c r="DN1864" t="e">
        <f t="shared" si="109"/>
        <v>#N/A</v>
      </c>
      <c r="DO1864" t="e">
        <f t="shared" si="110"/>
        <v>#N/A</v>
      </c>
    </row>
    <row r="1865" spans="7:119" x14ac:dyDescent="0.25">
      <c r="G1865"/>
      <c r="DI1865" s="4">
        <f>INDEX(Sheet2!A:A,QUOTIENT(ROW()-1,19)+2)</f>
        <v>41444</v>
      </c>
      <c r="DJ1865" s="4">
        <f>INDEX(Sheet2!C:C,QUOTIENT(ROW()-1,19)+2)</f>
        <v>41639</v>
      </c>
      <c r="DK1865" s="4">
        <f>INDEX(Sheet2!$AA$2:$AS$228,QUOTIENT(ROW()-1,19)+1,MOD(ROW()-2,19)+1)</f>
        <v>41488.4375</v>
      </c>
      <c r="DL1865">
        <f>IFERROR(INDEX(Sheet2!$AU$2:$BM$228,QUOTIENT(ROW()-1,19)+1,MOD(ROW()-2,19)+1),NA())</f>
        <v>0.25</v>
      </c>
      <c r="DM1865" s="4" t="e">
        <f t="shared" si="108"/>
        <v>#N/A</v>
      </c>
      <c r="DN1865" t="e">
        <f t="shared" si="109"/>
        <v>#N/A</v>
      </c>
      <c r="DO1865" t="e">
        <f t="shared" si="110"/>
        <v>#N/A</v>
      </c>
    </row>
    <row r="1866" spans="7:119" x14ac:dyDescent="0.25">
      <c r="G1866"/>
      <c r="DI1866" s="4">
        <f>INDEX(Sheet2!A:A,QUOTIENT(ROW()-1,19)+2)</f>
        <v>41444</v>
      </c>
      <c r="DJ1866" s="4">
        <f>INDEX(Sheet2!C:C,QUOTIENT(ROW()-1,19)+2)</f>
        <v>41639</v>
      </c>
      <c r="DK1866" s="4">
        <f>INDEX(Sheet2!$AA$2:$AS$228,QUOTIENT(ROW()-1,19)+1,MOD(ROW()-2,19)+1)</f>
        <v>41508.512499999997</v>
      </c>
      <c r="DL1866">
        <f>IFERROR(INDEX(Sheet2!$AU$2:$BM$228,QUOTIENT(ROW()-1,19)+1,MOD(ROW()-2,19)+1),NA())</f>
        <v>0.25</v>
      </c>
      <c r="DM1866" s="4" t="e">
        <f t="shared" si="108"/>
        <v>#N/A</v>
      </c>
      <c r="DN1866" t="e">
        <f t="shared" si="109"/>
        <v>#N/A</v>
      </c>
      <c r="DO1866" t="e">
        <f t="shared" si="110"/>
        <v>#N/A</v>
      </c>
    </row>
    <row r="1867" spans="7:119" x14ac:dyDescent="0.25">
      <c r="G1867"/>
      <c r="DI1867" s="4">
        <f>INDEX(Sheet2!A:A,QUOTIENT(ROW()-1,19)+2)</f>
        <v>41444</v>
      </c>
      <c r="DJ1867" s="4">
        <f>INDEX(Sheet2!C:C,QUOTIENT(ROW()-1,19)+2)</f>
        <v>41639</v>
      </c>
      <c r="DK1867" s="4">
        <f>INDEX(Sheet2!$AA$2:$AS$228,QUOTIENT(ROW()-1,19)+1,MOD(ROW()-2,19)+1)</f>
        <v>41528.587500000001</v>
      </c>
      <c r="DL1867">
        <f>IFERROR(INDEX(Sheet2!$AU$2:$BM$228,QUOTIENT(ROW()-1,19)+1,MOD(ROW()-2,19)+1),NA())</f>
        <v>0.25</v>
      </c>
      <c r="DM1867" s="4" t="e">
        <f t="shared" si="108"/>
        <v>#N/A</v>
      </c>
      <c r="DN1867" t="e">
        <f t="shared" si="109"/>
        <v>#N/A</v>
      </c>
      <c r="DO1867" t="e">
        <f t="shared" si="110"/>
        <v>#N/A</v>
      </c>
    </row>
    <row r="1868" spans="7:119" x14ac:dyDescent="0.25">
      <c r="G1868"/>
      <c r="DI1868" s="4">
        <f>INDEX(Sheet2!A:A,QUOTIENT(ROW()-1,19)+2)</f>
        <v>41444</v>
      </c>
      <c r="DJ1868" s="4">
        <f>INDEX(Sheet2!C:C,QUOTIENT(ROW()-1,19)+2)</f>
        <v>41639</v>
      </c>
      <c r="DK1868" s="4">
        <f>INDEX(Sheet2!$AA$2:$AS$228,QUOTIENT(ROW()-1,19)+1,MOD(ROW()-2,19)+1)</f>
        <v>41548.662499999999</v>
      </c>
      <c r="DL1868">
        <f>IFERROR(INDEX(Sheet2!$AU$2:$BM$228,QUOTIENT(ROW()-1,19)+1,MOD(ROW()-2,19)+1),NA())</f>
        <v>0.25</v>
      </c>
      <c r="DM1868" s="4" t="e">
        <f t="shared" si="108"/>
        <v>#N/A</v>
      </c>
      <c r="DN1868" t="e">
        <f t="shared" si="109"/>
        <v>#N/A</v>
      </c>
      <c r="DO1868" t="e">
        <f t="shared" si="110"/>
        <v>#N/A</v>
      </c>
    </row>
    <row r="1869" spans="7:119" x14ac:dyDescent="0.25">
      <c r="G1869"/>
      <c r="DI1869" s="4">
        <f>INDEX(Sheet2!A:A,QUOTIENT(ROW()-1,19)+2)</f>
        <v>41444</v>
      </c>
      <c r="DJ1869" s="4">
        <f>INDEX(Sheet2!C:C,QUOTIENT(ROW()-1,19)+2)</f>
        <v>41639</v>
      </c>
      <c r="DK1869" s="4">
        <f>INDEX(Sheet2!$AA$2:$AS$228,QUOTIENT(ROW()-1,19)+1,MOD(ROW()-2,19)+1)</f>
        <v>41568.737499999996</v>
      </c>
      <c r="DL1869">
        <f>IFERROR(INDEX(Sheet2!$AU$2:$BM$228,QUOTIENT(ROW()-1,19)+1,MOD(ROW()-2,19)+1),NA())</f>
        <v>0.25</v>
      </c>
      <c r="DM1869" s="4" t="e">
        <f t="shared" si="108"/>
        <v>#N/A</v>
      </c>
      <c r="DN1869" t="e">
        <f t="shared" si="109"/>
        <v>#N/A</v>
      </c>
      <c r="DO1869" t="e">
        <f t="shared" si="110"/>
        <v>#N/A</v>
      </c>
    </row>
    <row r="1870" spans="7:119" x14ac:dyDescent="0.25">
      <c r="G1870"/>
      <c r="DI1870" s="4">
        <f>INDEX(Sheet2!A:A,QUOTIENT(ROW()-1,19)+2)</f>
        <v>41444</v>
      </c>
      <c r="DJ1870" s="4">
        <f>INDEX(Sheet2!C:C,QUOTIENT(ROW()-1,19)+2)</f>
        <v>41639</v>
      </c>
      <c r="DK1870" s="4">
        <f>INDEX(Sheet2!$AA$2:$AS$228,QUOTIENT(ROW()-1,19)+1,MOD(ROW()-2,19)+1)</f>
        <v>41588.8125</v>
      </c>
      <c r="DL1870">
        <f>IFERROR(INDEX(Sheet2!$AU$2:$BM$228,QUOTIENT(ROW()-1,19)+1,MOD(ROW()-2,19)+1),NA())</f>
        <v>0.25</v>
      </c>
      <c r="DM1870" s="4" t="e">
        <f t="shared" si="108"/>
        <v>#N/A</v>
      </c>
      <c r="DN1870" t="e">
        <f t="shared" si="109"/>
        <v>#N/A</v>
      </c>
      <c r="DO1870" t="e">
        <f t="shared" si="110"/>
        <v>#N/A</v>
      </c>
    </row>
    <row r="1871" spans="7:119" x14ac:dyDescent="0.25">
      <c r="G1871"/>
      <c r="DI1871" s="4">
        <f>INDEX(Sheet2!A:A,QUOTIENT(ROW()-1,19)+2)</f>
        <v>41444</v>
      </c>
      <c r="DJ1871" s="4">
        <f>INDEX(Sheet2!C:C,QUOTIENT(ROW()-1,19)+2)</f>
        <v>41639</v>
      </c>
      <c r="DK1871" s="4">
        <f>INDEX(Sheet2!$AA$2:$AS$228,QUOTIENT(ROW()-1,19)+1,MOD(ROW()-2,19)+1)</f>
        <v>41608.887499999997</v>
      </c>
      <c r="DL1871">
        <f>IFERROR(INDEX(Sheet2!$AU$2:$BM$228,QUOTIENT(ROW()-1,19)+1,MOD(ROW()-2,19)+1),NA())</f>
        <v>0.25</v>
      </c>
      <c r="DM1871" s="4" t="e">
        <f t="shared" si="108"/>
        <v>#N/A</v>
      </c>
      <c r="DN1871" t="e">
        <f t="shared" si="109"/>
        <v>#N/A</v>
      </c>
      <c r="DO1871" t="e">
        <f t="shared" si="110"/>
        <v>#N/A</v>
      </c>
    </row>
    <row r="1872" spans="7:119" x14ac:dyDescent="0.25">
      <c r="G1872"/>
      <c r="DI1872" s="4">
        <f>INDEX(Sheet2!A:A,QUOTIENT(ROW()-1,19)+2)</f>
        <v>41444</v>
      </c>
      <c r="DJ1872" s="4">
        <f>INDEX(Sheet2!C:C,QUOTIENT(ROW()-1,19)+2)</f>
        <v>41639</v>
      </c>
      <c r="DK1872" s="4">
        <f>INDEX(Sheet2!$AA$2:$AS$228,QUOTIENT(ROW()-1,19)+1,MOD(ROW()-2,19)+1)</f>
        <v>41628.962500000001</v>
      </c>
      <c r="DL1872">
        <f>IFERROR(INDEX(Sheet2!$AU$2:$BM$228,QUOTIENT(ROW()-1,19)+1,MOD(ROW()-2,19)+1),NA())</f>
        <v>0.25</v>
      </c>
      <c r="DM1872" s="4" t="e">
        <f t="shared" si="108"/>
        <v>#N/A</v>
      </c>
      <c r="DN1872" t="e">
        <f t="shared" si="109"/>
        <v>#N/A</v>
      </c>
      <c r="DO1872" t="e">
        <f t="shared" si="110"/>
        <v>#N/A</v>
      </c>
    </row>
    <row r="1873" spans="7:119" x14ac:dyDescent="0.25">
      <c r="G1873"/>
      <c r="DI1873" s="4">
        <f>INDEX(Sheet2!A:A,QUOTIENT(ROW()-1,19)+2)</f>
        <v>41444</v>
      </c>
      <c r="DJ1873" s="4">
        <f>INDEX(Sheet2!C:C,QUOTIENT(ROW()-1,19)+2)</f>
        <v>41639</v>
      </c>
      <c r="DK1873" s="4">
        <f>INDEX(Sheet2!$AA$2:$AS$228,QUOTIENT(ROW()-1,19)+1,MOD(ROW()-2,19)+1)</f>
        <v>41649.037499999999</v>
      </c>
      <c r="DL1873">
        <f>IFERROR(INDEX(Sheet2!$AU$2:$BM$228,QUOTIENT(ROW()-1,19)+1,MOD(ROW()-2,19)+1),NA())</f>
        <v>0.25</v>
      </c>
      <c r="DM1873" s="4" t="e">
        <f t="shared" si="108"/>
        <v>#N/A</v>
      </c>
      <c r="DN1873" t="e">
        <f t="shared" si="109"/>
        <v>#N/A</v>
      </c>
      <c r="DO1873" t="e">
        <f t="shared" si="110"/>
        <v>#N/A</v>
      </c>
    </row>
    <row r="1874" spans="7:119" x14ac:dyDescent="0.25">
      <c r="G1874"/>
      <c r="DI1874" s="4">
        <f>INDEX(Sheet2!A:A,QUOTIENT(ROW()-1,19)+2)</f>
        <v>41444</v>
      </c>
      <c r="DJ1874" s="4">
        <f>INDEX(Sheet2!C:C,QUOTIENT(ROW()-1,19)+2)</f>
        <v>41639</v>
      </c>
      <c r="DK1874" s="4">
        <f>INDEX(Sheet2!$AA$2:$AS$228,QUOTIENT(ROW()-1,19)+1,MOD(ROW()-2,19)+1)</f>
        <v>41669.112499999996</v>
      </c>
      <c r="DL1874">
        <f>IFERROR(INDEX(Sheet2!$AU$2:$BM$228,QUOTIENT(ROW()-1,19)+1,MOD(ROW()-2,19)+1),NA())</f>
        <v>0.25</v>
      </c>
      <c r="DM1874" s="4" t="e">
        <f t="shared" si="108"/>
        <v>#N/A</v>
      </c>
      <c r="DN1874" t="e">
        <f t="shared" si="109"/>
        <v>#N/A</v>
      </c>
      <c r="DO1874" t="e">
        <f t="shared" si="110"/>
        <v>#N/A</v>
      </c>
    </row>
    <row r="1875" spans="7:119" x14ac:dyDescent="0.25">
      <c r="G1875"/>
      <c r="DI1875" s="4">
        <f>INDEX(Sheet2!A:A,QUOTIENT(ROW()-1,19)+2)</f>
        <v>41444</v>
      </c>
      <c r="DJ1875" s="4">
        <f>INDEX(Sheet2!C:C,QUOTIENT(ROW()-1,19)+2)</f>
        <v>41639</v>
      </c>
      <c r="DK1875" s="4">
        <f>INDEX(Sheet2!$AA$2:$AS$228,QUOTIENT(ROW()-1,19)+1,MOD(ROW()-2,19)+1)</f>
        <v>41689.1875</v>
      </c>
      <c r="DL1875">
        <f>IFERROR(INDEX(Sheet2!$AU$2:$BM$228,QUOTIENT(ROW()-1,19)+1,MOD(ROW()-2,19)+1),NA())</f>
        <v>0.25</v>
      </c>
      <c r="DM1875" s="4" t="e">
        <f t="shared" si="108"/>
        <v>#N/A</v>
      </c>
      <c r="DN1875" t="e">
        <f t="shared" si="109"/>
        <v>#N/A</v>
      </c>
      <c r="DO1875" t="e">
        <f t="shared" si="110"/>
        <v>#N/A</v>
      </c>
    </row>
    <row r="1876" spans="7:119" x14ac:dyDescent="0.25">
      <c r="G1876"/>
      <c r="DI1876" s="4">
        <f>INDEX(Sheet2!A:A,QUOTIENT(ROW()-1,19)+2)</f>
        <v>41444</v>
      </c>
      <c r="DJ1876" s="4">
        <f>INDEX(Sheet2!C:C,QUOTIENT(ROW()-1,19)+2)</f>
        <v>41639</v>
      </c>
      <c r="DK1876" s="4">
        <f>INDEX(Sheet2!$AA$2:$AS$228,QUOTIENT(ROW()-1,19)+1,MOD(ROW()-2,19)+1)</f>
        <v>41709.262499999997</v>
      </c>
      <c r="DL1876">
        <f>IFERROR(INDEX(Sheet2!$AU$2:$BM$228,QUOTIENT(ROW()-1,19)+1,MOD(ROW()-2,19)+1),NA())</f>
        <v>0.25</v>
      </c>
      <c r="DM1876" s="4" t="e">
        <f t="shared" si="108"/>
        <v>#N/A</v>
      </c>
      <c r="DN1876" t="e">
        <f t="shared" si="109"/>
        <v>#N/A</v>
      </c>
      <c r="DO1876" t="e">
        <f t="shared" si="110"/>
        <v>#N/A</v>
      </c>
    </row>
    <row r="1877" spans="7:119" x14ac:dyDescent="0.25">
      <c r="G1877"/>
      <c r="DI1877" s="4">
        <f>INDEX(Sheet2!A:A,QUOTIENT(ROW()-1,19)+2)</f>
        <v>41444</v>
      </c>
      <c r="DJ1877" s="4">
        <f>INDEX(Sheet2!C:C,QUOTIENT(ROW()-1,19)+2)</f>
        <v>41639</v>
      </c>
      <c r="DK1877" s="4">
        <f>INDEX(Sheet2!$AA$2:$AS$228,QUOTIENT(ROW()-1,19)+1,MOD(ROW()-2,19)+1)</f>
        <v>41729.337500000001</v>
      </c>
      <c r="DL1877">
        <f>IFERROR(INDEX(Sheet2!$AU$2:$BM$228,QUOTIENT(ROW()-1,19)+1,MOD(ROW()-2,19)+1),NA())</f>
        <v>0.25</v>
      </c>
      <c r="DM1877" s="4" t="e">
        <f t="shared" si="108"/>
        <v>#N/A</v>
      </c>
      <c r="DN1877" t="e">
        <f t="shared" si="109"/>
        <v>#N/A</v>
      </c>
      <c r="DO1877" t="e">
        <f t="shared" si="110"/>
        <v>#N/A</v>
      </c>
    </row>
    <row r="1878" spans="7:119" x14ac:dyDescent="0.25">
      <c r="G1878"/>
      <c r="DI1878" s="4">
        <f>INDEX(Sheet2!A:A,QUOTIENT(ROW()-1,19)+2)</f>
        <v>41444</v>
      </c>
      <c r="DJ1878" s="4">
        <f>INDEX(Sheet2!C:C,QUOTIENT(ROW()-1,19)+2)</f>
        <v>41639</v>
      </c>
      <c r="DK1878" s="4">
        <f>INDEX(Sheet2!$AA$2:$AS$228,QUOTIENT(ROW()-1,19)+1,MOD(ROW()-2,19)+1)</f>
        <v>41749.412499999999</v>
      </c>
      <c r="DL1878">
        <f>IFERROR(INDEX(Sheet2!$AU$2:$BM$228,QUOTIENT(ROW()-1,19)+1,MOD(ROW()-2,19)+1),NA())</f>
        <v>0.25</v>
      </c>
      <c r="DM1878" s="4" t="e">
        <f t="shared" si="108"/>
        <v>#N/A</v>
      </c>
      <c r="DN1878" t="e">
        <f t="shared" si="109"/>
        <v>#N/A</v>
      </c>
      <c r="DO1878" t="e">
        <f t="shared" si="110"/>
        <v>#N/A</v>
      </c>
    </row>
    <row r="1879" spans="7:119" x14ac:dyDescent="0.25">
      <c r="G1879"/>
      <c r="DI1879" s="4">
        <f>INDEX(Sheet2!A:A,QUOTIENT(ROW()-1,19)+2)</f>
        <v>41444</v>
      </c>
      <c r="DJ1879" s="4">
        <f>INDEX(Sheet2!C:C,QUOTIENT(ROW()-1,19)+2)</f>
        <v>41639</v>
      </c>
      <c r="DK1879" s="4">
        <f>INDEX(Sheet2!$AA$2:$AS$228,QUOTIENT(ROW()-1,19)+1,MOD(ROW()-2,19)+1)</f>
        <v>41769.487499999996</v>
      </c>
      <c r="DL1879">
        <f>IFERROR(INDEX(Sheet2!$AU$2:$BM$228,QUOTIENT(ROW()-1,19)+1,MOD(ROW()-2,19)+1),NA())</f>
        <v>0.25</v>
      </c>
      <c r="DM1879" s="4" t="e">
        <f t="shared" si="108"/>
        <v>#N/A</v>
      </c>
      <c r="DN1879" t="e">
        <f t="shared" si="109"/>
        <v>#N/A</v>
      </c>
      <c r="DO1879" t="e">
        <f t="shared" si="110"/>
        <v>#N/A</v>
      </c>
    </row>
    <row r="1880" spans="7:119" x14ac:dyDescent="0.25">
      <c r="G1880"/>
      <c r="DI1880" s="4">
        <f>INDEX(Sheet2!A:A,QUOTIENT(ROW()-1,19)+2)</f>
        <v>41444</v>
      </c>
      <c r="DJ1880" s="4">
        <f>INDEX(Sheet2!C:C,QUOTIENT(ROW()-1,19)+2)</f>
        <v>41639</v>
      </c>
      <c r="DK1880" s="4">
        <f>INDEX(Sheet2!$AA$2:$AS$228,QUOTIENT(ROW()-1,19)+1,MOD(ROW()-2,19)+1)</f>
        <v>41789.5625</v>
      </c>
      <c r="DL1880">
        <f>IFERROR(INDEX(Sheet2!$AU$2:$BM$228,QUOTIENT(ROW()-1,19)+1,MOD(ROW()-2,19)+1),NA())</f>
        <v>0.25</v>
      </c>
      <c r="DM1880" s="4" t="e">
        <f t="shared" si="108"/>
        <v>#N/A</v>
      </c>
      <c r="DN1880" t="e">
        <f t="shared" si="109"/>
        <v>#N/A</v>
      </c>
      <c r="DO1880" t="e">
        <f t="shared" si="110"/>
        <v>#N/A</v>
      </c>
    </row>
    <row r="1881" spans="7:119" x14ac:dyDescent="0.25">
      <c r="G1881"/>
      <c r="DI1881" s="4">
        <f>INDEX(Sheet2!A:A,QUOTIENT(ROW()-1,19)+2)</f>
        <v>41444</v>
      </c>
      <c r="DJ1881" s="4">
        <f>INDEX(Sheet2!C:C,QUOTIENT(ROW()-1,19)+2)</f>
        <v>41639</v>
      </c>
      <c r="DK1881" s="4">
        <f>INDEX(Sheet2!$AA$2:$AS$228,QUOTIENT(ROW()-1,19)+1,MOD(ROW()-2,19)+1)</f>
        <v>41809.637499999997</v>
      </c>
      <c r="DL1881">
        <f>IFERROR(INDEX(Sheet2!$AU$2:$BM$228,QUOTIENT(ROW()-1,19)+1,MOD(ROW()-2,19)+1),NA())</f>
        <v>0.25</v>
      </c>
      <c r="DM1881" s="4" t="e">
        <f t="shared" si="108"/>
        <v>#N/A</v>
      </c>
      <c r="DN1881" t="e">
        <f t="shared" si="109"/>
        <v>#N/A</v>
      </c>
      <c r="DO1881" t="e">
        <f t="shared" si="110"/>
        <v>#N/A</v>
      </c>
    </row>
    <row r="1882" spans="7:119" x14ac:dyDescent="0.25">
      <c r="G1882"/>
      <c r="DI1882" s="4">
        <f>INDEX(Sheet2!A:A,QUOTIENT(ROW()-1,19)+2)</f>
        <v>41444</v>
      </c>
      <c r="DJ1882" s="4">
        <f>INDEX(Sheet2!C:C,QUOTIENT(ROW()-1,19)+2)</f>
        <v>41639</v>
      </c>
      <c r="DK1882" s="4" t="e">
        <f>INDEX(Sheet2!$AA$2:$AS$228,QUOTIENT(ROW()-1,19)+1,MOD(ROW()-2,19)+1)</f>
        <v>#N/A</v>
      </c>
      <c r="DL1882" t="str">
        <f>IFERROR(INDEX(Sheet2!$AU$2:$BM$228,QUOTIENT(ROW()-1,19)+1,MOD(ROW()-2,19)+1),NA())</f>
        <v/>
      </c>
      <c r="DM1882" s="4" t="e">
        <f t="shared" si="108"/>
        <v>#N/A</v>
      </c>
      <c r="DN1882" t="e">
        <f t="shared" si="109"/>
        <v>#N/A</v>
      </c>
      <c r="DO1882" t="e">
        <f t="shared" si="110"/>
        <v>#N/A</v>
      </c>
    </row>
    <row r="1883" spans="7:119" x14ac:dyDescent="0.25">
      <c r="G1883"/>
      <c r="DI1883" s="4">
        <f>INDEX(Sheet2!A:A,QUOTIENT(ROW()-1,19)+2)</f>
        <v>41444</v>
      </c>
      <c r="DJ1883" s="4">
        <f>INDEX(Sheet2!C:C,QUOTIENT(ROW()-1,19)+2)</f>
        <v>41639</v>
      </c>
      <c r="DK1883" s="4">
        <f>INDEX(Sheet2!$AA$2:$AS$228,QUOTIENT(ROW()-1,19)+1,MOD(ROW()-2,19)+1)</f>
        <v>41639</v>
      </c>
      <c r="DL1883">
        <f>IFERROR(INDEX(Sheet2!$AU$2:$BM$228,QUOTIENT(ROW()-1,19)+1,MOD(ROW()-2,19)+1),NA())</f>
        <v>0.5</v>
      </c>
      <c r="DM1883" s="4" t="e">
        <f t="shared" si="108"/>
        <v>#N/A</v>
      </c>
      <c r="DN1883" t="e">
        <f t="shared" si="109"/>
        <v>#N/A</v>
      </c>
      <c r="DO1883" t="e">
        <f t="shared" si="110"/>
        <v>#N/A</v>
      </c>
    </row>
    <row r="1884" spans="7:119" x14ac:dyDescent="0.25">
      <c r="G1884"/>
      <c r="DI1884" s="4">
        <f>INDEX(Sheet2!A:A,QUOTIENT(ROW()-1,19)+2)</f>
        <v>41444</v>
      </c>
      <c r="DJ1884" s="4">
        <f>INDEX(Sheet2!C:C,QUOTIENT(ROW()-1,19)+2)</f>
        <v>41639</v>
      </c>
      <c r="DK1884" s="4" t="e">
        <f>INDEX(Sheet2!$AA$2:$AS$228,QUOTIENT(ROW()-1,19)+1,MOD(ROW()-2,19)+1)</f>
        <v>#N/A</v>
      </c>
      <c r="DL1884" t="str">
        <f>IFERROR(INDEX(Sheet2!$AU$2:$BM$228,QUOTIENT(ROW()-1,19)+1,MOD(ROW()-2,19)+1),NA())</f>
        <v/>
      </c>
      <c r="DM1884" s="4" t="e">
        <f t="shared" si="108"/>
        <v>#N/A</v>
      </c>
      <c r="DN1884" t="e">
        <f t="shared" si="109"/>
        <v>#N/A</v>
      </c>
      <c r="DO1884" t="e">
        <f t="shared" si="110"/>
        <v>#N/A</v>
      </c>
    </row>
    <row r="1885" spans="7:119" x14ac:dyDescent="0.25">
      <c r="G1885"/>
      <c r="DI1885" s="4">
        <f>INDEX(Sheet2!A:A,QUOTIENT(ROW()-1,19)+2)</f>
        <v>41444</v>
      </c>
      <c r="DJ1885" s="4">
        <f>INDEX(Sheet2!C:C,QUOTIENT(ROW()-1,19)+2)</f>
        <v>41639</v>
      </c>
      <c r="DK1885" s="4" t="e">
        <f>INDEX(Sheet2!$AA$2:$AS$228,QUOTIENT(ROW()-1,19)+1,MOD(ROW()-2,19)+1)</f>
        <v>#N/A</v>
      </c>
      <c r="DL1885" t="str">
        <f>IFERROR(INDEX(Sheet2!$AU$2:$BM$228,QUOTIENT(ROW()-1,19)+1,MOD(ROW()-2,19)+1),NA())</f>
        <v/>
      </c>
      <c r="DM1885" s="4" t="e">
        <f t="shared" si="108"/>
        <v>#N/A</v>
      </c>
      <c r="DN1885" t="e">
        <f t="shared" si="109"/>
        <v>#N/A</v>
      </c>
      <c r="DO1885" t="e">
        <f t="shared" si="110"/>
        <v>#N/A</v>
      </c>
    </row>
    <row r="1886" spans="7:119" x14ac:dyDescent="0.25">
      <c r="G1886"/>
      <c r="DI1886" s="4">
        <f>INDEX(Sheet2!A:A,QUOTIENT(ROW()-1,19)+2)</f>
        <v>41444</v>
      </c>
      <c r="DJ1886" s="4">
        <f>INDEX(Sheet2!C:C,QUOTIENT(ROW()-1,19)+2)</f>
        <v>41639</v>
      </c>
      <c r="DK1886" s="4" t="e">
        <f>INDEX(Sheet2!$AA$2:$AS$228,QUOTIENT(ROW()-1,19)+1,MOD(ROW()-2,19)+1)</f>
        <v>#N/A</v>
      </c>
      <c r="DL1886" t="str">
        <f>IFERROR(INDEX(Sheet2!$AU$2:$BM$228,QUOTIENT(ROW()-1,19)+1,MOD(ROW()-2,19)+1),NA())</f>
        <v/>
      </c>
      <c r="DM1886" s="4" t="e">
        <f t="shared" si="108"/>
        <v>#N/A</v>
      </c>
      <c r="DN1886" t="e">
        <f t="shared" si="109"/>
        <v>#N/A</v>
      </c>
      <c r="DO1886" t="e">
        <f t="shared" si="110"/>
        <v>#N/A</v>
      </c>
    </row>
    <row r="1887" spans="7:119" x14ac:dyDescent="0.25">
      <c r="G1887"/>
      <c r="DI1887" s="4">
        <f>INDEX(Sheet2!A:A,QUOTIENT(ROW()-1,19)+2)</f>
        <v>41444</v>
      </c>
      <c r="DJ1887" s="4">
        <f>INDEX(Sheet2!C:C,QUOTIENT(ROW()-1,19)+2)</f>
        <v>41639</v>
      </c>
      <c r="DK1887" s="4" t="e">
        <f>INDEX(Sheet2!$AA$2:$AS$228,QUOTIENT(ROW()-1,19)+1,MOD(ROW()-2,19)+1)</f>
        <v>#N/A</v>
      </c>
      <c r="DL1887" t="str">
        <f>IFERROR(INDEX(Sheet2!$AU$2:$BM$228,QUOTIENT(ROW()-1,19)+1,MOD(ROW()-2,19)+1),NA())</f>
        <v/>
      </c>
      <c r="DM1887" s="4" t="e">
        <f t="shared" si="108"/>
        <v>#N/A</v>
      </c>
      <c r="DN1887" t="e">
        <f t="shared" si="109"/>
        <v>#N/A</v>
      </c>
      <c r="DO1887" t="e">
        <f t="shared" si="110"/>
        <v>#N/A</v>
      </c>
    </row>
    <row r="1888" spans="7:119" x14ac:dyDescent="0.25">
      <c r="G1888"/>
      <c r="DI1888" s="4">
        <f>INDEX(Sheet2!A:A,QUOTIENT(ROW()-1,19)+2)</f>
        <v>41444</v>
      </c>
      <c r="DJ1888" s="4">
        <f>INDEX(Sheet2!C:C,QUOTIENT(ROW()-1,19)+2)</f>
        <v>41639</v>
      </c>
      <c r="DK1888" s="4" t="e">
        <f>INDEX(Sheet2!$AA$2:$AS$228,QUOTIENT(ROW()-1,19)+1,MOD(ROW()-2,19)+1)</f>
        <v>#N/A</v>
      </c>
      <c r="DL1888" t="str">
        <f>IFERROR(INDEX(Sheet2!$AU$2:$BM$228,QUOTIENT(ROW()-1,19)+1,MOD(ROW()-2,19)+1),NA())</f>
        <v/>
      </c>
      <c r="DM1888" s="4" t="e">
        <f t="shared" si="108"/>
        <v>#N/A</v>
      </c>
      <c r="DN1888" t="e">
        <f t="shared" si="109"/>
        <v>#N/A</v>
      </c>
      <c r="DO1888" t="e">
        <f t="shared" si="110"/>
        <v>#N/A</v>
      </c>
    </row>
    <row r="1889" spans="7:119" x14ac:dyDescent="0.25">
      <c r="G1889"/>
      <c r="DI1889" s="4">
        <f>INDEX(Sheet2!A:A,QUOTIENT(ROW()-1,19)+2)</f>
        <v>41444</v>
      </c>
      <c r="DJ1889" s="4">
        <f>INDEX(Sheet2!C:C,QUOTIENT(ROW()-1,19)+2)</f>
        <v>41639</v>
      </c>
      <c r="DK1889" s="4" t="e">
        <f>INDEX(Sheet2!$AA$2:$AS$228,QUOTIENT(ROW()-1,19)+1,MOD(ROW()-2,19)+1)</f>
        <v>#N/A</v>
      </c>
      <c r="DL1889" t="str">
        <f>IFERROR(INDEX(Sheet2!$AU$2:$BM$228,QUOTIENT(ROW()-1,19)+1,MOD(ROW()-2,19)+1),NA())</f>
        <v/>
      </c>
      <c r="DM1889" s="4" t="e">
        <f t="shared" si="108"/>
        <v>#N/A</v>
      </c>
      <c r="DN1889" t="e">
        <f t="shared" si="109"/>
        <v>#N/A</v>
      </c>
      <c r="DO1889" t="e">
        <f t="shared" si="110"/>
        <v>#N/A</v>
      </c>
    </row>
    <row r="1890" spans="7:119" x14ac:dyDescent="0.25">
      <c r="G1890"/>
      <c r="DI1890" s="4">
        <f>INDEX(Sheet2!A:A,QUOTIENT(ROW()-1,19)+2)</f>
        <v>41444</v>
      </c>
      <c r="DJ1890" s="4">
        <f>INDEX(Sheet2!C:C,QUOTIENT(ROW()-1,19)+2)</f>
        <v>41639</v>
      </c>
      <c r="DK1890" s="4" t="e">
        <f>INDEX(Sheet2!$AA$2:$AS$228,QUOTIENT(ROW()-1,19)+1,MOD(ROW()-2,19)+1)</f>
        <v>#N/A</v>
      </c>
      <c r="DL1890" t="str">
        <f>IFERROR(INDEX(Sheet2!$AU$2:$BM$228,QUOTIENT(ROW()-1,19)+1,MOD(ROW()-2,19)+1),NA())</f>
        <v/>
      </c>
      <c r="DM1890" s="4" t="e">
        <f t="shared" si="108"/>
        <v>#N/A</v>
      </c>
      <c r="DN1890" t="e">
        <f t="shared" si="109"/>
        <v>#N/A</v>
      </c>
      <c r="DO1890" t="e">
        <f t="shared" si="110"/>
        <v>#N/A</v>
      </c>
    </row>
    <row r="1891" spans="7:119" x14ac:dyDescent="0.25">
      <c r="G1891"/>
      <c r="DI1891" s="4">
        <f>INDEX(Sheet2!A:A,QUOTIENT(ROW()-1,19)+2)</f>
        <v>41444</v>
      </c>
      <c r="DJ1891" s="4">
        <f>INDEX(Sheet2!C:C,QUOTIENT(ROW()-1,19)+2)</f>
        <v>41639</v>
      </c>
      <c r="DK1891" s="4" t="e">
        <f>INDEX(Sheet2!$AA$2:$AS$228,QUOTIENT(ROW()-1,19)+1,MOD(ROW()-2,19)+1)</f>
        <v>#N/A</v>
      </c>
      <c r="DL1891" t="str">
        <f>IFERROR(INDEX(Sheet2!$AU$2:$BM$228,QUOTIENT(ROW()-1,19)+1,MOD(ROW()-2,19)+1),NA())</f>
        <v/>
      </c>
      <c r="DM1891" s="4" t="e">
        <f t="shared" si="108"/>
        <v>#N/A</v>
      </c>
      <c r="DN1891" t="e">
        <f t="shared" si="109"/>
        <v>#N/A</v>
      </c>
      <c r="DO1891" t="e">
        <f t="shared" si="110"/>
        <v>#N/A</v>
      </c>
    </row>
    <row r="1892" spans="7:119" x14ac:dyDescent="0.25">
      <c r="G1892"/>
      <c r="DI1892" s="4">
        <f>INDEX(Sheet2!A:A,QUOTIENT(ROW()-1,19)+2)</f>
        <v>41444</v>
      </c>
      <c r="DJ1892" s="4">
        <f>INDEX(Sheet2!C:C,QUOTIENT(ROW()-1,19)+2)</f>
        <v>41639</v>
      </c>
      <c r="DK1892" s="4" t="e">
        <f>INDEX(Sheet2!$AA$2:$AS$228,QUOTIENT(ROW()-1,19)+1,MOD(ROW()-2,19)+1)</f>
        <v>#N/A</v>
      </c>
      <c r="DL1892" t="str">
        <f>IFERROR(INDEX(Sheet2!$AU$2:$BM$228,QUOTIENT(ROW()-1,19)+1,MOD(ROW()-2,19)+1),NA())</f>
        <v/>
      </c>
      <c r="DM1892" s="4" t="e">
        <f t="shared" si="108"/>
        <v>#N/A</v>
      </c>
      <c r="DN1892" t="e">
        <f t="shared" si="109"/>
        <v>#N/A</v>
      </c>
      <c r="DO1892" t="e">
        <f t="shared" si="110"/>
        <v>#N/A</v>
      </c>
    </row>
    <row r="1893" spans="7:119" x14ac:dyDescent="0.25">
      <c r="G1893"/>
      <c r="DI1893" s="4">
        <f>INDEX(Sheet2!A:A,QUOTIENT(ROW()-1,19)+2)</f>
        <v>41444</v>
      </c>
      <c r="DJ1893" s="4">
        <f>INDEX(Sheet2!C:C,QUOTIENT(ROW()-1,19)+2)</f>
        <v>41639</v>
      </c>
      <c r="DK1893" s="4" t="e">
        <f>INDEX(Sheet2!$AA$2:$AS$228,QUOTIENT(ROW()-1,19)+1,MOD(ROW()-2,19)+1)</f>
        <v>#N/A</v>
      </c>
      <c r="DL1893" t="str">
        <f>IFERROR(INDEX(Sheet2!$AU$2:$BM$228,QUOTIENT(ROW()-1,19)+1,MOD(ROW()-2,19)+1),NA())</f>
        <v/>
      </c>
      <c r="DM1893" s="4" t="e">
        <f t="shared" si="108"/>
        <v>#N/A</v>
      </c>
      <c r="DN1893" t="e">
        <f t="shared" si="109"/>
        <v>#N/A</v>
      </c>
      <c r="DO1893" t="e">
        <f t="shared" si="110"/>
        <v>#N/A</v>
      </c>
    </row>
    <row r="1894" spans="7:119" x14ac:dyDescent="0.25">
      <c r="G1894"/>
      <c r="DI1894" s="4">
        <f>INDEX(Sheet2!A:A,QUOTIENT(ROW()-1,19)+2)</f>
        <v>41444</v>
      </c>
      <c r="DJ1894" s="4">
        <f>INDEX(Sheet2!C:C,QUOTIENT(ROW()-1,19)+2)</f>
        <v>41639</v>
      </c>
      <c r="DK1894" s="4" t="e">
        <f>INDEX(Sheet2!$AA$2:$AS$228,QUOTIENT(ROW()-1,19)+1,MOD(ROW()-2,19)+1)</f>
        <v>#N/A</v>
      </c>
      <c r="DL1894" t="str">
        <f>IFERROR(INDEX(Sheet2!$AU$2:$BM$228,QUOTIENT(ROW()-1,19)+1,MOD(ROW()-2,19)+1),NA())</f>
        <v/>
      </c>
      <c r="DM1894" s="4" t="e">
        <f t="shared" si="108"/>
        <v>#N/A</v>
      </c>
      <c r="DN1894" t="e">
        <f t="shared" si="109"/>
        <v>#N/A</v>
      </c>
      <c r="DO1894" t="e">
        <f t="shared" si="110"/>
        <v>#N/A</v>
      </c>
    </row>
    <row r="1895" spans="7:119" x14ac:dyDescent="0.25">
      <c r="G1895"/>
      <c r="DI1895" s="4">
        <f>INDEX(Sheet2!A:A,QUOTIENT(ROW()-1,19)+2)</f>
        <v>41444</v>
      </c>
      <c r="DJ1895" s="4">
        <f>INDEX(Sheet2!C:C,QUOTIENT(ROW()-1,19)+2)</f>
        <v>41639</v>
      </c>
      <c r="DK1895" s="4" t="e">
        <f>INDEX(Sheet2!$AA$2:$AS$228,QUOTIENT(ROW()-1,19)+1,MOD(ROW()-2,19)+1)</f>
        <v>#N/A</v>
      </c>
      <c r="DL1895" t="str">
        <f>IFERROR(INDEX(Sheet2!$AU$2:$BM$228,QUOTIENT(ROW()-1,19)+1,MOD(ROW()-2,19)+1),NA())</f>
        <v/>
      </c>
      <c r="DM1895" s="4" t="e">
        <f t="shared" si="108"/>
        <v>#N/A</v>
      </c>
      <c r="DN1895" t="e">
        <f t="shared" si="109"/>
        <v>#N/A</v>
      </c>
      <c r="DO1895" t="e">
        <f t="shared" si="110"/>
        <v>#N/A</v>
      </c>
    </row>
    <row r="1896" spans="7:119" x14ac:dyDescent="0.25">
      <c r="G1896"/>
      <c r="DI1896" s="4">
        <f>INDEX(Sheet2!A:A,QUOTIENT(ROW()-1,19)+2)</f>
        <v>41444</v>
      </c>
      <c r="DJ1896" s="4">
        <f>INDEX(Sheet2!C:C,QUOTIENT(ROW()-1,19)+2)</f>
        <v>41639</v>
      </c>
      <c r="DK1896" s="4" t="e">
        <f>INDEX(Sheet2!$AA$2:$AS$228,QUOTIENT(ROW()-1,19)+1,MOD(ROW()-2,19)+1)</f>
        <v>#N/A</v>
      </c>
      <c r="DL1896" t="str">
        <f>IFERROR(INDEX(Sheet2!$AU$2:$BM$228,QUOTIENT(ROW()-1,19)+1,MOD(ROW()-2,19)+1),NA())</f>
        <v/>
      </c>
      <c r="DM1896" s="4" t="e">
        <f t="shared" si="108"/>
        <v>#N/A</v>
      </c>
      <c r="DN1896" t="e">
        <f t="shared" si="109"/>
        <v>#N/A</v>
      </c>
      <c r="DO1896" t="e">
        <f t="shared" si="110"/>
        <v>#N/A</v>
      </c>
    </row>
    <row r="1897" spans="7:119" x14ac:dyDescent="0.25">
      <c r="G1897"/>
      <c r="DI1897" s="4">
        <f>INDEX(Sheet2!A:A,QUOTIENT(ROW()-1,19)+2)</f>
        <v>41444</v>
      </c>
      <c r="DJ1897" s="4">
        <f>INDEX(Sheet2!C:C,QUOTIENT(ROW()-1,19)+2)</f>
        <v>41639</v>
      </c>
      <c r="DK1897" s="4" t="e">
        <f>INDEX(Sheet2!$AA$2:$AS$228,QUOTIENT(ROW()-1,19)+1,MOD(ROW()-2,19)+1)</f>
        <v>#N/A</v>
      </c>
      <c r="DL1897" t="str">
        <f>IFERROR(INDEX(Sheet2!$AU$2:$BM$228,QUOTIENT(ROW()-1,19)+1,MOD(ROW()-2,19)+1),NA())</f>
        <v/>
      </c>
      <c r="DM1897" s="4" t="e">
        <f t="shared" si="108"/>
        <v>#N/A</v>
      </c>
      <c r="DN1897" t="e">
        <f t="shared" si="109"/>
        <v>#N/A</v>
      </c>
      <c r="DO1897" t="e">
        <f t="shared" si="110"/>
        <v>#N/A</v>
      </c>
    </row>
    <row r="1898" spans="7:119" x14ac:dyDescent="0.25">
      <c r="G1898"/>
      <c r="DI1898" s="4">
        <f>INDEX(Sheet2!A:A,QUOTIENT(ROW()-1,19)+2)</f>
        <v>41444</v>
      </c>
      <c r="DJ1898" s="4">
        <f>INDEX(Sheet2!C:C,QUOTIENT(ROW()-1,19)+2)</f>
        <v>41639</v>
      </c>
      <c r="DK1898" s="4" t="e">
        <f>INDEX(Sheet2!$AA$2:$AS$228,QUOTIENT(ROW()-1,19)+1,MOD(ROW()-2,19)+1)</f>
        <v>#N/A</v>
      </c>
      <c r="DL1898" t="str">
        <f>IFERROR(INDEX(Sheet2!$AU$2:$BM$228,QUOTIENT(ROW()-1,19)+1,MOD(ROW()-2,19)+1),NA())</f>
        <v/>
      </c>
      <c r="DM1898" s="4" t="e">
        <f t="shared" si="108"/>
        <v>#N/A</v>
      </c>
      <c r="DN1898" t="e">
        <f t="shared" si="109"/>
        <v>#N/A</v>
      </c>
      <c r="DO1898" t="e">
        <f t="shared" si="110"/>
        <v>#N/A</v>
      </c>
    </row>
    <row r="1899" spans="7:119" x14ac:dyDescent="0.25">
      <c r="G1899"/>
      <c r="DI1899" s="4">
        <f>INDEX(Sheet2!A:A,QUOTIENT(ROW()-1,19)+2)</f>
        <v>41444</v>
      </c>
      <c r="DJ1899" s="4">
        <f>INDEX(Sheet2!C:C,QUOTIENT(ROW()-1,19)+2)</f>
        <v>41639</v>
      </c>
      <c r="DK1899" s="4" t="e">
        <f>INDEX(Sheet2!$AA$2:$AS$228,QUOTIENT(ROW()-1,19)+1,MOD(ROW()-2,19)+1)</f>
        <v>#N/A</v>
      </c>
      <c r="DL1899" t="str">
        <f>IFERROR(INDEX(Sheet2!$AU$2:$BM$228,QUOTIENT(ROW()-1,19)+1,MOD(ROW()-2,19)+1),NA())</f>
        <v/>
      </c>
      <c r="DM1899" s="4" t="e">
        <f t="shared" si="108"/>
        <v>#N/A</v>
      </c>
      <c r="DN1899" t="e">
        <f t="shared" si="109"/>
        <v>#N/A</v>
      </c>
      <c r="DO1899" t="e">
        <f t="shared" si="110"/>
        <v>#N/A</v>
      </c>
    </row>
    <row r="1900" spans="7:119" x14ac:dyDescent="0.25">
      <c r="G1900"/>
      <c r="DI1900" s="4">
        <f>INDEX(Sheet2!A:A,QUOTIENT(ROW()-1,19)+2)</f>
        <v>41444</v>
      </c>
      <c r="DJ1900" s="4">
        <f>INDEX(Sheet2!C:C,QUOTIENT(ROW()-1,19)+2)</f>
        <v>41639</v>
      </c>
      <c r="DK1900" s="4" t="e">
        <f>INDEX(Sheet2!$AA$2:$AS$228,QUOTIENT(ROW()-1,19)+1,MOD(ROW()-2,19)+1)</f>
        <v>#N/A</v>
      </c>
      <c r="DL1900" t="str">
        <f>IFERROR(INDEX(Sheet2!$AU$2:$BM$228,QUOTIENT(ROW()-1,19)+1,MOD(ROW()-2,19)+1),NA())</f>
        <v/>
      </c>
      <c r="DM1900" s="4" t="e">
        <f t="shared" si="108"/>
        <v>#N/A</v>
      </c>
      <c r="DN1900" t="e">
        <f t="shared" si="109"/>
        <v>#N/A</v>
      </c>
      <c r="DO1900" t="e">
        <f t="shared" si="110"/>
        <v>#N/A</v>
      </c>
    </row>
    <row r="1901" spans="7:119" x14ac:dyDescent="0.25">
      <c r="G1901"/>
      <c r="DI1901" s="4">
        <f>INDEX(Sheet2!A:A,QUOTIENT(ROW()-1,19)+2)</f>
        <v>41444</v>
      </c>
      <c r="DJ1901" s="4">
        <f>INDEX(Sheet2!C:C,QUOTIENT(ROW()-1,19)+2)</f>
        <v>42004</v>
      </c>
      <c r="DK1901" s="4" t="e">
        <f>INDEX(Sheet2!$AA$2:$AS$228,QUOTIENT(ROW()-1,19)+1,MOD(ROW()-2,19)+1)</f>
        <v>#N/A</v>
      </c>
      <c r="DL1901" t="str">
        <f>IFERROR(INDEX(Sheet2!$AU$2:$BM$228,QUOTIENT(ROW()-1,19)+1,MOD(ROW()-2,19)+1),NA())</f>
        <v/>
      </c>
      <c r="DM1901" s="4" t="e">
        <f t="shared" si="108"/>
        <v>#N/A</v>
      </c>
      <c r="DN1901" t="e">
        <f t="shared" si="109"/>
        <v>#N/A</v>
      </c>
      <c r="DO1901" t="e">
        <f t="shared" si="110"/>
        <v>#N/A</v>
      </c>
    </row>
    <row r="1902" spans="7:119" x14ac:dyDescent="0.25">
      <c r="G1902"/>
      <c r="DI1902" s="4">
        <f>INDEX(Sheet2!A:A,QUOTIENT(ROW()-1,19)+2)</f>
        <v>41444</v>
      </c>
      <c r="DJ1902" s="4">
        <f>INDEX(Sheet2!C:C,QUOTIENT(ROW()-1,19)+2)</f>
        <v>42004</v>
      </c>
      <c r="DK1902" s="4">
        <f>INDEX(Sheet2!$AA$2:$AS$228,QUOTIENT(ROW()-1,19)+1,MOD(ROW()-2,19)+1)</f>
        <v>41863.474999999999</v>
      </c>
      <c r="DL1902">
        <f>IFERROR(INDEX(Sheet2!$AU$2:$BM$228,QUOTIENT(ROW()-1,19)+1,MOD(ROW()-2,19)+1),NA())</f>
        <v>0.25</v>
      </c>
      <c r="DM1902" s="4" t="e">
        <f t="shared" si="108"/>
        <v>#N/A</v>
      </c>
      <c r="DN1902" t="e">
        <f t="shared" si="109"/>
        <v>#N/A</v>
      </c>
      <c r="DO1902" t="e">
        <f t="shared" si="110"/>
        <v>#N/A</v>
      </c>
    </row>
    <row r="1903" spans="7:119" x14ac:dyDescent="0.25">
      <c r="G1903"/>
      <c r="DI1903" s="4">
        <f>INDEX(Sheet2!A:A,QUOTIENT(ROW()-1,19)+2)</f>
        <v>41444</v>
      </c>
      <c r="DJ1903" s="4">
        <f>INDEX(Sheet2!C:C,QUOTIENT(ROW()-1,19)+2)</f>
        <v>42004</v>
      </c>
      <c r="DK1903" s="4">
        <f>INDEX(Sheet2!$AA$2:$AS$228,QUOTIENT(ROW()-1,19)+1,MOD(ROW()-2,19)+1)</f>
        <v>41883.550000000003</v>
      </c>
      <c r="DL1903">
        <f>IFERROR(INDEX(Sheet2!$AU$2:$BM$228,QUOTIENT(ROW()-1,19)+1,MOD(ROW()-2,19)+1),NA())</f>
        <v>0.25</v>
      </c>
      <c r="DM1903" s="4" t="e">
        <f t="shared" si="108"/>
        <v>#N/A</v>
      </c>
      <c r="DN1903" t="e">
        <f t="shared" si="109"/>
        <v>#N/A</v>
      </c>
      <c r="DO1903" t="e">
        <f t="shared" si="110"/>
        <v>#N/A</v>
      </c>
    </row>
    <row r="1904" spans="7:119" x14ac:dyDescent="0.25">
      <c r="G1904"/>
      <c r="DI1904" s="4">
        <f>INDEX(Sheet2!A:A,QUOTIENT(ROW()-1,19)+2)</f>
        <v>41444</v>
      </c>
      <c r="DJ1904" s="4">
        <f>INDEX(Sheet2!C:C,QUOTIENT(ROW()-1,19)+2)</f>
        <v>42004</v>
      </c>
      <c r="DK1904" s="4">
        <f>INDEX(Sheet2!$AA$2:$AS$228,QUOTIENT(ROW()-1,19)+1,MOD(ROW()-2,19)+1)</f>
        <v>41903.625</v>
      </c>
      <c r="DL1904">
        <f>IFERROR(INDEX(Sheet2!$AU$2:$BM$228,QUOTIENT(ROW()-1,19)+1,MOD(ROW()-2,19)+1),NA())</f>
        <v>0.25</v>
      </c>
      <c r="DM1904" s="4" t="e">
        <f t="shared" si="108"/>
        <v>#N/A</v>
      </c>
      <c r="DN1904" t="e">
        <f t="shared" si="109"/>
        <v>#N/A</v>
      </c>
      <c r="DO1904" t="e">
        <f t="shared" si="110"/>
        <v>#N/A</v>
      </c>
    </row>
    <row r="1905" spans="7:119" x14ac:dyDescent="0.25">
      <c r="G1905"/>
      <c r="DI1905" s="4">
        <f>INDEX(Sheet2!A:A,QUOTIENT(ROW()-1,19)+2)</f>
        <v>41444</v>
      </c>
      <c r="DJ1905" s="4">
        <f>INDEX(Sheet2!C:C,QUOTIENT(ROW()-1,19)+2)</f>
        <v>42004</v>
      </c>
      <c r="DK1905" s="4">
        <f>INDEX(Sheet2!$AA$2:$AS$228,QUOTIENT(ROW()-1,19)+1,MOD(ROW()-2,19)+1)</f>
        <v>41923.700000000004</v>
      </c>
      <c r="DL1905">
        <f>IFERROR(INDEX(Sheet2!$AU$2:$BM$228,QUOTIENT(ROW()-1,19)+1,MOD(ROW()-2,19)+1),NA())</f>
        <v>0.25</v>
      </c>
      <c r="DM1905" s="4" t="e">
        <f t="shared" si="108"/>
        <v>#N/A</v>
      </c>
      <c r="DN1905" t="e">
        <f t="shared" si="109"/>
        <v>#N/A</v>
      </c>
      <c r="DO1905" t="e">
        <f t="shared" si="110"/>
        <v>#N/A</v>
      </c>
    </row>
    <row r="1906" spans="7:119" x14ac:dyDescent="0.25">
      <c r="G1906"/>
      <c r="DI1906" s="4">
        <f>INDEX(Sheet2!A:A,QUOTIENT(ROW()-1,19)+2)</f>
        <v>41444</v>
      </c>
      <c r="DJ1906" s="4">
        <f>INDEX(Sheet2!C:C,QUOTIENT(ROW()-1,19)+2)</f>
        <v>42004</v>
      </c>
      <c r="DK1906" s="4">
        <f>INDEX(Sheet2!$AA$2:$AS$228,QUOTIENT(ROW()-1,19)+1,MOD(ROW()-2,19)+1)</f>
        <v>41943.775000000001</v>
      </c>
      <c r="DL1906">
        <f>IFERROR(INDEX(Sheet2!$AU$2:$BM$228,QUOTIENT(ROW()-1,19)+1,MOD(ROW()-2,19)+1),NA())</f>
        <v>0.25</v>
      </c>
      <c r="DM1906" s="4" t="e">
        <f t="shared" si="108"/>
        <v>#N/A</v>
      </c>
      <c r="DN1906" t="e">
        <f t="shared" si="109"/>
        <v>#N/A</v>
      </c>
      <c r="DO1906" t="e">
        <f t="shared" si="110"/>
        <v>#N/A</v>
      </c>
    </row>
    <row r="1907" spans="7:119" x14ac:dyDescent="0.25">
      <c r="G1907"/>
      <c r="DI1907" s="4">
        <f>INDEX(Sheet2!A:A,QUOTIENT(ROW()-1,19)+2)</f>
        <v>41444</v>
      </c>
      <c r="DJ1907" s="4">
        <f>INDEX(Sheet2!C:C,QUOTIENT(ROW()-1,19)+2)</f>
        <v>42004</v>
      </c>
      <c r="DK1907" s="4">
        <f>INDEX(Sheet2!$AA$2:$AS$228,QUOTIENT(ROW()-1,19)+1,MOD(ROW()-2,19)+1)</f>
        <v>41963.85</v>
      </c>
      <c r="DL1907">
        <f>IFERROR(INDEX(Sheet2!$AU$2:$BM$228,QUOTIENT(ROW()-1,19)+1,MOD(ROW()-2,19)+1),NA())</f>
        <v>0.25</v>
      </c>
      <c r="DM1907" s="4" t="e">
        <f t="shared" si="108"/>
        <v>#N/A</v>
      </c>
      <c r="DN1907" t="e">
        <f t="shared" si="109"/>
        <v>#N/A</v>
      </c>
      <c r="DO1907" t="e">
        <f t="shared" si="110"/>
        <v>#N/A</v>
      </c>
    </row>
    <row r="1908" spans="7:119" x14ac:dyDescent="0.25">
      <c r="G1908"/>
      <c r="DI1908" s="4">
        <f>INDEX(Sheet2!A:A,QUOTIENT(ROW()-1,19)+2)</f>
        <v>41444</v>
      </c>
      <c r="DJ1908" s="4">
        <f>INDEX(Sheet2!C:C,QUOTIENT(ROW()-1,19)+2)</f>
        <v>42004</v>
      </c>
      <c r="DK1908" s="4">
        <f>INDEX(Sheet2!$AA$2:$AS$228,QUOTIENT(ROW()-1,19)+1,MOD(ROW()-2,19)+1)</f>
        <v>41983.925000000003</v>
      </c>
      <c r="DL1908">
        <f>IFERROR(INDEX(Sheet2!$AU$2:$BM$228,QUOTIENT(ROW()-1,19)+1,MOD(ROW()-2,19)+1),NA())</f>
        <v>0.25</v>
      </c>
      <c r="DM1908" s="4" t="e">
        <f t="shared" si="108"/>
        <v>#N/A</v>
      </c>
      <c r="DN1908" t="e">
        <f t="shared" si="109"/>
        <v>#N/A</v>
      </c>
      <c r="DO1908" t="e">
        <f t="shared" si="110"/>
        <v>#N/A</v>
      </c>
    </row>
    <row r="1909" spans="7:119" x14ac:dyDescent="0.25">
      <c r="G1909"/>
      <c r="DI1909" s="4">
        <f>INDEX(Sheet2!A:A,QUOTIENT(ROW()-1,19)+2)</f>
        <v>41444</v>
      </c>
      <c r="DJ1909" s="4">
        <f>INDEX(Sheet2!C:C,QUOTIENT(ROW()-1,19)+2)</f>
        <v>42004</v>
      </c>
      <c r="DK1909" s="4">
        <f>INDEX(Sheet2!$AA$2:$AS$228,QUOTIENT(ROW()-1,19)+1,MOD(ROW()-2,19)+1)</f>
        <v>42004</v>
      </c>
      <c r="DL1909">
        <f>IFERROR(INDEX(Sheet2!$AU$2:$BM$228,QUOTIENT(ROW()-1,19)+1,MOD(ROW()-2,19)+1),NA())</f>
        <v>0.25</v>
      </c>
      <c r="DM1909" s="4" t="e">
        <f t="shared" si="108"/>
        <v>#N/A</v>
      </c>
      <c r="DN1909" t="e">
        <f t="shared" si="109"/>
        <v>#N/A</v>
      </c>
      <c r="DO1909" t="e">
        <f t="shared" si="110"/>
        <v>#N/A</v>
      </c>
    </row>
    <row r="1910" spans="7:119" x14ac:dyDescent="0.25">
      <c r="G1910"/>
      <c r="DI1910" s="4">
        <f>INDEX(Sheet2!A:A,QUOTIENT(ROW()-1,19)+2)</f>
        <v>41444</v>
      </c>
      <c r="DJ1910" s="4">
        <f>INDEX(Sheet2!C:C,QUOTIENT(ROW()-1,19)+2)</f>
        <v>42004</v>
      </c>
      <c r="DK1910" s="4">
        <f>INDEX(Sheet2!$AA$2:$AS$228,QUOTIENT(ROW()-1,19)+1,MOD(ROW()-2,19)+1)</f>
        <v>42024.075000000004</v>
      </c>
      <c r="DL1910">
        <f>IFERROR(INDEX(Sheet2!$AU$2:$BM$228,QUOTIENT(ROW()-1,19)+1,MOD(ROW()-2,19)+1),NA())</f>
        <v>0.25</v>
      </c>
      <c r="DM1910" s="4" t="e">
        <f t="shared" si="108"/>
        <v>#N/A</v>
      </c>
      <c r="DN1910" t="e">
        <f t="shared" si="109"/>
        <v>#N/A</v>
      </c>
      <c r="DO1910" t="e">
        <f t="shared" si="110"/>
        <v>#N/A</v>
      </c>
    </row>
    <row r="1911" spans="7:119" x14ac:dyDescent="0.25">
      <c r="G1911"/>
      <c r="DI1911" s="4">
        <f>INDEX(Sheet2!A:A,QUOTIENT(ROW()-1,19)+2)</f>
        <v>41444</v>
      </c>
      <c r="DJ1911" s="4">
        <f>INDEX(Sheet2!C:C,QUOTIENT(ROW()-1,19)+2)</f>
        <v>42004</v>
      </c>
      <c r="DK1911" s="4">
        <f>INDEX(Sheet2!$AA$2:$AS$228,QUOTIENT(ROW()-1,19)+1,MOD(ROW()-2,19)+1)</f>
        <v>42044.15</v>
      </c>
      <c r="DL1911">
        <f>IFERROR(INDEX(Sheet2!$AU$2:$BM$228,QUOTIENT(ROW()-1,19)+1,MOD(ROW()-2,19)+1),NA())</f>
        <v>0.25</v>
      </c>
      <c r="DM1911" s="4" t="e">
        <f t="shared" si="108"/>
        <v>#N/A</v>
      </c>
      <c r="DN1911" t="e">
        <f t="shared" si="109"/>
        <v>#N/A</v>
      </c>
      <c r="DO1911" t="e">
        <f t="shared" si="110"/>
        <v>#N/A</v>
      </c>
    </row>
    <row r="1912" spans="7:119" x14ac:dyDescent="0.25">
      <c r="G1912"/>
      <c r="DI1912" s="4">
        <f>INDEX(Sheet2!A:A,QUOTIENT(ROW()-1,19)+2)</f>
        <v>41444</v>
      </c>
      <c r="DJ1912" s="4">
        <f>INDEX(Sheet2!C:C,QUOTIENT(ROW()-1,19)+2)</f>
        <v>42004</v>
      </c>
      <c r="DK1912" s="4">
        <f>INDEX(Sheet2!$AA$2:$AS$228,QUOTIENT(ROW()-1,19)+1,MOD(ROW()-2,19)+1)</f>
        <v>42064.224999999999</v>
      </c>
      <c r="DL1912">
        <f>IFERROR(INDEX(Sheet2!$AU$2:$BM$228,QUOTIENT(ROW()-1,19)+1,MOD(ROW()-2,19)+1),NA())</f>
        <v>0.25</v>
      </c>
      <c r="DM1912" s="4" t="e">
        <f t="shared" si="108"/>
        <v>#N/A</v>
      </c>
      <c r="DN1912" t="e">
        <f t="shared" si="109"/>
        <v>#N/A</v>
      </c>
      <c r="DO1912" t="e">
        <f t="shared" si="110"/>
        <v>#N/A</v>
      </c>
    </row>
    <row r="1913" spans="7:119" x14ac:dyDescent="0.25">
      <c r="G1913"/>
      <c r="DI1913" s="4">
        <f>INDEX(Sheet2!A:A,QUOTIENT(ROW()-1,19)+2)</f>
        <v>41444</v>
      </c>
      <c r="DJ1913" s="4">
        <f>INDEX(Sheet2!C:C,QUOTIENT(ROW()-1,19)+2)</f>
        <v>42004</v>
      </c>
      <c r="DK1913" s="4">
        <f>INDEX(Sheet2!$AA$2:$AS$228,QUOTIENT(ROW()-1,19)+1,MOD(ROW()-2,19)+1)</f>
        <v>42084.3</v>
      </c>
      <c r="DL1913">
        <f>IFERROR(INDEX(Sheet2!$AU$2:$BM$228,QUOTIENT(ROW()-1,19)+1,MOD(ROW()-2,19)+1),NA())</f>
        <v>0.25</v>
      </c>
      <c r="DM1913" s="4" t="e">
        <f t="shared" si="108"/>
        <v>#N/A</v>
      </c>
      <c r="DN1913" t="e">
        <f t="shared" si="109"/>
        <v>#N/A</v>
      </c>
      <c r="DO1913" t="e">
        <f t="shared" si="110"/>
        <v>#N/A</v>
      </c>
    </row>
    <row r="1914" spans="7:119" x14ac:dyDescent="0.25">
      <c r="G1914"/>
      <c r="DI1914" s="4">
        <f>INDEX(Sheet2!A:A,QUOTIENT(ROW()-1,19)+2)</f>
        <v>41444</v>
      </c>
      <c r="DJ1914" s="4">
        <f>INDEX(Sheet2!C:C,QUOTIENT(ROW()-1,19)+2)</f>
        <v>42004</v>
      </c>
      <c r="DK1914" s="4">
        <f>INDEX(Sheet2!$AA$2:$AS$228,QUOTIENT(ROW()-1,19)+1,MOD(ROW()-2,19)+1)</f>
        <v>42104.375</v>
      </c>
      <c r="DL1914">
        <f>IFERROR(INDEX(Sheet2!$AU$2:$BM$228,QUOTIENT(ROW()-1,19)+1,MOD(ROW()-2,19)+1),NA())</f>
        <v>0.25</v>
      </c>
      <c r="DM1914" s="4" t="e">
        <f t="shared" si="108"/>
        <v>#N/A</v>
      </c>
      <c r="DN1914" t="e">
        <f t="shared" si="109"/>
        <v>#N/A</v>
      </c>
      <c r="DO1914" t="e">
        <f t="shared" si="110"/>
        <v>#N/A</v>
      </c>
    </row>
    <row r="1915" spans="7:119" x14ac:dyDescent="0.25">
      <c r="G1915"/>
      <c r="DI1915" s="4">
        <f>INDEX(Sheet2!A:A,QUOTIENT(ROW()-1,19)+2)</f>
        <v>41444</v>
      </c>
      <c r="DJ1915" s="4">
        <f>INDEX(Sheet2!C:C,QUOTIENT(ROW()-1,19)+2)</f>
        <v>42004</v>
      </c>
      <c r="DK1915" s="4">
        <f>INDEX(Sheet2!$AA$2:$AS$228,QUOTIENT(ROW()-1,19)+1,MOD(ROW()-2,19)+1)</f>
        <v>42124.450000000004</v>
      </c>
      <c r="DL1915">
        <f>IFERROR(INDEX(Sheet2!$AU$2:$BM$228,QUOTIENT(ROW()-1,19)+1,MOD(ROW()-2,19)+1),NA())</f>
        <v>0.25</v>
      </c>
      <c r="DM1915" s="4" t="e">
        <f t="shared" si="108"/>
        <v>#N/A</v>
      </c>
      <c r="DN1915" t="e">
        <f t="shared" si="109"/>
        <v>#N/A</v>
      </c>
      <c r="DO1915" t="e">
        <f t="shared" si="110"/>
        <v>#N/A</v>
      </c>
    </row>
    <row r="1916" spans="7:119" x14ac:dyDescent="0.25">
      <c r="G1916"/>
      <c r="DI1916" s="4">
        <f>INDEX(Sheet2!A:A,QUOTIENT(ROW()-1,19)+2)</f>
        <v>41444</v>
      </c>
      <c r="DJ1916" s="4">
        <f>INDEX(Sheet2!C:C,QUOTIENT(ROW()-1,19)+2)</f>
        <v>42004</v>
      </c>
      <c r="DK1916" s="4">
        <f>INDEX(Sheet2!$AA$2:$AS$228,QUOTIENT(ROW()-1,19)+1,MOD(ROW()-2,19)+1)</f>
        <v>42144.525000000001</v>
      </c>
      <c r="DL1916">
        <f>IFERROR(INDEX(Sheet2!$AU$2:$BM$228,QUOTIENT(ROW()-1,19)+1,MOD(ROW()-2,19)+1),NA())</f>
        <v>0.25</v>
      </c>
      <c r="DM1916" s="4" t="e">
        <f t="shared" si="108"/>
        <v>#N/A</v>
      </c>
      <c r="DN1916" t="e">
        <f t="shared" si="109"/>
        <v>#N/A</v>
      </c>
      <c r="DO1916" t="e">
        <f t="shared" si="110"/>
        <v>#N/A</v>
      </c>
    </row>
    <row r="1917" spans="7:119" x14ac:dyDescent="0.25">
      <c r="G1917"/>
      <c r="DI1917" s="4">
        <f>INDEX(Sheet2!A:A,QUOTIENT(ROW()-1,19)+2)</f>
        <v>41444</v>
      </c>
      <c r="DJ1917" s="4">
        <f>INDEX(Sheet2!C:C,QUOTIENT(ROW()-1,19)+2)</f>
        <v>42004</v>
      </c>
      <c r="DK1917" s="4" t="e">
        <f>INDEX(Sheet2!$AA$2:$AS$228,QUOTIENT(ROW()-1,19)+1,MOD(ROW()-2,19)+1)</f>
        <v>#N/A</v>
      </c>
      <c r="DL1917" t="str">
        <f>IFERROR(INDEX(Sheet2!$AU$2:$BM$228,QUOTIENT(ROW()-1,19)+1,MOD(ROW()-2,19)+1),NA())</f>
        <v/>
      </c>
      <c r="DM1917" s="4" t="e">
        <f t="shared" si="108"/>
        <v>#N/A</v>
      </c>
      <c r="DN1917" t="e">
        <f t="shared" si="109"/>
        <v>#N/A</v>
      </c>
      <c r="DO1917" t="e">
        <f t="shared" si="110"/>
        <v>#N/A</v>
      </c>
    </row>
    <row r="1918" spans="7:119" x14ac:dyDescent="0.25">
      <c r="G1918"/>
      <c r="DI1918" s="4">
        <f>INDEX(Sheet2!A:A,QUOTIENT(ROW()-1,19)+2)</f>
        <v>41444</v>
      </c>
      <c r="DJ1918" s="4">
        <f>INDEX(Sheet2!C:C,QUOTIENT(ROW()-1,19)+2)</f>
        <v>42004</v>
      </c>
      <c r="DK1918" s="4" t="e">
        <f>INDEX(Sheet2!$AA$2:$AS$228,QUOTIENT(ROW()-1,19)+1,MOD(ROW()-2,19)+1)</f>
        <v>#N/A</v>
      </c>
      <c r="DL1918" t="str">
        <f>IFERROR(INDEX(Sheet2!$AU$2:$BM$228,QUOTIENT(ROW()-1,19)+1,MOD(ROW()-2,19)+1),NA())</f>
        <v/>
      </c>
      <c r="DM1918" s="4" t="e">
        <f t="shared" si="108"/>
        <v>#N/A</v>
      </c>
      <c r="DN1918" t="e">
        <f t="shared" si="109"/>
        <v>#N/A</v>
      </c>
      <c r="DO1918" t="e">
        <f t="shared" si="110"/>
        <v>#N/A</v>
      </c>
    </row>
    <row r="1919" spans="7:119" x14ac:dyDescent="0.25">
      <c r="G1919"/>
      <c r="DI1919" s="4">
        <f>INDEX(Sheet2!A:A,QUOTIENT(ROW()-1,19)+2)</f>
        <v>41444</v>
      </c>
      <c r="DJ1919" s="4">
        <f>INDEX(Sheet2!C:C,QUOTIENT(ROW()-1,19)+2)</f>
        <v>42004</v>
      </c>
      <c r="DK1919" s="4" t="e">
        <f>INDEX(Sheet2!$AA$2:$AS$228,QUOTIENT(ROW()-1,19)+1,MOD(ROW()-2,19)+1)</f>
        <v>#N/A</v>
      </c>
      <c r="DL1919" t="str">
        <f>IFERROR(INDEX(Sheet2!$AU$2:$BM$228,QUOTIENT(ROW()-1,19)+1,MOD(ROW()-2,19)+1),NA())</f>
        <v/>
      </c>
      <c r="DM1919" s="4" t="e">
        <f t="shared" si="108"/>
        <v>#N/A</v>
      </c>
      <c r="DN1919" t="e">
        <f t="shared" si="109"/>
        <v>#N/A</v>
      </c>
      <c r="DO1919" t="e">
        <f t="shared" si="110"/>
        <v>#N/A</v>
      </c>
    </row>
    <row r="1920" spans="7:119" x14ac:dyDescent="0.25">
      <c r="G1920"/>
      <c r="DI1920" s="4">
        <f>INDEX(Sheet2!A:A,QUOTIENT(ROW()-1,19)+2)</f>
        <v>41444</v>
      </c>
      <c r="DJ1920" s="4">
        <f>INDEX(Sheet2!C:C,QUOTIENT(ROW()-1,19)+2)</f>
        <v>42004</v>
      </c>
      <c r="DK1920" s="4" t="e">
        <f>INDEX(Sheet2!$AA$2:$AS$228,QUOTIENT(ROW()-1,19)+1,MOD(ROW()-2,19)+1)</f>
        <v>#N/A</v>
      </c>
      <c r="DL1920" t="str">
        <f>IFERROR(INDEX(Sheet2!$AU$2:$BM$228,QUOTIENT(ROW()-1,19)+1,MOD(ROW()-2,19)+1),NA())</f>
        <v/>
      </c>
      <c r="DM1920" s="4" t="e">
        <f t="shared" si="108"/>
        <v>#N/A</v>
      </c>
      <c r="DN1920" t="e">
        <f t="shared" si="109"/>
        <v>#N/A</v>
      </c>
      <c r="DO1920" t="e">
        <f t="shared" si="110"/>
        <v>#N/A</v>
      </c>
    </row>
    <row r="1921" spans="7:119" x14ac:dyDescent="0.25">
      <c r="G1921"/>
      <c r="DI1921" s="4">
        <f>INDEX(Sheet2!A:A,QUOTIENT(ROW()-1,19)+2)</f>
        <v>41444</v>
      </c>
      <c r="DJ1921" s="4">
        <f>INDEX(Sheet2!C:C,QUOTIENT(ROW()-1,19)+2)</f>
        <v>42004</v>
      </c>
      <c r="DK1921" s="4">
        <f>INDEX(Sheet2!$AA$2:$AS$228,QUOTIENT(ROW()-1,19)+1,MOD(ROW()-2,19)+1)</f>
        <v>41983.924999999996</v>
      </c>
      <c r="DL1921">
        <f>IFERROR(INDEX(Sheet2!$AU$2:$BM$228,QUOTIENT(ROW()-1,19)+1,MOD(ROW()-2,19)+1),NA())</f>
        <v>1</v>
      </c>
      <c r="DM1921" s="4" t="e">
        <f t="shared" si="108"/>
        <v>#N/A</v>
      </c>
      <c r="DN1921" t="e">
        <f t="shared" si="109"/>
        <v>#N/A</v>
      </c>
      <c r="DO1921" t="e">
        <f t="shared" si="110"/>
        <v>#N/A</v>
      </c>
    </row>
    <row r="1922" spans="7:119" x14ac:dyDescent="0.25">
      <c r="G1922"/>
      <c r="DI1922" s="4">
        <f>INDEX(Sheet2!A:A,QUOTIENT(ROW()-1,19)+2)</f>
        <v>41444</v>
      </c>
      <c r="DJ1922" s="4">
        <f>INDEX(Sheet2!C:C,QUOTIENT(ROW()-1,19)+2)</f>
        <v>42004</v>
      </c>
      <c r="DK1922" s="4">
        <f>INDEX(Sheet2!$AA$2:$AS$228,QUOTIENT(ROW()-1,19)+1,MOD(ROW()-2,19)+1)</f>
        <v>42004</v>
      </c>
      <c r="DL1922">
        <f>IFERROR(INDEX(Sheet2!$AU$2:$BM$228,QUOTIENT(ROW()-1,19)+1,MOD(ROW()-2,19)+1),NA())</f>
        <v>1</v>
      </c>
      <c r="DM1922" s="4" t="e">
        <f t="shared" ref="DM1922:DM1985" si="111">+IF($C$2=$DI1922,DK1922,NA())</f>
        <v>#N/A</v>
      </c>
      <c r="DN1922" t="e">
        <f t="shared" ref="DN1922:DN1985" si="112">+IF($C$2=$DI1922,DL1922,NA())</f>
        <v>#N/A</v>
      </c>
      <c r="DO1922" t="e">
        <f t="shared" si="110"/>
        <v>#N/A</v>
      </c>
    </row>
    <row r="1923" spans="7:119" x14ac:dyDescent="0.25">
      <c r="G1923"/>
      <c r="DI1923" s="4">
        <f>INDEX(Sheet2!A:A,QUOTIENT(ROW()-1,19)+2)</f>
        <v>41444</v>
      </c>
      <c r="DJ1923" s="4">
        <f>INDEX(Sheet2!C:C,QUOTIENT(ROW()-1,19)+2)</f>
        <v>42004</v>
      </c>
      <c r="DK1923" s="4">
        <f>INDEX(Sheet2!$AA$2:$AS$228,QUOTIENT(ROW()-1,19)+1,MOD(ROW()-2,19)+1)</f>
        <v>42024.074999999997</v>
      </c>
      <c r="DL1923">
        <f>IFERROR(INDEX(Sheet2!$AU$2:$BM$228,QUOTIENT(ROW()-1,19)+1,MOD(ROW()-2,19)+1),NA())</f>
        <v>1</v>
      </c>
      <c r="DM1923" s="4" t="e">
        <f t="shared" si="111"/>
        <v>#N/A</v>
      </c>
      <c r="DN1923" t="e">
        <f t="shared" si="112"/>
        <v>#N/A</v>
      </c>
      <c r="DO1923" t="e">
        <f t="shared" ref="DO1923:DO1986" si="113">IF(DN1923="",NA(),DN1923)</f>
        <v>#N/A</v>
      </c>
    </row>
    <row r="1924" spans="7:119" x14ac:dyDescent="0.25">
      <c r="G1924"/>
      <c r="DI1924" s="4">
        <f>INDEX(Sheet2!A:A,QUOTIENT(ROW()-1,19)+2)</f>
        <v>41444</v>
      </c>
      <c r="DJ1924" s="4">
        <f>INDEX(Sheet2!C:C,QUOTIENT(ROW()-1,19)+2)</f>
        <v>42004</v>
      </c>
      <c r="DK1924" s="4" t="e">
        <f>INDEX(Sheet2!$AA$2:$AS$228,QUOTIENT(ROW()-1,19)+1,MOD(ROW()-2,19)+1)</f>
        <v>#N/A</v>
      </c>
      <c r="DL1924" t="str">
        <f>IFERROR(INDEX(Sheet2!$AU$2:$BM$228,QUOTIENT(ROW()-1,19)+1,MOD(ROW()-2,19)+1),NA())</f>
        <v/>
      </c>
      <c r="DM1924" s="4" t="e">
        <f t="shared" si="111"/>
        <v>#N/A</v>
      </c>
      <c r="DN1924" t="e">
        <f t="shared" si="112"/>
        <v>#N/A</v>
      </c>
      <c r="DO1924" t="e">
        <f t="shared" si="113"/>
        <v>#N/A</v>
      </c>
    </row>
    <row r="1925" spans="7:119" x14ac:dyDescent="0.25">
      <c r="G1925"/>
      <c r="DI1925" s="4">
        <f>INDEX(Sheet2!A:A,QUOTIENT(ROW()-1,19)+2)</f>
        <v>41444</v>
      </c>
      <c r="DJ1925" s="4">
        <f>INDEX(Sheet2!C:C,QUOTIENT(ROW()-1,19)+2)</f>
        <v>42004</v>
      </c>
      <c r="DK1925" s="4" t="e">
        <f>INDEX(Sheet2!$AA$2:$AS$228,QUOTIENT(ROW()-1,19)+1,MOD(ROW()-2,19)+1)</f>
        <v>#N/A</v>
      </c>
      <c r="DL1925" t="str">
        <f>IFERROR(INDEX(Sheet2!$AU$2:$BM$228,QUOTIENT(ROW()-1,19)+1,MOD(ROW()-2,19)+1),NA())</f>
        <v/>
      </c>
      <c r="DM1925" s="4" t="e">
        <f t="shared" si="111"/>
        <v>#N/A</v>
      </c>
      <c r="DN1925" t="e">
        <f t="shared" si="112"/>
        <v>#N/A</v>
      </c>
      <c r="DO1925" t="e">
        <f t="shared" si="113"/>
        <v>#N/A</v>
      </c>
    </row>
    <row r="1926" spans="7:119" x14ac:dyDescent="0.25">
      <c r="G1926"/>
      <c r="DI1926" s="4">
        <f>INDEX(Sheet2!A:A,QUOTIENT(ROW()-1,19)+2)</f>
        <v>41444</v>
      </c>
      <c r="DJ1926" s="4">
        <f>INDEX(Sheet2!C:C,QUOTIENT(ROW()-1,19)+2)</f>
        <v>42004</v>
      </c>
      <c r="DK1926" s="4" t="e">
        <f>INDEX(Sheet2!$AA$2:$AS$228,QUOTIENT(ROW()-1,19)+1,MOD(ROW()-2,19)+1)</f>
        <v>#N/A</v>
      </c>
      <c r="DL1926" t="str">
        <f>IFERROR(INDEX(Sheet2!$AU$2:$BM$228,QUOTIENT(ROW()-1,19)+1,MOD(ROW()-2,19)+1),NA())</f>
        <v/>
      </c>
      <c r="DM1926" s="4" t="e">
        <f t="shared" si="111"/>
        <v>#N/A</v>
      </c>
      <c r="DN1926" t="e">
        <f t="shared" si="112"/>
        <v>#N/A</v>
      </c>
      <c r="DO1926" t="e">
        <f t="shared" si="113"/>
        <v>#N/A</v>
      </c>
    </row>
    <row r="1927" spans="7:119" x14ac:dyDescent="0.25">
      <c r="G1927"/>
      <c r="DI1927" s="4">
        <f>INDEX(Sheet2!A:A,QUOTIENT(ROW()-1,19)+2)</f>
        <v>41444</v>
      </c>
      <c r="DJ1927" s="4">
        <f>INDEX(Sheet2!C:C,QUOTIENT(ROW()-1,19)+2)</f>
        <v>42004</v>
      </c>
      <c r="DK1927" s="4" t="e">
        <f>INDEX(Sheet2!$AA$2:$AS$228,QUOTIENT(ROW()-1,19)+1,MOD(ROW()-2,19)+1)</f>
        <v>#N/A</v>
      </c>
      <c r="DL1927" t="str">
        <f>IFERROR(INDEX(Sheet2!$AU$2:$BM$228,QUOTIENT(ROW()-1,19)+1,MOD(ROW()-2,19)+1),NA())</f>
        <v/>
      </c>
      <c r="DM1927" s="4" t="e">
        <f t="shared" si="111"/>
        <v>#N/A</v>
      </c>
      <c r="DN1927" t="e">
        <f t="shared" si="112"/>
        <v>#N/A</v>
      </c>
      <c r="DO1927" t="e">
        <f t="shared" si="113"/>
        <v>#N/A</v>
      </c>
    </row>
    <row r="1928" spans="7:119" x14ac:dyDescent="0.25">
      <c r="G1928"/>
      <c r="DI1928" s="4">
        <f>INDEX(Sheet2!A:A,QUOTIENT(ROW()-1,19)+2)</f>
        <v>41444</v>
      </c>
      <c r="DJ1928" s="4">
        <f>INDEX(Sheet2!C:C,QUOTIENT(ROW()-1,19)+2)</f>
        <v>42004</v>
      </c>
      <c r="DK1928" s="4" t="e">
        <f>INDEX(Sheet2!$AA$2:$AS$228,QUOTIENT(ROW()-1,19)+1,MOD(ROW()-2,19)+1)</f>
        <v>#N/A</v>
      </c>
      <c r="DL1928" t="str">
        <f>IFERROR(INDEX(Sheet2!$AU$2:$BM$228,QUOTIENT(ROW()-1,19)+1,MOD(ROW()-2,19)+1),NA())</f>
        <v/>
      </c>
      <c r="DM1928" s="4" t="e">
        <f t="shared" si="111"/>
        <v>#N/A</v>
      </c>
      <c r="DN1928" t="e">
        <f t="shared" si="112"/>
        <v>#N/A</v>
      </c>
      <c r="DO1928" t="e">
        <f t="shared" si="113"/>
        <v>#N/A</v>
      </c>
    </row>
    <row r="1929" spans="7:119" x14ac:dyDescent="0.25">
      <c r="G1929"/>
      <c r="DI1929" s="4">
        <f>INDEX(Sheet2!A:A,QUOTIENT(ROW()-1,19)+2)</f>
        <v>41444</v>
      </c>
      <c r="DJ1929" s="4">
        <f>INDEX(Sheet2!C:C,QUOTIENT(ROW()-1,19)+2)</f>
        <v>42004</v>
      </c>
      <c r="DK1929" s="4" t="e">
        <f>INDEX(Sheet2!$AA$2:$AS$228,QUOTIENT(ROW()-1,19)+1,MOD(ROW()-2,19)+1)</f>
        <v>#N/A</v>
      </c>
      <c r="DL1929" t="str">
        <f>IFERROR(INDEX(Sheet2!$AU$2:$BM$228,QUOTIENT(ROW()-1,19)+1,MOD(ROW()-2,19)+1),NA())</f>
        <v/>
      </c>
      <c r="DM1929" s="4" t="e">
        <f t="shared" si="111"/>
        <v>#N/A</v>
      </c>
      <c r="DN1929" t="e">
        <f t="shared" si="112"/>
        <v>#N/A</v>
      </c>
      <c r="DO1929" t="e">
        <f t="shared" si="113"/>
        <v>#N/A</v>
      </c>
    </row>
    <row r="1930" spans="7:119" x14ac:dyDescent="0.25">
      <c r="G1930"/>
      <c r="DI1930" s="4">
        <f>INDEX(Sheet2!A:A,QUOTIENT(ROW()-1,19)+2)</f>
        <v>41444</v>
      </c>
      <c r="DJ1930" s="4">
        <f>INDEX(Sheet2!C:C,QUOTIENT(ROW()-1,19)+2)</f>
        <v>42004</v>
      </c>
      <c r="DK1930" s="4" t="e">
        <f>INDEX(Sheet2!$AA$2:$AS$228,QUOTIENT(ROW()-1,19)+1,MOD(ROW()-2,19)+1)</f>
        <v>#N/A</v>
      </c>
      <c r="DL1930" t="str">
        <f>IFERROR(INDEX(Sheet2!$AU$2:$BM$228,QUOTIENT(ROW()-1,19)+1,MOD(ROW()-2,19)+1),NA())</f>
        <v/>
      </c>
      <c r="DM1930" s="4" t="e">
        <f t="shared" si="111"/>
        <v>#N/A</v>
      </c>
      <c r="DN1930" t="e">
        <f t="shared" si="112"/>
        <v>#N/A</v>
      </c>
      <c r="DO1930" t="e">
        <f t="shared" si="113"/>
        <v>#N/A</v>
      </c>
    </row>
    <row r="1931" spans="7:119" x14ac:dyDescent="0.25">
      <c r="G1931"/>
      <c r="DI1931" s="4">
        <f>INDEX(Sheet2!A:A,QUOTIENT(ROW()-1,19)+2)</f>
        <v>41444</v>
      </c>
      <c r="DJ1931" s="4">
        <f>INDEX(Sheet2!C:C,QUOTIENT(ROW()-1,19)+2)</f>
        <v>42004</v>
      </c>
      <c r="DK1931" s="4" t="e">
        <f>INDEX(Sheet2!$AA$2:$AS$228,QUOTIENT(ROW()-1,19)+1,MOD(ROW()-2,19)+1)</f>
        <v>#N/A</v>
      </c>
      <c r="DL1931" t="str">
        <f>IFERROR(INDEX(Sheet2!$AU$2:$BM$228,QUOTIENT(ROW()-1,19)+1,MOD(ROW()-2,19)+1),NA())</f>
        <v/>
      </c>
      <c r="DM1931" s="4" t="e">
        <f t="shared" si="111"/>
        <v>#N/A</v>
      </c>
      <c r="DN1931" t="e">
        <f t="shared" si="112"/>
        <v>#N/A</v>
      </c>
      <c r="DO1931" t="e">
        <f t="shared" si="113"/>
        <v>#N/A</v>
      </c>
    </row>
    <row r="1932" spans="7:119" x14ac:dyDescent="0.25">
      <c r="G1932"/>
      <c r="DI1932" s="4">
        <f>INDEX(Sheet2!A:A,QUOTIENT(ROW()-1,19)+2)</f>
        <v>41444</v>
      </c>
      <c r="DJ1932" s="4">
        <f>INDEX(Sheet2!C:C,QUOTIENT(ROW()-1,19)+2)</f>
        <v>42004</v>
      </c>
      <c r="DK1932" s="4" t="e">
        <f>INDEX(Sheet2!$AA$2:$AS$228,QUOTIENT(ROW()-1,19)+1,MOD(ROW()-2,19)+1)</f>
        <v>#N/A</v>
      </c>
      <c r="DL1932" t="str">
        <f>IFERROR(INDEX(Sheet2!$AU$2:$BM$228,QUOTIENT(ROW()-1,19)+1,MOD(ROW()-2,19)+1),NA())</f>
        <v/>
      </c>
      <c r="DM1932" s="4" t="e">
        <f t="shared" si="111"/>
        <v>#N/A</v>
      </c>
      <c r="DN1932" t="e">
        <f t="shared" si="112"/>
        <v>#N/A</v>
      </c>
      <c r="DO1932" t="e">
        <f t="shared" si="113"/>
        <v>#N/A</v>
      </c>
    </row>
    <row r="1933" spans="7:119" x14ac:dyDescent="0.25">
      <c r="G1933"/>
      <c r="DI1933" s="4">
        <f>INDEX(Sheet2!A:A,QUOTIENT(ROW()-1,19)+2)</f>
        <v>41444</v>
      </c>
      <c r="DJ1933" s="4">
        <f>INDEX(Sheet2!C:C,QUOTIENT(ROW()-1,19)+2)</f>
        <v>42004</v>
      </c>
      <c r="DK1933" s="4" t="e">
        <f>INDEX(Sheet2!$AA$2:$AS$228,QUOTIENT(ROW()-1,19)+1,MOD(ROW()-2,19)+1)</f>
        <v>#N/A</v>
      </c>
      <c r="DL1933" t="str">
        <f>IFERROR(INDEX(Sheet2!$AU$2:$BM$228,QUOTIENT(ROW()-1,19)+1,MOD(ROW()-2,19)+1),NA())</f>
        <v/>
      </c>
      <c r="DM1933" s="4" t="e">
        <f t="shared" si="111"/>
        <v>#N/A</v>
      </c>
      <c r="DN1933" t="e">
        <f t="shared" si="112"/>
        <v>#N/A</v>
      </c>
      <c r="DO1933" t="e">
        <f t="shared" si="113"/>
        <v>#N/A</v>
      </c>
    </row>
    <row r="1934" spans="7:119" x14ac:dyDescent="0.25">
      <c r="G1934"/>
      <c r="DI1934" s="4">
        <f>INDEX(Sheet2!A:A,QUOTIENT(ROW()-1,19)+2)</f>
        <v>41444</v>
      </c>
      <c r="DJ1934" s="4">
        <f>INDEX(Sheet2!C:C,QUOTIENT(ROW()-1,19)+2)</f>
        <v>42004</v>
      </c>
      <c r="DK1934" s="4" t="e">
        <f>INDEX(Sheet2!$AA$2:$AS$228,QUOTIENT(ROW()-1,19)+1,MOD(ROW()-2,19)+1)</f>
        <v>#N/A</v>
      </c>
      <c r="DL1934" t="str">
        <f>IFERROR(INDEX(Sheet2!$AU$2:$BM$228,QUOTIENT(ROW()-1,19)+1,MOD(ROW()-2,19)+1),NA())</f>
        <v/>
      </c>
      <c r="DM1934" s="4" t="e">
        <f t="shared" si="111"/>
        <v>#N/A</v>
      </c>
      <c r="DN1934" t="e">
        <f t="shared" si="112"/>
        <v>#N/A</v>
      </c>
      <c r="DO1934" t="e">
        <f t="shared" si="113"/>
        <v>#N/A</v>
      </c>
    </row>
    <row r="1935" spans="7:119" x14ac:dyDescent="0.25">
      <c r="G1935"/>
      <c r="DI1935" s="4">
        <f>INDEX(Sheet2!A:A,QUOTIENT(ROW()-1,19)+2)</f>
        <v>41444</v>
      </c>
      <c r="DJ1935" s="4">
        <f>INDEX(Sheet2!C:C,QUOTIENT(ROW()-1,19)+2)</f>
        <v>42004</v>
      </c>
      <c r="DK1935" s="4" t="e">
        <f>INDEX(Sheet2!$AA$2:$AS$228,QUOTIENT(ROW()-1,19)+1,MOD(ROW()-2,19)+1)</f>
        <v>#N/A</v>
      </c>
      <c r="DL1935" t="str">
        <f>IFERROR(INDEX(Sheet2!$AU$2:$BM$228,QUOTIENT(ROW()-1,19)+1,MOD(ROW()-2,19)+1),NA())</f>
        <v/>
      </c>
      <c r="DM1935" s="4" t="e">
        <f t="shared" si="111"/>
        <v>#N/A</v>
      </c>
      <c r="DN1935" t="e">
        <f t="shared" si="112"/>
        <v>#N/A</v>
      </c>
      <c r="DO1935" t="e">
        <f t="shared" si="113"/>
        <v>#N/A</v>
      </c>
    </row>
    <row r="1936" spans="7:119" x14ac:dyDescent="0.25">
      <c r="G1936"/>
      <c r="DI1936" s="4">
        <f>INDEX(Sheet2!A:A,QUOTIENT(ROW()-1,19)+2)</f>
        <v>41444</v>
      </c>
      <c r="DJ1936" s="4">
        <f>INDEX(Sheet2!C:C,QUOTIENT(ROW()-1,19)+2)</f>
        <v>42004</v>
      </c>
      <c r="DK1936" s="4" t="e">
        <f>INDEX(Sheet2!$AA$2:$AS$228,QUOTIENT(ROW()-1,19)+1,MOD(ROW()-2,19)+1)</f>
        <v>#N/A</v>
      </c>
      <c r="DL1936" t="str">
        <f>IFERROR(INDEX(Sheet2!$AU$2:$BM$228,QUOTIENT(ROW()-1,19)+1,MOD(ROW()-2,19)+1),NA())</f>
        <v/>
      </c>
      <c r="DM1936" s="4" t="e">
        <f t="shared" si="111"/>
        <v>#N/A</v>
      </c>
      <c r="DN1936" t="e">
        <f t="shared" si="112"/>
        <v>#N/A</v>
      </c>
      <c r="DO1936" t="e">
        <f t="shared" si="113"/>
        <v>#N/A</v>
      </c>
    </row>
    <row r="1937" spans="7:119" x14ac:dyDescent="0.25">
      <c r="G1937"/>
      <c r="DI1937" s="4">
        <f>INDEX(Sheet2!A:A,QUOTIENT(ROW()-1,19)+2)</f>
        <v>41444</v>
      </c>
      <c r="DJ1937" s="4">
        <f>INDEX(Sheet2!C:C,QUOTIENT(ROW()-1,19)+2)</f>
        <v>42004</v>
      </c>
      <c r="DK1937" s="4" t="e">
        <f>INDEX(Sheet2!$AA$2:$AS$228,QUOTIENT(ROW()-1,19)+1,MOD(ROW()-2,19)+1)</f>
        <v>#N/A</v>
      </c>
      <c r="DL1937" t="str">
        <f>IFERROR(INDEX(Sheet2!$AU$2:$BM$228,QUOTIENT(ROW()-1,19)+1,MOD(ROW()-2,19)+1),NA())</f>
        <v/>
      </c>
      <c r="DM1937" s="4" t="e">
        <f t="shared" si="111"/>
        <v>#N/A</v>
      </c>
      <c r="DN1937" t="e">
        <f t="shared" si="112"/>
        <v>#N/A</v>
      </c>
      <c r="DO1937" t="e">
        <f t="shared" si="113"/>
        <v>#N/A</v>
      </c>
    </row>
    <row r="1938" spans="7:119" x14ac:dyDescent="0.25">
      <c r="G1938"/>
      <c r="DI1938" s="4">
        <f>INDEX(Sheet2!A:A,QUOTIENT(ROW()-1,19)+2)</f>
        <v>41444</v>
      </c>
      <c r="DJ1938" s="4">
        <f>INDEX(Sheet2!C:C,QUOTIENT(ROW()-1,19)+2)</f>
        <v>42004</v>
      </c>
      <c r="DK1938" s="4" t="e">
        <f>INDEX(Sheet2!$AA$2:$AS$228,QUOTIENT(ROW()-1,19)+1,MOD(ROW()-2,19)+1)</f>
        <v>#N/A</v>
      </c>
      <c r="DL1938" t="str">
        <f>IFERROR(INDEX(Sheet2!$AU$2:$BM$228,QUOTIENT(ROW()-1,19)+1,MOD(ROW()-2,19)+1),NA())</f>
        <v/>
      </c>
      <c r="DM1938" s="4" t="e">
        <f t="shared" si="111"/>
        <v>#N/A</v>
      </c>
      <c r="DN1938" t="e">
        <f t="shared" si="112"/>
        <v>#N/A</v>
      </c>
      <c r="DO1938" t="e">
        <f t="shared" si="113"/>
        <v>#N/A</v>
      </c>
    </row>
    <row r="1939" spans="7:119" x14ac:dyDescent="0.25">
      <c r="G1939"/>
      <c r="DI1939" s="4">
        <f>INDEX(Sheet2!A:A,QUOTIENT(ROW()-1,19)+2)</f>
        <v>41444</v>
      </c>
      <c r="DJ1939" s="4">
        <f>INDEX(Sheet2!C:C,QUOTIENT(ROW()-1,19)+2)</f>
        <v>42004</v>
      </c>
      <c r="DK1939" s="4" t="e">
        <f>INDEX(Sheet2!$AA$2:$AS$228,QUOTIENT(ROW()-1,19)+1,MOD(ROW()-2,19)+1)</f>
        <v>#N/A</v>
      </c>
      <c r="DL1939" t="str">
        <f>IFERROR(INDEX(Sheet2!$AU$2:$BM$228,QUOTIENT(ROW()-1,19)+1,MOD(ROW()-2,19)+1),NA())</f>
        <v/>
      </c>
      <c r="DM1939" s="4" t="e">
        <f t="shared" si="111"/>
        <v>#N/A</v>
      </c>
      <c r="DN1939" t="e">
        <f t="shared" si="112"/>
        <v>#N/A</v>
      </c>
      <c r="DO1939" t="e">
        <f t="shared" si="113"/>
        <v>#N/A</v>
      </c>
    </row>
    <row r="1940" spans="7:119" x14ac:dyDescent="0.25">
      <c r="G1940"/>
      <c r="DI1940" s="4">
        <f>INDEX(Sheet2!A:A,QUOTIENT(ROW()-1,19)+2)</f>
        <v>41444</v>
      </c>
      <c r="DJ1940" s="4">
        <f>INDEX(Sheet2!C:C,QUOTIENT(ROW()-1,19)+2)</f>
        <v>42004</v>
      </c>
      <c r="DK1940" s="4">
        <f>INDEX(Sheet2!$AA$2:$AS$228,QUOTIENT(ROW()-1,19)+1,MOD(ROW()-2,19)+1)</f>
        <v>42004</v>
      </c>
      <c r="DL1940">
        <f>IFERROR(INDEX(Sheet2!$AU$2:$BM$228,QUOTIENT(ROW()-1,19)+1,MOD(ROW()-2,19)+1),NA())</f>
        <v>1.5</v>
      </c>
      <c r="DM1940" s="4" t="e">
        <f t="shared" si="111"/>
        <v>#N/A</v>
      </c>
      <c r="DN1940" t="e">
        <f t="shared" si="112"/>
        <v>#N/A</v>
      </c>
      <c r="DO1940" t="e">
        <f t="shared" si="113"/>
        <v>#N/A</v>
      </c>
    </row>
    <row r="1941" spans="7:119" x14ac:dyDescent="0.25">
      <c r="G1941"/>
      <c r="DI1941" s="4">
        <f>INDEX(Sheet2!A:A,QUOTIENT(ROW()-1,19)+2)</f>
        <v>41444</v>
      </c>
      <c r="DJ1941" s="4">
        <f>INDEX(Sheet2!C:C,QUOTIENT(ROW()-1,19)+2)</f>
        <v>42004</v>
      </c>
      <c r="DK1941" s="4" t="e">
        <f>INDEX(Sheet2!$AA$2:$AS$228,QUOTIENT(ROW()-1,19)+1,MOD(ROW()-2,19)+1)</f>
        <v>#N/A</v>
      </c>
      <c r="DL1941" t="str">
        <f>IFERROR(INDEX(Sheet2!$AU$2:$BM$228,QUOTIENT(ROW()-1,19)+1,MOD(ROW()-2,19)+1),NA())</f>
        <v/>
      </c>
      <c r="DM1941" s="4" t="e">
        <f t="shared" si="111"/>
        <v>#N/A</v>
      </c>
      <c r="DN1941" t="e">
        <f t="shared" si="112"/>
        <v>#N/A</v>
      </c>
      <c r="DO1941" t="e">
        <f t="shared" si="113"/>
        <v>#N/A</v>
      </c>
    </row>
    <row r="1942" spans="7:119" x14ac:dyDescent="0.25">
      <c r="G1942"/>
      <c r="DI1942" s="4">
        <f>INDEX(Sheet2!A:A,QUOTIENT(ROW()-1,19)+2)</f>
        <v>41444</v>
      </c>
      <c r="DJ1942" s="4">
        <f>INDEX(Sheet2!C:C,QUOTIENT(ROW()-1,19)+2)</f>
        <v>42004</v>
      </c>
      <c r="DK1942" s="4" t="e">
        <f>INDEX(Sheet2!$AA$2:$AS$228,QUOTIENT(ROW()-1,19)+1,MOD(ROW()-2,19)+1)</f>
        <v>#N/A</v>
      </c>
      <c r="DL1942" t="str">
        <f>IFERROR(INDEX(Sheet2!$AU$2:$BM$228,QUOTIENT(ROW()-1,19)+1,MOD(ROW()-2,19)+1),NA())</f>
        <v/>
      </c>
      <c r="DM1942" s="4" t="e">
        <f t="shared" si="111"/>
        <v>#N/A</v>
      </c>
      <c r="DN1942" t="e">
        <f t="shared" si="112"/>
        <v>#N/A</v>
      </c>
      <c r="DO1942" t="e">
        <f t="shared" si="113"/>
        <v>#N/A</v>
      </c>
    </row>
    <row r="1943" spans="7:119" x14ac:dyDescent="0.25">
      <c r="G1943"/>
      <c r="DI1943" s="4">
        <f>INDEX(Sheet2!A:A,QUOTIENT(ROW()-1,19)+2)</f>
        <v>41444</v>
      </c>
      <c r="DJ1943" s="4">
        <f>INDEX(Sheet2!C:C,QUOTIENT(ROW()-1,19)+2)</f>
        <v>42004</v>
      </c>
      <c r="DK1943" s="4" t="e">
        <f>INDEX(Sheet2!$AA$2:$AS$228,QUOTIENT(ROW()-1,19)+1,MOD(ROW()-2,19)+1)</f>
        <v>#N/A</v>
      </c>
      <c r="DL1943" t="str">
        <f>IFERROR(INDEX(Sheet2!$AU$2:$BM$228,QUOTIENT(ROW()-1,19)+1,MOD(ROW()-2,19)+1),NA())</f>
        <v/>
      </c>
      <c r="DM1943" s="4" t="e">
        <f t="shared" si="111"/>
        <v>#N/A</v>
      </c>
      <c r="DN1943" t="e">
        <f t="shared" si="112"/>
        <v>#N/A</v>
      </c>
      <c r="DO1943" t="e">
        <f t="shared" si="113"/>
        <v>#N/A</v>
      </c>
    </row>
    <row r="1944" spans="7:119" x14ac:dyDescent="0.25">
      <c r="G1944"/>
      <c r="DI1944" s="4">
        <f>INDEX(Sheet2!A:A,QUOTIENT(ROW()-1,19)+2)</f>
        <v>41444</v>
      </c>
      <c r="DJ1944" s="4">
        <f>INDEX(Sheet2!C:C,QUOTIENT(ROW()-1,19)+2)</f>
        <v>42004</v>
      </c>
      <c r="DK1944" s="4" t="e">
        <f>INDEX(Sheet2!$AA$2:$AS$228,QUOTIENT(ROW()-1,19)+1,MOD(ROW()-2,19)+1)</f>
        <v>#N/A</v>
      </c>
      <c r="DL1944" t="str">
        <f>IFERROR(INDEX(Sheet2!$AU$2:$BM$228,QUOTIENT(ROW()-1,19)+1,MOD(ROW()-2,19)+1),NA())</f>
        <v/>
      </c>
      <c r="DM1944" s="4" t="e">
        <f t="shared" si="111"/>
        <v>#N/A</v>
      </c>
      <c r="DN1944" t="e">
        <f t="shared" si="112"/>
        <v>#N/A</v>
      </c>
      <c r="DO1944" t="e">
        <f t="shared" si="113"/>
        <v>#N/A</v>
      </c>
    </row>
    <row r="1945" spans="7:119" x14ac:dyDescent="0.25">
      <c r="G1945"/>
      <c r="DI1945" s="4">
        <f>INDEX(Sheet2!A:A,QUOTIENT(ROW()-1,19)+2)</f>
        <v>41444</v>
      </c>
      <c r="DJ1945" s="4">
        <f>INDEX(Sheet2!C:C,QUOTIENT(ROW()-1,19)+2)</f>
        <v>42004</v>
      </c>
      <c r="DK1945" s="4" t="e">
        <f>INDEX(Sheet2!$AA$2:$AS$228,QUOTIENT(ROW()-1,19)+1,MOD(ROW()-2,19)+1)</f>
        <v>#N/A</v>
      </c>
      <c r="DL1945" t="str">
        <f>IFERROR(INDEX(Sheet2!$AU$2:$BM$228,QUOTIENT(ROW()-1,19)+1,MOD(ROW()-2,19)+1),NA())</f>
        <v/>
      </c>
      <c r="DM1945" s="4" t="e">
        <f t="shared" si="111"/>
        <v>#N/A</v>
      </c>
      <c r="DN1945" t="e">
        <f t="shared" si="112"/>
        <v>#N/A</v>
      </c>
      <c r="DO1945" t="e">
        <f t="shared" si="113"/>
        <v>#N/A</v>
      </c>
    </row>
    <row r="1946" spans="7:119" x14ac:dyDescent="0.25">
      <c r="G1946"/>
      <c r="DI1946" s="4">
        <f>INDEX(Sheet2!A:A,QUOTIENT(ROW()-1,19)+2)</f>
        <v>41444</v>
      </c>
      <c r="DJ1946" s="4">
        <f>INDEX(Sheet2!C:C,QUOTIENT(ROW()-1,19)+2)</f>
        <v>42004</v>
      </c>
      <c r="DK1946" s="4" t="e">
        <f>INDEX(Sheet2!$AA$2:$AS$228,QUOTIENT(ROW()-1,19)+1,MOD(ROW()-2,19)+1)</f>
        <v>#N/A</v>
      </c>
      <c r="DL1946" t="str">
        <f>IFERROR(INDEX(Sheet2!$AU$2:$BM$228,QUOTIENT(ROW()-1,19)+1,MOD(ROW()-2,19)+1),NA())</f>
        <v/>
      </c>
      <c r="DM1946" s="4" t="e">
        <f t="shared" si="111"/>
        <v>#N/A</v>
      </c>
      <c r="DN1946" t="e">
        <f t="shared" si="112"/>
        <v>#N/A</v>
      </c>
      <c r="DO1946" t="e">
        <f t="shared" si="113"/>
        <v>#N/A</v>
      </c>
    </row>
    <row r="1947" spans="7:119" x14ac:dyDescent="0.25">
      <c r="G1947"/>
      <c r="DI1947" s="4">
        <f>INDEX(Sheet2!A:A,QUOTIENT(ROW()-1,19)+2)</f>
        <v>41444</v>
      </c>
      <c r="DJ1947" s="4">
        <f>INDEX(Sheet2!C:C,QUOTIENT(ROW()-1,19)+2)</f>
        <v>42004</v>
      </c>
      <c r="DK1947" s="4" t="e">
        <f>INDEX(Sheet2!$AA$2:$AS$228,QUOTIENT(ROW()-1,19)+1,MOD(ROW()-2,19)+1)</f>
        <v>#N/A</v>
      </c>
      <c r="DL1947" t="str">
        <f>IFERROR(INDEX(Sheet2!$AU$2:$BM$228,QUOTIENT(ROW()-1,19)+1,MOD(ROW()-2,19)+1),NA())</f>
        <v/>
      </c>
      <c r="DM1947" s="4" t="e">
        <f t="shared" si="111"/>
        <v>#N/A</v>
      </c>
      <c r="DN1947" t="e">
        <f t="shared" si="112"/>
        <v>#N/A</v>
      </c>
      <c r="DO1947" t="e">
        <f t="shared" si="113"/>
        <v>#N/A</v>
      </c>
    </row>
    <row r="1948" spans="7:119" x14ac:dyDescent="0.25">
      <c r="G1948"/>
      <c r="DI1948" s="4">
        <f>INDEX(Sheet2!A:A,QUOTIENT(ROW()-1,19)+2)</f>
        <v>41444</v>
      </c>
      <c r="DJ1948" s="4">
        <f>INDEX(Sheet2!C:C,QUOTIENT(ROW()-1,19)+2)</f>
        <v>42004</v>
      </c>
      <c r="DK1948" s="4" t="e">
        <f>INDEX(Sheet2!$AA$2:$AS$228,QUOTIENT(ROW()-1,19)+1,MOD(ROW()-2,19)+1)</f>
        <v>#N/A</v>
      </c>
      <c r="DL1948" t="str">
        <f>IFERROR(INDEX(Sheet2!$AU$2:$BM$228,QUOTIENT(ROW()-1,19)+1,MOD(ROW()-2,19)+1),NA())</f>
        <v/>
      </c>
      <c r="DM1948" s="4" t="e">
        <f t="shared" si="111"/>
        <v>#N/A</v>
      </c>
      <c r="DN1948" t="e">
        <f t="shared" si="112"/>
        <v>#N/A</v>
      </c>
      <c r="DO1948" t="e">
        <f t="shared" si="113"/>
        <v>#N/A</v>
      </c>
    </row>
    <row r="1949" spans="7:119" x14ac:dyDescent="0.25">
      <c r="G1949"/>
      <c r="DI1949" s="4">
        <f>INDEX(Sheet2!A:A,QUOTIENT(ROW()-1,19)+2)</f>
        <v>41444</v>
      </c>
      <c r="DJ1949" s="4">
        <f>INDEX(Sheet2!C:C,QUOTIENT(ROW()-1,19)+2)</f>
        <v>42004</v>
      </c>
      <c r="DK1949" s="4" t="e">
        <f>INDEX(Sheet2!$AA$2:$AS$228,QUOTIENT(ROW()-1,19)+1,MOD(ROW()-2,19)+1)</f>
        <v>#N/A</v>
      </c>
      <c r="DL1949" t="str">
        <f>IFERROR(INDEX(Sheet2!$AU$2:$BM$228,QUOTIENT(ROW()-1,19)+1,MOD(ROW()-2,19)+1),NA())</f>
        <v/>
      </c>
      <c r="DM1949" s="4" t="e">
        <f t="shared" si="111"/>
        <v>#N/A</v>
      </c>
      <c r="DN1949" t="e">
        <f t="shared" si="112"/>
        <v>#N/A</v>
      </c>
      <c r="DO1949" t="e">
        <f t="shared" si="113"/>
        <v>#N/A</v>
      </c>
    </row>
    <row r="1950" spans="7:119" x14ac:dyDescent="0.25">
      <c r="G1950"/>
      <c r="DI1950" s="4">
        <f>INDEX(Sheet2!A:A,QUOTIENT(ROW()-1,19)+2)</f>
        <v>41444</v>
      </c>
      <c r="DJ1950" s="4">
        <f>INDEX(Sheet2!C:C,QUOTIENT(ROW()-1,19)+2)</f>
        <v>42004</v>
      </c>
      <c r="DK1950" s="4" t="e">
        <f>INDEX(Sheet2!$AA$2:$AS$228,QUOTIENT(ROW()-1,19)+1,MOD(ROW()-2,19)+1)</f>
        <v>#N/A</v>
      </c>
      <c r="DL1950" t="str">
        <f>IFERROR(INDEX(Sheet2!$AU$2:$BM$228,QUOTIENT(ROW()-1,19)+1,MOD(ROW()-2,19)+1),NA())</f>
        <v/>
      </c>
      <c r="DM1950" s="4" t="e">
        <f t="shared" si="111"/>
        <v>#N/A</v>
      </c>
      <c r="DN1950" t="e">
        <f t="shared" si="112"/>
        <v>#N/A</v>
      </c>
      <c r="DO1950" t="e">
        <f t="shared" si="113"/>
        <v>#N/A</v>
      </c>
    </row>
    <row r="1951" spans="7:119" x14ac:dyDescent="0.25">
      <c r="G1951"/>
      <c r="DI1951" s="4">
        <f>INDEX(Sheet2!A:A,QUOTIENT(ROW()-1,19)+2)</f>
        <v>41444</v>
      </c>
      <c r="DJ1951" s="4">
        <f>INDEX(Sheet2!C:C,QUOTIENT(ROW()-1,19)+2)</f>
        <v>42004</v>
      </c>
      <c r="DK1951" s="4" t="e">
        <f>INDEX(Sheet2!$AA$2:$AS$228,QUOTIENT(ROW()-1,19)+1,MOD(ROW()-2,19)+1)</f>
        <v>#N/A</v>
      </c>
      <c r="DL1951" t="str">
        <f>IFERROR(INDEX(Sheet2!$AU$2:$BM$228,QUOTIENT(ROW()-1,19)+1,MOD(ROW()-2,19)+1),NA())</f>
        <v/>
      </c>
      <c r="DM1951" s="4" t="e">
        <f t="shared" si="111"/>
        <v>#N/A</v>
      </c>
      <c r="DN1951" t="e">
        <f t="shared" si="112"/>
        <v>#N/A</v>
      </c>
      <c r="DO1951" t="e">
        <f t="shared" si="113"/>
        <v>#N/A</v>
      </c>
    </row>
    <row r="1952" spans="7:119" x14ac:dyDescent="0.25">
      <c r="G1952"/>
      <c r="DI1952" s="4">
        <f>INDEX(Sheet2!A:A,QUOTIENT(ROW()-1,19)+2)</f>
        <v>41444</v>
      </c>
      <c r="DJ1952" s="4">
        <f>INDEX(Sheet2!C:C,QUOTIENT(ROW()-1,19)+2)</f>
        <v>42004</v>
      </c>
      <c r="DK1952" s="4" t="e">
        <f>INDEX(Sheet2!$AA$2:$AS$228,QUOTIENT(ROW()-1,19)+1,MOD(ROW()-2,19)+1)</f>
        <v>#N/A</v>
      </c>
      <c r="DL1952" t="str">
        <f>IFERROR(INDEX(Sheet2!$AU$2:$BM$228,QUOTIENT(ROW()-1,19)+1,MOD(ROW()-2,19)+1),NA())</f>
        <v/>
      </c>
      <c r="DM1952" s="4" t="e">
        <f t="shared" si="111"/>
        <v>#N/A</v>
      </c>
      <c r="DN1952" t="e">
        <f t="shared" si="112"/>
        <v>#N/A</v>
      </c>
      <c r="DO1952" t="e">
        <f t="shared" si="113"/>
        <v>#N/A</v>
      </c>
    </row>
    <row r="1953" spans="7:119" x14ac:dyDescent="0.25">
      <c r="G1953"/>
      <c r="DI1953" s="4">
        <f>INDEX(Sheet2!A:A,QUOTIENT(ROW()-1,19)+2)</f>
        <v>41444</v>
      </c>
      <c r="DJ1953" s="4">
        <f>INDEX(Sheet2!C:C,QUOTIENT(ROW()-1,19)+2)</f>
        <v>42004</v>
      </c>
      <c r="DK1953" s="4" t="e">
        <f>INDEX(Sheet2!$AA$2:$AS$228,QUOTIENT(ROW()-1,19)+1,MOD(ROW()-2,19)+1)</f>
        <v>#N/A</v>
      </c>
      <c r="DL1953" t="str">
        <f>IFERROR(INDEX(Sheet2!$AU$2:$BM$228,QUOTIENT(ROW()-1,19)+1,MOD(ROW()-2,19)+1),NA())</f>
        <v/>
      </c>
      <c r="DM1953" s="4" t="e">
        <f t="shared" si="111"/>
        <v>#N/A</v>
      </c>
      <c r="DN1953" t="e">
        <f t="shared" si="112"/>
        <v>#N/A</v>
      </c>
      <c r="DO1953" t="e">
        <f t="shared" si="113"/>
        <v>#N/A</v>
      </c>
    </row>
    <row r="1954" spans="7:119" x14ac:dyDescent="0.25">
      <c r="G1954"/>
      <c r="DI1954" s="4">
        <f>INDEX(Sheet2!A:A,QUOTIENT(ROW()-1,19)+2)</f>
        <v>41444</v>
      </c>
      <c r="DJ1954" s="4">
        <f>INDEX(Sheet2!C:C,QUOTIENT(ROW()-1,19)+2)</f>
        <v>42004</v>
      </c>
      <c r="DK1954" s="4" t="e">
        <f>INDEX(Sheet2!$AA$2:$AS$228,QUOTIENT(ROW()-1,19)+1,MOD(ROW()-2,19)+1)</f>
        <v>#N/A</v>
      </c>
      <c r="DL1954" t="str">
        <f>IFERROR(INDEX(Sheet2!$AU$2:$BM$228,QUOTIENT(ROW()-1,19)+1,MOD(ROW()-2,19)+1),NA())</f>
        <v/>
      </c>
      <c r="DM1954" s="4" t="e">
        <f t="shared" si="111"/>
        <v>#N/A</v>
      </c>
      <c r="DN1954" t="e">
        <f t="shared" si="112"/>
        <v>#N/A</v>
      </c>
      <c r="DO1954" t="e">
        <f t="shared" si="113"/>
        <v>#N/A</v>
      </c>
    </row>
    <row r="1955" spans="7:119" x14ac:dyDescent="0.25">
      <c r="G1955"/>
      <c r="DI1955" s="4">
        <f>INDEX(Sheet2!A:A,QUOTIENT(ROW()-1,19)+2)</f>
        <v>41444</v>
      </c>
      <c r="DJ1955" s="4">
        <f>INDEX(Sheet2!C:C,QUOTIENT(ROW()-1,19)+2)</f>
        <v>42004</v>
      </c>
      <c r="DK1955" s="4" t="e">
        <f>INDEX(Sheet2!$AA$2:$AS$228,QUOTIENT(ROW()-1,19)+1,MOD(ROW()-2,19)+1)</f>
        <v>#N/A</v>
      </c>
      <c r="DL1955" t="str">
        <f>IFERROR(INDEX(Sheet2!$AU$2:$BM$228,QUOTIENT(ROW()-1,19)+1,MOD(ROW()-2,19)+1),NA())</f>
        <v/>
      </c>
      <c r="DM1955" s="4" t="e">
        <f t="shared" si="111"/>
        <v>#N/A</v>
      </c>
      <c r="DN1955" t="e">
        <f t="shared" si="112"/>
        <v>#N/A</v>
      </c>
      <c r="DO1955" t="e">
        <f t="shared" si="113"/>
        <v>#N/A</v>
      </c>
    </row>
    <row r="1956" spans="7:119" x14ac:dyDescent="0.25">
      <c r="G1956"/>
      <c r="DI1956" s="4">
        <f>INDEX(Sheet2!A:A,QUOTIENT(ROW()-1,19)+2)</f>
        <v>41444</v>
      </c>
      <c r="DJ1956" s="4">
        <f>INDEX(Sheet2!C:C,QUOTIENT(ROW()-1,19)+2)</f>
        <v>42004</v>
      </c>
      <c r="DK1956" s="4" t="e">
        <f>INDEX(Sheet2!$AA$2:$AS$228,QUOTIENT(ROW()-1,19)+1,MOD(ROW()-2,19)+1)</f>
        <v>#N/A</v>
      </c>
      <c r="DL1956" t="str">
        <f>IFERROR(INDEX(Sheet2!$AU$2:$BM$228,QUOTIENT(ROW()-1,19)+1,MOD(ROW()-2,19)+1),NA())</f>
        <v/>
      </c>
      <c r="DM1956" s="4" t="e">
        <f t="shared" si="111"/>
        <v>#N/A</v>
      </c>
      <c r="DN1956" t="e">
        <f t="shared" si="112"/>
        <v>#N/A</v>
      </c>
      <c r="DO1956" t="e">
        <f t="shared" si="113"/>
        <v>#N/A</v>
      </c>
    </row>
    <row r="1957" spans="7:119" x14ac:dyDescent="0.25">
      <c r="G1957"/>
      <c r="DI1957" s="4">
        <f>INDEX(Sheet2!A:A,QUOTIENT(ROW()-1,19)+2)</f>
        <v>41444</v>
      </c>
      <c r="DJ1957" s="4">
        <f>INDEX(Sheet2!C:C,QUOTIENT(ROW()-1,19)+2)</f>
        <v>42004</v>
      </c>
      <c r="DK1957" s="4" t="e">
        <f>INDEX(Sheet2!$AA$2:$AS$228,QUOTIENT(ROW()-1,19)+1,MOD(ROW()-2,19)+1)</f>
        <v>#N/A</v>
      </c>
      <c r="DL1957" t="str">
        <f>IFERROR(INDEX(Sheet2!$AU$2:$BM$228,QUOTIENT(ROW()-1,19)+1,MOD(ROW()-2,19)+1),NA())</f>
        <v/>
      </c>
      <c r="DM1957" s="4" t="e">
        <f t="shared" si="111"/>
        <v>#N/A</v>
      </c>
      <c r="DN1957" t="e">
        <f t="shared" si="112"/>
        <v>#N/A</v>
      </c>
      <c r="DO1957" t="e">
        <f t="shared" si="113"/>
        <v>#N/A</v>
      </c>
    </row>
    <row r="1958" spans="7:119" x14ac:dyDescent="0.25">
      <c r="G1958"/>
      <c r="DI1958" s="4">
        <f>INDEX(Sheet2!A:A,QUOTIENT(ROW()-1,19)+2)</f>
        <v>41444</v>
      </c>
      <c r="DJ1958" s="4">
        <f>INDEX(Sheet2!C:C,QUOTIENT(ROW()-1,19)+2)</f>
        <v>42369</v>
      </c>
      <c r="DK1958" s="4" t="e">
        <f>INDEX(Sheet2!$AA$2:$AS$228,QUOTIENT(ROW()-1,19)+1,MOD(ROW()-2,19)+1)</f>
        <v>#N/A</v>
      </c>
      <c r="DL1958" t="str">
        <f>IFERROR(INDEX(Sheet2!$AU$2:$BM$228,QUOTIENT(ROW()-1,19)+1,MOD(ROW()-2,19)+1),NA())</f>
        <v/>
      </c>
      <c r="DM1958" s="4" t="e">
        <f t="shared" si="111"/>
        <v>#N/A</v>
      </c>
      <c r="DN1958" t="e">
        <f t="shared" si="112"/>
        <v>#N/A</v>
      </c>
      <c r="DO1958" t="e">
        <f t="shared" si="113"/>
        <v>#N/A</v>
      </c>
    </row>
    <row r="1959" spans="7:119" x14ac:dyDescent="0.25">
      <c r="G1959"/>
      <c r="DI1959" s="4">
        <f>INDEX(Sheet2!A:A,QUOTIENT(ROW()-1,19)+2)</f>
        <v>41444</v>
      </c>
      <c r="DJ1959" s="4">
        <f>INDEX(Sheet2!C:C,QUOTIENT(ROW()-1,19)+2)</f>
        <v>42369</v>
      </c>
      <c r="DK1959" s="4">
        <f>INDEX(Sheet2!$AA$2:$AS$228,QUOTIENT(ROW()-1,19)+1,MOD(ROW()-2,19)+1)</f>
        <v>42369</v>
      </c>
      <c r="DL1959">
        <f>IFERROR(INDEX(Sheet2!$AU$2:$BM$228,QUOTIENT(ROW()-1,19)+1,MOD(ROW()-2,19)+1),NA())</f>
        <v>0.25</v>
      </c>
      <c r="DM1959" s="4" t="e">
        <f t="shared" si="111"/>
        <v>#N/A</v>
      </c>
      <c r="DN1959" t="e">
        <f t="shared" si="112"/>
        <v>#N/A</v>
      </c>
      <c r="DO1959" t="e">
        <f t="shared" si="113"/>
        <v>#N/A</v>
      </c>
    </row>
    <row r="1960" spans="7:119" x14ac:dyDescent="0.25">
      <c r="G1960"/>
      <c r="DI1960" s="4">
        <f>INDEX(Sheet2!A:A,QUOTIENT(ROW()-1,19)+2)</f>
        <v>41444</v>
      </c>
      <c r="DJ1960" s="4">
        <f>INDEX(Sheet2!C:C,QUOTIENT(ROW()-1,19)+2)</f>
        <v>42369</v>
      </c>
      <c r="DK1960" s="4" t="e">
        <f>INDEX(Sheet2!$AA$2:$AS$228,QUOTIENT(ROW()-1,19)+1,MOD(ROW()-2,19)+1)</f>
        <v>#N/A</v>
      </c>
      <c r="DL1960" t="str">
        <f>IFERROR(INDEX(Sheet2!$AU$2:$BM$228,QUOTIENT(ROW()-1,19)+1,MOD(ROW()-2,19)+1),NA())</f>
        <v/>
      </c>
      <c r="DM1960" s="4" t="e">
        <f t="shared" si="111"/>
        <v>#N/A</v>
      </c>
      <c r="DN1960" t="e">
        <f t="shared" si="112"/>
        <v>#N/A</v>
      </c>
      <c r="DO1960" t="e">
        <f t="shared" si="113"/>
        <v>#N/A</v>
      </c>
    </row>
    <row r="1961" spans="7:119" x14ac:dyDescent="0.25">
      <c r="G1961"/>
      <c r="DI1961" s="4">
        <f>INDEX(Sheet2!A:A,QUOTIENT(ROW()-1,19)+2)</f>
        <v>41444</v>
      </c>
      <c r="DJ1961" s="4">
        <f>INDEX(Sheet2!C:C,QUOTIENT(ROW()-1,19)+2)</f>
        <v>42369</v>
      </c>
      <c r="DK1961" s="4" t="e">
        <f>INDEX(Sheet2!$AA$2:$AS$228,QUOTIENT(ROW()-1,19)+1,MOD(ROW()-2,19)+1)</f>
        <v>#N/A</v>
      </c>
      <c r="DL1961" t="str">
        <f>IFERROR(INDEX(Sheet2!$AU$2:$BM$228,QUOTIENT(ROW()-1,19)+1,MOD(ROW()-2,19)+1),NA())</f>
        <v/>
      </c>
      <c r="DM1961" s="4" t="e">
        <f t="shared" si="111"/>
        <v>#N/A</v>
      </c>
      <c r="DN1961" t="e">
        <f t="shared" si="112"/>
        <v>#N/A</v>
      </c>
      <c r="DO1961" t="e">
        <f t="shared" si="113"/>
        <v>#N/A</v>
      </c>
    </row>
    <row r="1962" spans="7:119" x14ac:dyDescent="0.25">
      <c r="G1962"/>
      <c r="DI1962" s="4">
        <f>INDEX(Sheet2!A:A,QUOTIENT(ROW()-1,19)+2)</f>
        <v>41444</v>
      </c>
      <c r="DJ1962" s="4">
        <f>INDEX(Sheet2!C:C,QUOTIENT(ROW()-1,19)+2)</f>
        <v>42369</v>
      </c>
      <c r="DK1962" s="4" t="e">
        <f>INDEX(Sheet2!$AA$2:$AS$228,QUOTIENT(ROW()-1,19)+1,MOD(ROW()-2,19)+1)</f>
        <v>#N/A</v>
      </c>
      <c r="DL1962" t="str">
        <f>IFERROR(INDEX(Sheet2!$AU$2:$BM$228,QUOTIENT(ROW()-1,19)+1,MOD(ROW()-2,19)+1),NA())</f>
        <v/>
      </c>
      <c r="DM1962" s="4" t="e">
        <f t="shared" si="111"/>
        <v>#N/A</v>
      </c>
      <c r="DN1962" t="e">
        <f t="shared" si="112"/>
        <v>#N/A</v>
      </c>
      <c r="DO1962" t="e">
        <f t="shared" si="113"/>
        <v>#N/A</v>
      </c>
    </row>
    <row r="1963" spans="7:119" x14ac:dyDescent="0.25">
      <c r="G1963"/>
      <c r="DI1963" s="4">
        <f>INDEX(Sheet2!A:A,QUOTIENT(ROW()-1,19)+2)</f>
        <v>41444</v>
      </c>
      <c r="DJ1963" s="4">
        <f>INDEX(Sheet2!C:C,QUOTIENT(ROW()-1,19)+2)</f>
        <v>42369</v>
      </c>
      <c r="DK1963" s="4" t="e">
        <f>INDEX(Sheet2!$AA$2:$AS$228,QUOTIENT(ROW()-1,19)+1,MOD(ROW()-2,19)+1)</f>
        <v>#N/A</v>
      </c>
      <c r="DL1963" t="str">
        <f>IFERROR(INDEX(Sheet2!$AU$2:$BM$228,QUOTIENT(ROW()-1,19)+1,MOD(ROW()-2,19)+1),NA())</f>
        <v/>
      </c>
      <c r="DM1963" s="4" t="e">
        <f t="shared" si="111"/>
        <v>#N/A</v>
      </c>
      <c r="DN1963" t="e">
        <f t="shared" si="112"/>
        <v>#N/A</v>
      </c>
      <c r="DO1963" t="e">
        <f t="shared" si="113"/>
        <v>#N/A</v>
      </c>
    </row>
    <row r="1964" spans="7:119" x14ac:dyDescent="0.25">
      <c r="G1964"/>
      <c r="DI1964" s="4">
        <f>INDEX(Sheet2!A:A,QUOTIENT(ROW()-1,19)+2)</f>
        <v>41444</v>
      </c>
      <c r="DJ1964" s="4">
        <f>INDEX(Sheet2!C:C,QUOTIENT(ROW()-1,19)+2)</f>
        <v>42369</v>
      </c>
      <c r="DK1964" s="4" t="e">
        <f>INDEX(Sheet2!$AA$2:$AS$228,QUOTIENT(ROW()-1,19)+1,MOD(ROW()-2,19)+1)</f>
        <v>#N/A</v>
      </c>
      <c r="DL1964" t="str">
        <f>IFERROR(INDEX(Sheet2!$AU$2:$BM$228,QUOTIENT(ROW()-1,19)+1,MOD(ROW()-2,19)+1),NA())</f>
        <v/>
      </c>
      <c r="DM1964" s="4" t="e">
        <f t="shared" si="111"/>
        <v>#N/A</v>
      </c>
      <c r="DN1964" t="e">
        <f t="shared" si="112"/>
        <v>#N/A</v>
      </c>
      <c r="DO1964" t="e">
        <f t="shared" si="113"/>
        <v>#N/A</v>
      </c>
    </row>
    <row r="1965" spans="7:119" x14ac:dyDescent="0.25">
      <c r="G1965"/>
      <c r="DI1965" s="4">
        <f>INDEX(Sheet2!A:A,QUOTIENT(ROW()-1,19)+2)</f>
        <v>41444</v>
      </c>
      <c r="DJ1965" s="4">
        <f>INDEX(Sheet2!C:C,QUOTIENT(ROW()-1,19)+2)</f>
        <v>42369</v>
      </c>
      <c r="DK1965" s="4" t="e">
        <f>INDEX(Sheet2!$AA$2:$AS$228,QUOTIENT(ROW()-1,19)+1,MOD(ROW()-2,19)+1)</f>
        <v>#N/A</v>
      </c>
      <c r="DL1965" t="str">
        <f>IFERROR(INDEX(Sheet2!$AU$2:$BM$228,QUOTIENT(ROW()-1,19)+1,MOD(ROW()-2,19)+1),NA())</f>
        <v/>
      </c>
      <c r="DM1965" s="4" t="e">
        <f t="shared" si="111"/>
        <v>#N/A</v>
      </c>
      <c r="DN1965" t="e">
        <f t="shared" si="112"/>
        <v>#N/A</v>
      </c>
      <c r="DO1965" t="e">
        <f t="shared" si="113"/>
        <v>#N/A</v>
      </c>
    </row>
    <row r="1966" spans="7:119" x14ac:dyDescent="0.25">
      <c r="G1966"/>
      <c r="DI1966" s="4">
        <f>INDEX(Sheet2!A:A,QUOTIENT(ROW()-1,19)+2)</f>
        <v>41444</v>
      </c>
      <c r="DJ1966" s="4">
        <f>INDEX(Sheet2!C:C,QUOTIENT(ROW()-1,19)+2)</f>
        <v>42369</v>
      </c>
      <c r="DK1966" s="4" t="e">
        <f>INDEX(Sheet2!$AA$2:$AS$228,QUOTIENT(ROW()-1,19)+1,MOD(ROW()-2,19)+1)</f>
        <v>#N/A</v>
      </c>
      <c r="DL1966" t="str">
        <f>IFERROR(INDEX(Sheet2!$AU$2:$BM$228,QUOTIENT(ROW()-1,19)+1,MOD(ROW()-2,19)+1),NA())</f>
        <v/>
      </c>
      <c r="DM1966" s="4" t="e">
        <f t="shared" si="111"/>
        <v>#N/A</v>
      </c>
      <c r="DN1966" t="e">
        <f t="shared" si="112"/>
        <v>#N/A</v>
      </c>
      <c r="DO1966" t="e">
        <f t="shared" si="113"/>
        <v>#N/A</v>
      </c>
    </row>
    <row r="1967" spans="7:119" x14ac:dyDescent="0.25">
      <c r="G1967"/>
      <c r="DI1967" s="4">
        <f>INDEX(Sheet2!A:A,QUOTIENT(ROW()-1,19)+2)</f>
        <v>41444</v>
      </c>
      <c r="DJ1967" s="4">
        <f>INDEX(Sheet2!C:C,QUOTIENT(ROW()-1,19)+2)</f>
        <v>42369</v>
      </c>
      <c r="DK1967" s="4" t="e">
        <f>INDEX(Sheet2!$AA$2:$AS$228,QUOTIENT(ROW()-1,19)+1,MOD(ROW()-2,19)+1)</f>
        <v>#N/A</v>
      </c>
      <c r="DL1967" t="str">
        <f>IFERROR(INDEX(Sheet2!$AU$2:$BM$228,QUOTIENT(ROW()-1,19)+1,MOD(ROW()-2,19)+1),NA())</f>
        <v/>
      </c>
      <c r="DM1967" s="4" t="e">
        <f t="shared" si="111"/>
        <v>#N/A</v>
      </c>
      <c r="DN1967" t="e">
        <f t="shared" si="112"/>
        <v>#N/A</v>
      </c>
      <c r="DO1967" t="e">
        <f t="shared" si="113"/>
        <v>#N/A</v>
      </c>
    </row>
    <row r="1968" spans="7:119" x14ac:dyDescent="0.25">
      <c r="G1968"/>
      <c r="DI1968" s="4">
        <f>INDEX(Sheet2!A:A,QUOTIENT(ROW()-1,19)+2)</f>
        <v>41444</v>
      </c>
      <c r="DJ1968" s="4">
        <f>INDEX(Sheet2!C:C,QUOTIENT(ROW()-1,19)+2)</f>
        <v>42369</v>
      </c>
      <c r="DK1968" s="4" t="e">
        <f>INDEX(Sheet2!$AA$2:$AS$228,QUOTIENT(ROW()-1,19)+1,MOD(ROW()-2,19)+1)</f>
        <v>#N/A</v>
      </c>
      <c r="DL1968" t="str">
        <f>IFERROR(INDEX(Sheet2!$AU$2:$BM$228,QUOTIENT(ROW()-1,19)+1,MOD(ROW()-2,19)+1),NA())</f>
        <v/>
      </c>
      <c r="DM1968" s="4" t="e">
        <f t="shared" si="111"/>
        <v>#N/A</v>
      </c>
      <c r="DN1968" t="e">
        <f t="shared" si="112"/>
        <v>#N/A</v>
      </c>
      <c r="DO1968" t="e">
        <f t="shared" si="113"/>
        <v>#N/A</v>
      </c>
    </row>
    <row r="1969" spans="7:119" x14ac:dyDescent="0.25">
      <c r="G1969"/>
      <c r="DI1969" s="4">
        <f>INDEX(Sheet2!A:A,QUOTIENT(ROW()-1,19)+2)</f>
        <v>41444</v>
      </c>
      <c r="DJ1969" s="4">
        <f>INDEX(Sheet2!C:C,QUOTIENT(ROW()-1,19)+2)</f>
        <v>42369</v>
      </c>
      <c r="DK1969" s="4" t="e">
        <f>INDEX(Sheet2!$AA$2:$AS$228,QUOTIENT(ROW()-1,19)+1,MOD(ROW()-2,19)+1)</f>
        <v>#N/A</v>
      </c>
      <c r="DL1969" t="str">
        <f>IFERROR(INDEX(Sheet2!$AU$2:$BM$228,QUOTIENT(ROW()-1,19)+1,MOD(ROW()-2,19)+1),NA())</f>
        <v/>
      </c>
      <c r="DM1969" s="4" t="e">
        <f t="shared" si="111"/>
        <v>#N/A</v>
      </c>
      <c r="DN1969" t="e">
        <f t="shared" si="112"/>
        <v>#N/A</v>
      </c>
      <c r="DO1969" t="e">
        <f t="shared" si="113"/>
        <v>#N/A</v>
      </c>
    </row>
    <row r="1970" spans="7:119" x14ac:dyDescent="0.25">
      <c r="G1970"/>
      <c r="DI1970" s="4">
        <f>INDEX(Sheet2!A:A,QUOTIENT(ROW()-1,19)+2)</f>
        <v>41444</v>
      </c>
      <c r="DJ1970" s="4">
        <f>INDEX(Sheet2!C:C,QUOTIENT(ROW()-1,19)+2)</f>
        <v>42369</v>
      </c>
      <c r="DK1970" s="4" t="e">
        <f>INDEX(Sheet2!$AA$2:$AS$228,QUOTIENT(ROW()-1,19)+1,MOD(ROW()-2,19)+1)</f>
        <v>#N/A</v>
      </c>
      <c r="DL1970" t="str">
        <f>IFERROR(INDEX(Sheet2!$AU$2:$BM$228,QUOTIENT(ROW()-1,19)+1,MOD(ROW()-2,19)+1),NA())</f>
        <v/>
      </c>
      <c r="DM1970" s="4" t="e">
        <f t="shared" si="111"/>
        <v>#N/A</v>
      </c>
      <c r="DN1970" t="e">
        <f t="shared" si="112"/>
        <v>#N/A</v>
      </c>
      <c r="DO1970" t="e">
        <f t="shared" si="113"/>
        <v>#N/A</v>
      </c>
    </row>
    <row r="1971" spans="7:119" x14ac:dyDescent="0.25">
      <c r="G1971"/>
      <c r="DI1971" s="4">
        <f>INDEX(Sheet2!A:A,QUOTIENT(ROW()-1,19)+2)</f>
        <v>41444</v>
      </c>
      <c r="DJ1971" s="4">
        <f>INDEX(Sheet2!C:C,QUOTIENT(ROW()-1,19)+2)</f>
        <v>42369</v>
      </c>
      <c r="DK1971" s="4" t="e">
        <f>INDEX(Sheet2!$AA$2:$AS$228,QUOTIENT(ROW()-1,19)+1,MOD(ROW()-2,19)+1)</f>
        <v>#N/A</v>
      </c>
      <c r="DL1971" t="str">
        <f>IFERROR(INDEX(Sheet2!$AU$2:$BM$228,QUOTIENT(ROW()-1,19)+1,MOD(ROW()-2,19)+1),NA())</f>
        <v/>
      </c>
      <c r="DM1971" s="4" t="e">
        <f t="shared" si="111"/>
        <v>#N/A</v>
      </c>
      <c r="DN1971" t="e">
        <f t="shared" si="112"/>
        <v>#N/A</v>
      </c>
      <c r="DO1971" t="e">
        <f t="shared" si="113"/>
        <v>#N/A</v>
      </c>
    </row>
    <row r="1972" spans="7:119" x14ac:dyDescent="0.25">
      <c r="G1972"/>
      <c r="DI1972" s="4">
        <f>INDEX(Sheet2!A:A,QUOTIENT(ROW()-1,19)+2)</f>
        <v>41444</v>
      </c>
      <c r="DJ1972" s="4">
        <f>INDEX(Sheet2!C:C,QUOTIENT(ROW()-1,19)+2)</f>
        <v>42369</v>
      </c>
      <c r="DK1972" s="4" t="e">
        <f>INDEX(Sheet2!$AA$2:$AS$228,QUOTIENT(ROW()-1,19)+1,MOD(ROW()-2,19)+1)</f>
        <v>#N/A</v>
      </c>
      <c r="DL1972" t="str">
        <f>IFERROR(INDEX(Sheet2!$AU$2:$BM$228,QUOTIENT(ROW()-1,19)+1,MOD(ROW()-2,19)+1),NA())</f>
        <v/>
      </c>
      <c r="DM1972" s="4" t="e">
        <f t="shared" si="111"/>
        <v>#N/A</v>
      </c>
      <c r="DN1972" t="e">
        <f t="shared" si="112"/>
        <v>#N/A</v>
      </c>
      <c r="DO1972" t="e">
        <f t="shared" si="113"/>
        <v>#N/A</v>
      </c>
    </row>
    <row r="1973" spans="7:119" x14ac:dyDescent="0.25">
      <c r="G1973"/>
      <c r="DI1973" s="4">
        <f>INDEX(Sheet2!A:A,QUOTIENT(ROW()-1,19)+2)</f>
        <v>41444</v>
      </c>
      <c r="DJ1973" s="4">
        <f>INDEX(Sheet2!C:C,QUOTIENT(ROW()-1,19)+2)</f>
        <v>42369</v>
      </c>
      <c r="DK1973" s="4" t="e">
        <f>INDEX(Sheet2!$AA$2:$AS$228,QUOTIENT(ROW()-1,19)+1,MOD(ROW()-2,19)+1)</f>
        <v>#N/A</v>
      </c>
      <c r="DL1973" t="str">
        <f>IFERROR(INDEX(Sheet2!$AU$2:$BM$228,QUOTIENT(ROW()-1,19)+1,MOD(ROW()-2,19)+1),NA())</f>
        <v/>
      </c>
      <c r="DM1973" s="4" t="e">
        <f t="shared" si="111"/>
        <v>#N/A</v>
      </c>
      <c r="DN1973" t="e">
        <f t="shared" si="112"/>
        <v>#N/A</v>
      </c>
      <c r="DO1973" t="e">
        <f t="shared" si="113"/>
        <v>#N/A</v>
      </c>
    </row>
    <row r="1974" spans="7:119" x14ac:dyDescent="0.25">
      <c r="G1974"/>
      <c r="DI1974" s="4">
        <f>INDEX(Sheet2!A:A,QUOTIENT(ROW()-1,19)+2)</f>
        <v>41444</v>
      </c>
      <c r="DJ1974" s="4">
        <f>INDEX(Sheet2!C:C,QUOTIENT(ROW()-1,19)+2)</f>
        <v>42369</v>
      </c>
      <c r="DK1974" s="4" t="e">
        <f>INDEX(Sheet2!$AA$2:$AS$228,QUOTIENT(ROW()-1,19)+1,MOD(ROW()-2,19)+1)</f>
        <v>#N/A</v>
      </c>
      <c r="DL1974" t="str">
        <f>IFERROR(INDEX(Sheet2!$AU$2:$BM$228,QUOTIENT(ROW()-1,19)+1,MOD(ROW()-2,19)+1),NA())</f>
        <v/>
      </c>
      <c r="DM1974" s="4" t="e">
        <f t="shared" si="111"/>
        <v>#N/A</v>
      </c>
      <c r="DN1974" t="e">
        <f t="shared" si="112"/>
        <v>#N/A</v>
      </c>
      <c r="DO1974" t="e">
        <f t="shared" si="113"/>
        <v>#N/A</v>
      </c>
    </row>
    <row r="1975" spans="7:119" x14ac:dyDescent="0.25">
      <c r="G1975"/>
      <c r="DI1975" s="4">
        <f>INDEX(Sheet2!A:A,QUOTIENT(ROW()-1,19)+2)</f>
        <v>41444</v>
      </c>
      <c r="DJ1975" s="4">
        <f>INDEX(Sheet2!C:C,QUOTIENT(ROW()-1,19)+2)</f>
        <v>42369</v>
      </c>
      <c r="DK1975" s="4" t="e">
        <f>INDEX(Sheet2!$AA$2:$AS$228,QUOTIENT(ROW()-1,19)+1,MOD(ROW()-2,19)+1)</f>
        <v>#N/A</v>
      </c>
      <c r="DL1975" t="str">
        <f>IFERROR(INDEX(Sheet2!$AU$2:$BM$228,QUOTIENT(ROW()-1,19)+1,MOD(ROW()-2,19)+1),NA())</f>
        <v/>
      </c>
      <c r="DM1975" s="4" t="e">
        <f t="shared" si="111"/>
        <v>#N/A</v>
      </c>
      <c r="DN1975" t="e">
        <f t="shared" si="112"/>
        <v>#N/A</v>
      </c>
      <c r="DO1975" t="e">
        <f t="shared" si="113"/>
        <v>#N/A</v>
      </c>
    </row>
    <row r="1976" spans="7:119" x14ac:dyDescent="0.25">
      <c r="G1976"/>
      <c r="DI1976" s="4">
        <f>INDEX(Sheet2!A:A,QUOTIENT(ROW()-1,19)+2)</f>
        <v>41444</v>
      </c>
      <c r="DJ1976" s="4">
        <f>INDEX(Sheet2!C:C,QUOTIENT(ROW()-1,19)+2)</f>
        <v>42369</v>
      </c>
      <c r="DK1976" s="4" t="e">
        <f>INDEX(Sheet2!$AA$2:$AS$228,QUOTIENT(ROW()-1,19)+1,MOD(ROW()-2,19)+1)</f>
        <v>#N/A</v>
      </c>
      <c r="DL1976" t="str">
        <f>IFERROR(INDEX(Sheet2!$AU$2:$BM$228,QUOTIENT(ROW()-1,19)+1,MOD(ROW()-2,19)+1),NA())</f>
        <v/>
      </c>
      <c r="DM1976" s="4" t="e">
        <f t="shared" si="111"/>
        <v>#N/A</v>
      </c>
      <c r="DN1976" t="e">
        <f t="shared" si="112"/>
        <v>#N/A</v>
      </c>
      <c r="DO1976" t="e">
        <f t="shared" si="113"/>
        <v>#N/A</v>
      </c>
    </row>
    <row r="1977" spans="7:119" x14ac:dyDescent="0.25">
      <c r="G1977"/>
      <c r="DI1977" s="4">
        <f>INDEX(Sheet2!A:A,QUOTIENT(ROW()-1,19)+2)</f>
        <v>41444</v>
      </c>
      <c r="DJ1977" s="4">
        <f>INDEX(Sheet2!C:C,QUOTIENT(ROW()-1,19)+2)</f>
        <v>42369</v>
      </c>
      <c r="DK1977" s="4" t="e">
        <f>INDEX(Sheet2!$AA$2:$AS$228,QUOTIENT(ROW()-1,19)+1,MOD(ROW()-2,19)+1)</f>
        <v>#N/A</v>
      </c>
      <c r="DL1977" t="str">
        <f>IFERROR(INDEX(Sheet2!$AU$2:$BM$228,QUOTIENT(ROW()-1,19)+1,MOD(ROW()-2,19)+1),NA())</f>
        <v/>
      </c>
      <c r="DM1977" s="4" t="e">
        <f t="shared" si="111"/>
        <v>#N/A</v>
      </c>
      <c r="DN1977" t="e">
        <f t="shared" si="112"/>
        <v>#N/A</v>
      </c>
      <c r="DO1977" t="e">
        <f t="shared" si="113"/>
        <v>#N/A</v>
      </c>
    </row>
    <row r="1978" spans="7:119" x14ac:dyDescent="0.25">
      <c r="G1978"/>
      <c r="DI1978" s="4">
        <f>INDEX(Sheet2!A:A,QUOTIENT(ROW()-1,19)+2)</f>
        <v>41444</v>
      </c>
      <c r="DJ1978" s="4">
        <f>INDEX(Sheet2!C:C,QUOTIENT(ROW()-1,19)+2)</f>
        <v>42369</v>
      </c>
      <c r="DK1978" s="4">
        <f>INDEX(Sheet2!$AA$2:$AS$228,QUOTIENT(ROW()-1,19)+1,MOD(ROW()-2,19)+1)</f>
        <v>42358.962500000001</v>
      </c>
      <c r="DL1978">
        <f>IFERROR(INDEX(Sheet2!$AU$2:$BM$228,QUOTIENT(ROW()-1,19)+1,MOD(ROW()-2,19)+1),NA())</f>
        <v>0.5</v>
      </c>
      <c r="DM1978" s="4" t="e">
        <f t="shared" si="111"/>
        <v>#N/A</v>
      </c>
      <c r="DN1978" t="e">
        <f t="shared" si="112"/>
        <v>#N/A</v>
      </c>
      <c r="DO1978" t="e">
        <f t="shared" si="113"/>
        <v>#N/A</v>
      </c>
    </row>
    <row r="1979" spans="7:119" x14ac:dyDescent="0.25">
      <c r="G1979"/>
      <c r="DI1979" s="4">
        <f>INDEX(Sheet2!A:A,QUOTIENT(ROW()-1,19)+2)</f>
        <v>41444</v>
      </c>
      <c r="DJ1979" s="4">
        <f>INDEX(Sheet2!C:C,QUOTIENT(ROW()-1,19)+2)</f>
        <v>42369</v>
      </c>
      <c r="DK1979" s="4">
        <f>INDEX(Sheet2!$AA$2:$AS$228,QUOTIENT(ROW()-1,19)+1,MOD(ROW()-2,19)+1)</f>
        <v>42379.037500000006</v>
      </c>
      <c r="DL1979">
        <f>IFERROR(INDEX(Sheet2!$AU$2:$BM$228,QUOTIENT(ROW()-1,19)+1,MOD(ROW()-2,19)+1),NA())</f>
        <v>0.5</v>
      </c>
      <c r="DM1979" s="4" t="e">
        <f t="shared" si="111"/>
        <v>#N/A</v>
      </c>
      <c r="DN1979" t="e">
        <f t="shared" si="112"/>
        <v>#N/A</v>
      </c>
      <c r="DO1979" t="e">
        <f t="shared" si="113"/>
        <v>#N/A</v>
      </c>
    </row>
    <row r="1980" spans="7:119" x14ac:dyDescent="0.25">
      <c r="G1980"/>
      <c r="DI1980" s="4">
        <f>INDEX(Sheet2!A:A,QUOTIENT(ROW()-1,19)+2)</f>
        <v>41444</v>
      </c>
      <c r="DJ1980" s="4">
        <f>INDEX(Sheet2!C:C,QUOTIENT(ROW()-1,19)+2)</f>
        <v>42369</v>
      </c>
      <c r="DK1980" s="4" t="e">
        <f>INDEX(Sheet2!$AA$2:$AS$228,QUOTIENT(ROW()-1,19)+1,MOD(ROW()-2,19)+1)</f>
        <v>#N/A</v>
      </c>
      <c r="DL1980" t="str">
        <f>IFERROR(INDEX(Sheet2!$AU$2:$BM$228,QUOTIENT(ROW()-1,19)+1,MOD(ROW()-2,19)+1),NA())</f>
        <v/>
      </c>
      <c r="DM1980" s="4" t="e">
        <f t="shared" si="111"/>
        <v>#N/A</v>
      </c>
      <c r="DN1980" t="e">
        <f t="shared" si="112"/>
        <v>#N/A</v>
      </c>
      <c r="DO1980" t="e">
        <f t="shared" si="113"/>
        <v>#N/A</v>
      </c>
    </row>
    <row r="1981" spans="7:119" x14ac:dyDescent="0.25">
      <c r="G1981"/>
      <c r="DI1981" s="4">
        <f>INDEX(Sheet2!A:A,QUOTIENT(ROW()-1,19)+2)</f>
        <v>41444</v>
      </c>
      <c r="DJ1981" s="4">
        <f>INDEX(Sheet2!C:C,QUOTIENT(ROW()-1,19)+2)</f>
        <v>42369</v>
      </c>
      <c r="DK1981" s="4" t="e">
        <f>INDEX(Sheet2!$AA$2:$AS$228,QUOTIENT(ROW()-1,19)+1,MOD(ROW()-2,19)+1)</f>
        <v>#N/A</v>
      </c>
      <c r="DL1981" t="str">
        <f>IFERROR(INDEX(Sheet2!$AU$2:$BM$228,QUOTIENT(ROW()-1,19)+1,MOD(ROW()-2,19)+1),NA())</f>
        <v/>
      </c>
      <c r="DM1981" s="4" t="e">
        <f t="shared" si="111"/>
        <v>#N/A</v>
      </c>
      <c r="DN1981" t="e">
        <f t="shared" si="112"/>
        <v>#N/A</v>
      </c>
      <c r="DO1981" t="e">
        <f t="shared" si="113"/>
        <v>#N/A</v>
      </c>
    </row>
    <row r="1982" spans="7:119" x14ac:dyDescent="0.25">
      <c r="G1982"/>
      <c r="DI1982" s="4">
        <f>INDEX(Sheet2!A:A,QUOTIENT(ROW()-1,19)+2)</f>
        <v>41444</v>
      </c>
      <c r="DJ1982" s="4">
        <f>INDEX(Sheet2!C:C,QUOTIENT(ROW()-1,19)+2)</f>
        <v>42369</v>
      </c>
      <c r="DK1982" s="4" t="e">
        <f>INDEX(Sheet2!$AA$2:$AS$228,QUOTIENT(ROW()-1,19)+1,MOD(ROW()-2,19)+1)</f>
        <v>#N/A</v>
      </c>
      <c r="DL1982" t="str">
        <f>IFERROR(INDEX(Sheet2!$AU$2:$BM$228,QUOTIENT(ROW()-1,19)+1,MOD(ROW()-2,19)+1),NA())</f>
        <v/>
      </c>
      <c r="DM1982" s="4" t="e">
        <f t="shared" si="111"/>
        <v>#N/A</v>
      </c>
      <c r="DN1982" t="e">
        <f t="shared" si="112"/>
        <v>#N/A</v>
      </c>
      <c r="DO1982" t="e">
        <f t="shared" si="113"/>
        <v>#N/A</v>
      </c>
    </row>
    <row r="1983" spans="7:119" x14ac:dyDescent="0.25">
      <c r="G1983"/>
      <c r="DI1983" s="4">
        <f>INDEX(Sheet2!A:A,QUOTIENT(ROW()-1,19)+2)</f>
        <v>41444</v>
      </c>
      <c r="DJ1983" s="4">
        <f>INDEX(Sheet2!C:C,QUOTIENT(ROW()-1,19)+2)</f>
        <v>42369</v>
      </c>
      <c r="DK1983" s="4" t="e">
        <f>INDEX(Sheet2!$AA$2:$AS$228,QUOTIENT(ROW()-1,19)+1,MOD(ROW()-2,19)+1)</f>
        <v>#N/A</v>
      </c>
      <c r="DL1983" t="str">
        <f>IFERROR(INDEX(Sheet2!$AU$2:$BM$228,QUOTIENT(ROW()-1,19)+1,MOD(ROW()-2,19)+1),NA())</f>
        <v/>
      </c>
      <c r="DM1983" s="4" t="e">
        <f t="shared" si="111"/>
        <v>#N/A</v>
      </c>
      <c r="DN1983" t="e">
        <f t="shared" si="112"/>
        <v>#N/A</v>
      </c>
      <c r="DO1983" t="e">
        <f t="shared" si="113"/>
        <v>#N/A</v>
      </c>
    </row>
    <row r="1984" spans="7:119" x14ac:dyDescent="0.25">
      <c r="G1984"/>
      <c r="DI1984" s="4">
        <f>INDEX(Sheet2!A:A,QUOTIENT(ROW()-1,19)+2)</f>
        <v>41444</v>
      </c>
      <c r="DJ1984" s="4">
        <f>INDEX(Sheet2!C:C,QUOTIENT(ROW()-1,19)+2)</f>
        <v>42369</v>
      </c>
      <c r="DK1984" s="4" t="e">
        <f>INDEX(Sheet2!$AA$2:$AS$228,QUOTIENT(ROW()-1,19)+1,MOD(ROW()-2,19)+1)</f>
        <v>#N/A</v>
      </c>
      <c r="DL1984" t="str">
        <f>IFERROR(INDEX(Sheet2!$AU$2:$BM$228,QUOTIENT(ROW()-1,19)+1,MOD(ROW()-2,19)+1),NA())</f>
        <v/>
      </c>
      <c r="DM1984" s="4" t="e">
        <f t="shared" si="111"/>
        <v>#N/A</v>
      </c>
      <c r="DN1984" t="e">
        <f t="shared" si="112"/>
        <v>#N/A</v>
      </c>
      <c r="DO1984" t="e">
        <f t="shared" si="113"/>
        <v>#N/A</v>
      </c>
    </row>
    <row r="1985" spans="7:119" x14ac:dyDescent="0.25">
      <c r="G1985"/>
      <c r="DI1985" s="4">
        <f>INDEX(Sheet2!A:A,QUOTIENT(ROW()-1,19)+2)</f>
        <v>41444</v>
      </c>
      <c r="DJ1985" s="4">
        <f>INDEX(Sheet2!C:C,QUOTIENT(ROW()-1,19)+2)</f>
        <v>42369</v>
      </c>
      <c r="DK1985" s="4" t="e">
        <f>INDEX(Sheet2!$AA$2:$AS$228,QUOTIENT(ROW()-1,19)+1,MOD(ROW()-2,19)+1)</f>
        <v>#N/A</v>
      </c>
      <c r="DL1985" t="str">
        <f>IFERROR(INDEX(Sheet2!$AU$2:$BM$228,QUOTIENT(ROW()-1,19)+1,MOD(ROW()-2,19)+1),NA())</f>
        <v/>
      </c>
      <c r="DM1985" s="4" t="e">
        <f t="shared" si="111"/>
        <v>#N/A</v>
      </c>
      <c r="DN1985" t="e">
        <f t="shared" si="112"/>
        <v>#N/A</v>
      </c>
      <c r="DO1985" t="e">
        <f t="shared" si="113"/>
        <v>#N/A</v>
      </c>
    </row>
    <row r="1986" spans="7:119" x14ac:dyDescent="0.25">
      <c r="G1986"/>
      <c r="DI1986" s="4">
        <f>INDEX(Sheet2!A:A,QUOTIENT(ROW()-1,19)+2)</f>
        <v>41444</v>
      </c>
      <c r="DJ1986" s="4">
        <f>INDEX(Sheet2!C:C,QUOTIENT(ROW()-1,19)+2)</f>
        <v>42369</v>
      </c>
      <c r="DK1986" s="4" t="e">
        <f>INDEX(Sheet2!$AA$2:$AS$228,QUOTIENT(ROW()-1,19)+1,MOD(ROW()-2,19)+1)</f>
        <v>#N/A</v>
      </c>
      <c r="DL1986" t="str">
        <f>IFERROR(INDEX(Sheet2!$AU$2:$BM$228,QUOTIENT(ROW()-1,19)+1,MOD(ROW()-2,19)+1),NA())</f>
        <v/>
      </c>
      <c r="DM1986" s="4" t="e">
        <f t="shared" ref="DM1986:DM2049" si="114">+IF($C$2=$DI1986,DK1986,NA())</f>
        <v>#N/A</v>
      </c>
      <c r="DN1986" t="e">
        <f t="shared" ref="DN1986:DN2049" si="115">+IF($C$2=$DI1986,DL1986,NA())</f>
        <v>#N/A</v>
      </c>
      <c r="DO1986" t="e">
        <f t="shared" si="113"/>
        <v>#N/A</v>
      </c>
    </row>
    <row r="1987" spans="7:119" x14ac:dyDescent="0.25">
      <c r="G1987"/>
      <c r="DI1987" s="4">
        <f>INDEX(Sheet2!A:A,QUOTIENT(ROW()-1,19)+2)</f>
        <v>41444</v>
      </c>
      <c r="DJ1987" s="4">
        <f>INDEX(Sheet2!C:C,QUOTIENT(ROW()-1,19)+2)</f>
        <v>42369</v>
      </c>
      <c r="DK1987" s="4" t="e">
        <f>INDEX(Sheet2!$AA$2:$AS$228,QUOTIENT(ROW()-1,19)+1,MOD(ROW()-2,19)+1)</f>
        <v>#N/A</v>
      </c>
      <c r="DL1987" t="str">
        <f>IFERROR(INDEX(Sheet2!$AU$2:$BM$228,QUOTIENT(ROW()-1,19)+1,MOD(ROW()-2,19)+1),NA())</f>
        <v/>
      </c>
      <c r="DM1987" s="4" t="e">
        <f t="shared" si="114"/>
        <v>#N/A</v>
      </c>
      <c r="DN1987" t="e">
        <f t="shared" si="115"/>
        <v>#N/A</v>
      </c>
      <c r="DO1987" t="e">
        <f t="shared" ref="DO1987:DO2050" si="116">IF(DN1987="",NA(),DN1987)</f>
        <v>#N/A</v>
      </c>
    </row>
    <row r="1988" spans="7:119" x14ac:dyDescent="0.25">
      <c r="G1988"/>
      <c r="DI1988" s="4">
        <f>INDEX(Sheet2!A:A,QUOTIENT(ROW()-1,19)+2)</f>
        <v>41444</v>
      </c>
      <c r="DJ1988" s="4">
        <f>INDEX(Sheet2!C:C,QUOTIENT(ROW()-1,19)+2)</f>
        <v>42369</v>
      </c>
      <c r="DK1988" s="4" t="e">
        <f>INDEX(Sheet2!$AA$2:$AS$228,QUOTIENT(ROW()-1,19)+1,MOD(ROW()-2,19)+1)</f>
        <v>#N/A</v>
      </c>
      <c r="DL1988" t="str">
        <f>IFERROR(INDEX(Sheet2!$AU$2:$BM$228,QUOTIENT(ROW()-1,19)+1,MOD(ROW()-2,19)+1),NA())</f>
        <v/>
      </c>
      <c r="DM1988" s="4" t="e">
        <f t="shared" si="114"/>
        <v>#N/A</v>
      </c>
      <c r="DN1988" t="e">
        <f t="shared" si="115"/>
        <v>#N/A</v>
      </c>
      <c r="DO1988" t="e">
        <f t="shared" si="116"/>
        <v>#N/A</v>
      </c>
    </row>
    <row r="1989" spans="7:119" x14ac:dyDescent="0.25">
      <c r="G1989"/>
      <c r="DI1989" s="4">
        <f>INDEX(Sheet2!A:A,QUOTIENT(ROW()-1,19)+2)</f>
        <v>41444</v>
      </c>
      <c r="DJ1989" s="4">
        <f>INDEX(Sheet2!C:C,QUOTIENT(ROW()-1,19)+2)</f>
        <v>42369</v>
      </c>
      <c r="DK1989" s="4" t="e">
        <f>INDEX(Sheet2!$AA$2:$AS$228,QUOTIENT(ROW()-1,19)+1,MOD(ROW()-2,19)+1)</f>
        <v>#N/A</v>
      </c>
      <c r="DL1989" t="str">
        <f>IFERROR(INDEX(Sheet2!$AU$2:$BM$228,QUOTIENT(ROW()-1,19)+1,MOD(ROW()-2,19)+1),NA())</f>
        <v/>
      </c>
      <c r="DM1989" s="4" t="e">
        <f t="shared" si="114"/>
        <v>#N/A</v>
      </c>
      <c r="DN1989" t="e">
        <f t="shared" si="115"/>
        <v>#N/A</v>
      </c>
      <c r="DO1989" t="e">
        <f t="shared" si="116"/>
        <v>#N/A</v>
      </c>
    </row>
    <row r="1990" spans="7:119" x14ac:dyDescent="0.25">
      <c r="G1990"/>
      <c r="DI1990" s="4">
        <f>INDEX(Sheet2!A:A,QUOTIENT(ROW()-1,19)+2)</f>
        <v>41444</v>
      </c>
      <c r="DJ1990" s="4">
        <f>INDEX(Sheet2!C:C,QUOTIENT(ROW()-1,19)+2)</f>
        <v>42369</v>
      </c>
      <c r="DK1990" s="4" t="e">
        <f>INDEX(Sheet2!$AA$2:$AS$228,QUOTIENT(ROW()-1,19)+1,MOD(ROW()-2,19)+1)</f>
        <v>#N/A</v>
      </c>
      <c r="DL1990" t="str">
        <f>IFERROR(INDEX(Sheet2!$AU$2:$BM$228,QUOTIENT(ROW()-1,19)+1,MOD(ROW()-2,19)+1),NA())</f>
        <v/>
      </c>
      <c r="DM1990" s="4" t="e">
        <f t="shared" si="114"/>
        <v>#N/A</v>
      </c>
      <c r="DN1990" t="e">
        <f t="shared" si="115"/>
        <v>#N/A</v>
      </c>
      <c r="DO1990" t="e">
        <f t="shared" si="116"/>
        <v>#N/A</v>
      </c>
    </row>
    <row r="1991" spans="7:119" x14ac:dyDescent="0.25">
      <c r="G1991"/>
      <c r="DI1991" s="4">
        <f>INDEX(Sheet2!A:A,QUOTIENT(ROW()-1,19)+2)</f>
        <v>41444</v>
      </c>
      <c r="DJ1991" s="4">
        <f>INDEX(Sheet2!C:C,QUOTIENT(ROW()-1,19)+2)</f>
        <v>42369</v>
      </c>
      <c r="DK1991" s="4" t="e">
        <f>INDEX(Sheet2!$AA$2:$AS$228,QUOTIENT(ROW()-1,19)+1,MOD(ROW()-2,19)+1)</f>
        <v>#N/A</v>
      </c>
      <c r="DL1991" t="str">
        <f>IFERROR(INDEX(Sheet2!$AU$2:$BM$228,QUOTIENT(ROW()-1,19)+1,MOD(ROW()-2,19)+1),NA())</f>
        <v/>
      </c>
      <c r="DM1991" s="4" t="e">
        <f t="shared" si="114"/>
        <v>#N/A</v>
      </c>
      <c r="DN1991" t="e">
        <f t="shared" si="115"/>
        <v>#N/A</v>
      </c>
      <c r="DO1991" t="e">
        <f t="shared" si="116"/>
        <v>#N/A</v>
      </c>
    </row>
    <row r="1992" spans="7:119" x14ac:dyDescent="0.25">
      <c r="G1992"/>
      <c r="DI1992" s="4">
        <f>INDEX(Sheet2!A:A,QUOTIENT(ROW()-1,19)+2)</f>
        <v>41444</v>
      </c>
      <c r="DJ1992" s="4">
        <f>INDEX(Sheet2!C:C,QUOTIENT(ROW()-1,19)+2)</f>
        <v>42369</v>
      </c>
      <c r="DK1992" s="4" t="e">
        <f>INDEX(Sheet2!$AA$2:$AS$228,QUOTIENT(ROW()-1,19)+1,MOD(ROW()-2,19)+1)</f>
        <v>#N/A</v>
      </c>
      <c r="DL1992" t="str">
        <f>IFERROR(INDEX(Sheet2!$AU$2:$BM$228,QUOTIENT(ROW()-1,19)+1,MOD(ROW()-2,19)+1),NA())</f>
        <v/>
      </c>
      <c r="DM1992" s="4" t="e">
        <f t="shared" si="114"/>
        <v>#N/A</v>
      </c>
      <c r="DN1992" t="e">
        <f t="shared" si="115"/>
        <v>#N/A</v>
      </c>
      <c r="DO1992" t="e">
        <f t="shared" si="116"/>
        <v>#N/A</v>
      </c>
    </row>
    <row r="1993" spans="7:119" x14ac:dyDescent="0.25">
      <c r="G1993"/>
      <c r="DI1993" s="4">
        <f>INDEX(Sheet2!A:A,QUOTIENT(ROW()-1,19)+2)</f>
        <v>41444</v>
      </c>
      <c r="DJ1993" s="4">
        <f>INDEX(Sheet2!C:C,QUOTIENT(ROW()-1,19)+2)</f>
        <v>42369</v>
      </c>
      <c r="DK1993" s="4" t="e">
        <f>INDEX(Sheet2!$AA$2:$AS$228,QUOTIENT(ROW()-1,19)+1,MOD(ROW()-2,19)+1)</f>
        <v>#N/A</v>
      </c>
      <c r="DL1993" t="str">
        <f>IFERROR(INDEX(Sheet2!$AU$2:$BM$228,QUOTIENT(ROW()-1,19)+1,MOD(ROW()-2,19)+1),NA())</f>
        <v/>
      </c>
      <c r="DM1993" s="4" t="e">
        <f t="shared" si="114"/>
        <v>#N/A</v>
      </c>
      <c r="DN1993" t="e">
        <f t="shared" si="115"/>
        <v>#N/A</v>
      </c>
      <c r="DO1993" t="e">
        <f t="shared" si="116"/>
        <v>#N/A</v>
      </c>
    </row>
    <row r="1994" spans="7:119" x14ac:dyDescent="0.25">
      <c r="G1994"/>
      <c r="DI1994" s="4">
        <f>INDEX(Sheet2!A:A,QUOTIENT(ROW()-1,19)+2)</f>
        <v>41444</v>
      </c>
      <c r="DJ1994" s="4">
        <f>INDEX(Sheet2!C:C,QUOTIENT(ROW()-1,19)+2)</f>
        <v>42369</v>
      </c>
      <c r="DK1994" s="4" t="e">
        <f>INDEX(Sheet2!$AA$2:$AS$228,QUOTIENT(ROW()-1,19)+1,MOD(ROW()-2,19)+1)</f>
        <v>#N/A</v>
      </c>
      <c r="DL1994" t="str">
        <f>IFERROR(INDEX(Sheet2!$AU$2:$BM$228,QUOTIENT(ROW()-1,19)+1,MOD(ROW()-2,19)+1),NA())</f>
        <v/>
      </c>
      <c r="DM1994" s="4" t="e">
        <f t="shared" si="114"/>
        <v>#N/A</v>
      </c>
      <c r="DN1994" t="e">
        <f t="shared" si="115"/>
        <v>#N/A</v>
      </c>
      <c r="DO1994" t="e">
        <f t="shared" si="116"/>
        <v>#N/A</v>
      </c>
    </row>
    <row r="1995" spans="7:119" x14ac:dyDescent="0.25">
      <c r="G1995"/>
      <c r="DI1995" s="4">
        <f>INDEX(Sheet2!A:A,QUOTIENT(ROW()-1,19)+2)</f>
        <v>41444</v>
      </c>
      <c r="DJ1995" s="4">
        <f>INDEX(Sheet2!C:C,QUOTIENT(ROW()-1,19)+2)</f>
        <v>42369</v>
      </c>
      <c r="DK1995" s="4" t="e">
        <f>INDEX(Sheet2!$AA$2:$AS$228,QUOTIENT(ROW()-1,19)+1,MOD(ROW()-2,19)+1)</f>
        <v>#N/A</v>
      </c>
      <c r="DL1995" t="str">
        <f>IFERROR(INDEX(Sheet2!$AU$2:$BM$228,QUOTIENT(ROW()-1,19)+1,MOD(ROW()-2,19)+1),NA())</f>
        <v/>
      </c>
      <c r="DM1995" s="4" t="e">
        <f t="shared" si="114"/>
        <v>#N/A</v>
      </c>
      <c r="DN1995" t="e">
        <f t="shared" si="115"/>
        <v>#N/A</v>
      </c>
      <c r="DO1995" t="e">
        <f t="shared" si="116"/>
        <v>#N/A</v>
      </c>
    </row>
    <row r="1996" spans="7:119" x14ac:dyDescent="0.25">
      <c r="G1996"/>
      <c r="DI1996" s="4">
        <f>INDEX(Sheet2!A:A,QUOTIENT(ROW()-1,19)+2)</f>
        <v>41444</v>
      </c>
      <c r="DJ1996" s="4">
        <f>INDEX(Sheet2!C:C,QUOTIENT(ROW()-1,19)+2)</f>
        <v>42369</v>
      </c>
      <c r="DK1996" s="4" t="e">
        <f>INDEX(Sheet2!$AA$2:$AS$228,QUOTIENT(ROW()-1,19)+1,MOD(ROW()-2,19)+1)</f>
        <v>#N/A</v>
      </c>
      <c r="DL1996" t="str">
        <f>IFERROR(INDEX(Sheet2!$AU$2:$BM$228,QUOTIENT(ROW()-1,19)+1,MOD(ROW()-2,19)+1),NA())</f>
        <v/>
      </c>
      <c r="DM1996" s="4" t="e">
        <f t="shared" si="114"/>
        <v>#N/A</v>
      </c>
      <c r="DN1996" t="e">
        <f t="shared" si="115"/>
        <v>#N/A</v>
      </c>
      <c r="DO1996" t="e">
        <f t="shared" si="116"/>
        <v>#N/A</v>
      </c>
    </row>
    <row r="1997" spans="7:119" x14ac:dyDescent="0.25">
      <c r="G1997"/>
      <c r="DI1997" s="4">
        <f>INDEX(Sheet2!A:A,QUOTIENT(ROW()-1,19)+2)</f>
        <v>41444</v>
      </c>
      <c r="DJ1997" s="4">
        <f>INDEX(Sheet2!C:C,QUOTIENT(ROW()-1,19)+2)</f>
        <v>42369</v>
      </c>
      <c r="DK1997" s="4">
        <f>INDEX(Sheet2!$AA$2:$AS$228,QUOTIENT(ROW()-1,19)+1,MOD(ROW()-2,19)+1)</f>
        <v>42348.924999999996</v>
      </c>
      <c r="DL1997">
        <f>IFERROR(INDEX(Sheet2!$AU$2:$BM$228,QUOTIENT(ROW()-1,19)+1,MOD(ROW()-2,19)+1),NA())</f>
        <v>0.75</v>
      </c>
      <c r="DM1997" s="4" t="e">
        <f t="shared" si="114"/>
        <v>#N/A</v>
      </c>
      <c r="DN1997" t="e">
        <f t="shared" si="115"/>
        <v>#N/A</v>
      </c>
      <c r="DO1997" t="e">
        <f t="shared" si="116"/>
        <v>#N/A</v>
      </c>
    </row>
    <row r="1998" spans="7:119" x14ac:dyDescent="0.25">
      <c r="G1998"/>
      <c r="DI1998" s="4">
        <f>INDEX(Sheet2!A:A,QUOTIENT(ROW()-1,19)+2)</f>
        <v>41444</v>
      </c>
      <c r="DJ1998" s="4">
        <f>INDEX(Sheet2!C:C,QUOTIENT(ROW()-1,19)+2)</f>
        <v>42369</v>
      </c>
      <c r="DK1998" s="4">
        <f>INDEX(Sheet2!$AA$2:$AS$228,QUOTIENT(ROW()-1,19)+1,MOD(ROW()-2,19)+1)</f>
        <v>42369</v>
      </c>
      <c r="DL1998">
        <f>IFERROR(INDEX(Sheet2!$AU$2:$BM$228,QUOTIENT(ROW()-1,19)+1,MOD(ROW()-2,19)+1),NA())</f>
        <v>0.75</v>
      </c>
      <c r="DM1998" s="4" t="e">
        <f t="shared" si="114"/>
        <v>#N/A</v>
      </c>
      <c r="DN1998" t="e">
        <f t="shared" si="115"/>
        <v>#N/A</v>
      </c>
      <c r="DO1998" t="e">
        <f t="shared" si="116"/>
        <v>#N/A</v>
      </c>
    </row>
    <row r="1999" spans="7:119" x14ac:dyDescent="0.25">
      <c r="G1999"/>
      <c r="DI1999" s="4">
        <f>INDEX(Sheet2!A:A,QUOTIENT(ROW()-1,19)+2)</f>
        <v>41444</v>
      </c>
      <c r="DJ1999" s="4">
        <f>INDEX(Sheet2!C:C,QUOTIENT(ROW()-1,19)+2)</f>
        <v>42369</v>
      </c>
      <c r="DK1999" s="4">
        <f>INDEX(Sheet2!$AA$2:$AS$228,QUOTIENT(ROW()-1,19)+1,MOD(ROW()-2,19)+1)</f>
        <v>42389.074999999997</v>
      </c>
      <c r="DL1999">
        <f>IFERROR(INDEX(Sheet2!$AU$2:$BM$228,QUOTIENT(ROW()-1,19)+1,MOD(ROW()-2,19)+1),NA())</f>
        <v>0.75</v>
      </c>
      <c r="DM1999" s="4" t="e">
        <f t="shared" si="114"/>
        <v>#N/A</v>
      </c>
      <c r="DN1999" t="e">
        <f t="shared" si="115"/>
        <v>#N/A</v>
      </c>
      <c r="DO1999" t="e">
        <f t="shared" si="116"/>
        <v>#N/A</v>
      </c>
    </row>
    <row r="2000" spans="7:119" x14ac:dyDescent="0.25">
      <c r="G2000"/>
      <c r="DI2000" s="4">
        <f>INDEX(Sheet2!A:A,QUOTIENT(ROW()-1,19)+2)</f>
        <v>41444</v>
      </c>
      <c r="DJ2000" s="4">
        <f>INDEX(Sheet2!C:C,QUOTIENT(ROW()-1,19)+2)</f>
        <v>42369</v>
      </c>
      <c r="DK2000" s="4" t="e">
        <f>INDEX(Sheet2!$AA$2:$AS$228,QUOTIENT(ROW()-1,19)+1,MOD(ROW()-2,19)+1)</f>
        <v>#N/A</v>
      </c>
      <c r="DL2000" t="str">
        <f>IFERROR(INDEX(Sheet2!$AU$2:$BM$228,QUOTIENT(ROW()-1,19)+1,MOD(ROW()-2,19)+1),NA())</f>
        <v/>
      </c>
      <c r="DM2000" s="4" t="e">
        <f t="shared" si="114"/>
        <v>#N/A</v>
      </c>
      <c r="DN2000" t="e">
        <f t="shared" si="115"/>
        <v>#N/A</v>
      </c>
      <c r="DO2000" t="e">
        <f t="shared" si="116"/>
        <v>#N/A</v>
      </c>
    </row>
    <row r="2001" spans="7:119" x14ac:dyDescent="0.25">
      <c r="G2001"/>
      <c r="DI2001" s="4">
        <f>INDEX(Sheet2!A:A,QUOTIENT(ROW()-1,19)+2)</f>
        <v>41444</v>
      </c>
      <c r="DJ2001" s="4">
        <f>INDEX(Sheet2!C:C,QUOTIENT(ROW()-1,19)+2)</f>
        <v>42369</v>
      </c>
      <c r="DK2001" s="4" t="e">
        <f>INDEX(Sheet2!$AA$2:$AS$228,QUOTIENT(ROW()-1,19)+1,MOD(ROW()-2,19)+1)</f>
        <v>#N/A</v>
      </c>
      <c r="DL2001" t="str">
        <f>IFERROR(INDEX(Sheet2!$AU$2:$BM$228,QUOTIENT(ROW()-1,19)+1,MOD(ROW()-2,19)+1),NA())</f>
        <v/>
      </c>
      <c r="DM2001" s="4" t="e">
        <f t="shared" si="114"/>
        <v>#N/A</v>
      </c>
      <c r="DN2001" t="e">
        <f t="shared" si="115"/>
        <v>#N/A</v>
      </c>
      <c r="DO2001" t="e">
        <f t="shared" si="116"/>
        <v>#N/A</v>
      </c>
    </row>
    <row r="2002" spans="7:119" x14ac:dyDescent="0.25">
      <c r="G2002"/>
      <c r="DI2002" s="4">
        <f>INDEX(Sheet2!A:A,QUOTIENT(ROW()-1,19)+2)</f>
        <v>41444</v>
      </c>
      <c r="DJ2002" s="4">
        <f>INDEX(Sheet2!C:C,QUOTIENT(ROW()-1,19)+2)</f>
        <v>42369</v>
      </c>
      <c r="DK2002" s="4" t="e">
        <f>INDEX(Sheet2!$AA$2:$AS$228,QUOTIENT(ROW()-1,19)+1,MOD(ROW()-2,19)+1)</f>
        <v>#N/A</v>
      </c>
      <c r="DL2002" t="str">
        <f>IFERROR(INDEX(Sheet2!$AU$2:$BM$228,QUOTIENT(ROW()-1,19)+1,MOD(ROW()-2,19)+1),NA())</f>
        <v/>
      </c>
      <c r="DM2002" s="4" t="e">
        <f t="shared" si="114"/>
        <v>#N/A</v>
      </c>
      <c r="DN2002" t="e">
        <f t="shared" si="115"/>
        <v>#N/A</v>
      </c>
      <c r="DO2002" t="e">
        <f t="shared" si="116"/>
        <v>#N/A</v>
      </c>
    </row>
    <row r="2003" spans="7:119" x14ac:dyDescent="0.25">
      <c r="G2003"/>
      <c r="DI2003" s="4">
        <f>INDEX(Sheet2!A:A,QUOTIENT(ROW()-1,19)+2)</f>
        <v>41444</v>
      </c>
      <c r="DJ2003" s="4">
        <f>INDEX(Sheet2!C:C,QUOTIENT(ROW()-1,19)+2)</f>
        <v>42369</v>
      </c>
      <c r="DK2003" s="4" t="e">
        <f>INDEX(Sheet2!$AA$2:$AS$228,QUOTIENT(ROW()-1,19)+1,MOD(ROW()-2,19)+1)</f>
        <v>#N/A</v>
      </c>
      <c r="DL2003" t="str">
        <f>IFERROR(INDEX(Sheet2!$AU$2:$BM$228,QUOTIENT(ROW()-1,19)+1,MOD(ROW()-2,19)+1),NA())</f>
        <v/>
      </c>
      <c r="DM2003" s="4" t="e">
        <f t="shared" si="114"/>
        <v>#N/A</v>
      </c>
      <c r="DN2003" t="e">
        <f t="shared" si="115"/>
        <v>#N/A</v>
      </c>
      <c r="DO2003" t="e">
        <f t="shared" si="116"/>
        <v>#N/A</v>
      </c>
    </row>
    <row r="2004" spans="7:119" x14ac:dyDescent="0.25">
      <c r="G2004"/>
      <c r="DI2004" s="4">
        <f>INDEX(Sheet2!A:A,QUOTIENT(ROW()-1,19)+2)</f>
        <v>41444</v>
      </c>
      <c r="DJ2004" s="4">
        <f>INDEX(Sheet2!C:C,QUOTIENT(ROW()-1,19)+2)</f>
        <v>42369</v>
      </c>
      <c r="DK2004" s="4" t="e">
        <f>INDEX(Sheet2!$AA$2:$AS$228,QUOTIENT(ROW()-1,19)+1,MOD(ROW()-2,19)+1)</f>
        <v>#N/A</v>
      </c>
      <c r="DL2004" t="str">
        <f>IFERROR(INDEX(Sheet2!$AU$2:$BM$228,QUOTIENT(ROW()-1,19)+1,MOD(ROW()-2,19)+1),NA())</f>
        <v/>
      </c>
      <c r="DM2004" s="4" t="e">
        <f t="shared" si="114"/>
        <v>#N/A</v>
      </c>
      <c r="DN2004" t="e">
        <f t="shared" si="115"/>
        <v>#N/A</v>
      </c>
      <c r="DO2004" t="e">
        <f t="shared" si="116"/>
        <v>#N/A</v>
      </c>
    </row>
    <row r="2005" spans="7:119" x14ac:dyDescent="0.25">
      <c r="G2005"/>
      <c r="DI2005" s="4">
        <f>INDEX(Sheet2!A:A,QUOTIENT(ROW()-1,19)+2)</f>
        <v>41444</v>
      </c>
      <c r="DJ2005" s="4">
        <f>INDEX(Sheet2!C:C,QUOTIENT(ROW()-1,19)+2)</f>
        <v>42369</v>
      </c>
      <c r="DK2005" s="4" t="e">
        <f>INDEX(Sheet2!$AA$2:$AS$228,QUOTIENT(ROW()-1,19)+1,MOD(ROW()-2,19)+1)</f>
        <v>#N/A</v>
      </c>
      <c r="DL2005" t="str">
        <f>IFERROR(INDEX(Sheet2!$AU$2:$BM$228,QUOTIENT(ROW()-1,19)+1,MOD(ROW()-2,19)+1),NA())</f>
        <v/>
      </c>
      <c r="DM2005" s="4" t="e">
        <f t="shared" si="114"/>
        <v>#N/A</v>
      </c>
      <c r="DN2005" t="e">
        <f t="shared" si="115"/>
        <v>#N/A</v>
      </c>
      <c r="DO2005" t="e">
        <f t="shared" si="116"/>
        <v>#N/A</v>
      </c>
    </row>
    <row r="2006" spans="7:119" x14ac:dyDescent="0.25">
      <c r="G2006"/>
      <c r="DI2006" s="4">
        <f>INDEX(Sheet2!A:A,QUOTIENT(ROW()-1,19)+2)</f>
        <v>41444</v>
      </c>
      <c r="DJ2006" s="4">
        <f>INDEX(Sheet2!C:C,QUOTIENT(ROW()-1,19)+2)</f>
        <v>42369</v>
      </c>
      <c r="DK2006" s="4" t="e">
        <f>INDEX(Sheet2!$AA$2:$AS$228,QUOTIENT(ROW()-1,19)+1,MOD(ROW()-2,19)+1)</f>
        <v>#N/A</v>
      </c>
      <c r="DL2006" t="str">
        <f>IFERROR(INDEX(Sheet2!$AU$2:$BM$228,QUOTIENT(ROW()-1,19)+1,MOD(ROW()-2,19)+1),NA())</f>
        <v/>
      </c>
      <c r="DM2006" s="4" t="e">
        <f t="shared" si="114"/>
        <v>#N/A</v>
      </c>
      <c r="DN2006" t="e">
        <f t="shared" si="115"/>
        <v>#N/A</v>
      </c>
      <c r="DO2006" t="e">
        <f t="shared" si="116"/>
        <v>#N/A</v>
      </c>
    </row>
    <row r="2007" spans="7:119" x14ac:dyDescent="0.25">
      <c r="G2007"/>
      <c r="DI2007" s="4">
        <f>INDEX(Sheet2!A:A,QUOTIENT(ROW()-1,19)+2)</f>
        <v>41444</v>
      </c>
      <c r="DJ2007" s="4">
        <f>INDEX(Sheet2!C:C,QUOTIENT(ROW()-1,19)+2)</f>
        <v>42369</v>
      </c>
      <c r="DK2007" s="4" t="e">
        <f>INDEX(Sheet2!$AA$2:$AS$228,QUOTIENT(ROW()-1,19)+1,MOD(ROW()-2,19)+1)</f>
        <v>#N/A</v>
      </c>
      <c r="DL2007" t="str">
        <f>IFERROR(INDEX(Sheet2!$AU$2:$BM$228,QUOTIENT(ROW()-1,19)+1,MOD(ROW()-2,19)+1),NA())</f>
        <v/>
      </c>
      <c r="DM2007" s="4" t="e">
        <f t="shared" si="114"/>
        <v>#N/A</v>
      </c>
      <c r="DN2007" t="e">
        <f t="shared" si="115"/>
        <v>#N/A</v>
      </c>
      <c r="DO2007" t="e">
        <f t="shared" si="116"/>
        <v>#N/A</v>
      </c>
    </row>
    <row r="2008" spans="7:119" x14ac:dyDescent="0.25">
      <c r="G2008"/>
      <c r="DI2008" s="4">
        <f>INDEX(Sheet2!A:A,QUOTIENT(ROW()-1,19)+2)</f>
        <v>41444</v>
      </c>
      <c r="DJ2008" s="4">
        <f>INDEX(Sheet2!C:C,QUOTIENT(ROW()-1,19)+2)</f>
        <v>42369</v>
      </c>
      <c r="DK2008" s="4" t="e">
        <f>INDEX(Sheet2!$AA$2:$AS$228,QUOTIENT(ROW()-1,19)+1,MOD(ROW()-2,19)+1)</f>
        <v>#N/A</v>
      </c>
      <c r="DL2008" t="str">
        <f>IFERROR(INDEX(Sheet2!$AU$2:$BM$228,QUOTIENT(ROW()-1,19)+1,MOD(ROW()-2,19)+1),NA())</f>
        <v/>
      </c>
      <c r="DM2008" s="4" t="e">
        <f t="shared" si="114"/>
        <v>#N/A</v>
      </c>
      <c r="DN2008" t="e">
        <f t="shared" si="115"/>
        <v>#N/A</v>
      </c>
      <c r="DO2008" t="e">
        <f t="shared" si="116"/>
        <v>#N/A</v>
      </c>
    </row>
    <row r="2009" spans="7:119" x14ac:dyDescent="0.25">
      <c r="G2009"/>
      <c r="DI2009" s="4">
        <f>INDEX(Sheet2!A:A,QUOTIENT(ROW()-1,19)+2)</f>
        <v>41444</v>
      </c>
      <c r="DJ2009" s="4">
        <f>INDEX(Sheet2!C:C,QUOTIENT(ROW()-1,19)+2)</f>
        <v>42369</v>
      </c>
      <c r="DK2009" s="4" t="e">
        <f>INDEX(Sheet2!$AA$2:$AS$228,QUOTIENT(ROW()-1,19)+1,MOD(ROW()-2,19)+1)</f>
        <v>#N/A</v>
      </c>
      <c r="DL2009" t="str">
        <f>IFERROR(INDEX(Sheet2!$AU$2:$BM$228,QUOTIENT(ROW()-1,19)+1,MOD(ROW()-2,19)+1),NA())</f>
        <v/>
      </c>
      <c r="DM2009" s="4" t="e">
        <f t="shared" si="114"/>
        <v>#N/A</v>
      </c>
      <c r="DN2009" t="e">
        <f t="shared" si="115"/>
        <v>#N/A</v>
      </c>
      <c r="DO2009" t="e">
        <f t="shared" si="116"/>
        <v>#N/A</v>
      </c>
    </row>
    <row r="2010" spans="7:119" x14ac:dyDescent="0.25">
      <c r="G2010"/>
      <c r="DI2010" s="4">
        <f>INDEX(Sheet2!A:A,QUOTIENT(ROW()-1,19)+2)</f>
        <v>41444</v>
      </c>
      <c r="DJ2010" s="4">
        <f>INDEX(Sheet2!C:C,QUOTIENT(ROW()-1,19)+2)</f>
        <v>42369</v>
      </c>
      <c r="DK2010" s="4" t="e">
        <f>INDEX(Sheet2!$AA$2:$AS$228,QUOTIENT(ROW()-1,19)+1,MOD(ROW()-2,19)+1)</f>
        <v>#N/A</v>
      </c>
      <c r="DL2010" t="str">
        <f>IFERROR(INDEX(Sheet2!$AU$2:$BM$228,QUOTIENT(ROW()-1,19)+1,MOD(ROW()-2,19)+1),NA())</f>
        <v/>
      </c>
      <c r="DM2010" s="4" t="e">
        <f t="shared" si="114"/>
        <v>#N/A</v>
      </c>
      <c r="DN2010" t="e">
        <f t="shared" si="115"/>
        <v>#N/A</v>
      </c>
      <c r="DO2010" t="e">
        <f t="shared" si="116"/>
        <v>#N/A</v>
      </c>
    </row>
    <row r="2011" spans="7:119" x14ac:dyDescent="0.25">
      <c r="G2011"/>
      <c r="DI2011" s="4">
        <f>INDEX(Sheet2!A:A,QUOTIENT(ROW()-1,19)+2)</f>
        <v>41444</v>
      </c>
      <c r="DJ2011" s="4">
        <f>INDEX(Sheet2!C:C,QUOTIENT(ROW()-1,19)+2)</f>
        <v>42369</v>
      </c>
      <c r="DK2011" s="4" t="e">
        <f>INDEX(Sheet2!$AA$2:$AS$228,QUOTIENT(ROW()-1,19)+1,MOD(ROW()-2,19)+1)</f>
        <v>#N/A</v>
      </c>
      <c r="DL2011" t="str">
        <f>IFERROR(INDEX(Sheet2!$AU$2:$BM$228,QUOTIENT(ROW()-1,19)+1,MOD(ROW()-2,19)+1),NA())</f>
        <v/>
      </c>
      <c r="DM2011" s="4" t="e">
        <f t="shared" si="114"/>
        <v>#N/A</v>
      </c>
      <c r="DN2011" t="e">
        <f t="shared" si="115"/>
        <v>#N/A</v>
      </c>
      <c r="DO2011" t="e">
        <f t="shared" si="116"/>
        <v>#N/A</v>
      </c>
    </row>
    <row r="2012" spans="7:119" x14ac:dyDescent="0.25">
      <c r="G2012"/>
      <c r="DI2012" s="4">
        <f>INDEX(Sheet2!A:A,QUOTIENT(ROW()-1,19)+2)</f>
        <v>41444</v>
      </c>
      <c r="DJ2012" s="4">
        <f>INDEX(Sheet2!C:C,QUOTIENT(ROW()-1,19)+2)</f>
        <v>42369</v>
      </c>
      <c r="DK2012" s="4" t="e">
        <f>INDEX(Sheet2!$AA$2:$AS$228,QUOTIENT(ROW()-1,19)+1,MOD(ROW()-2,19)+1)</f>
        <v>#N/A</v>
      </c>
      <c r="DL2012" t="str">
        <f>IFERROR(INDEX(Sheet2!$AU$2:$BM$228,QUOTIENT(ROW()-1,19)+1,MOD(ROW()-2,19)+1),NA())</f>
        <v/>
      </c>
      <c r="DM2012" s="4" t="e">
        <f t="shared" si="114"/>
        <v>#N/A</v>
      </c>
      <c r="DN2012" t="e">
        <f t="shared" si="115"/>
        <v>#N/A</v>
      </c>
      <c r="DO2012" t="e">
        <f t="shared" si="116"/>
        <v>#N/A</v>
      </c>
    </row>
    <row r="2013" spans="7:119" x14ac:dyDescent="0.25">
      <c r="G2013"/>
      <c r="DI2013" s="4">
        <f>INDEX(Sheet2!A:A,QUOTIENT(ROW()-1,19)+2)</f>
        <v>41444</v>
      </c>
      <c r="DJ2013" s="4">
        <f>INDEX(Sheet2!C:C,QUOTIENT(ROW()-1,19)+2)</f>
        <v>42369</v>
      </c>
      <c r="DK2013" s="4" t="e">
        <f>INDEX(Sheet2!$AA$2:$AS$228,QUOTIENT(ROW()-1,19)+1,MOD(ROW()-2,19)+1)</f>
        <v>#N/A</v>
      </c>
      <c r="DL2013" t="str">
        <f>IFERROR(INDEX(Sheet2!$AU$2:$BM$228,QUOTIENT(ROW()-1,19)+1,MOD(ROW()-2,19)+1),NA())</f>
        <v/>
      </c>
      <c r="DM2013" s="4" t="e">
        <f t="shared" si="114"/>
        <v>#N/A</v>
      </c>
      <c r="DN2013" t="e">
        <f t="shared" si="115"/>
        <v>#N/A</v>
      </c>
      <c r="DO2013" t="e">
        <f t="shared" si="116"/>
        <v>#N/A</v>
      </c>
    </row>
    <row r="2014" spans="7:119" x14ac:dyDescent="0.25">
      <c r="G2014"/>
      <c r="DI2014" s="4">
        <f>INDEX(Sheet2!A:A,QUOTIENT(ROW()-1,19)+2)</f>
        <v>41444</v>
      </c>
      <c r="DJ2014" s="4">
        <f>INDEX(Sheet2!C:C,QUOTIENT(ROW()-1,19)+2)</f>
        <v>42369</v>
      </c>
      <c r="DK2014" s="4" t="e">
        <f>INDEX(Sheet2!$AA$2:$AS$228,QUOTIENT(ROW()-1,19)+1,MOD(ROW()-2,19)+1)</f>
        <v>#N/A</v>
      </c>
      <c r="DL2014" t="str">
        <f>IFERROR(INDEX(Sheet2!$AU$2:$BM$228,QUOTIENT(ROW()-1,19)+1,MOD(ROW()-2,19)+1),NA())</f>
        <v/>
      </c>
      <c r="DM2014" s="4" t="e">
        <f t="shared" si="114"/>
        <v>#N/A</v>
      </c>
      <c r="DN2014" t="e">
        <f t="shared" si="115"/>
        <v>#N/A</v>
      </c>
      <c r="DO2014" t="e">
        <f t="shared" si="116"/>
        <v>#N/A</v>
      </c>
    </row>
    <row r="2015" spans="7:119" x14ac:dyDescent="0.25">
      <c r="G2015"/>
      <c r="DI2015" s="4">
        <f>INDEX(Sheet2!A:A,QUOTIENT(ROW()-1,19)+2)</f>
        <v>41444</v>
      </c>
      <c r="DJ2015" s="4">
        <f>INDEX(Sheet2!C:C,QUOTIENT(ROW()-1,19)+2)</f>
        <v>42369</v>
      </c>
      <c r="DK2015" s="4" t="e">
        <f>INDEX(Sheet2!$AA$2:$AS$228,QUOTIENT(ROW()-1,19)+1,MOD(ROW()-2,19)+1)</f>
        <v>#N/A</v>
      </c>
      <c r="DL2015" t="str">
        <f>IFERROR(INDEX(Sheet2!$AU$2:$BM$228,QUOTIENT(ROW()-1,19)+1,MOD(ROW()-2,19)+1),NA())</f>
        <v/>
      </c>
      <c r="DM2015" s="4" t="e">
        <f t="shared" si="114"/>
        <v>#N/A</v>
      </c>
      <c r="DN2015" t="e">
        <f t="shared" si="115"/>
        <v>#N/A</v>
      </c>
      <c r="DO2015" t="e">
        <f t="shared" si="116"/>
        <v>#N/A</v>
      </c>
    </row>
    <row r="2016" spans="7:119" x14ac:dyDescent="0.25">
      <c r="G2016"/>
      <c r="DI2016" s="4">
        <f>INDEX(Sheet2!A:A,QUOTIENT(ROW()-1,19)+2)</f>
        <v>41444</v>
      </c>
      <c r="DJ2016" s="4">
        <f>INDEX(Sheet2!C:C,QUOTIENT(ROW()-1,19)+2)</f>
        <v>42369</v>
      </c>
      <c r="DK2016" s="4">
        <f>INDEX(Sheet2!$AA$2:$AS$228,QUOTIENT(ROW()-1,19)+1,MOD(ROW()-2,19)+1)</f>
        <v>42338.887499999997</v>
      </c>
      <c r="DL2016">
        <f>IFERROR(INDEX(Sheet2!$AU$2:$BM$228,QUOTIENT(ROW()-1,19)+1,MOD(ROW()-2,19)+1),NA())</f>
        <v>1</v>
      </c>
      <c r="DM2016" s="4" t="e">
        <f t="shared" si="114"/>
        <v>#N/A</v>
      </c>
      <c r="DN2016" t="e">
        <f t="shared" si="115"/>
        <v>#N/A</v>
      </c>
      <c r="DO2016" t="e">
        <f t="shared" si="116"/>
        <v>#N/A</v>
      </c>
    </row>
    <row r="2017" spans="7:119" x14ac:dyDescent="0.25">
      <c r="G2017"/>
      <c r="DI2017" s="4">
        <f>INDEX(Sheet2!A:A,QUOTIENT(ROW()-1,19)+2)</f>
        <v>41444</v>
      </c>
      <c r="DJ2017" s="4">
        <f>INDEX(Sheet2!C:C,QUOTIENT(ROW()-1,19)+2)</f>
        <v>42369</v>
      </c>
      <c r="DK2017" s="4">
        <f>INDEX(Sheet2!$AA$2:$AS$228,QUOTIENT(ROW()-1,19)+1,MOD(ROW()-2,19)+1)</f>
        <v>42358.962500000001</v>
      </c>
      <c r="DL2017">
        <f>IFERROR(INDEX(Sheet2!$AU$2:$BM$228,QUOTIENT(ROW()-1,19)+1,MOD(ROW()-2,19)+1),NA())</f>
        <v>1</v>
      </c>
      <c r="DM2017" s="4" t="e">
        <f t="shared" si="114"/>
        <v>#N/A</v>
      </c>
      <c r="DN2017" t="e">
        <f t="shared" si="115"/>
        <v>#N/A</v>
      </c>
      <c r="DO2017" t="e">
        <f t="shared" si="116"/>
        <v>#N/A</v>
      </c>
    </row>
    <row r="2018" spans="7:119" x14ac:dyDescent="0.25">
      <c r="G2018"/>
      <c r="DI2018" s="4">
        <f>INDEX(Sheet2!A:A,QUOTIENT(ROW()-1,19)+2)</f>
        <v>41444</v>
      </c>
      <c r="DJ2018" s="4">
        <f>INDEX(Sheet2!C:C,QUOTIENT(ROW()-1,19)+2)</f>
        <v>42369</v>
      </c>
      <c r="DK2018" s="4">
        <f>INDEX(Sheet2!$AA$2:$AS$228,QUOTIENT(ROW()-1,19)+1,MOD(ROW()-2,19)+1)</f>
        <v>42379.037499999999</v>
      </c>
      <c r="DL2018">
        <f>IFERROR(INDEX(Sheet2!$AU$2:$BM$228,QUOTIENT(ROW()-1,19)+1,MOD(ROW()-2,19)+1),NA())</f>
        <v>1</v>
      </c>
      <c r="DM2018" s="4" t="e">
        <f t="shared" si="114"/>
        <v>#N/A</v>
      </c>
      <c r="DN2018" t="e">
        <f t="shared" si="115"/>
        <v>#N/A</v>
      </c>
      <c r="DO2018" t="e">
        <f t="shared" si="116"/>
        <v>#N/A</v>
      </c>
    </row>
    <row r="2019" spans="7:119" x14ac:dyDescent="0.25">
      <c r="G2019"/>
      <c r="DI2019" s="4">
        <f>INDEX(Sheet2!A:A,QUOTIENT(ROW()-1,19)+2)</f>
        <v>41444</v>
      </c>
      <c r="DJ2019" s="4">
        <f>INDEX(Sheet2!C:C,QUOTIENT(ROW()-1,19)+2)</f>
        <v>42369</v>
      </c>
      <c r="DK2019" s="4">
        <f>INDEX(Sheet2!$AA$2:$AS$228,QUOTIENT(ROW()-1,19)+1,MOD(ROW()-2,19)+1)</f>
        <v>42399.112500000003</v>
      </c>
      <c r="DL2019">
        <f>IFERROR(INDEX(Sheet2!$AU$2:$BM$228,QUOTIENT(ROW()-1,19)+1,MOD(ROW()-2,19)+1),NA())</f>
        <v>1</v>
      </c>
      <c r="DM2019" s="4" t="e">
        <f t="shared" si="114"/>
        <v>#N/A</v>
      </c>
      <c r="DN2019" t="e">
        <f t="shared" si="115"/>
        <v>#N/A</v>
      </c>
      <c r="DO2019" t="e">
        <f t="shared" si="116"/>
        <v>#N/A</v>
      </c>
    </row>
    <row r="2020" spans="7:119" x14ac:dyDescent="0.25">
      <c r="G2020"/>
      <c r="DI2020" s="4">
        <f>INDEX(Sheet2!A:A,QUOTIENT(ROW()-1,19)+2)</f>
        <v>41444</v>
      </c>
      <c r="DJ2020" s="4">
        <f>INDEX(Sheet2!C:C,QUOTIENT(ROW()-1,19)+2)</f>
        <v>42369</v>
      </c>
      <c r="DK2020" s="4" t="e">
        <f>INDEX(Sheet2!$AA$2:$AS$228,QUOTIENT(ROW()-1,19)+1,MOD(ROW()-2,19)+1)</f>
        <v>#N/A</v>
      </c>
      <c r="DL2020" t="str">
        <f>IFERROR(INDEX(Sheet2!$AU$2:$BM$228,QUOTIENT(ROW()-1,19)+1,MOD(ROW()-2,19)+1),NA())</f>
        <v/>
      </c>
      <c r="DM2020" s="4" t="e">
        <f t="shared" si="114"/>
        <v>#N/A</v>
      </c>
      <c r="DN2020" t="e">
        <f t="shared" si="115"/>
        <v>#N/A</v>
      </c>
      <c r="DO2020" t="e">
        <f t="shared" si="116"/>
        <v>#N/A</v>
      </c>
    </row>
    <row r="2021" spans="7:119" x14ac:dyDescent="0.25">
      <c r="G2021"/>
      <c r="DI2021" s="4">
        <f>INDEX(Sheet2!A:A,QUOTIENT(ROW()-1,19)+2)</f>
        <v>41444</v>
      </c>
      <c r="DJ2021" s="4">
        <f>INDEX(Sheet2!C:C,QUOTIENT(ROW()-1,19)+2)</f>
        <v>42369</v>
      </c>
      <c r="DK2021" s="4" t="e">
        <f>INDEX(Sheet2!$AA$2:$AS$228,QUOTIENT(ROW()-1,19)+1,MOD(ROW()-2,19)+1)</f>
        <v>#N/A</v>
      </c>
      <c r="DL2021" t="str">
        <f>IFERROR(INDEX(Sheet2!$AU$2:$BM$228,QUOTIENT(ROW()-1,19)+1,MOD(ROW()-2,19)+1),NA())</f>
        <v/>
      </c>
      <c r="DM2021" s="4" t="e">
        <f t="shared" si="114"/>
        <v>#N/A</v>
      </c>
      <c r="DN2021" t="e">
        <f t="shared" si="115"/>
        <v>#N/A</v>
      </c>
      <c r="DO2021" t="e">
        <f t="shared" si="116"/>
        <v>#N/A</v>
      </c>
    </row>
    <row r="2022" spans="7:119" x14ac:dyDescent="0.25">
      <c r="G2022"/>
      <c r="DI2022" s="4">
        <f>INDEX(Sheet2!A:A,QUOTIENT(ROW()-1,19)+2)</f>
        <v>41444</v>
      </c>
      <c r="DJ2022" s="4">
        <f>INDEX(Sheet2!C:C,QUOTIENT(ROW()-1,19)+2)</f>
        <v>42369</v>
      </c>
      <c r="DK2022" s="4" t="e">
        <f>INDEX(Sheet2!$AA$2:$AS$228,QUOTIENT(ROW()-1,19)+1,MOD(ROW()-2,19)+1)</f>
        <v>#N/A</v>
      </c>
      <c r="DL2022" t="str">
        <f>IFERROR(INDEX(Sheet2!$AU$2:$BM$228,QUOTIENT(ROW()-1,19)+1,MOD(ROW()-2,19)+1),NA())</f>
        <v/>
      </c>
      <c r="DM2022" s="4" t="e">
        <f t="shared" si="114"/>
        <v>#N/A</v>
      </c>
      <c r="DN2022" t="e">
        <f t="shared" si="115"/>
        <v>#N/A</v>
      </c>
      <c r="DO2022" t="e">
        <f t="shared" si="116"/>
        <v>#N/A</v>
      </c>
    </row>
    <row r="2023" spans="7:119" x14ac:dyDescent="0.25">
      <c r="G2023"/>
      <c r="DI2023" s="4">
        <f>INDEX(Sheet2!A:A,QUOTIENT(ROW()-1,19)+2)</f>
        <v>41444</v>
      </c>
      <c r="DJ2023" s="4">
        <f>INDEX(Sheet2!C:C,QUOTIENT(ROW()-1,19)+2)</f>
        <v>42369</v>
      </c>
      <c r="DK2023" s="4" t="e">
        <f>INDEX(Sheet2!$AA$2:$AS$228,QUOTIENT(ROW()-1,19)+1,MOD(ROW()-2,19)+1)</f>
        <v>#N/A</v>
      </c>
      <c r="DL2023" t="str">
        <f>IFERROR(INDEX(Sheet2!$AU$2:$BM$228,QUOTIENT(ROW()-1,19)+1,MOD(ROW()-2,19)+1),NA())</f>
        <v/>
      </c>
      <c r="DM2023" s="4" t="e">
        <f t="shared" si="114"/>
        <v>#N/A</v>
      </c>
      <c r="DN2023" t="e">
        <f t="shared" si="115"/>
        <v>#N/A</v>
      </c>
      <c r="DO2023" t="e">
        <f t="shared" si="116"/>
        <v>#N/A</v>
      </c>
    </row>
    <row r="2024" spans="7:119" x14ac:dyDescent="0.25">
      <c r="G2024"/>
      <c r="DI2024" s="4">
        <f>INDEX(Sheet2!A:A,QUOTIENT(ROW()-1,19)+2)</f>
        <v>41444</v>
      </c>
      <c r="DJ2024" s="4">
        <f>INDEX(Sheet2!C:C,QUOTIENT(ROW()-1,19)+2)</f>
        <v>42369</v>
      </c>
      <c r="DK2024" s="4" t="e">
        <f>INDEX(Sheet2!$AA$2:$AS$228,QUOTIENT(ROW()-1,19)+1,MOD(ROW()-2,19)+1)</f>
        <v>#N/A</v>
      </c>
      <c r="DL2024" t="str">
        <f>IFERROR(INDEX(Sheet2!$AU$2:$BM$228,QUOTIENT(ROW()-1,19)+1,MOD(ROW()-2,19)+1),NA())</f>
        <v/>
      </c>
      <c r="DM2024" s="4" t="e">
        <f t="shared" si="114"/>
        <v>#N/A</v>
      </c>
      <c r="DN2024" t="e">
        <f t="shared" si="115"/>
        <v>#N/A</v>
      </c>
      <c r="DO2024" t="e">
        <f t="shared" si="116"/>
        <v>#N/A</v>
      </c>
    </row>
    <row r="2025" spans="7:119" x14ac:dyDescent="0.25">
      <c r="G2025"/>
      <c r="DI2025" s="4">
        <f>INDEX(Sheet2!A:A,QUOTIENT(ROW()-1,19)+2)</f>
        <v>41444</v>
      </c>
      <c r="DJ2025" s="4">
        <f>INDEX(Sheet2!C:C,QUOTIENT(ROW()-1,19)+2)</f>
        <v>42369</v>
      </c>
      <c r="DK2025" s="4" t="e">
        <f>INDEX(Sheet2!$AA$2:$AS$228,QUOTIENT(ROW()-1,19)+1,MOD(ROW()-2,19)+1)</f>
        <v>#N/A</v>
      </c>
      <c r="DL2025" t="str">
        <f>IFERROR(INDEX(Sheet2!$AU$2:$BM$228,QUOTIENT(ROW()-1,19)+1,MOD(ROW()-2,19)+1),NA())</f>
        <v/>
      </c>
      <c r="DM2025" s="4" t="e">
        <f t="shared" si="114"/>
        <v>#N/A</v>
      </c>
      <c r="DN2025" t="e">
        <f t="shared" si="115"/>
        <v>#N/A</v>
      </c>
      <c r="DO2025" t="e">
        <f t="shared" si="116"/>
        <v>#N/A</v>
      </c>
    </row>
    <row r="2026" spans="7:119" x14ac:dyDescent="0.25">
      <c r="G2026"/>
      <c r="DI2026" s="4">
        <f>INDEX(Sheet2!A:A,QUOTIENT(ROW()-1,19)+2)</f>
        <v>41444</v>
      </c>
      <c r="DJ2026" s="4">
        <f>INDEX(Sheet2!C:C,QUOTIENT(ROW()-1,19)+2)</f>
        <v>42369</v>
      </c>
      <c r="DK2026" s="4" t="e">
        <f>INDEX(Sheet2!$AA$2:$AS$228,QUOTIENT(ROW()-1,19)+1,MOD(ROW()-2,19)+1)</f>
        <v>#N/A</v>
      </c>
      <c r="DL2026" t="str">
        <f>IFERROR(INDEX(Sheet2!$AU$2:$BM$228,QUOTIENT(ROW()-1,19)+1,MOD(ROW()-2,19)+1),NA())</f>
        <v/>
      </c>
      <c r="DM2026" s="4" t="e">
        <f t="shared" si="114"/>
        <v>#N/A</v>
      </c>
      <c r="DN2026" t="e">
        <f t="shared" si="115"/>
        <v>#N/A</v>
      </c>
      <c r="DO2026" t="e">
        <f t="shared" si="116"/>
        <v>#N/A</v>
      </c>
    </row>
    <row r="2027" spans="7:119" x14ac:dyDescent="0.25">
      <c r="G2027"/>
      <c r="DI2027" s="4">
        <f>INDEX(Sheet2!A:A,QUOTIENT(ROW()-1,19)+2)</f>
        <v>41444</v>
      </c>
      <c r="DJ2027" s="4">
        <f>INDEX(Sheet2!C:C,QUOTIENT(ROW()-1,19)+2)</f>
        <v>42369</v>
      </c>
      <c r="DK2027" s="4" t="e">
        <f>INDEX(Sheet2!$AA$2:$AS$228,QUOTIENT(ROW()-1,19)+1,MOD(ROW()-2,19)+1)</f>
        <v>#N/A</v>
      </c>
      <c r="DL2027" t="str">
        <f>IFERROR(INDEX(Sheet2!$AU$2:$BM$228,QUOTIENT(ROW()-1,19)+1,MOD(ROW()-2,19)+1),NA())</f>
        <v/>
      </c>
      <c r="DM2027" s="4" t="e">
        <f t="shared" si="114"/>
        <v>#N/A</v>
      </c>
      <c r="DN2027" t="e">
        <f t="shared" si="115"/>
        <v>#N/A</v>
      </c>
      <c r="DO2027" t="e">
        <f t="shared" si="116"/>
        <v>#N/A</v>
      </c>
    </row>
    <row r="2028" spans="7:119" x14ac:dyDescent="0.25">
      <c r="G2028"/>
      <c r="DI2028" s="4">
        <f>INDEX(Sheet2!A:A,QUOTIENT(ROW()-1,19)+2)</f>
        <v>41444</v>
      </c>
      <c r="DJ2028" s="4">
        <f>INDEX(Sheet2!C:C,QUOTIENT(ROW()-1,19)+2)</f>
        <v>42369</v>
      </c>
      <c r="DK2028" s="4" t="e">
        <f>INDEX(Sheet2!$AA$2:$AS$228,QUOTIENT(ROW()-1,19)+1,MOD(ROW()-2,19)+1)</f>
        <v>#N/A</v>
      </c>
      <c r="DL2028" t="str">
        <f>IFERROR(INDEX(Sheet2!$AU$2:$BM$228,QUOTIENT(ROW()-1,19)+1,MOD(ROW()-2,19)+1),NA())</f>
        <v/>
      </c>
      <c r="DM2028" s="4" t="e">
        <f t="shared" si="114"/>
        <v>#N/A</v>
      </c>
      <c r="DN2028" t="e">
        <f t="shared" si="115"/>
        <v>#N/A</v>
      </c>
      <c r="DO2028" t="e">
        <f t="shared" si="116"/>
        <v>#N/A</v>
      </c>
    </row>
    <row r="2029" spans="7:119" x14ac:dyDescent="0.25">
      <c r="G2029"/>
      <c r="DI2029" s="4">
        <f>INDEX(Sheet2!A:A,QUOTIENT(ROW()-1,19)+2)</f>
        <v>41444</v>
      </c>
      <c r="DJ2029" s="4">
        <f>INDEX(Sheet2!C:C,QUOTIENT(ROW()-1,19)+2)</f>
        <v>42369</v>
      </c>
      <c r="DK2029" s="4" t="e">
        <f>INDEX(Sheet2!$AA$2:$AS$228,QUOTIENT(ROW()-1,19)+1,MOD(ROW()-2,19)+1)</f>
        <v>#N/A</v>
      </c>
      <c r="DL2029" t="str">
        <f>IFERROR(INDEX(Sheet2!$AU$2:$BM$228,QUOTIENT(ROW()-1,19)+1,MOD(ROW()-2,19)+1),NA())</f>
        <v/>
      </c>
      <c r="DM2029" s="4" t="e">
        <f t="shared" si="114"/>
        <v>#N/A</v>
      </c>
      <c r="DN2029" t="e">
        <f t="shared" si="115"/>
        <v>#N/A</v>
      </c>
      <c r="DO2029" t="e">
        <f t="shared" si="116"/>
        <v>#N/A</v>
      </c>
    </row>
    <row r="2030" spans="7:119" x14ac:dyDescent="0.25">
      <c r="G2030"/>
      <c r="DI2030" s="4">
        <f>INDEX(Sheet2!A:A,QUOTIENT(ROW()-1,19)+2)</f>
        <v>41444</v>
      </c>
      <c r="DJ2030" s="4">
        <f>INDEX(Sheet2!C:C,QUOTIENT(ROW()-1,19)+2)</f>
        <v>42369</v>
      </c>
      <c r="DK2030" s="4" t="e">
        <f>INDEX(Sheet2!$AA$2:$AS$228,QUOTIENT(ROW()-1,19)+1,MOD(ROW()-2,19)+1)</f>
        <v>#N/A</v>
      </c>
      <c r="DL2030" t="str">
        <f>IFERROR(INDEX(Sheet2!$AU$2:$BM$228,QUOTIENT(ROW()-1,19)+1,MOD(ROW()-2,19)+1),NA())</f>
        <v/>
      </c>
      <c r="DM2030" s="4" t="e">
        <f t="shared" si="114"/>
        <v>#N/A</v>
      </c>
      <c r="DN2030" t="e">
        <f t="shared" si="115"/>
        <v>#N/A</v>
      </c>
      <c r="DO2030" t="e">
        <f t="shared" si="116"/>
        <v>#N/A</v>
      </c>
    </row>
    <row r="2031" spans="7:119" x14ac:dyDescent="0.25">
      <c r="G2031"/>
      <c r="DI2031" s="4">
        <f>INDEX(Sheet2!A:A,QUOTIENT(ROW()-1,19)+2)</f>
        <v>41444</v>
      </c>
      <c r="DJ2031" s="4">
        <f>INDEX(Sheet2!C:C,QUOTIENT(ROW()-1,19)+2)</f>
        <v>42369</v>
      </c>
      <c r="DK2031" s="4" t="e">
        <f>INDEX(Sheet2!$AA$2:$AS$228,QUOTIENT(ROW()-1,19)+1,MOD(ROW()-2,19)+1)</f>
        <v>#N/A</v>
      </c>
      <c r="DL2031" t="str">
        <f>IFERROR(INDEX(Sheet2!$AU$2:$BM$228,QUOTIENT(ROW()-1,19)+1,MOD(ROW()-2,19)+1),NA())</f>
        <v/>
      </c>
      <c r="DM2031" s="4" t="e">
        <f t="shared" si="114"/>
        <v>#N/A</v>
      </c>
      <c r="DN2031" t="e">
        <f t="shared" si="115"/>
        <v>#N/A</v>
      </c>
      <c r="DO2031" t="e">
        <f t="shared" si="116"/>
        <v>#N/A</v>
      </c>
    </row>
    <row r="2032" spans="7:119" x14ac:dyDescent="0.25">
      <c r="G2032"/>
      <c r="DI2032" s="4">
        <f>INDEX(Sheet2!A:A,QUOTIENT(ROW()-1,19)+2)</f>
        <v>41444</v>
      </c>
      <c r="DJ2032" s="4">
        <f>INDEX(Sheet2!C:C,QUOTIENT(ROW()-1,19)+2)</f>
        <v>42369</v>
      </c>
      <c r="DK2032" s="4" t="e">
        <f>INDEX(Sheet2!$AA$2:$AS$228,QUOTIENT(ROW()-1,19)+1,MOD(ROW()-2,19)+1)</f>
        <v>#N/A</v>
      </c>
      <c r="DL2032" t="str">
        <f>IFERROR(INDEX(Sheet2!$AU$2:$BM$228,QUOTIENT(ROW()-1,19)+1,MOD(ROW()-2,19)+1),NA())</f>
        <v/>
      </c>
      <c r="DM2032" s="4" t="e">
        <f t="shared" si="114"/>
        <v>#N/A</v>
      </c>
      <c r="DN2032" t="e">
        <f t="shared" si="115"/>
        <v>#N/A</v>
      </c>
      <c r="DO2032" t="e">
        <f t="shared" si="116"/>
        <v>#N/A</v>
      </c>
    </row>
    <row r="2033" spans="7:119" x14ac:dyDescent="0.25">
      <c r="G2033"/>
      <c r="DI2033" s="4">
        <f>INDEX(Sheet2!A:A,QUOTIENT(ROW()-1,19)+2)</f>
        <v>41444</v>
      </c>
      <c r="DJ2033" s="4">
        <f>INDEX(Sheet2!C:C,QUOTIENT(ROW()-1,19)+2)</f>
        <v>42369</v>
      </c>
      <c r="DK2033" s="4" t="e">
        <f>INDEX(Sheet2!$AA$2:$AS$228,QUOTIENT(ROW()-1,19)+1,MOD(ROW()-2,19)+1)</f>
        <v>#N/A</v>
      </c>
      <c r="DL2033" t="str">
        <f>IFERROR(INDEX(Sheet2!$AU$2:$BM$228,QUOTIENT(ROW()-1,19)+1,MOD(ROW()-2,19)+1),NA())</f>
        <v/>
      </c>
      <c r="DM2033" s="4" t="e">
        <f t="shared" si="114"/>
        <v>#N/A</v>
      </c>
      <c r="DN2033" t="e">
        <f t="shared" si="115"/>
        <v>#N/A</v>
      </c>
      <c r="DO2033" t="e">
        <f t="shared" si="116"/>
        <v>#N/A</v>
      </c>
    </row>
    <row r="2034" spans="7:119" x14ac:dyDescent="0.25">
      <c r="G2034"/>
      <c r="DI2034" s="4">
        <f>INDEX(Sheet2!A:A,QUOTIENT(ROW()-1,19)+2)</f>
        <v>41444</v>
      </c>
      <c r="DJ2034" s="4">
        <f>INDEX(Sheet2!C:C,QUOTIENT(ROW()-1,19)+2)</f>
        <v>42369</v>
      </c>
      <c r="DK2034" s="4" t="e">
        <f>INDEX(Sheet2!$AA$2:$AS$228,QUOTIENT(ROW()-1,19)+1,MOD(ROW()-2,19)+1)</f>
        <v>#N/A</v>
      </c>
      <c r="DL2034" t="str">
        <f>IFERROR(INDEX(Sheet2!$AU$2:$BM$228,QUOTIENT(ROW()-1,19)+1,MOD(ROW()-2,19)+1),NA())</f>
        <v/>
      </c>
      <c r="DM2034" s="4" t="e">
        <f t="shared" si="114"/>
        <v>#N/A</v>
      </c>
      <c r="DN2034" t="e">
        <f t="shared" si="115"/>
        <v>#N/A</v>
      </c>
      <c r="DO2034" t="e">
        <f t="shared" si="116"/>
        <v>#N/A</v>
      </c>
    </row>
    <row r="2035" spans="7:119" x14ac:dyDescent="0.25">
      <c r="G2035"/>
      <c r="DI2035" s="4">
        <f>INDEX(Sheet2!A:A,QUOTIENT(ROW()-1,19)+2)</f>
        <v>41444</v>
      </c>
      <c r="DJ2035" s="4">
        <f>INDEX(Sheet2!C:C,QUOTIENT(ROW()-1,19)+2)</f>
        <v>42369</v>
      </c>
      <c r="DK2035" s="4">
        <f>INDEX(Sheet2!$AA$2:$AS$228,QUOTIENT(ROW()-1,19)+1,MOD(ROW()-2,19)+1)</f>
        <v>42358.962500000001</v>
      </c>
      <c r="DL2035">
        <f>IFERROR(INDEX(Sheet2!$AU$2:$BM$228,QUOTIENT(ROW()-1,19)+1,MOD(ROW()-2,19)+1),NA())</f>
        <v>1.25</v>
      </c>
      <c r="DM2035" s="4" t="e">
        <f t="shared" si="114"/>
        <v>#N/A</v>
      </c>
      <c r="DN2035" t="e">
        <f t="shared" si="115"/>
        <v>#N/A</v>
      </c>
      <c r="DO2035" t="e">
        <f t="shared" si="116"/>
        <v>#N/A</v>
      </c>
    </row>
    <row r="2036" spans="7:119" x14ac:dyDescent="0.25">
      <c r="G2036"/>
      <c r="DI2036" s="4">
        <f>INDEX(Sheet2!A:A,QUOTIENT(ROW()-1,19)+2)</f>
        <v>41444</v>
      </c>
      <c r="DJ2036" s="4">
        <f>INDEX(Sheet2!C:C,QUOTIENT(ROW()-1,19)+2)</f>
        <v>42369</v>
      </c>
      <c r="DK2036" s="4">
        <f>INDEX(Sheet2!$AA$2:$AS$228,QUOTIENT(ROW()-1,19)+1,MOD(ROW()-2,19)+1)</f>
        <v>42379.037500000006</v>
      </c>
      <c r="DL2036">
        <f>IFERROR(INDEX(Sheet2!$AU$2:$BM$228,QUOTIENT(ROW()-1,19)+1,MOD(ROW()-2,19)+1),NA())</f>
        <v>1.25</v>
      </c>
      <c r="DM2036" s="4" t="e">
        <f t="shared" si="114"/>
        <v>#N/A</v>
      </c>
      <c r="DN2036" t="e">
        <f t="shared" si="115"/>
        <v>#N/A</v>
      </c>
      <c r="DO2036" t="e">
        <f t="shared" si="116"/>
        <v>#N/A</v>
      </c>
    </row>
    <row r="2037" spans="7:119" x14ac:dyDescent="0.25">
      <c r="G2037"/>
      <c r="DI2037" s="4">
        <f>INDEX(Sheet2!A:A,QUOTIENT(ROW()-1,19)+2)</f>
        <v>41444</v>
      </c>
      <c r="DJ2037" s="4">
        <f>INDEX(Sheet2!C:C,QUOTIENT(ROW()-1,19)+2)</f>
        <v>42369</v>
      </c>
      <c r="DK2037" s="4" t="e">
        <f>INDEX(Sheet2!$AA$2:$AS$228,QUOTIENT(ROW()-1,19)+1,MOD(ROW()-2,19)+1)</f>
        <v>#N/A</v>
      </c>
      <c r="DL2037" t="str">
        <f>IFERROR(INDEX(Sheet2!$AU$2:$BM$228,QUOTIENT(ROW()-1,19)+1,MOD(ROW()-2,19)+1),NA())</f>
        <v/>
      </c>
      <c r="DM2037" s="4" t="e">
        <f t="shared" si="114"/>
        <v>#N/A</v>
      </c>
      <c r="DN2037" t="e">
        <f t="shared" si="115"/>
        <v>#N/A</v>
      </c>
      <c r="DO2037" t="e">
        <f t="shared" si="116"/>
        <v>#N/A</v>
      </c>
    </row>
    <row r="2038" spans="7:119" x14ac:dyDescent="0.25">
      <c r="G2038"/>
      <c r="DI2038" s="4">
        <f>INDEX(Sheet2!A:A,QUOTIENT(ROW()-1,19)+2)</f>
        <v>41444</v>
      </c>
      <c r="DJ2038" s="4">
        <f>INDEX(Sheet2!C:C,QUOTIENT(ROW()-1,19)+2)</f>
        <v>42369</v>
      </c>
      <c r="DK2038" s="4" t="e">
        <f>INDEX(Sheet2!$AA$2:$AS$228,QUOTIENT(ROW()-1,19)+1,MOD(ROW()-2,19)+1)</f>
        <v>#N/A</v>
      </c>
      <c r="DL2038" t="str">
        <f>IFERROR(INDEX(Sheet2!$AU$2:$BM$228,QUOTIENT(ROW()-1,19)+1,MOD(ROW()-2,19)+1),NA())</f>
        <v/>
      </c>
      <c r="DM2038" s="4" t="e">
        <f t="shared" si="114"/>
        <v>#N/A</v>
      </c>
      <c r="DN2038" t="e">
        <f t="shared" si="115"/>
        <v>#N/A</v>
      </c>
      <c r="DO2038" t="e">
        <f t="shared" si="116"/>
        <v>#N/A</v>
      </c>
    </row>
    <row r="2039" spans="7:119" x14ac:dyDescent="0.25">
      <c r="G2039"/>
      <c r="DI2039" s="4">
        <f>INDEX(Sheet2!A:A,QUOTIENT(ROW()-1,19)+2)</f>
        <v>41444</v>
      </c>
      <c r="DJ2039" s="4">
        <f>INDEX(Sheet2!C:C,QUOTIENT(ROW()-1,19)+2)</f>
        <v>42369</v>
      </c>
      <c r="DK2039" s="4" t="e">
        <f>INDEX(Sheet2!$AA$2:$AS$228,QUOTIENT(ROW()-1,19)+1,MOD(ROW()-2,19)+1)</f>
        <v>#N/A</v>
      </c>
      <c r="DL2039" t="str">
        <f>IFERROR(INDEX(Sheet2!$AU$2:$BM$228,QUOTIENT(ROW()-1,19)+1,MOD(ROW()-2,19)+1),NA())</f>
        <v/>
      </c>
      <c r="DM2039" s="4" t="e">
        <f t="shared" si="114"/>
        <v>#N/A</v>
      </c>
      <c r="DN2039" t="e">
        <f t="shared" si="115"/>
        <v>#N/A</v>
      </c>
      <c r="DO2039" t="e">
        <f t="shared" si="116"/>
        <v>#N/A</v>
      </c>
    </row>
    <row r="2040" spans="7:119" x14ac:dyDescent="0.25">
      <c r="G2040"/>
      <c r="DI2040" s="4">
        <f>INDEX(Sheet2!A:A,QUOTIENT(ROW()-1,19)+2)</f>
        <v>41444</v>
      </c>
      <c r="DJ2040" s="4">
        <f>INDEX(Sheet2!C:C,QUOTIENT(ROW()-1,19)+2)</f>
        <v>42369</v>
      </c>
      <c r="DK2040" s="4" t="e">
        <f>INDEX(Sheet2!$AA$2:$AS$228,QUOTIENT(ROW()-1,19)+1,MOD(ROW()-2,19)+1)</f>
        <v>#N/A</v>
      </c>
      <c r="DL2040" t="str">
        <f>IFERROR(INDEX(Sheet2!$AU$2:$BM$228,QUOTIENT(ROW()-1,19)+1,MOD(ROW()-2,19)+1),NA())</f>
        <v/>
      </c>
      <c r="DM2040" s="4" t="e">
        <f t="shared" si="114"/>
        <v>#N/A</v>
      </c>
      <c r="DN2040" t="e">
        <f t="shared" si="115"/>
        <v>#N/A</v>
      </c>
      <c r="DO2040" t="e">
        <f t="shared" si="116"/>
        <v>#N/A</v>
      </c>
    </row>
    <row r="2041" spans="7:119" x14ac:dyDescent="0.25">
      <c r="G2041"/>
      <c r="DI2041" s="4">
        <f>INDEX(Sheet2!A:A,QUOTIENT(ROW()-1,19)+2)</f>
        <v>41444</v>
      </c>
      <c r="DJ2041" s="4">
        <f>INDEX(Sheet2!C:C,QUOTIENT(ROW()-1,19)+2)</f>
        <v>42369</v>
      </c>
      <c r="DK2041" s="4" t="e">
        <f>INDEX(Sheet2!$AA$2:$AS$228,QUOTIENT(ROW()-1,19)+1,MOD(ROW()-2,19)+1)</f>
        <v>#N/A</v>
      </c>
      <c r="DL2041" t="str">
        <f>IFERROR(INDEX(Sheet2!$AU$2:$BM$228,QUOTIENT(ROW()-1,19)+1,MOD(ROW()-2,19)+1),NA())</f>
        <v/>
      </c>
      <c r="DM2041" s="4" t="e">
        <f t="shared" si="114"/>
        <v>#N/A</v>
      </c>
      <c r="DN2041" t="e">
        <f t="shared" si="115"/>
        <v>#N/A</v>
      </c>
      <c r="DO2041" t="e">
        <f t="shared" si="116"/>
        <v>#N/A</v>
      </c>
    </row>
    <row r="2042" spans="7:119" x14ac:dyDescent="0.25">
      <c r="G2042"/>
      <c r="DI2042" s="4">
        <f>INDEX(Sheet2!A:A,QUOTIENT(ROW()-1,19)+2)</f>
        <v>41444</v>
      </c>
      <c r="DJ2042" s="4">
        <f>INDEX(Sheet2!C:C,QUOTIENT(ROW()-1,19)+2)</f>
        <v>42369</v>
      </c>
      <c r="DK2042" s="4" t="e">
        <f>INDEX(Sheet2!$AA$2:$AS$228,QUOTIENT(ROW()-1,19)+1,MOD(ROW()-2,19)+1)</f>
        <v>#N/A</v>
      </c>
      <c r="DL2042" t="str">
        <f>IFERROR(INDEX(Sheet2!$AU$2:$BM$228,QUOTIENT(ROW()-1,19)+1,MOD(ROW()-2,19)+1),NA())</f>
        <v/>
      </c>
      <c r="DM2042" s="4" t="e">
        <f t="shared" si="114"/>
        <v>#N/A</v>
      </c>
      <c r="DN2042" t="e">
        <f t="shared" si="115"/>
        <v>#N/A</v>
      </c>
      <c r="DO2042" t="e">
        <f t="shared" si="116"/>
        <v>#N/A</v>
      </c>
    </row>
    <row r="2043" spans="7:119" x14ac:dyDescent="0.25">
      <c r="G2043"/>
      <c r="DI2043" s="4">
        <f>INDEX(Sheet2!A:A,QUOTIENT(ROW()-1,19)+2)</f>
        <v>41444</v>
      </c>
      <c r="DJ2043" s="4">
        <f>INDEX(Sheet2!C:C,QUOTIENT(ROW()-1,19)+2)</f>
        <v>42369</v>
      </c>
      <c r="DK2043" s="4" t="e">
        <f>INDEX(Sheet2!$AA$2:$AS$228,QUOTIENT(ROW()-1,19)+1,MOD(ROW()-2,19)+1)</f>
        <v>#N/A</v>
      </c>
      <c r="DL2043" t="str">
        <f>IFERROR(INDEX(Sheet2!$AU$2:$BM$228,QUOTIENT(ROW()-1,19)+1,MOD(ROW()-2,19)+1),NA())</f>
        <v/>
      </c>
      <c r="DM2043" s="4" t="e">
        <f t="shared" si="114"/>
        <v>#N/A</v>
      </c>
      <c r="DN2043" t="e">
        <f t="shared" si="115"/>
        <v>#N/A</v>
      </c>
      <c r="DO2043" t="e">
        <f t="shared" si="116"/>
        <v>#N/A</v>
      </c>
    </row>
    <row r="2044" spans="7:119" x14ac:dyDescent="0.25">
      <c r="G2044"/>
      <c r="DI2044" s="4">
        <f>INDEX(Sheet2!A:A,QUOTIENT(ROW()-1,19)+2)</f>
        <v>41444</v>
      </c>
      <c r="DJ2044" s="4">
        <f>INDEX(Sheet2!C:C,QUOTIENT(ROW()-1,19)+2)</f>
        <v>42369</v>
      </c>
      <c r="DK2044" s="4" t="e">
        <f>INDEX(Sheet2!$AA$2:$AS$228,QUOTIENT(ROW()-1,19)+1,MOD(ROW()-2,19)+1)</f>
        <v>#N/A</v>
      </c>
      <c r="DL2044" t="str">
        <f>IFERROR(INDEX(Sheet2!$AU$2:$BM$228,QUOTIENT(ROW()-1,19)+1,MOD(ROW()-2,19)+1),NA())</f>
        <v/>
      </c>
      <c r="DM2044" s="4" t="e">
        <f t="shared" si="114"/>
        <v>#N/A</v>
      </c>
      <c r="DN2044" t="e">
        <f t="shared" si="115"/>
        <v>#N/A</v>
      </c>
      <c r="DO2044" t="e">
        <f t="shared" si="116"/>
        <v>#N/A</v>
      </c>
    </row>
    <row r="2045" spans="7:119" x14ac:dyDescent="0.25">
      <c r="G2045"/>
      <c r="DI2045" s="4">
        <f>INDEX(Sheet2!A:A,QUOTIENT(ROW()-1,19)+2)</f>
        <v>41444</v>
      </c>
      <c r="DJ2045" s="4">
        <f>INDEX(Sheet2!C:C,QUOTIENT(ROW()-1,19)+2)</f>
        <v>42369</v>
      </c>
      <c r="DK2045" s="4" t="e">
        <f>INDEX(Sheet2!$AA$2:$AS$228,QUOTIENT(ROW()-1,19)+1,MOD(ROW()-2,19)+1)</f>
        <v>#N/A</v>
      </c>
      <c r="DL2045" t="str">
        <f>IFERROR(INDEX(Sheet2!$AU$2:$BM$228,QUOTIENT(ROW()-1,19)+1,MOD(ROW()-2,19)+1),NA())</f>
        <v/>
      </c>
      <c r="DM2045" s="4" t="e">
        <f t="shared" si="114"/>
        <v>#N/A</v>
      </c>
      <c r="DN2045" t="e">
        <f t="shared" si="115"/>
        <v>#N/A</v>
      </c>
      <c r="DO2045" t="e">
        <f t="shared" si="116"/>
        <v>#N/A</v>
      </c>
    </row>
    <row r="2046" spans="7:119" x14ac:dyDescent="0.25">
      <c r="G2046"/>
      <c r="DI2046" s="4">
        <f>INDEX(Sheet2!A:A,QUOTIENT(ROW()-1,19)+2)</f>
        <v>41444</v>
      </c>
      <c r="DJ2046" s="4">
        <f>INDEX(Sheet2!C:C,QUOTIENT(ROW()-1,19)+2)</f>
        <v>42369</v>
      </c>
      <c r="DK2046" s="4" t="e">
        <f>INDEX(Sheet2!$AA$2:$AS$228,QUOTIENT(ROW()-1,19)+1,MOD(ROW()-2,19)+1)</f>
        <v>#N/A</v>
      </c>
      <c r="DL2046" t="str">
        <f>IFERROR(INDEX(Sheet2!$AU$2:$BM$228,QUOTIENT(ROW()-1,19)+1,MOD(ROW()-2,19)+1),NA())</f>
        <v/>
      </c>
      <c r="DM2046" s="4" t="e">
        <f t="shared" si="114"/>
        <v>#N/A</v>
      </c>
      <c r="DN2046" t="e">
        <f t="shared" si="115"/>
        <v>#N/A</v>
      </c>
      <c r="DO2046" t="e">
        <f t="shared" si="116"/>
        <v>#N/A</v>
      </c>
    </row>
    <row r="2047" spans="7:119" x14ac:dyDescent="0.25">
      <c r="G2047"/>
      <c r="DI2047" s="4">
        <f>INDEX(Sheet2!A:A,QUOTIENT(ROW()-1,19)+2)</f>
        <v>41444</v>
      </c>
      <c r="DJ2047" s="4">
        <f>INDEX(Sheet2!C:C,QUOTIENT(ROW()-1,19)+2)</f>
        <v>42369</v>
      </c>
      <c r="DK2047" s="4" t="e">
        <f>INDEX(Sheet2!$AA$2:$AS$228,QUOTIENT(ROW()-1,19)+1,MOD(ROW()-2,19)+1)</f>
        <v>#N/A</v>
      </c>
      <c r="DL2047" t="str">
        <f>IFERROR(INDEX(Sheet2!$AU$2:$BM$228,QUOTIENT(ROW()-1,19)+1,MOD(ROW()-2,19)+1),NA())</f>
        <v/>
      </c>
      <c r="DM2047" s="4" t="e">
        <f t="shared" si="114"/>
        <v>#N/A</v>
      </c>
      <c r="DN2047" t="e">
        <f t="shared" si="115"/>
        <v>#N/A</v>
      </c>
      <c r="DO2047" t="e">
        <f t="shared" si="116"/>
        <v>#N/A</v>
      </c>
    </row>
    <row r="2048" spans="7:119" x14ac:dyDescent="0.25">
      <c r="G2048"/>
      <c r="DI2048" s="4">
        <f>INDEX(Sheet2!A:A,QUOTIENT(ROW()-1,19)+2)</f>
        <v>41444</v>
      </c>
      <c r="DJ2048" s="4">
        <f>INDEX(Sheet2!C:C,QUOTIENT(ROW()-1,19)+2)</f>
        <v>42369</v>
      </c>
      <c r="DK2048" s="4" t="e">
        <f>INDEX(Sheet2!$AA$2:$AS$228,QUOTIENT(ROW()-1,19)+1,MOD(ROW()-2,19)+1)</f>
        <v>#N/A</v>
      </c>
      <c r="DL2048" t="str">
        <f>IFERROR(INDEX(Sheet2!$AU$2:$BM$228,QUOTIENT(ROW()-1,19)+1,MOD(ROW()-2,19)+1),NA())</f>
        <v/>
      </c>
      <c r="DM2048" s="4" t="e">
        <f t="shared" si="114"/>
        <v>#N/A</v>
      </c>
      <c r="DN2048" t="e">
        <f t="shared" si="115"/>
        <v>#N/A</v>
      </c>
      <c r="DO2048" t="e">
        <f t="shared" si="116"/>
        <v>#N/A</v>
      </c>
    </row>
    <row r="2049" spans="7:119" x14ac:dyDescent="0.25">
      <c r="G2049"/>
      <c r="DI2049" s="4">
        <f>INDEX(Sheet2!A:A,QUOTIENT(ROW()-1,19)+2)</f>
        <v>41444</v>
      </c>
      <c r="DJ2049" s="4">
        <f>INDEX(Sheet2!C:C,QUOTIENT(ROW()-1,19)+2)</f>
        <v>42369</v>
      </c>
      <c r="DK2049" s="4" t="e">
        <f>INDEX(Sheet2!$AA$2:$AS$228,QUOTIENT(ROW()-1,19)+1,MOD(ROW()-2,19)+1)</f>
        <v>#N/A</v>
      </c>
      <c r="DL2049" t="str">
        <f>IFERROR(INDEX(Sheet2!$AU$2:$BM$228,QUOTIENT(ROW()-1,19)+1,MOD(ROW()-2,19)+1),NA())</f>
        <v/>
      </c>
      <c r="DM2049" s="4" t="e">
        <f t="shared" si="114"/>
        <v>#N/A</v>
      </c>
      <c r="DN2049" t="e">
        <f t="shared" si="115"/>
        <v>#N/A</v>
      </c>
      <c r="DO2049" t="e">
        <f t="shared" si="116"/>
        <v>#N/A</v>
      </c>
    </row>
    <row r="2050" spans="7:119" x14ac:dyDescent="0.25">
      <c r="G2050"/>
      <c r="DI2050" s="4">
        <f>INDEX(Sheet2!A:A,QUOTIENT(ROW()-1,19)+2)</f>
        <v>41444</v>
      </c>
      <c r="DJ2050" s="4">
        <f>INDEX(Sheet2!C:C,QUOTIENT(ROW()-1,19)+2)</f>
        <v>42369</v>
      </c>
      <c r="DK2050" s="4" t="e">
        <f>INDEX(Sheet2!$AA$2:$AS$228,QUOTIENT(ROW()-1,19)+1,MOD(ROW()-2,19)+1)</f>
        <v>#N/A</v>
      </c>
      <c r="DL2050" t="str">
        <f>IFERROR(INDEX(Sheet2!$AU$2:$BM$228,QUOTIENT(ROW()-1,19)+1,MOD(ROW()-2,19)+1),NA())</f>
        <v/>
      </c>
      <c r="DM2050" s="4" t="e">
        <f t="shared" ref="DM2050:DM2113" si="117">+IF($C$2=$DI2050,DK2050,NA())</f>
        <v>#N/A</v>
      </c>
      <c r="DN2050" t="e">
        <f t="shared" ref="DN2050:DN2113" si="118">+IF($C$2=$DI2050,DL2050,NA())</f>
        <v>#N/A</v>
      </c>
      <c r="DO2050" t="e">
        <f t="shared" si="116"/>
        <v>#N/A</v>
      </c>
    </row>
    <row r="2051" spans="7:119" x14ac:dyDescent="0.25">
      <c r="G2051"/>
      <c r="DI2051" s="4">
        <f>INDEX(Sheet2!A:A,QUOTIENT(ROW()-1,19)+2)</f>
        <v>41444</v>
      </c>
      <c r="DJ2051" s="4">
        <f>INDEX(Sheet2!C:C,QUOTIENT(ROW()-1,19)+2)</f>
        <v>42369</v>
      </c>
      <c r="DK2051" s="4" t="e">
        <f>INDEX(Sheet2!$AA$2:$AS$228,QUOTIENT(ROW()-1,19)+1,MOD(ROW()-2,19)+1)</f>
        <v>#N/A</v>
      </c>
      <c r="DL2051" t="str">
        <f>IFERROR(INDEX(Sheet2!$AU$2:$BM$228,QUOTIENT(ROW()-1,19)+1,MOD(ROW()-2,19)+1),NA())</f>
        <v/>
      </c>
      <c r="DM2051" s="4" t="e">
        <f t="shared" si="117"/>
        <v>#N/A</v>
      </c>
      <c r="DN2051" t="e">
        <f t="shared" si="118"/>
        <v>#N/A</v>
      </c>
      <c r="DO2051" t="e">
        <f t="shared" ref="DO2051:DO2114" si="119">IF(DN2051="",NA(),DN2051)</f>
        <v>#N/A</v>
      </c>
    </row>
    <row r="2052" spans="7:119" x14ac:dyDescent="0.25">
      <c r="G2052"/>
      <c r="DI2052" s="4">
        <f>INDEX(Sheet2!A:A,QUOTIENT(ROW()-1,19)+2)</f>
        <v>41444</v>
      </c>
      <c r="DJ2052" s="4">
        <f>INDEX(Sheet2!C:C,QUOTIENT(ROW()-1,19)+2)</f>
        <v>42369</v>
      </c>
      <c r="DK2052" s="4" t="e">
        <f>INDEX(Sheet2!$AA$2:$AS$228,QUOTIENT(ROW()-1,19)+1,MOD(ROW()-2,19)+1)</f>
        <v>#N/A</v>
      </c>
      <c r="DL2052" t="str">
        <f>IFERROR(INDEX(Sheet2!$AU$2:$BM$228,QUOTIENT(ROW()-1,19)+1,MOD(ROW()-2,19)+1),NA())</f>
        <v/>
      </c>
      <c r="DM2052" s="4" t="e">
        <f t="shared" si="117"/>
        <v>#N/A</v>
      </c>
      <c r="DN2052" t="e">
        <f t="shared" si="118"/>
        <v>#N/A</v>
      </c>
      <c r="DO2052" t="e">
        <f t="shared" si="119"/>
        <v>#N/A</v>
      </c>
    </row>
    <row r="2053" spans="7:119" x14ac:dyDescent="0.25">
      <c r="G2053"/>
      <c r="DI2053" s="4">
        <f>INDEX(Sheet2!A:A,QUOTIENT(ROW()-1,19)+2)</f>
        <v>41444</v>
      </c>
      <c r="DJ2053" s="4">
        <f>INDEX(Sheet2!C:C,QUOTIENT(ROW()-1,19)+2)</f>
        <v>42369</v>
      </c>
      <c r="DK2053" s="4" t="e">
        <f>INDEX(Sheet2!$AA$2:$AS$228,QUOTIENT(ROW()-1,19)+1,MOD(ROW()-2,19)+1)</f>
        <v>#N/A</v>
      </c>
      <c r="DL2053" t="str">
        <f>IFERROR(INDEX(Sheet2!$AU$2:$BM$228,QUOTIENT(ROW()-1,19)+1,MOD(ROW()-2,19)+1),NA())</f>
        <v/>
      </c>
      <c r="DM2053" s="4" t="e">
        <f t="shared" si="117"/>
        <v>#N/A</v>
      </c>
      <c r="DN2053" t="e">
        <f t="shared" si="118"/>
        <v>#N/A</v>
      </c>
      <c r="DO2053" t="e">
        <f t="shared" si="119"/>
        <v>#N/A</v>
      </c>
    </row>
    <row r="2054" spans="7:119" x14ac:dyDescent="0.25">
      <c r="G2054"/>
      <c r="DI2054" s="4">
        <f>INDEX(Sheet2!A:A,QUOTIENT(ROW()-1,19)+2)</f>
        <v>41444</v>
      </c>
      <c r="DJ2054" s="4">
        <f>INDEX(Sheet2!C:C,QUOTIENT(ROW()-1,19)+2)</f>
        <v>42369</v>
      </c>
      <c r="DK2054" s="4">
        <f>INDEX(Sheet2!$AA$2:$AS$228,QUOTIENT(ROW()-1,19)+1,MOD(ROW()-2,19)+1)</f>
        <v>42348.924999999996</v>
      </c>
      <c r="DL2054">
        <f>IFERROR(INDEX(Sheet2!$AU$2:$BM$228,QUOTIENT(ROW()-1,19)+1,MOD(ROW()-2,19)+1),NA())</f>
        <v>1.5</v>
      </c>
      <c r="DM2054" s="4" t="e">
        <f t="shared" si="117"/>
        <v>#N/A</v>
      </c>
      <c r="DN2054" t="e">
        <f t="shared" si="118"/>
        <v>#N/A</v>
      </c>
      <c r="DO2054" t="e">
        <f t="shared" si="119"/>
        <v>#N/A</v>
      </c>
    </row>
    <row r="2055" spans="7:119" x14ac:dyDescent="0.25">
      <c r="G2055"/>
      <c r="DI2055" s="4">
        <f>INDEX(Sheet2!A:A,QUOTIENT(ROW()-1,19)+2)</f>
        <v>41444</v>
      </c>
      <c r="DJ2055" s="4">
        <f>INDEX(Sheet2!C:C,QUOTIENT(ROW()-1,19)+2)</f>
        <v>42369</v>
      </c>
      <c r="DK2055" s="4">
        <f>INDEX(Sheet2!$AA$2:$AS$228,QUOTIENT(ROW()-1,19)+1,MOD(ROW()-2,19)+1)</f>
        <v>42369</v>
      </c>
      <c r="DL2055">
        <f>IFERROR(INDEX(Sheet2!$AU$2:$BM$228,QUOTIENT(ROW()-1,19)+1,MOD(ROW()-2,19)+1),NA())</f>
        <v>1.5</v>
      </c>
      <c r="DM2055" s="4" t="e">
        <f t="shared" si="117"/>
        <v>#N/A</v>
      </c>
      <c r="DN2055" t="e">
        <f t="shared" si="118"/>
        <v>#N/A</v>
      </c>
      <c r="DO2055" t="e">
        <f t="shared" si="119"/>
        <v>#N/A</v>
      </c>
    </row>
    <row r="2056" spans="7:119" x14ac:dyDescent="0.25">
      <c r="G2056"/>
      <c r="DI2056" s="4">
        <f>INDEX(Sheet2!A:A,QUOTIENT(ROW()-1,19)+2)</f>
        <v>41444</v>
      </c>
      <c r="DJ2056" s="4">
        <f>INDEX(Sheet2!C:C,QUOTIENT(ROW()-1,19)+2)</f>
        <v>42369</v>
      </c>
      <c r="DK2056" s="4">
        <f>INDEX(Sheet2!$AA$2:$AS$228,QUOTIENT(ROW()-1,19)+1,MOD(ROW()-2,19)+1)</f>
        <v>42389.074999999997</v>
      </c>
      <c r="DL2056">
        <f>IFERROR(INDEX(Sheet2!$AU$2:$BM$228,QUOTIENT(ROW()-1,19)+1,MOD(ROW()-2,19)+1),NA())</f>
        <v>1.5</v>
      </c>
      <c r="DM2056" s="4" t="e">
        <f t="shared" si="117"/>
        <v>#N/A</v>
      </c>
      <c r="DN2056" t="e">
        <f t="shared" si="118"/>
        <v>#N/A</v>
      </c>
      <c r="DO2056" t="e">
        <f t="shared" si="119"/>
        <v>#N/A</v>
      </c>
    </row>
    <row r="2057" spans="7:119" x14ac:dyDescent="0.25">
      <c r="G2057"/>
      <c r="DI2057" s="4">
        <f>INDEX(Sheet2!A:A,QUOTIENT(ROW()-1,19)+2)</f>
        <v>41444</v>
      </c>
      <c r="DJ2057" s="4">
        <f>INDEX(Sheet2!C:C,QUOTIENT(ROW()-1,19)+2)</f>
        <v>42369</v>
      </c>
      <c r="DK2057" s="4" t="e">
        <f>INDEX(Sheet2!$AA$2:$AS$228,QUOTIENT(ROW()-1,19)+1,MOD(ROW()-2,19)+1)</f>
        <v>#N/A</v>
      </c>
      <c r="DL2057" t="str">
        <f>IFERROR(INDEX(Sheet2!$AU$2:$BM$228,QUOTIENT(ROW()-1,19)+1,MOD(ROW()-2,19)+1),NA())</f>
        <v/>
      </c>
      <c r="DM2057" s="4" t="e">
        <f t="shared" si="117"/>
        <v>#N/A</v>
      </c>
      <c r="DN2057" t="e">
        <f t="shared" si="118"/>
        <v>#N/A</v>
      </c>
      <c r="DO2057" t="e">
        <f t="shared" si="119"/>
        <v>#N/A</v>
      </c>
    </row>
    <row r="2058" spans="7:119" x14ac:dyDescent="0.25">
      <c r="G2058"/>
      <c r="DI2058" s="4">
        <f>INDEX(Sheet2!A:A,QUOTIENT(ROW()-1,19)+2)</f>
        <v>41444</v>
      </c>
      <c r="DJ2058" s="4">
        <f>INDEX(Sheet2!C:C,QUOTIENT(ROW()-1,19)+2)</f>
        <v>42369</v>
      </c>
      <c r="DK2058" s="4" t="e">
        <f>INDEX(Sheet2!$AA$2:$AS$228,QUOTIENT(ROW()-1,19)+1,MOD(ROW()-2,19)+1)</f>
        <v>#N/A</v>
      </c>
      <c r="DL2058" t="str">
        <f>IFERROR(INDEX(Sheet2!$AU$2:$BM$228,QUOTIENT(ROW()-1,19)+1,MOD(ROW()-2,19)+1),NA())</f>
        <v/>
      </c>
      <c r="DM2058" s="4" t="e">
        <f t="shared" si="117"/>
        <v>#N/A</v>
      </c>
      <c r="DN2058" t="e">
        <f t="shared" si="118"/>
        <v>#N/A</v>
      </c>
      <c r="DO2058" t="e">
        <f t="shared" si="119"/>
        <v>#N/A</v>
      </c>
    </row>
    <row r="2059" spans="7:119" x14ac:dyDescent="0.25">
      <c r="G2059"/>
      <c r="DI2059" s="4">
        <f>INDEX(Sheet2!A:A,QUOTIENT(ROW()-1,19)+2)</f>
        <v>41444</v>
      </c>
      <c r="DJ2059" s="4">
        <f>INDEX(Sheet2!C:C,QUOTIENT(ROW()-1,19)+2)</f>
        <v>42369</v>
      </c>
      <c r="DK2059" s="4" t="e">
        <f>INDEX(Sheet2!$AA$2:$AS$228,QUOTIENT(ROW()-1,19)+1,MOD(ROW()-2,19)+1)</f>
        <v>#N/A</v>
      </c>
      <c r="DL2059" t="str">
        <f>IFERROR(INDEX(Sheet2!$AU$2:$BM$228,QUOTIENT(ROW()-1,19)+1,MOD(ROW()-2,19)+1),NA())</f>
        <v/>
      </c>
      <c r="DM2059" s="4" t="e">
        <f t="shared" si="117"/>
        <v>#N/A</v>
      </c>
      <c r="DN2059" t="e">
        <f t="shared" si="118"/>
        <v>#N/A</v>
      </c>
      <c r="DO2059" t="e">
        <f t="shared" si="119"/>
        <v>#N/A</v>
      </c>
    </row>
    <row r="2060" spans="7:119" x14ac:dyDescent="0.25">
      <c r="G2060"/>
      <c r="DI2060" s="4">
        <f>INDEX(Sheet2!A:A,QUOTIENT(ROW()-1,19)+2)</f>
        <v>41444</v>
      </c>
      <c r="DJ2060" s="4">
        <f>INDEX(Sheet2!C:C,QUOTIENT(ROW()-1,19)+2)</f>
        <v>42369</v>
      </c>
      <c r="DK2060" s="4" t="e">
        <f>INDEX(Sheet2!$AA$2:$AS$228,QUOTIENT(ROW()-1,19)+1,MOD(ROW()-2,19)+1)</f>
        <v>#N/A</v>
      </c>
      <c r="DL2060" t="str">
        <f>IFERROR(INDEX(Sheet2!$AU$2:$BM$228,QUOTIENT(ROW()-1,19)+1,MOD(ROW()-2,19)+1),NA())</f>
        <v/>
      </c>
      <c r="DM2060" s="4" t="e">
        <f t="shared" si="117"/>
        <v>#N/A</v>
      </c>
      <c r="DN2060" t="e">
        <f t="shared" si="118"/>
        <v>#N/A</v>
      </c>
      <c r="DO2060" t="e">
        <f t="shared" si="119"/>
        <v>#N/A</v>
      </c>
    </row>
    <row r="2061" spans="7:119" x14ac:dyDescent="0.25">
      <c r="G2061"/>
      <c r="DI2061" s="4">
        <f>INDEX(Sheet2!A:A,QUOTIENT(ROW()-1,19)+2)</f>
        <v>41444</v>
      </c>
      <c r="DJ2061" s="4">
        <f>INDEX(Sheet2!C:C,QUOTIENT(ROW()-1,19)+2)</f>
        <v>42369</v>
      </c>
      <c r="DK2061" s="4" t="e">
        <f>INDEX(Sheet2!$AA$2:$AS$228,QUOTIENT(ROW()-1,19)+1,MOD(ROW()-2,19)+1)</f>
        <v>#N/A</v>
      </c>
      <c r="DL2061" t="str">
        <f>IFERROR(INDEX(Sheet2!$AU$2:$BM$228,QUOTIENT(ROW()-1,19)+1,MOD(ROW()-2,19)+1),NA())</f>
        <v/>
      </c>
      <c r="DM2061" s="4" t="e">
        <f t="shared" si="117"/>
        <v>#N/A</v>
      </c>
      <c r="DN2061" t="e">
        <f t="shared" si="118"/>
        <v>#N/A</v>
      </c>
      <c r="DO2061" t="e">
        <f t="shared" si="119"/>
        <v>#N/A</v>
      </c>
    </row>
    <row r="2062" spans="7:119" x14ac:dyDescent="0.25">
      <c r="G2062"/>
      <c r="DI2062" s="4">
        <f>INDEX(Sheet2!A:A,QUOTIENT(ROW()-1,19)+2)</f>
        <v>41444</v>
      </c>
      <c r="DJ2062" s="4">
        <f>INDEX(Sheet2!C:C,QUOTIENT(ROW()-1,19)+2)</f>
        <v>42369</v>
      </c>
      <c r="DK2062" s="4" t="e">
        <f>INDEX(Sheet2!$AA$2:$AS$228,QUOTIENT(ROW()-1,19)+1,MOD(ROW()-2,19)+1)</f>
        <v>#N/A</v>
      </c>
      <c r="DL2062" t="str">
        <f>IFERROR(INDEX(Sheet2!$AU$2:$BM$228,QUOTIENT(ROW()-1,19)+1,MOD(ROW()-2,19)+1),NA())</f>
        <v/>
      </c>
      <c r="DM2062" s="4" t="e">
        <f t="shared" si="117"/>
        <v>#N/A</v>
      </c>
      <c r="DN2062" t="e">
        <f t="shared" si="118"/>
        <v>#N/A</v>
      </c>
      <c r="DO2062" t="e">
        <f t="shared" si="119"/>
        <v>#N/A</v>
      </c>
    </row>
    <row r="2063" spans="7:119" x14ac:dyDescent="0.25">
      <c r="G2063"/>
      <c r="DI2063" s="4">
        <f>INDEX(Sheet2!A:A,QUOTIENT(ROW()-1,19)+2)</f>
        <v>41444</v>
      </c>
      <c r="DJ2063" s="4">
        <f>INDEX(Sheet2!C:C,QUOTIENT(ROW()-1,19)+2)</f>
        <v>42369</v>
      </c>
      <c r="DK2063" s="4" t="e">
        <f>INDEX(Sheet2!$AA$2:$AS$228,QUOTIENT(ROW()-1,19)+1,MOD(ROW()-2,19)+1)</f>
        <v>#N/A</v>
      </c>
      <c r="DL2063" t="str">
        <f>IFERROR(INDEX(Sheet2!$AU$2:$BM$228,QUOTIENT(ROW()-1,19)+1,MOD(ROW()-2,19)+1),NA())</f>
        <v/>
      </c>
      <c r="DM2063" s="4" t="e">
        <f t="shared" si="117"/>
        <v>#N/A</v>
      </c>
      <c r="DN2063" t="e">
        <f t="shared" si="118"/>
        <v>#N/A</v>
      </c>
      <c r="DO2063" t="e">
        <f t="shared" si="119"/>
        <v>#N/A</v>
      </c>
    </row>
    <row r="2064" spans="7:119" x14ac:dyDescent="0.25">
      <c r="G2064"/>
      <c r="DI2064" s="4">
        <f>INDEX(Sheet2!A:A,QUOTIENT(ROW()-1,19)+2)</f>
        <v>41444</v>
      </c>
      <c r="DJ2064" s="4">
        <f>INDEX(Sheet2!C:C,QUOTIENT(ROW()-1,19)+2)</f>
        <v>42369</v>
      </c>
      <c r="DK2064" s="4" t="e">
        <f>INDEX(Sheet2!$AA$2:$AS$228,QUOTIENT(ROW()-1,19)+1,MOD(ROW()-2,19)+1)</f>
        <v>#N/A</v>
      </c>
      <c r="DL2064" t="str">
        <f>IFERROR(INDEX(Sheet2!$AU$2:$BM$228,QUOTIENT(ROW()-1,19)+1,MOD(ROW()-2,19)+1),NA())</f>
        <v/>
      </c>
      <c r="DM2064" s="4" t="e">
        <f t="shared" si="117"/>
        <v>#N/A</v>
      </c>
      <c r="DN2064" t="e">
        <f t="shared" si="118"/>
        <v>#N/A</v>
      </c>
      <c r="DO2064" t="e">
        <f t="shared" si="119"/>
        <v>#N/A</v>
      </c>
    </row>
    <row r="2065" spans="7:119" x14ac:dyDescent="0.25">
      <c r="G2065"/>
      <c r="DI2065" s="4">
        <f>INDEX(Sheet2!A:A,QUOTIENT(ROW()-1,19)+2)</f>
        <v>41444</v>
      </c>
      <c r="DJ2065" s="4">
        <f>INDEX(Sheet2!C:C,QUOTIENT(ROW()-1,19)+2)</f>
        <v>42369</v>
      </c>
      <c r="DK2065" s="4" t="e">
        <f>INDEX(Sheet2!$AA$2:$AS$228,QUOTIENT(ROW()-1,19)+1,MOD(ROW()-2,19)+1)</f>
        <v>#N/A</v>
      </c>
      <c r="DL2065" t="str">
        <f>IFERROR(INDEX(Sheet2!$AU$2:$BM$228,QUOTIENT(ROW()-1,19)+1,MOD(ROW()-2,19)+1),NA())</f>
        <v/>
      </c>
      <c r="DM2065" s="4" t="e">
        <f t="shared" si="117"/>
        <v>#N/A</v>
      </c>
      <c r="DN2065" t="e">
        <f t="shared" si="118"/>
        <v>#N/A</v>
      </c>
      <c r="DO2065" t="e">
        <f t="shared" si="119"/>
        <v>#N/A</v>
      </c>
    </row>
    <row r="2066" spans="7:119" x14ac:dyDescent="0.25">
      <c r="G2066"/>
      <c r="DI2066" s="4">
        <f>INDEX(Sheet2!A:A,QUOTIENT(ROW()-1,19)+2)</f>
        <v>41444</v>
      </c>
      <c r="DJ2066" s="4">
        <f>INDEX(Sheet2!C:C,QUOTIENT(ROW()-1,19)+2)</f>
        <v>42369</v>
      </c>
      <c r="DK2066" s="4" t="e">
        <f>INDEX(Sheet2!$AA$2:$AS$228,QUOTIENT(ROW()-1,19)+1,MOD(ROW()-2,19)+1)</f>
        <v>#N/A</v>
      </c>
      <c r="DL2066" t="str">
        <f>IFERROR(INDEX(Sheet2!$AU$2:$BM$228,QUOTIENT(ROW()-1,19)+1,MOD(ROW()-2,19)+1),NA())</f>
        <v/>
      </c>
      <c r="DM2066" s="4" t="e">
        <f t="shared" si="117"/>
        <v>#N/A</v>
      </c>
      <c r="DN2066" t="e">
        <f t="shared" si="118"/>
        <v>#N/A</v>
      </c>
      <c r="DO2066" t="e">
        <f t="shared" si="119"/>
        <v>#N/A</v>
      </c>
    </row>
    <row r="2067" spans="7:119" x14ac:dyDescent="0.25">
      <c r="G2067"/>
      <c r="DI2067" s="4">
        <f>INDEX(Sheet2!A:A,QUOTIENT(ROW()-1,19)+2)</f>
        <v>41444</v>
      </c>
      <c r="DJ2067" s="4">
        <f>INDEX(Sheet2!C:C,QUOTIENT(ROW()-1,19)+2)</f>
        <v>42369</v>
      </c>
      <c r="DK2067" s="4" t="e">
        <f>INDEX(Sheet2!$AA$2:$AS$228,QUOTIENT(ROW()-1,19)+1,MOD(ROW()-2,19)+1)</f>
        <v>#N/A</v>
      </c>
      <c r="DL2067" t="str">
        <f>IFERROR(INDEX(Sheet2!$AU$2:$BM$228,QUOTIENT(ROW()-1,19)+1,MOD(ROW()-2,19)+1),NA())</f>
        <v/>
      </c>
      <c r="DM2067" s="4" t="e">
        <f t="shared" si="117"/>
        <v>#N/A</v>
      </c>
      <c r="DN2067" t="e">
        <f t="shared" si="118"/>
        <v>#N/A</v>
      </c>
      <c r="DO2067" t="e">
        <f t="shared" si="119"/>
        <v>#N/A</v>
      </c>
    </row>
    <row r="2068" spans="7:119" x14ac:dyDescent="0.25">
      <c r="G2068"/>
      <c r="DI2068" s="4">
        <f>INDEX(Sheet2!A:A,QUOTIENT(ROW()-1,19)+2)</f>
        <v>41444</v>
      </c>
      <c r="DJ2068" s="4">
        <f>INDEX(Sheet2!C:C,QUOTIENT(ROW()-1,19)+2)</f>
        <v>42369</v>
      </c>
      <c r="DK2068" s="4" t="e">
        <f>INDEX(Sheet2!$AA$2:$AS$228,QUOTIENT(ROW()-1,19)+1,MOD(ROW()-2,19)+1)</f>
        <v>#N/A</v>
      </c>
      <c r="DL2068" t="str">
        <f>IFERROR(INDEX(Sheet2!$AU$2:$BM$228,QUOTIENT(ROW()-1,19)+1,MOD(ROW()-2,19)+1),NA())</f>
        <v/>
      </c>
      <c r="DM2068" s="4" t="e">
        <f t="shared" si="117"/>
        <v>#N/A</v>
      </c>
      <c r="DN2068" t="e">
        <f t="shared" si="118"/>
        <v>#N/A</v>
      </c>
      <c r="DO2068" t="e">
        <f t="shared" si="119"/>
        <v>#N/A</v>
      </c>
    </row>
    <row r="2069" spans="7:119" x14ac:dyDescent="0.25">
      <c r="G2069"/>
      <c r="DI2069" s="4">
        <f>INDEX(Sheet2!A:A,QUOTIENT(ROW()-1,19)+2)</f>
        <v>41444</v>
      </c>
      <c r="DJ2069" s="4">
        <f>INDEX(Sheet2!C:C,QUOTIENT(ROW()-1,19)+2)</f>
        <v>42369</v>
      </c>
      <c r="DK2069" s="4" t="e">
        <f>INDEX(Sheet2!$AA$2:$AS$228,QUOTIENT(ROW()-1,19)+1,MOD(ROW()-2,19)+1)</f>
        <v>#N/A</v>
      </c>
      <c r="DL2069" t="str">
        <f>IFERROR(INDEX(Sheet2!$AU$2:$BM$228,QUOTIENT(ROW()-1,19)+1,MOD(ROW()-2,19)+1),NA())</f>
        <v/>
      </c>
      <c r="DM2069" s="4" t="e">
        <f t="shared" si="117"/>
        <v>#N/A</v>
      </c>
      <c r="DN2069" t="e">
        <f t="shared" si="118"/>
        <v>#N/A</v>
      </c>
      <c r="DO2069" t="e">
        <f t="shared" si="119"/>
        <v>#N/A</v>
      </c>
    </row>
    <row r="2070" spans="7:119" x14ac:dyDescent="0.25">
      <c r="G2070"/>
      <c r="DI2070" s="4">
        <f>INDEX(Sheet2!A:A,QUOTIENT(ROW()-1,19)+2)</f>
        <v>41444</v>
      </c>
      <c r="DJ2070" s="4">
        <f>INDEX(Sheet2!C:C,QUOTIENT(ROW()-1,19)+2)</f>
        <v>42369</v>
      </c>
      <c r="DK2070" s="4" t="e">
        <f>INDEX(Sheet2!$AA$2:$AS$228,QUOTIENT(ROW()-1,19)+1,MOD(ROW()-2,19)+1)</f>
        <v>#N/A</v>
      </c>
      <c r="DL2070" t="str">
        <f>IFERROR(INDEX(Sheet2!$AU$2:$BM$228,QUOTIENT(ROW()-1,19)+1,MOD(ROW()-2,19)+1),NA())</f>
        <v/>
      </c>
      <c r="DM2070" s="4" t="e">
        <f t="shared" si="117"/>
        <v>#N/A</v>
      </c>
      <c r="DN2070" t="e">
        <f t="shared" si="118"/>
        <v>#N/A</v>
      </c>
      <c r="DO2070" t="e">
        <f t="shared" si="119"/>
        <v>#N/A</v>
      </c>
    </row>
    <row r="2071" spans="7:119" x14ac:dyDescent="0.25">
      <c r="G2071"/>
      <c r="DI2071" s="4">
        <f>INDEX(Sheet2!A:A,QUOTIENT(ROW()-1,19)+2)</f>
        <v>41444</v>
      </c>
      <c r="DJ2071" s="4">
        <f>INDEX(Sheet2!C:C,QUOTIENT(ROW()-1,19)+2)</f>
        <v>42369</v>
      </c>
      <c r="DK2071" s="4" t="e">
        <f>INDEX(Sheet2!$AA$2:$AS$228,QUOTIENT(ROW()-1,19)+1,MOD(ROW()-2,19)+1)</f>
        <v>#N/A</v>
      </c>
      <c r="DL2071" t="str">
        <f>IFERROR(INDEX(Sheet2!$AU$2:$BM$228,QUOTIENT(ROW()-1,19)+1,MOD(ROW()-2,19)+1),NA())</f>
        <v/>
      </c>
      <c r="DM2071" s="4" t="e">
        <f t="shared" si="117"/>
        <v>#N/A</v>
      </c>
      <c r="DN2071" t="e">
        <f t="shared" si="118"/>
        <v>#N/A</v>
      </c>
      <c r="DO2071" t="e">
        <f t="shared" si="119"/>
        <v>#N/A</v>
      </c>
    </row>
    <row r="2072" spans="7:119" x14ac:dyDescent="0.25">
      <c r="G2072"/>
      <c r="DI2072" s="4">
        <f>INDEX(Sheet2!A:A,QUOTIENT(ROW()-1,19)+2)</f>
        <v>41444</v>
      </c>
      <c r="DJ2072" s="4">
        <f>INDEX(Sheet2!C:C,QUOTIENT(ROW()-1,19)+2)</f>
        <v>42369</v>
      </c>
      <c r="DK2072" s="4" t="e">
        <f>INDEX(Sheet2!$AA$2:$AS$228,QUOTIENT(ROW()-1,19)+1,MOD(ROW()-2,19)+1)</f>
        <v>#N/A</v>
      </c>
      <c r="DL2072" t="str">
        <f>IFERROR(INDEX(Sheet2!$AU$2:$BM$228,QUOTIENT(ROW()-1,19)+1,MOD(ROW()-2,19)+1),NA())</f>
        <v/>
      </c>
      <c r="DM2072" s="4" t="e">
        <f t="shared" si="117"/>
        <v>#N/A</v>
      </c>
      <c r="DN2072" t="e">
        <f t="shared" si="118"/>
        <v>#N/A</v>
      </c>
      <c r="DO2072" t="e">
        <f t="shared" si="119"/>
        <v>#N/A</v>
      </c>
    </row>
    <row r="2073" spans="7:119" x14ac:dyDescent="0.25">
      <c r="G2073"/>
      <c r="DI2073" s="4">
        <f>INDEX(Sheet2!A:A,QUOTIENT(ROW()-1,19)+2)</f>
        <v>41444</v>
      </c>
      <c r="DJ2073" s="4">
        <f>INDEX(Sheet2!C:C,QUOTIENT(ROW()-1,19)+2)</f>
        <v>42369</v>
      </c>
      <c r="DK2073" s="4">
        <f>INDEX(Sheet2!$AA$2:$AS$228,QUOTIENT(ROW()-1,19)+1,MOD(ROW()-2,19)+1)</f>
        <v>42369</v>
      </c>
      <c r="DL2073">
        <f>IFERROR(INDEX(Sheet2!$AU$2:$BM$228,QUOTIENT(ROW()-1,19)+1,MOD(ROW()-2,19)+1),NA())</f>
        <v>2</v>
      </c>
      <c r="DM2073" s="4" t="e">
        <f t="shared" si="117"/>
        <v>#N/A</v>
      </c>
      <c r="DN2073" t="e">
        <f t="shared" si="118"/>
        <v>#N/A</v>
      </c>
      <c r="DO2073" t="e">
        <f t="shared" si="119"/>
        <v>#N/A</v>
      </c>
    </row>
    <row r="2074" spans="7:119" x14ac:dyDescent="0.25">
      <c r="G2074"/>
      <c r="DI2074" s="4">
        <f>INDEX(Sheet2!A:A,QUOTIENT(ROW()-1,19)+2)</f>
        <v>41444</v>
      </c>
      <c r="DJ2074" s="4">
        <f>INDEX(Sheet2!C:C,QUOTIENT(ROW()-1,19)+2)</f>
        <v>42369</v>
      </c>
      <c r="DK2074" s="4" t="e">
        <f>INDEX(Sheet2!$AA$2:$AS$228,QUOTIENT(ROW()-1,19)+1,MOD(ROW()-2,19)+1)</f>
        <v>#N/A</v>
      </c>
      <c r="DL2074" t="str">
        <f>IFERROR(INDEX(Sheet2!$AU$2:$BM$228,QUOTIENT(ROW()-1,19)+1,MOD(ROW()-2,19)+1),NA())</f>
        <v/>
      </c>
      <c r="DM2074" s="4" t="e">
        <f t="shared" si="117"/>
        <v>#N/A</v>
      </c>
      <c r="DN2074" t="e">
        <f t="shared" si="118"/>
        <v>#N/A</v>
      </c>
      <c r="DO2074" t="e">
        <f t="shared" si="119"/>
        <v>#N/A</v>
      </c>
    </row>
    <row r="2075" spans="7:119" x14ac:dyDescent="0.25">
      <c r="G2075"/>
      <c r="DI2075" s="4">
        <f>INDEX(Sheet2!A:A,QUOTIENT(ROW()-1,19)+2)</f>
        <v>41444</v>
      </c>
      <c r="DJ2075" s="4">
        <f>INDEX(Sheet2!C:C,QUOTIENT(ROW()-1,19)+2)</f>
        <v>42369</v>
      </c>
      <c r="DK2075" s="4" t="e">
        <f>INDEX(Sheet2!$AA$2:$AS$228,QUOTIENT(ROW()-1,19)+1,MOD(ROW()-2,19)+1)</f>
        <v>#N/A</v>
      </c>
      <c r="DL2075" t="str">
        <f>IFERROR(INDEX(Sheet2!$AU$2:$BM$228,QUOTIENT(ROW()-1,19)+1,MOD(ROW()-2,19)+1),NA())</f>
        <v/>
      </c>
      <c r="DM2075" s="4" t="e">
        <f t="shared" si="117"/>
        <v>#N/A</v>
      </c>
      <c r="DN2075" t="e">
        <f t="shared" si="118"/>
        <v>#N/A</v>
      </c>
      <c r="DO2075" t="e">
        <f t="shared" si="119"/>
        <v>#N/A</v>
      </c>
    </row>
    <row r="2076" spans="7:119" x14ac:dyDescent="0.25">
      <c r="G2076"/>
      <c r="DI2076" s="4">
        <f>INDEX(Sheet2!A:A,QUOTIENT(ROW()-1,19)+2)</f>
        <v>41444</v>
      </c>
      <c r="DJ2076" s="4">
        <f>INDEX(Sheet2!C:C,QUOTIENT(ROW()-1,19)+2)</f>
        <v>42369</v>
      </c>
      <c r="DK2076" s="4" t="e">
        <f>INDEX(Sheet2!$AA$2:$AS$228,QUOTIENT(ROW()-1,19)+1,MOD(ROW()-2,19)+1)</f>
        <v>#N/A</v>
      </c>
      <c r="DL2076" t="str">
        <f>IFERROR(INDEX(Sheet2!$AU$2:$BM$228,QUOTIENT(ROW()-1,19)+1,MOD(ROW()-2,19)+1),NA())</f>
        <v/>
      </c>
      <c r="DM2076" s="4" t="e">
        <f t="shared" si="117"/>
        <v>#N/A</v>
      </c>
      <c r="DN2076" t="e">
        <f t="shared" si="118"/>
        <v>#N/A</v>
      </c>
      <c r="DO2076" t="e">
        <f t="shared" si="119"/>
        <v>#N/A</v>
      </c>
    </row>
    <row r="2077" spans="7:119" x14ac:dyDescent="0.25">
      <c r="G2077"/>
      <c r="DI2077" s="4">
        <f>INDEX(Sheet2!A:A,QUOTIENT(ROW()-1,19)+2)</f>
        <v>41444</v>
      </c>
      <c r="DJ2077" s="4">
        <f>INDEX(Sheet2!C:C,QUOTIENT(ROW()-1,19)+2)</f>
        <v>42369</v>
      </c>
      <c r="DK2077" s="4" t="e">
        <f>INDEX(Sheet2!$AA$2:$AS$228,QUOTIENT(ROW()-1,19)+1,MOD(ROW()-2,19)+1)</f>
        <v>#N/A</v>
      </c>
      <c r="DL2077" t="str">
        <f>IFERROR(INDEX(Sheet2!$AU$2:$BM$228,QUOTIENT(ROW()-1,19)+1,MOD(ROW()-2,19)+1),NA())</f>
        <v/>
      </c>
      <c r="DM2077" s="4" t="e">
        <f t="shared" si="117"/>
        <v>#N/A</v>
      </c>
      <c r="DN2077" t="e">
        <f t="shared" si="118"/>
        <v>#N/A</v>
      </c>
      <c r="DO2077" t="e">
        <f t="shared" si="119"/>
        <v>#N/A</v>
      </c>
    </row>
    <row r="2078" spans="7:119" x14ac:dyDescent="0.25">
      <c r="G2078"/>
      <c r="DI2078" s="4">
        <f>INDEX(Sheet2!A:A,QUOTIENT(ROW()-1,19)+2)</f>
        <v>41444</v>
      </c>
      <c r="DJ2078" s="4">
        <f>INDEX(Sheet2!C:C,QUOTIENT(ROW()-1,19)+2)</f>
        <v>42369</v>
      </c>
      <c r="DK2078" s="4" t="e">
        <f>INDEX(Sheet2!$AA$2:$AS$228,QUOTIENT(ROW()-1,19)+1,MOD(ROW()-2,19)+1)</f>
        <v>#N/A</v>
      </c>
      <c r="DL2078" t="str">
        <f>IFERROR(INDEX(Sheet2!$AU$2:$BM$228,QUOTIENT(ROW()-1,19)+1,MOD(ROW()-2,19)+1),NA())</f>
        <v/>
      </c>
      <c r="DM2078" s="4" t="e">
        <f t="shared" si="117"/>
        <v>#N/A</v>
      </c>
      <c r="DN2078" t="e">
        <f t="shared" si="118"/>
        <v>#N/A</v>
      </c>
      <c r="DO2078" t="e">
        <f t="shared" si="119"/>
        <v>#N/A</v>
      </c>
    </row>
    <row r="2079" spans="7:119" x14ac:dyDescent="0.25">
      <c r="G2079"/>
      <c r="DI2079" s="4">
        <f>INDEX(Sheet2!A:A,QUOTIENT(ROW()-1,19)+2)</f>
        <v>41444</v>
      </c>
      <c r="DJ2079" s="4">
        <f>INDEX(Sheet2!C:C,QUOTIENT(ROW()-1,19)+2)</f>
        <v>42369</v>
      </c>
      <c r="DK2079" s="4" t="e">
        <f>INDEX(Sheet2!$AA$2:$AS$228,QUOTIENT(ROW()-1,19)+1,MOD(ROW()-2,19)+1)</f>
        <v>#N/A</v>
      </c>
      <c r="DL2079" t="str">
        <f>IFERROR(INDEX(Sheet2!$AU$2:$BM$228,QUOTIENT(ROW()-1,19)+1,MOD(ROW()-2,19)+1),NA())</f>
        <v/>
      </c>
      <c r="DM2079" s="4" t="e">
        <f t="shared" si="117"/>
        <v>#N/A</v>
      </c>
      <c r="DN2079" t="e">
        <f t="shared" si="118"/>
        <v>#N/A</v>
      </c>
      <c r="DO2079" t="e">
        <f t="shared" si="119"/>
        <v>#N/A</v>
      </c>
    </row>
    <row r="2080" spans="7:119" x14ac:dyDescent="0.25">
      <c r="G2080"/>
      <c r="DI2080" s="4">
        <f>INDEX(Sheet2!A:A,QUOTIENT(ROW()-1,19)+2)</f>
        <v>41444</v>
      </c>
      <c r="DJ2080" s="4">
        <f>INDEX(Sheet2!C:C,QUOTIENT(ROW()-1,19)+2)</f>
        <v>42369</v>
      </c>
      <c r="DK2080" s="4" t="e">
        <f>INDEX(Sheet2!$AA$2:$AS$228,QUOTIENT(ROW()-1,19)+1,MOD(ROW()-2,19)+1)</f>
        <v>#N/A</v>
      </c>
      <c r="DL2080" t="str">
        <f>IFERROR(INDEX(Sheet2!$AU$2:$BM$228,QUOTIENT(ROW()-1,19)+1,MOD(ROW()-2,19)+1),NA())</f>
        <v/>
      </c>
      <c r="DM2080" s="4" t="e">
        <f t="shared" si="117"/>
        <v>#N/A</v>
      </c>
      <c r="DN2080" t="e">
        <f t="shared" si="118"/>
        <v>#N/A</v>
      </c>
      <c r="DO2080" t="e">
        <f t="shared" si="119"/>
        <v>#N/A</v>
      </c>
    </row>
    <row r="2081" spans="7:119" x14ac:dyDescent="0.25">
      <c r="G2081"/>
      <c r="DI2081" s="4">
        <f>INDEX(Sheet2!A:A,QUOTIENT(ROW()-1,19)+2)</f>
        <v>41444</v>
      </c>
      <c r="DJ2081" s="4">
        <f>INDEX(Sheet2!C:C,QUOTIENT(ROW()-1,19)+2)</f>
        <v>42369</v>
      </c>
      <c r="DK2081" s="4" t="e">
        <f>INDEX(Sheet2!$AA$2:$AS$228,QUOTIENT(ROW()-1,19)+1,MOD(ROW()-2,19)+1)</f>
        <v>#N/A</v>
      </c>
      <c r="DL2081" t="str">
        <f>IFERROR(INDEX(Sheet2!$AU$2:$BM$228,QUOTIENT(ROW()-1,19)+1,MOD(ROW()-2,19)+1),NA())</f>
        <v/>
      </c>
      <c r="DM2081" s="4" t="e">
        <f t="shared" si="117"/>
        <v>#N/A</v>
      </c>
      <c r="DN2081" t="e">
        <f t="shared" si="118"/>
        <v>#N/A</v>
      </c>
      <c r="DO2081" t="e">
        <f t="shared" si="119"/>
        <v>#N/A</v>
      </c>
    </row>
    <row r="2082" spans="7:119" x14ac:dyDescent="0.25">
      <c r="G2082"/>
      <c r="DI2082" s="4">
        <f>INDEX(Sheet2!A:A,QUOTIENT(ROW()-1,19)+2)</f>
        <v>41444</v>
      </c>
      <c r="DJ2082" s="4">
        <f>INDEX(Sheet2!C:C,QUOTIENT(ROW()-1,19)+2)</f>
        <v>42369</v>
      </c>
      <c r="DK2082" s="4" t="e">
        <f>INDEX(Sheet2!$AA$2:$AS$228,QUOTIENT(ROW()-1,19)+1,MOD(ROW()-2,19)+1)</f>
        <v>#N/A</v>
      </c>
      <c r="DL2082" t="str">
        <f>IFERROR(INDEX(Sheet2!$AU$2:$BM$228,QUOTIENT(ROW()-1,19)+1,MOD(ROW()-2,19)+1),NA())</f>
        <v/>
      </c>
      <c r="DM2082" s="4" t="e">
        <f t="shared" si="117"/>
        <v>#N/A</v>
      </c>
      <c r="DN2082" t="e">
        <f t="shared" si="118"/>
        <v>#N/A</v>
      </c>
      <c r="DO2082" t="e">
        <f t="shared" si="119"/>
        <v>#N/A</v>
      </c>
    </row>
    <row r="2083" spans="7:119" x14ac:dyDescent="0.25">
      <c r="G2083"/>
      <c r="DI2083" s="4">
        <f>INDEX(Sheet2!A:A,QUOTIENT(ROW()-1,19)+2)</f>
        <v>41444</v>
      </c>
      <c r="DJ2083" s="4">
        <f>INDEX(Sheet2!C:C,QUOTIENT(ROW()-1,19)+2)</f>
        <v>42369</v>
      </c>
      <c r="DK2083" s="4" t="e">
        <f>INDEX(Sheet2!$AA$2:$AS$228,QUOTIENT(ROW()-1,19)+1,MOD(ROW()-2,19)+1)</f>
        <v>#N/A</v>
      </c>
      <c r="DL2083" t="str">
        <f>IFERROR(INDEX(Sheet2!$AU$2:$BM$228,QUOTIENT(ROW()-1,19)+1,MOD(ROW()-2,19)+1),NA())</f>
        <v/>
      </c>
      <c r="DM2083" s="4" t="e">
        <f t="shared" si="117"/>
        <v>#N/A</v>
      </c>
      <c r="DN2083" t="e">
        <f t="shared" si="118"/>
        <v>#N/A</v>
      </c>
      <c r="DO2083" t="e">
        <f t="shared" si="119"/>
        <v>#N/A</v>
      </c>
    </row>
    <row r="2084" spans="7:119" x14ac:dyDescent="0.25">
      <c r="G2084"/>
      <c r="DI2084" s="4">
        <f>INDEX(Sheet2!A:A,QUOTIENT(ROW()-1,19)+2)</f>
        <v>41444</v>
      </c>
      <c r="DJ2084" s="4">
        <f>INDEX(Sheet2!C:C,QUOTIENT(ROW()-1,19)+2)</f>
        <v>42369</v>
      </c>
      <c r="DK2084" s="4" t="e">
        <f>INDEX(Sheet2!$AA$2:$AS$228,QUOTIENT(ROW()-1,19)+1,MOD(ROW()-2,19)+1)</f>
        <v>#N/A</v>
      </c>
      <c r="DL2084" t="str">
        <f>IFERROR(INDEX(Sheet2!$AU$2:$BM$228,QUOTIENT(ROW()-1,19)+1,MOD(ROW()-2,19)+1),NA())</f>
        <v/>
      </c>
      <c r="DM2084" s="4" t="e">
        <f t="shared" si="117"/>
        <v>#N/A</v>
      </c>
      <c r="DN2084" t="e">
        <f t="shared" si="118"/>
        <v>#N/A</v>
      </c>
      <c r="DO2084" t="e">
        <f t="shared" si="119"/>
        <v>#N/A</v>
      </c>
    </row>
    <row r="2085" spans="7:119" x14ac:dyDescent="0.25">
      <c r="G2085"/>
      <c r="DI2085" s="4">
        <f>INDEX(Sheet2!A:A,QUOTIENT(ROW()-1,19)+2)</f>
        <v>41444</v>
      </c>
      <c r="DJ2085" s="4">
        <f>INDEX(Sheet2!C:C,QUOTIENT(ROW()-1,19)+2)</f>
        <v>42369</v>
      </c>
      <c r="DK2085" s="4" t="e">
        <f>INDEX(Sheet2!$AA$2:$AS$228,QUOTIENT(ROW()-1,19)+1,MOD(ROW()-2,19)+1)</f>
        <v>#N/A</v>
      </c>
      <c r="DL2085" t="str">
        <f>IFERROR(INDEX(Sheet2!$AU$2:$BM$228,QUOTIENT(ROW()-1,19)+1,MOD(ROW()-2,19)+1),NA())</f>
        <v/>
      </c>
      <c r="DM2085" s="4" t="e">
        <f t="shared" si="117"/>
        <v>#N/A</v>
      </c>
      <c r="DN2085" t="e">
        <f t="shared" si="118"/>
        <v>#N/A</v>
      </c>
      <c r="DO2085" t="e">
        <f t="shared" si="119"/>
        <v>#N/A</v>
      </c>
    </row>
    <row r="2086" spans="7:119" x14ac:dyDescent="0.25">
      <c r="G2086"/>
      <c r="DI2086" s="4">
        <f>INDEX(Sheet2!A:A,QUOTIENT(ROW()-1,19)+2)</f>
        <v>41444</v>
      </c>
      <c r="DJ2086" s="4">
        <f>INDEX(Sheet2!C:C,QUOTIENT(ROW()-1,19)+2)</f>
        <v>42369</v>
      </c>
      <c r="DK2086" s="4" t="e">
        <f>INDEX(Sheet2!$AA$2:$AS$228,QUOTIENT(ROW()-1,19)+1,MOD(ROW()-2,19)+1)</f>
        <v>#N/A</v>
      </c>
      <c r="DL2086" t="str">
        <f>IFERROR(INDEX(Sheet2!$AU$2:$BM$228,QUOTIENT(ROW()-1,19)+1,MOD(ROW()-2,19)+1),NA())</f>
        <v/>
      </c>
      <c r="DM2086" s="4" t="e">
        <f t="shared" si="117"/>
        <v>#N/A</v>
      </c>
      <c r="DN2086" t="e">
        <f t="shared" si="118"/>
        <v>#N/A</v>
      </c>
      <c r="DO2086" t="e">
        <f t="shared" si="119"/>
        <v>#N/A</v>
      </c>
    </row>
    <row r="2087" spans="7:119" x14ac:dyDescent="0.25">
      <c r="G2087"/>
      <c r="DI2087" s="4">
        <f>INDEX(Sheet2!A:A,QUOTIENT(ROW()-1,19)+2)</f>
        <v>41444</v>
      </c>
      <c r="DJ2087" s="4">
        <f>INDEX(Sheet2!C:C,QUOTIENT(ROW()-1,19)+2)</f>
        <v>42369</v>
      </c>
      <c r="DK2087" s="4" t="e">
        <f>INDEX(Sheet2!$AA$2:$AS$228,QUOTIENT(ROW()-1,19)+1,MOD(ROW()-2,19)+1)</f>
        <v>#N/A</v>
      </c>
      <c r="DL2087" t="str">
        <f>IFERROR(INDEX(Sheet2!$AU$2:$BM$228,QUOTIENT(ROW()-1,19)+1,MOD(ROW()-2,19)+1),NA())</f>
        <v/>
      </c>
      <c r="DM2087" s="4" t="e">
        <f t="shared" si="117"/>
        <v>#N/A</v>
      </c>
      <c r="DN2087" t="e">
        <f t="shared" si="118"/>
        <v>#N/A</v>
      </c>
      <c r="DO2087" t="e">
        <f t="shared" si="119"/>
        <v>#N/A</v>
      </c>
    </row>
    <row r="2088" spans="7:119" x14ac:dyDescent="0.25">
      <c r="G2088"/>
      <c r="DI2088" s="4">
        <f>INDEX(Sheet2!A:A,QUOTIENT(ROW()-1,19)+2)</f>
        <v>41444</v>
      </c>
      <c r="DJ2088" s="4">
        <f>INDEX(Sheet2!C:C,QUOTIENT(ROW()-1,19)+2)</f>
        <v>42369</v>
      </c>
      <c r="DK2088" s="4" t="e">
        <f>INDEX(Sheet2!$AA$2:$AS$228,QUOTIENT(ROW()-1,19)+1,MOD(ROW()-2,19)+1)</f>
        <v>#N/A</v>
      </c>
      <c r="DL2088" t="str">
        <f>IFERROR(INDEX(Sheet2!$AU$2:$BM$228,QUOTIENT(ROW()-1,19)+1,MOD(ROW()-2,19)+1),NA())</f>
        <v/>
      </c>
      <c r="DM2088" s="4" t="e">
        <f t="shared" si="117"/>
        <v>#N/A</v>
      </c>
      <c r="DN2088" t="e">
        <f t="shared" si="118"/>
        <v>#N/A</v>
      </c>
      <c r="DO2088" t="e">
        <f t="shared" si="119"/>
        <v>#N/A</v>
      </c>
    </row>
    <row r="2089" spans="7:119" x14ac:dyDescent="0.25">
      <c r="G2089"/>
      <c r="DI2089" s="4">
        <f>INDEX(Sheet2!A:A,QUOTIENT(ROW()-1,19)+2)</f>
        <v>41444</v>
      </c>
      <c r="DJ2089" s="4">
        <f>INDEX(Sheet2!C:C,QUOTIENT(ROW()-1,19)+2)</f>
        <v>42369</v>
      </c>
      <c r="DK2089" s="4" t="e">
        <f>INDEX(Sheet2!$AA$2:$AS$228,QUOTIENT(ROW()-1,19)+1,MOD(ROW()-2,19)+1)</f>
        <v>#N/A</v>
      </c>
      <c r="DL2089" t="str">
        <f>IFERROR(INDEX(Sheet2!$AU$2:$BM$228,QUOTIENT(ROW()-1,19)+1,MOD(ROW()-2,19)+1),NA())</f>
        <v/>
      </c>
      <c r="DM2089" s="4" t="e">
        <f t="shared" si="117"/>
        <v>#N/A</v>
      </c>
      <c r="DN2089" t="e">
        <f t="shared" si="118"/>
        <v>#N/A</v>
      </c>
      <c r="DO2089" t="e">
        <f t="shared" si="119"/>
        <v>#N/A</v>
      </c>
    </row>
    <row r="2090" spans="7:119" x14ac:dyDescent="0.25">
      <c r="G2090"/>
      <c r="DI2090" s="4">
        <f>INDEX(Sheet2!A:A,QUOTIENT(ROW()-1,19)+2)</f>
        <v>41444</v>
      </c>
      <c r="DJ2090" s="4">
        <f>INDEX(Sheet2!C:C,QUOTIENT(ROW()-1,19)+2)</f>
        <v>42369</v>
      </c>
      <c r="DK2090" s="4" t="e">
        <f>INDEX(Sheet2!$AA$2:$AS$228,QUOTIENT(ROW()-1,19)+1,MOD(ROW()-2,19)+1)</f>
        <v>#N/A</v>
      </c>
      <c r="DL2090" t="str">
        <f>IFERROR(INDEX(Sheet2!$AU$2:$BM$228,QUOTIENT(ROW()-1,19)+1,MOD(ROW()-2,19)+1),NA())</f>
        <v/>
      </c>
      <c r="DM2090" s="4" t="e">
        <f t="shared" si="117"/>
        <v>#N/A</v>
      </c>
      <c r="DN2090" t="e">
        <f t="shared" si="118"/>
        <v>#N/A</v>
      </c>
      <c r="DO2090" t="e">
        <f t="shared" si="119"/>
        <v>#N/A</v>
      </c>
    </row>
    <row r="2091" spans="7:119" x14ac:dyDescent="0.25">
      <c r="G2091"/>
      <c r="DI2091" s="4">
        <f>INDEX(Sheet2!A:A,QUOTIENT(ROW()-1,19)+2)</f>
        <v>41444</v>
      </c>
      <c r="DJ2091" s="4">
        <f>INDEX(Sheet2!C:C,QUOTIENT(ROW()-1,19)+2)</f>
        <v>42369</v>
      </c>
      <c r="DK2091" s="4" t="e">
        <f>INDEX(Sheet2!$AA$2:$AS$228,QUOTIENT(ROW()-1,19)+1,MOD(ROW()-2,19)+1)</f>
        <v>#N/A</v>
      </c>
      <c r="DL2091" t="str">
        <f>IFERROR(INDEX(Sheet2!$AU$2:$BM$228,QUOTIENT(ROW()-1,19)+1,MOD(ROW()-2,19)+1),NA())</f>
        <v/>
      </c>
      <c r="DM2091" s="4" t="e">
        <f t="shared" si="117"/>
        <v>#N/A</v>
      </c>
      <c r="DN2091" t="e">
        <f t="shared" si="118"/>
        <v>#N/A</v>
      </c>
      <c r="DO2091" t="e">
        <f t="shared" si="119"/>
        <v>#N/A</v>
      </c>
    </row>
    <row r="2092" spans="7:119" x14ac:dyDescent="0.25">
      <c r="G2092"/>
      <c r="DI2092" s="4">
        <f>INDEX(Sheet2!A:A,QUOTIENT(ROW()-1,19)+2)</f>
        <v>41444</v>
      </c>
      <c r="DJ2092" s="4">
        <f>INDEX(Sheet2!C:C,QUOTIENT(ROW()-1,19)+2)</f>
        <v>42369</v>
      </c>
      <c r="DK2092" s="4">
        <f>INDEX(Sheet2!$AA$2:$AS$228,QUOTIENT(ROW()-1,19)+1,MOD(ROW()-2,19)+1)</f>
        <v>42348.924999999996</v>
      </c>
      <c r="DL2092">
        <f>IFERROR(INDEX(Sheet2!$AU$2:$BM$228,QUOTIENT(ROW()-1,19)+1,MOD(ROW()-2,19)+1),NA())</f>
        <v>3</v>
      </c>
      <c r="DM2092" s="4" t="e">
        <f t="shared" si="117"/>
        <v>#N/A</v>
      </c>
      <c r="DN2092" t="e">
        <f t="shared" si="118"/>
        <v>#N/A</v>
      </c>
      <c r="DO2092" t="e">
        <f t="shared" si="119"/>
        <v>#N/A</v>
      </c>
    </row>
    <row r="2093" spans="7:119" x14ac:dyDescent="0.25">
      <c r="G2093"/>
      <c r="DI2093" s="4">
        <f>INDEX(Sheet2!A:A,QUOTIENT(ROW()-1,19)+2)</f>
        <v>41444</v>
      </c>
      <c r="DJ2093" s="4">
        <f>INDEX(Sheet2!C:C,QUOTIENT(ROW()-1,19)+2)</f>
        <v>42369</v>
      </c>
      <c r="DK2093" s="4">
        <f>INDEX(Sheet2!$AA$2:$AS$228,QUOTIENT(ROW()-1,19)+1,MOD(ROW()-2,19)+1)</f>
        <v>42369</v>
      </c>
      <c r="DL2093">
        <f>IFERROR(INDEX(Sheet2!$AU$2:$BM$228,QUOTIENT(ROW()-1,19)+1,MOD(ROW()-2,19)+1),NA())</f>
        <v>3</v>
      </c>
      <c r="DM2093" s="4" t="e">
        <f t="shared" si="117"/>
        <v>#N/A</v>
      </c>
      <c r="DN2093" t="e">
        <f t="shared" si="118"/>
        <v>#N/A</v>
      </c>
      <c r="DO2093" t="e">
        <f t="shared" si="119"/>
        <v>#N/A</v>
      </c>
    </row>
    <row r="2094" spans="7:119" x14ac:dyDescent="0.25">
      <c r="G2094"/>
      <c r="DI2094" s="4">
        <f>INDEX(Sheet2!A:A,QUOTIENT(ROW()-1,19)+2)</f>
        <v>41444</v>
      </c>
      <c r="DJ2094" s="4">
        <f>INDEX(Sheet2!C:C,QUOTIENT(ROW()-1,19)+2)</f>
        <v>42369</v>
      </c>
      <c r="DK2094" s="4">
        <f>INDEX(Sheet2!$AA$2:$AS$228,QUOTIENT(ROW()-1,19)+1,MOD(ROW()-2,19)+1)</f>
        <v>42389.074999999997</v>
      </c>
      <c r="DL2094">
        <f>IFERROR(INDEX(Sheet2!$AU$2:$BM$228,QUOTIENT(ROW()-1,19)+1,MOD(ROW()-2,19)+1),NA())</f>
        <v>3</v>
      </c>
      <c r="DM2094" s="4" t="e">
        <f t="shared" si="117"/>
        <v>#N/A</v>
      </c>
      <c r="DN2094" t="e">
        <f t="shared" si="118"/>
        <v>#N/A</v>
      </c>
      <c r="DO2094" t="e">
        <f t="shared" si="119"/>
        <v>#N/A</v>
      </c>
    </row>
    <row r="2095" spans="7:119" x14ac:dyDescent="0.25">
      <c r="G2095"/>
      <c r="DI2095" s="4">
        <f>INDEX(Sheet2!A:A,QUOTIENT(ROW()-1,19)+2)</f>
        <v>41444</v>
      </c>
      <c r="DJ2095" s="4">
        <f>INDEX(Sheet2!C:C,QUOTIENT(ROW()-1,19)+2)</f>
        <v>42369</v>
      </c>
      <c r="DK2095" s="4" t="e">
        <f>INDEX(Sheet2!$AA$2:$AS$228,QUOTIENT(ROW()-1,19)+1,MOD(ROW()-2,19)+1)</f>
        <v>#N/A</v>
      </c>
      <c r="DL2095" t="str">
        <f>IFERROR(INDEX(Sheet2!$AU$2:$BM$228,QUOTIENT(ROW()-1,19)+1,MOD(ROW()-2,19)+1),NA())</f>
        <v/>
      </c>
      <c r="DM2095" s="4" t="e">
        <f t="shared" si="117"/>
        <v>#N/A</v>
      </c>
      <c r="DN2095" t="e">
        <f t="shared" si="118"/>
        <v>#N/A</v>
      </c>
      <c r="DO2095" t="e">
        <f t="shared" si="119"/>
        <v>#N/A</v>
      </c>
    </row>
    <row r="2096" spans="7:119" x14ac:dyDescent="0.25">
      <c r="G2096"/>
      <c r="DI2096" s="4">
        <f>INDEX(Sheet2!A:A,QUOTIENT(ROW()-1,19)+2)</f>
        <v>41444</v>
      </c>
      <c r="DJ2096" s="4">
        <f>INDEX(Sheet2!C:C,QUOTIENT(ROW()-1,19)+2)</f>
        <v>42369</v>
      </c>
      <c r="DK2096" s="4" t="e">
        <f>INDEX(Sheet2!$AA$2:$AS$228,QUOTIENT(ROW()-1,19)+1,MOD(ROW()-2,19)+1)</f>
        <v>#N/A</v>
      </c>
      <c r="DL2096" t="str">
        <f>IFERROR(INDEX(Sheet2!$AU$2:$BM$228,QUOTIENT(ROW()-1,19)+1,MOD(ROW()-2,19)+1),NA())</f>
        <v/>
      </c>
      <c r="DM2096" s="4" t="e">
        <f t="shared" si="117"/>
        <v>#N/A</v>
      </c>
      <c r="DN2096" t="e">
        <f t="shared" si="118"/>
        <v>#N/A</v>
      </c>
      <c r="DO2096" t="e">
        <f t="shared" si="119"/>
        <v>#N/A</v>
      </c>
    </row>
    <row r="2097" spans="7:119" x14ac:dyDescent="0.25">
      <c r="G2097"/>
      <c r="DI2097" s="4">
        <f>INDEX(Sheet2!A:A,QUOTIENT(ROW()-1,19)+2)</f>
        <v>41444</v>
      </c>
      <c r="DJ2097" s="4">
        <f>INDEX(Sheet2!C:C,QUOTIENT(ROW()-1,19)+2)</f>
        <v>42369</v>
      </c>
      <c r="DK2097" s="4" t="e">
        <f>INDEX(Sheet2!$AA$2:$AS$228,QUOTIENT(ROW()-1,19)+1,MOD(ROW()-2,19)+1)</f>
        <v>#N/A</v>
      </c>
      <c r="DL2097" t="str">
        <f>IFERROR(INDEX(Sheet2!$AU$2:$BM$228,QUOTIENT(ROW()-1,19)+1,MOD(ROW()-2,19)+1),NA())</f>
        <v/>
      </c>
      <c r="DM2097" s="4" t="e">
        <f t="shared" si="117"/>
        <v>#N/A</v>
      </c>
      <c r="DN2097" t="e">
        <f t="shared" si="118"/>
        <v>#N/A</v>
      </c>
      <c r="DO2097" t="e">
        <f t="shared" si="119"/>
        <v>#N/A</v>
      </c>
    </row>
    <row r="2098" spans="7:119" x14ac:dyDescent="0.25">
      <c r="G2098"/>
      <c r="DI2098" s="4">
        <f>INDEX(Sheet2!A:A,QUOTIENT(ROW()-1,19)+2)</f>
        <v>41444</v>
      </c>
      <c r="DJ2098" s="4">
        <f>INDEX(Sheet2!C:C,QUOTIENT(ROW()-1,19)+2)</f>
        <v>42369</v>
      </c>
      <c r="DK2098" s="4" t="e">
        <f>INDEX(Sheet2!$AA$2:$AS$228,QUOTIENT(ROW()-1,19)+1,MOD(ROW()-2,19)+1)</f>
        <v>#N/A</v>
      </c>
      <c r="DL2098" t="str">
        <f>IFERROR(INDEX(Sheet2!$AU$2:$BM$228,QUOTIENT(ROW()-1,19)+1,MOD(ROW()-2,19)+1),NA())</f>
        <v/>
      </c>
      <c r="DM2098" s="4" t="e">
        <f t="shared" si="117"/>
        <v>#N/A</v>
      </c>
      <c r="DN2098" t="e">
        <f t="shared" si="118"/>
        <v>#N/A</v>
      </c>
      <c r="DO2098" t="e">
        <f t="shared" si="119"/>
        <v>#N/A</v>
      </c>
    </row>
    <row r="2099" spans="7:119" x14ac:dyDescent="0.25">
      <c r="G2099"/>
      <c r="DI2099" s="4">
        <f>INDEX(Sheet2!A:A,QUOTIENT(ROW()-1,19)+2)</f>
        <v>41444</v>
      </c>
      <c r="DJ2099" s="4">
        <f>INDEX(Sheet2!C:C,QUOTIENT(ROW()-1,19)+2)</f>
        <v>42369</v>
      </c>
      <c r="DK2099" s="4" t="e">
        <f>INDEX(Sheet2!$AA$2:$AS$228,QUOTIENT(ROW()-1,19)+1,MOD(ROW()-2,19)+1)</f>
        <v>#N/A</v>
      </c>
      <c r="DL2099" t="str">
        <f>IFERROR(INDEX(Sheet2!$AU$2:$BM$228,QUOTIENT(ROW()-1,19)+1,MOD(ROW()-2,19)+1),NA())</f>
        <v/>
      </c>
      <c r="DM2099" s="4" t="e">
        <f t="shared" si="117"/>
        <v>#N/A</v>
      </c>
      <c r="DN2099" t="e">
        <f t="shared" si="118"/>
        <v>#N/A</v>
      </c>
      <c r="DO2099" t="e">
        <f t="shared" si="119"/>
        <v>#N/A</v>
      </c>
    </row>
    <row r="2100" spans="7:119" x14ac:dyDescent="0.25">
      <c r="G2100"/>
      <c r="DI2100" s="4">
        <f>INDEX(Sheet2!A:A,QUOTIENT(ROW()-1,19)+2)</f>
        <v>41444</v>
      </c>
      <c r="DJ2100" s="4">
        <f>INDEX(Sheet2!C:C,QUOTIENT(ROW()-1,19)+2)</f>
        <v>42369</v>
      </c>
      <c r="DK2100" s="4" t="e">
        <f>INDEX(Sheet2!$AA$2:$AS$228,QUOTIENT(ROW()-1,19)+1,MOD(ROW()-2,19)+1)</f>
        <v>#N/A</v>
      </c>
      <c r="DL2100" t="str">
        <f>IFERROR(INDEX(Sheet2!$AU$2:$BM$228,QUOTIENT(ROW()-1,19)+1,MOD(ROW()-2,19)+1),NA())</f>
        <v/>
      </c>
      <c r="DM2100" s="4" t="e">
        <f t="shared" si="117"/>
        <v>#N/A</v>
      </c>
      <c r="DN2100" t="e">
        <f t="shared" si="118"/>
        <v>#N/A</v>
      </c>
      <c r="DO2100" t="e">
        <f t="shared" si="119"/>
        <v>#N/A</v>
      </c>
    </row>
    <row r="2101" spans="7:119" x14ac:dyDescent="0.25">
      <c r="G2101"/>
      <c r="DI2101" s="4">
        <f>INDEX(Sheet2!A:A,QUOTIENT(ROW()-1,19)+2)</f>
        <v>41444</v>
      </c>
      <c r="DJ2101" s="4">
        <f>INDEX(Sheet2!C:C,QUOTIENT(ROW()-1,19)+2)</f>
        <v>42369</v>
      </c>
      <c r="DK2101" s="4" t="e">
        <f>INDEX(Sheet2!$AA$2:$AS$228,QUOTIENT(ROW()-1,19)+1,MOD(ROW()-2,19)+1)</f>
        <v>#N/A</v>
      </c>
      <c r="DL2101" t="str">
        <f>IFERROR(INDEX(Sheet2!$AU$2:$BM$228,QUOTIENT(ROW()-1,19)+1,MOD(ROW()-2,19)+1),NA())</f>
        <v/>
      </c>
      <c r="DM2101" s="4" t="e">
        <f t="shared" si="117"/>
        <v>#N/A</v>
      </c>
      <c r="DN2101" t="e">
        <f t="shared" si="118"/>
        <v>#N/A</v>
      </c>
      <c r="DO2101" t="e">
        <f t="shared" si="119"/>
        <v>#N/A</v>
      </c>
    </row>
    <row r="2102" spans="7:119" x14ac:dyDescent="0.25">
      <c r="G2102"/>
      <c r="DI2102" s="4">
        <f>INDEX(Sheet2!A:A,QUOTIENT(ROW()-1,19)+2)</f>
        <v>41444</v>
      </c>
      <c r="DJ2102" s="4">
        <f>INDEX(Sheet2!C:C,QUOTIENT(ROW()-1,19)+2)</f>
        <v>42369</v>
      </c>
      <c r="DK2102" s="4" t="e">
        <f>INDEX(Sheet2!$AA$2:$AS$228,QUOTIENT(ROW()-1,19)+1,MOD(ROW()-2,19)+1)</f>
        <v>#N/A</v>
      </c>
      <c r="DL2102" t="str">
        <f>IFERROR(INDEX(Sheet2!$AU$2:$BM$228,QUOTIENT(ROW()-1,19)+1,MOD(ROW()-2,19)+1),NA())</f>
        <v/>
      </c>
      <c r="DM2102" s="4" t="e">
        <f t="shared" si="117"/>
        <v>#N/A</v>
      </c>
      <c r="DN2102" t="e">
        <f t="shared" si="118"/>
        <v>#N/A</v>
      </c>
      <c r="DO2102" t="e">
        <f t="shared" si="119"/>
        <v>#N/A</v>
      </c>
    </row>
    <row r="2103" spans="7:119" x14ac:dyDescent="0.25">
      <c r="G2103"/>
      <c r="DI2103" s="4">
        <f>INDEX(Sheet2!A:A,QUOTIENT(ROW()-1,19)+2)</f>
        <v>41444</v>
      </c>
      <c r="DJ2103" s="4">
        <f>INDEX(Sheet2!C:C,QUOTIENT(ROW()-1,19)+2)</f>
        <v>42369</v>
      </c>
      <c r="DK2103" s="4" t="e">
        <f>INDEX(Sheet2!$AA$2:$AS$228,QUOTIENT(ROW()-1,19)+1,MOD(ROW()-2,19)+1)</f>
        <v>#N/A</v>
      </c>
      <c r="DL2103" t="str">
        <f>IFERROR(INDEX(Sheet2!$AU$2:$BM$228,QUOTIENT(ROW()-1,19)+1,MOD(ROW()-2,19)+1),NA())</f>
        <v/>
      </c>
      <c r="DM2103" s="4" t="e">
        <f t="shared" si="117"/>
        <v>#N/A</v>
      </c>
      <c r="DN2103" t="e">
        <f t="shared" si="118"/>
        <v>#N/A</v>
      </c>
      <c r="DO2103" t="e">
        <f t="shared" si="119"/>
        <v>#N/A</v>
      </c>
    </row>
    <row r="2104" spans="7:119" x14ac:dyDescent="0.25">
      <c r="G2104"/>
      <c r="DI2104" s="4">
        <f>INDEX(Sheet2!A:A,QUOTIENT(ROW()-1,19)+2)</f>
        <v>41444</v>
      </c>
      <c r="DJ2104" s="4">
        <f>INDEX(Sheet2!C:C,QUOTIENT(ROW()-1,19)+2)</f>
        <v>42369</v>
      </c>
      <c r="DK2104" s="4" t="e">
        <f>INDEX(Sheet2!$AA$2:$AS$228,QUOTIENT(ROW()-1,19)+1,MOD(ROW()-2,19)+1)</f>
        <v>#N/A</v>
      </c>
      <c r="DL2104" t="str">
        <f>IFERROR(INDEX(Sheet2!$AU$2:$BM$228,QUOTIENT(ROW()-1,19)+1,MOD(ROW()-2,19)+1),NA())</f>
        <v/>
      </c>
      <c r="DM2104" s="4" t="e">
        <f t="shared" si="117"/>
        <v>#N/A</v>
      </c>
      <c r="DN2104" t="e">
        <f t="shared" si="118"/>
        <v>#N/A</v>
      </c>
      <c r="DO2104" t="e">
        <f t="shared" si="119"/>
        <v>#N/A</v>
      </c>
    </row>
    <row r="2105" spans="7:119" x14ac:dyDescent="0.25">
      <c r="G2105"/>
      <c r="DI2105" s="4">
        <f>INDEX(Sheet2!A:A,QUOTIENT(ROW()-1,19)+2)</f>
        <v>41444</v>
      </c>
      <c r="DJ2105" s="4">
        <f>INDEX(Sheet2!C:C,QUOTIENT(ROW()-1,19)+2)</f>
        <v>42369</v>
      </c>
      <c r="DK2105" s="4" t="e">
        <f>INDEX(Sheet2!$AA$2:$AS$228,QUOTIENT(ROW()-1,19)+1,MOD(ROW()-2,19)+1)</f>
        <v>#N/A</v>
      </c>
      <c r="DL2105" t="str">
        <f>IFERROR(INDEX(Sheet2!$AU$2:$BM$228,QUOTIENT(ROW()-1,19)+1,MOD(ROW()-2,19)+1),NA())</f>
        <v/>
      </c>
      <c r="DM2105" s="4" t="e">
        <f t="shared" si="117"/>
        <v>#N/A</v>
      </c>
      <c r="DN2105" t="e">
        <f t="shared" si="118"/>
        <v>#N/A</v>
      </c>
      <c r="DO2105" t="e">
        <f t="shared" si="119"/>
        <v>#N/A</v>
      </c>
    </row>
    <row r="2106" spans="7:119" x14ac:dyDescent="0.25">
      <c r="G2106"/>
      <c r="DI2106" s="4">
        <f>INDEX(Sheet2!A:A,QUOTIENT(ROW()-1,19)+2)</f>
        <v>41444</v>
      </c>
      <c r="DJ2106" s="4">
        <f>INDEX(Sheet2!C:C,QUOTIENT(ROW()-1,19)+2)</f>
        <v>42369</v>
      </c>
      <c r="DK2106" s="4" t="e">
        <f>INDEX(Sheet2!$AA$2:$AS$228,QUOTIENT(ROW()-1,19)+1,MOD(ROW()-2,19)+1)</f>
        <v>#N/A</v>
      </c>
      <c r="DL2106" t="str">
        <f>IFERROR(INDEX(Sheet2!$AU$2:$BM$228,QUOTIENT(ROW()-1,19)+1,MOD(ROW()-2,19)+1),NA())</f>
        <v/>
      </c>
      <c r="DM2106" s="4" t="e">
        <f t="shared" si="117"/>
        <v>#N/A</v>
      </c>
      <c r="DN2106" t="e">
        <f t="shared" si="118"/>
        <v>#N/A</v>
      </c>
      <c r="DO2106" t="e">
        <f t="shared" si="119"/>
        <v>#N/A</v>
      </c>
    </row>
    <row r="2107" spans="7:119" x14ac:dyDescent="0.25">
      <c r="G2107"/>
      <c r="DI2107" s="4">
        <f>INDEX(Sheet2!A:A,QUOTIENT(ROW()-1,19)+2)</f>
        <v>41444</v>
      </c>
      <c r="DJ2107" s="4">
        <f>INDEX(Sheet2!C:C,QUOTIENT(ROW()-1,19)+2)</f>
        <v>42369</v>
      </c>
      <c r="DK2107" s="4" t="e">
        <f>INDEX(Sheet2!$AA$2:$AS$228,QUOTIENT(ROW()-1,19)+1,MOD(ROW()-2,19)+1)</f>
        <v>#N/A</v>
      </c>
      <c r="DL2107" t="str">
        <f>IFERROR(INDEX(Sheet2!$AU$2:$BM$228,QUOTIENT(ROW()-1,19)+1,MOD(ROW()-2,19)+1),NA())</f>
        <v/>
      </c>
      <c r="DM2107" s="4" t="e">
        <f t="shared" si="117"/>
        <v>#N/A</v>
      </c>
      <c r="DN2107" t="e">
        <f t="shared" si="118"/>
        <v>#N/A</v>
      </c>
      <c r="DO2107" t="e">
        <f t="shared" si="119"/>
        <v>#N/A</v>
      </c>
    </row>
    <row r="2108" spans="7:119" x14ac:dyDescent="0.25">
      <c r="G2108"/>
      <c r="DI2108" s="4">
        <f>INDEX(Sheet2!A:A,QUOTIENT(ROW()-1,19)+2)</f>
        <v>41444</v>
      </c>
      <c r="DJ2108" s="4">
        <f>INDEX(Sheet2!C:C,QUOTIENT(ROW()-1,19)+2)</f>
        <v>42369</v>
      </c>
      <c r="DK2108" s="4" t="e">
        <f>INDEX(Sheet2!$AA$2:$AS$228,QUOTIENT(ROW()-1,19)+1,MOD(ROW()-2,19)+1)</f>
        <v>#N/A</v>
      </c>
      <c r="DL2108" t="str">
        <f>IFERROR(INDEX(Sheet2!$AU$2:$BM$228,QUOTIENT(ROW()-1,19)+1,MOD(ROW()-2,19)+1),NA())</f>
        <v/>
      </c>
      <c r="DM2108" s="4" t="e">
        <f t="shared" si="117"/>
        <v>#N/A</v>
      </c>
      <c r="DN2108" t="e">
        <f t="shared" si="118"/>
        <v>#N/A</v>
      </c>
      <c r="DO2108" t="e">
        <f t="shared" si="119"/>
        <v>#N/A</v>
      </c>
    </row>
    <row r="2109" spans="7:119" x14ac:dyDescent="0.25">
      <c r="G2109"/>
      <c r="DI2109" s="4">
        <f>INDEX(Sheet2!A:A,QUOTIENT(ROW()-1,19)+2)</f>
        <v>41444</v>
      </c>
      <c r="DJ2109" s="4">
        <f>INDEX(Sheet2!C:C,QUOTIENT(ROW()-1,19)+2)</f>
        <v>42369</v>
      </c>
      <c r="DK2109" s="4" t="e">
        <f>INDEX(Sheet2!$AA$2:$AS$228,QUOTIENT(ROW()-1,19)+1,MOD(ROW()-2,19)+1)</f>
        <v>#N/A</v>
      </c>
      <c r="DL2109" t="str">
        <f>IFERROR(INDEX(Sheet2!$AU$2:$BM$228,QUOTIENT(ROW()-1,19)+1,MOD(ROW()-2,19)+1),NA())</f>
        <v/>
      </c>
      <c r="DM2109" s="4" t="e">
        <f t="shared" si="117"/>
        <v>#N/A</v>
      </c>
      <c r="DN2109" t="e">
        <f t="shared" si="118"/>
        <v>#N/A</v>
      </c>
      <c r="DO2109" t="e">
        <f t="shared" si="119"/>
        <v>#N/A</v>
      </c>
    </row>
    <row r="2110" spans="7:119" x14ac:dyDescent="0.25">
      <c r="G2110"/>
      <c r="DI2110" s="4">
        <f>INDEX(Sheet2!A:A,QUOTIENT(ROW()-1,19)+2)</f>
        <v>41444</v>
      </c>
      <c r="DJ2110" s="4">
        <f>INDEX(Sheet2!C:C,QUOTIENT(ROW()-1,19)+2)</f>
        <v>43100</v>
      </c>
      <c r="DK2110" s="4" t="e">
        <f>INDEX(Sheet2!$AA$2:$AS$228,QUOTIENT(ROW()-1,19)+1,MOD(ROW()-2,19)+1)</f>
        <v>#N/A</v>
      </c>
      <c r="DL2110" t="str">
        <f>IFERROR(INDEX(Sheet2!$AU$2:$BM$228,QUOTIENT(ROW()-1,19)+1,MOD(ROW()-2,19)+1),NA())</f>
        <v/>
      </c>
      <c r="DM2110" s="4" t="e">
        <f t="shared" si="117"/>
        <v>#N/A</v>
      </c>
      <c r="DN2110" t="e">
        <f t="shared" si="118"/>
        <v>#N/A</v>
      </c>
      <c r="DO2110" t="e">
        <f t="shared" si="119"/>
        <v>#N/A</v>
      </c>
    </row>
    <row r="2111" spans="7:119" x14ac:dyDescent="0.25">
      <c r="G2111"/>
      <c r="DI2111" s="4">
        <f>INDEX(Sheet2!A:A,QUOTIENT(ROW()-1,19)+2)</f>
        <v>41444</v>
      </c>
      <c r="DJ2111" s="4">
        <f>INDEX(Sheet2!C:C,QUOTIENT(ROW()-1,19)+2)</f>
        <v>43100</v>
      </c>
      <c r="DK2111" s="4">
        <f>INDEX(Sheet2!$AA$2:$AS$228,QUOTIENT(ROW()-1,19)+1,MOD(ROW()-2,19)+1)</f>
        <v>43100</v>
      </c>
      <c r="DL2111">
        <f>IFERROR(INDEX(Sheet2!$AU$2:$BM$228,QUOTIENT(ROW()-1,19)+1,MOD(ROW()-2,19)+1),NA())</f>
        <v>3.25</v>
      </c>
      <c r="DM2111" s="4" t="e">
        <f t="shared" si="117"/>
        <v>#N/A</v>
      </c>
      <c r="DN2111" t="e">
        <f t="shared" si="118"/>
        <v>#N/A</v>
      </c>
      <c r="DO2111" t="e">
        <f t="shared" si="119"/>
        <v>#N/A</v>
      </c>
    </row>
    <row r="2112" spans="7:119" x14ac:dyDescent="0.25">
      <c r="G2112"/>
      <c r="DI2112" s="4">
        <f>INDEX(Sheet2!A:A,QUOTIENT(ROW()-1,19)+2)</f>
        <v>41444</v>
      </c>
      <c r="DJ2112" s="4">
        <f>INDEX(Sheet2!C:C,QUOTIENT(ROW()-1,19)+2)</f>
        <v>43100</v>
      </c>
      <c r="DK2112" s="4" t="e">
        <f>INDEX(Sheet2!$AA$2:$AS$228,QUOTIENT(ROW()-1,19)+1,MOD(ROW()-2,19)+1)</f>
        <v>#N/A</v>
      </c>
      <c r="DL2112" t="str">
        <f>IFERROR(INDEX(Sheet2!$AU$2:$BM$228,QUOTIENT(ROW()-1,19)+1,MOD(ROW()-2,19)+1),NA())</f>
        <v/>
      </c>
      <c r="DM2112" s="4" t="e">
        <f t="shared" si="117"/>
        <v>#N/A</v>
      </c>
      <c r="DN2112" t="e">
        <f t="shared" si="118"/>
        <v>#N/A</v>
      </c>
      <c r="DO2112" t="e">
        <f t="shared" si="119"/>
        <v>#N/A</v>
      </c>
    </row>
    <row r="2113" spans="7:119" x14ac:dyDescent="0.25">
      <c r="G2113"/>
      <c r="DI2113" s="4">
        <f>INDEX(Sheet2!A:A,QUOTIENT(ROW()-1,19)+2)</f>
        <v>41444</v>
      </c>
      <c r="DJ2113" s="4">
        <f>INDEX(Sheet2!C:C,QUOTIENT(ROW()-1,19)+2)</f>
        <v>43100</v>
      </c>
      <c r="DK2113" s="4" t="e">
        <f>INDEX(Sheet2!$AA$2:$AS$228,QUOTIENT(ROW()-1,19)+1,MOD(ROW()-2,19)+1)</f>
        <v>#N/A</v>
      </c>
      <c r="DL2113" t="str">
        <f>IFERROR(INDEX(Sheet2!$AU$2:$BM$228,QUOTIENT(ROW()-1,19)+1,MOD(ROW()-2,19)+1),NA())</f>
        <v/>
      </c>
      <c r="DM2113" s="4" t="e">
        <f t="shared" si="117"/>
        <v>#N/A</v>
      </c>
      <c r="DN2113" t="e">
        <f t="shared" si="118"/>
        <v>#N/A</v>
      </c>
      <c r="DO2113" t="e">
        <f t="shared" si="119"/>
        <v>#N/A</v>
      </c>
    </row>
    <row r="2114" spans="7:119" x14ac:dyDescent="0.25">
      <c r="G2114"/>
      <c r="DI2114" s="4">
        <f>INDEX(Sheet2!A:A,QUOTIENT(ROW()-1,19)+2)</f>
        <v>41444</v>
      </c>
      <c r="DJ2114" s="4">
        <f>INDEX(Sheet2!C:C,QUOTIENT(ROW()-1,19)+2)</f>
        <v>43100</v>
      </c>
      <c r="DK2114" s="4" t="e">
        <f>INDEX(Sheet2!$AA$2:$AS$228,QUOTIENT(ROW()-1,19)+1,MOD(ROW()-2,19)+1)</f>
        <v>#N/A</v>
      </c>
      <c r="DL2114" t="str">
        <f>IFERROR(INDEX(Sheet2!$AU$2:$BM$228,QUOTIENT(ROW()-1,19)+1,MOD(ROW()-2,19)+1),NA())</f>
        <v/>
      </c>
      <c r="DM2114" s="4" t="e">
        <f t="shared" ref="DM2114:DM2177" si="120">+IF($C$2=$DI2114,DK2114,NA())</f>
        <v>#N/A</v>
      </c>
      <c r="DN2114" t="e">
        <f t="shared" ref="DN2114:DN2177" si="121">+IF($C$2=$DI2114,DL2114,NA())</f>
        <v>#N/A</v>
      </c>
      <c r="DO2114" t="e">
        <f t="shared" si="119"/>
        <v>#N/A</v>
      </c>
    </row>
    <row r="2115" spans="7:119" x14ac:dyDescent="0.25">
      <c r="G2115"/>
      <c r="DI2115" s="4">
        <f>INDEX(Sheet2!A:A,QUOTIENT(ROW()-1,19)+2)</f>
        <v>41444</v>
      </c>
      <c r="DJ2115" s="4">
        <f>INDEX(Sheet2!C:C,QUOTIENT(ROW()-1,19)+2)</f>
        <v>43100</v>
      </c>
      <c r="DK2115" s="4" t="e">
        <f>INDEX(Sheet2!$AA$2:$AS$228,QUOTIENT(ROW()-1,19)+1,MOD(ROW()-2,19)+1)</f>
        <v>#N/A</v>
      </c>
      <c r="DL2115" t="str">
        <f>IFERROR(INDEX(Sheet2!$AU$2:$BM$228,QUOTIENT(ROW()-1,19)+1,MOD(ROW()-2,19)+1),NA())</f>
        <v/>
      </c>
      <c r="DM2115" s="4" t="e">
        <f t="shared" si="120"/>
        <v>#N/A</v>
      </c>
      <c r="DN2115" t="e">
        <f t="shared" si="121"/>
        <v>#N/A</v>
      </c>
      <c r="DO2115" t="e">
        <f t="shared" ref="DO2115:DO2178" si="122">IF(DN2115="",NA(),DN2115)</f>
        <v>#N/A</v>
      </c>
    </row>
    <row r="2116" spans="7:119" x14ac:dyDescent="0.25">
      <c r="G2116"/>
      <c r="DI2116" s="4">
        <f>INDEX(Sheet2!A:A,QUOTIENT(ROW()-1,19)+2)</f>
        <v>41444</v>
      </c>
      <c r="DJ2116" s="4">
        <f>INDEX(Sheet2!C:C,QUOTIENT(ROW()-1,19)+2)</f>
        <v>43100</v>
      </c>
      <c r="DK2116" s="4" t="e">
        <f>INDEX(Sheet2!$AA$2:$AS$228,QUOTIENT(ROW()-1,19)+1,MOD(ROW()-2,19)+1)</f>
        <v>#N/A</v>
      </c>
      <c r="DL2116" t="str">
        <f>IFERROR(INDEX(Sheet2!$AU$2:$BM$228,QUOTIENT(ROW()-1,19)+1,MOD(ROW()-2,19)+1),NA())</f>
        <v/>
      </c>
      <c r="DM2116" s="4" t="e">
        <f t="shared" si="120"/>
        <v>#N/A</v>
      </c>
      <c r="DN2116" t="e">
        <f t="shared" si="121"/>
        <v>#N/A</v>
      </c>
      <c r="DO2116" t="e">
        <f t="shared" si="122"/>
        <v>#N/A</v>
      </c>
    </row>
    <row r="2117" spans="7:119" x14ac:dyDescent="0.25">
      <c r="G2117"/>
      <c r="DI2117" s="4">
        <f>INDEX(Sheet2!A:A,QUOTIENT(ROW()-1,19)+2)</f>
        <v>41444</v>
      </c>
      <c r="DJ2117" s="4">
        <f>INDEX(Sheet2!C:C,QUOTIENT(ROW()-1,19)+2)</f>
        <v>43100</v>
      </c>
      <c r="DK2117" s="4" t="e">
        <f>INDEX(Sheet2!$AA$2:$AS$228,QUOTIENT(ROW()-1,19)+1,MOD(ROW()-2,19)+1)</f>
        <v>#N/A</v>
      </c>
      <c r="DL2117" t="str">
        <f>IFERROR(INDEX(Sheet2!$AU$2:$BM$228,QUOTIENT(ROW()-1,19)+1,MOD(ROW()-2,19)+1),NA())</f>
        <v/>
      </c>
      <c r="DM2117" s="4" t="e">
        <f t="shared" si="120"/>
        <v>#N/A</v>
      </c>
      <c r="DN2117" t="e">
        <f t="shared" si="121"/>
        <v>#N/A</v>
      </c>
      <c r="DO2117" t="e">
        <f t="shared" si="122"/>
        <v>#N/A</v>
      </c>
    </row>
    <row r="2118" spans="7:119" x14ac:dyDescent="0.25">
      <c r="G2118"/>
      <c r="DI2118" s="4">
        <f>INDEX(Sheet2!A:A,QUOTIENT(ROW()-1,19)+2)</f>
        <v>41444</v>
      </c>
      <c r="DJ2118" s="4">
        <f>INDEX(Sheet2!C:C,QUOTIENT(ROW()-1,19)+2)</f>
        <v>43100</v>
      </c>
      <c r="DK2118" s="4" t="e">
        <f>INDEX(Sheet2!$AA$2:$AS$228,QUOTIENT(ROW()-1,19)+1,MOD(ROW()-2,19)+1)</f>
        <v>#N/A</v>
      </c>
      <c r="DL2118" t="str">
        <f>IFERROR(INDEX(Sheet2!$AU$2:$BM$228,QUOTIENT(ROW()-1,19)+1,MOD(ROW()-2,19)+1),NA())</f>
        <v/>
      </c>
      <c r="DM2118" s="4" t="e">
        <f t="shared" si="120"/>
        <v>#N/A</v>
      </c>
      <c r="DN2118" t="e">
        <f t="shared" si="121"/>
        <v>#N/A</v>
      </c>
      <c r="DO2118" t="e">
        <f t="shared" si="122"/>
        <v>#N/A</v>
      </c>
    </row>
    <row r="2119" spans="7:119" x14ac:dyDescent="0.25">
      <c r="G2119"/>
      <c r="DI2119" s="4">
        <f>INDEX(Sheet2!A:A,QUOTIENT(ROW()-1,19)+2)</f>
        <v>41444</v>
      </c>
      <c r="DJ2119" s="4">
        <f>INDEX(Sheet2!C:C,QUOTIENT(ROW()-1,19)+2)</f>
        <v>43100</v>
      </c>
      <c r="DK2119" s="4" t="e">
        <f>INDEX(Sheet2!$AA$2:$AS$228,QUOTIENT(ROW()-1,19)+1,MOD(ROW()-2,19)+1)</f>
        <v>#N/A</v>
      </c>
      <c r="DL2119" t="str">
        <f>IFERROR(INDEX(Sheet2!$AU$2:$BM$228,QUOTIENT(ROW()-1,19)+1,MOD(ROW()-2,19)+1),NA())</f>
        <v/>
      </c>
      <c r="DM2119" s="4" t="e">
        <f t="shared" si="120"/>
        <v>#N/A</v>
      </c>
      <c r="DN2119" t="e">
        <f t="shared" si="121"/>
        <v>#N/A</v>
      </c>
      <c r="DO2119" t="e">
        <f t="shared" si="122"/>
        <v>#N/A</v>
      </c>
    </row>
    <row r="2120" spans="7:119" x14ac:dyDescent="0.25">
      <c r="G2120"/>
      <c r="DI2120" s="4">
        <f>INDEX(Sheet2!A:A,QUOTIENT(ROW()-1,19)+2)</f>
        <v>41444</v>
      </c>
      <c r="DJ2120" s="4">
        <f>INDEX(Sheet2!C:C,QUOTIENT(ROW()-1,19)+2)</f>
        <v>43100</v>
      </c>
      <c r="DK2120" s="4" t="e">
        <f>INDEX(Sheet2!$AA$2:$AS$228,QUOTIENT(ROW()-1,19)+1,MOD(ROW()-2,19)+1)</f>
        <v>#N/A</v>
      </c>
      <c r="DL2120" t="str">
        <f>IFERROR(INDEX(Sheet2!$AU$2:$BM$228,QUOTIENT(ROW()-1,19)+1,MOD(ROW()-2,19)+1),NA())</f>
        <v/>
      </c>
      <c r="DM2120" s="4" t="e">
        <f t="shared" si="120"/>
        <v>#N/A</v>
      </c>
      <c r="DN2120" t="e">
        <f t="shared" si="121"/>
        <v>#N/A</v>
      </c>
      <c r="DO2120" t="e">
        <f t="shared" si="122"/>
        <v>#N/A</v>
      </c>
    </row>
    <row r="2121" spans="7:119" x14ac:dyDescent="0.25">
      <c r="G2121"/>
      <c r="DI2121" s="4">
        <f>INDEX(Sheet2!A:A,QUOTIENT(ROW()-1,19)+2)</f>
        <v>41444</v>
      </c>
      <c r="DJ2121" s="4">
        <f>INDEX(Sheet2!C:C,QUOTIENT(ROW()-1,19)+2)</f>
        <v>43100</v>
      </c>
      <c r="DK2121" s="4" t="e">
        <f>INDEX(Sheet2!$AA$2:$AS$228,QUOTIENT(ROW()-1,19)+1,MOD(ROW()-2,19)+1)</f>
        <v>#N/A</v>
      </c>
      <c r="DL2121" t="str">
        <f>IFERROR(INDEX(Sheet2!$AU$2:$BM$228,QUOTIENT(ROW()-1,19)+1,MOD(ROW()-2,19)+1),NA())</f>
        <v/>
      </c>
      <c r="DM2121" s="4" t="e">
        <f t="shared" si="120"/>
        <v>#N/A</v>
      </c>
      <c r="DN2121" t="e">
        <f t="shared" si="121"/>
        <v>#N/A</v>
      </c>
      <c r="DO2121" t="e">
        <f t="shared" si="122"/>
        <v>#N/A</v>
      </c>
    </row>
    <row r="2122" spans="7:119" x14ac:dyDescent="0.25">
      <c r="G2122"/>
      <c r="DI2122" s="4">
        <f>INDEX(Sheet2!A:A,QUOTIENT(ROW()-1,19)+2)</f>
        <v>41444</v>
      </c>
      <c r="DJ2122" s="4">
        <f>INDEX(Sheet2!C:C,QUOTIENT(ROW()-1,19)+2)</f>
        <v>43100</v>
      </c>
      <c r="DK2122" s="4" t="e">
        <f>INDEX(Sheet2!$AA$2:$AS$228,QUOTIENT(ROW()-1,19)+1,MOD(ROW()-2,19)+1)</f>
        <v>#N/A</v>
      </c>
      <c r="DL2122" t="str">
        <f>IFERROR(INDEX(Sheet2!$AU$2:$BM$228,QUOTIENT(ROW()-1,19)+1,MOD(ROW()-2,19)+1),NA())</f>
        <v/>
      </c>
      <c r="DM2122" s="4" t="e">
        <f t="shared" si="120"/>
        <v>#N/A</v>
      </c>
      <c r="DN2122" t="e">
        <f t="shared" si="121"/>
        <v>#N/A</v>
      </c>
      <c r="DO2122" t="e">
        <f t="shared" si="122"/>
        <v>#N/A</v>
      </c>
    </row>
    <row r="2123" spans="7:119" x14ac:dyDescent="0.25">
      <c r="G2123"/>
      <c r="DI2123" s="4">
        <f>INDEX(Sheet2!A:A,QUOTIENT(ROW()-1,19)+2)</f>
        <v>41444</v>
      </c>
      <c r="DJ2123" s="4">
        <f>INDEX(Sheet2!C:C,QUOTIENT(ROW()-1,19)+2)</f>
        <v>43100</v>
      </c>
      <c r="DK2123" s="4" t="e">
        <f>INDEX(Sheet2!$AA$2:$AS$228,QUOTIENT(ROW()-1,19)+1,MOD(ROW()-2,19)+1)</f>
        <v>#N/A</v>
      </c>
      <c r="DL2123" t="str">
        <f>IFERROR(INDEX(Sheet2!$AU$2:$BM$228,QUOTIENT(ROW()-1,19)+1,MOD(ROW()-2,19)+1),NA())</f>
        <v/>
      </c>
      <c r="DM2123" s="4" t="e">
        <f t="shared" si="120"/>
        <v>#N/A</v>
      </c>
      <c r="DN2123" t="e">
        <f t="shared" si="121"/>
        <v>#N/A</v>
      </c>
      <c r="DO2123" t="e">
        <f t="shared" si="122"/>
        <v>#N/A</v>
      </c>
    </row>
    <row r="2124" spans="7:119" x14ac:dyDescent="0.25">
      <c r="G2124"/>
      <c r="DI2124" s="4">
        <f>INDEX(Sheet2!A:A,QUOTIENT(ROW()-1,19)+2)</f>
        <v>41444</v>
      </c>
      <c r="DJ2124" s="4">
        <f>INDEX(Sheet2!C:C,QUOTIENT(ROW()-1,19)+2)</f>
        <v>43100</v>
      </c>
      <c r="DK2124" s="4" t="e">
        <f>INDEX(Sheet2!$AA$2:$AS$228,QUOTIENT(ROW()-1,19)+1,MOD(ROW()-2,19)+1)</f>
        <v>#N/A</v>
      </c>
      <c r="DL2124" t="str">
        <f>IFERROR(INDEX(Sheet2!$AU$2:$BM$228,QUOTIENT(ROW()-1,19)+1,MOD(ROW()-2,19)+1),NA())</f>
        <v/>
      </c>
      <c r="DM2124" s="4" t="e">
        <f t="shared" si="120"/>
        <v>#N/A</v>
      </c>
      <c r="DN2124" t="e">
        <f t="shared" si="121"/>
        <v>#N/A</v>
      </c>
      <c r="DO2124" t="e">
        <f t="shared" si="122"/>
        <v>#N/A</v>
      </c>
    </row>
    <row r="2125" spans="7:119" x14ac:dyDescent="0.25">
      <c r="G2125"/>
      <c r="DI2125" s="4">
        <f>INDEX(Sheet2!A:A,QUOTIENT(ROW()-1,19)+2)</f>
        <v>41444</v>
      </c>
      <c r="DJ2125" s="4">
        <f>INDEX(Sheet2!C:C,QUOTIENT(ROW()-1,19)+2)</f>
        <v>43100</v>
      </c>
      <c r="DK2125" s="4" t="e">
        <f>INDEX(Sheet2!$AA$2:$AS$228,QUOTIENT(ROW()-1,19)+1,MOD(ROW()-2,19)+1)</f>
        <v>#N/A</v>
      </c>
      <c r="DL2125" t="str">
        <f>IFERROR(INDEX(Sheet2!$AU$2:$BM$228,QUOTIENT(ROW()-1,19)+1,MOD(ROW()-2,19)+1),NA())</f>
        <v/>
      </c>
      <c r="DM2125" s="4" t="e">
        <f t="shared" si="120"/>
        <v>#N/A</v>
      </c>
      <c r="DN2125" t="e">
        <f t="shared" si="121"/>
        <v>#N/A</v>
      </c>
      <c r="DO2125" t="e">
        <f t="shared" si="122"/>
        <v>#N/A</v>
      </c>
    </row>
    <row r="2126" spans="7:119" x14ac:dyDescent="0.25">
      <c r="G2126"/>
      <c r="DI2126" s="4">
        <f>INDEX(Sheet2!A:A,QUOTIENT(ROW()-1,19)+2)</f>
        <v>41444</v>
      </c>
      <c r="DJ2126" s="4">
        <f>INDEX(Sheet2!C:C,QUOTIENT(ROW()-1,19)+2)</f>
        <v>43100</v>
      </c>
      <c r="DK2126" s="4" t="e">
        <f>INDEX(Sheet2!$AA$2:$AS$228,QUOTIENT(ROW()-1,19)+1,MOD(ROW()-2,19)+1)</f>
        <v>#N/A</v>
      </c>
      <c r="DL2126" t="str">
        <f>IFERROR(INDEX(Sheet2!$AU$2:$BM$228,QUOTIENT(ROW()-1,19)+1,MOD(ROW()-2,19)+1),NA())</f>
        <v/>
      </c>
      <c r="DM2126" s="4" t="e">
        <f t="shared" si="120"/>
        <v>#N/A</v>
      </c>
      <c r="DN2126" t="e">
        <f t="shared" si="121"/>
        <v>#N/A</v>
      </c>
      <c r="DO2126" t="e">
        <f t="shared" si="122"/>
        <v>#N/A</v>
      </c>
    </row>
    <row r="2127" spans="7:119" x14ac:dyDescent="0.25">
      <c r="G2127"/>
      <c r="DI2127" s="4">
        <f>INDEX(Sheet2!A:A,QUOTIENT(ROW()-1,19)+2)</f>
        <v>41444</v>
      </c>
      <c r="DJ2127" s="4">
        <f>INDEX(Sheet2!C:C,QUOTIENT(ROW()-1,19)+2)</f>
        <v>43100</v>
      </c>
      <c r="DK2127" s="4" t="e">
        <f>INDEX(Sheet2!$AA$2:$AS$228,QUOTIENT(ROW()-1,19)+1,MOD(ROW()-2,19)+1)</f>
        <v>#N/A</v>
      </c>
      <c r="DL2127" t="str">
        <f>IFERROR(INDEX(Sheet2!$AU$2:$BM$228,QUOTIENT(ROW()-1,19)+1,MOD(ROW()-2,19)+1),NA())</f>
        <v/>
      </c>
      <c r="DM2127" s="4" t="e">
        <f t="shared" si="120"/>
        <v>#N/A</v>
      </c>
      <c r="DN2127" t="e">
        <f t="shared" si="121"/>
        <v>#N/A</v>
      </c>
      <c r="DO2127" t="e">
        <f t="shared" si="122"/>
        <v>#N/A</v>
      </c>
    </row>
    <row r="2128" spans="7:119" x14ac:dyDescent="0.25">
      <c r="G2128"/>
      <c r="DI2128" s="4">
        <f>INDEX(Sheet2!A:A,QUOTIENT(ROW()-1,19)+2)</f>
        <v>41444</v>
      </c>
      <c r="DJ2128" s="4">
        <f>INDEX(Sheet2!C:C,QUOTIENT(ROW()-1,19)+2)</f>
        <v>43100</v>
      </c>
      <c r="DK2128" s="4" t="e">
        <f>INDEX(Sheet2!$AA$2:$AS$228,QUOTIENT(ROW()-1,19)+1,MOD(ROW()-2,19)+1)</f>
        <v>#N/A</v>
      </c>
      <c r="DL2128" t="str">
        <f>IFERROR(INDEX(Sheet2!$AU$2:$BM$228,QUOTIENT(ROW()-1,19)+1,MOD(ROW()-2,19)+1),NA())</f>
        <v/>
      </c>
      <c r="DM2128" s="4" t="e">
        <f t="shared" si="120"/>
        <v>#N/A</v>
      </c>
      <c r="DN2128" t="e">
        <f t="shared" si="121"/>
        <v>#N/A</v>
      </c>
      <c r="DO2128" t="e">
        <f t="shared" si="122"/>
        <v>#N/A</v>
      </c>
    </row>
    <row r="2129" spans="7:119" x14ac:dyDescent="0.25">
      <c r="G2129"/>
      <c r="DI2129" s="4">
        <f>INDEX(Sheet2!A:A,QUOTIENT(ROW()-1,19)+2)</f>
        <v>41444</v>
      </c>
      <c r="DJ2129" s="4">
        <f>INDEX(Sheet2!C:C,QUOTIENT(ROW()-1,19)+2)</f>
        <v>43100</v>
      </c>
      <c r="DK2129" s="4" t="e">
        <f>INDEX(Sheet2!$AA$2:$AS$228,QUOTIENT(ROW()-1,19)+1,MOD(ROW()-2,19)+1)</f>
        <v>#N/A</v>
      </c>
      <c r="DL2129" t="str">
        <f>IFERROR(INDEX(Sheet2!$AU$2:$BM$228,QUOTIENT(ROW()-1,19)+1,MOD(ROW()-2,19)+1),NA())</f>
        <v/>
      </c>
      <c r="DM2129" s="4" t="e">
        <f t="shared" si="120"/>
        <v>#N/A</v>
      </c>
      <c r="DN2129" t="e">
        <f t="shared" si="121"/>
        <v>#N/A</v>
      </c>
      <c r="DO2129" t="e">
        <f t="shared" si="122"/>
        <v>#N/A</v>
      </c>
    </row>
    <row r="2130" spans="7:119" x14ac:dyDescent="0.25">
      <c r="G2130"/>
      <c r="DI2130" s="4">
        <f>INDEX(Sheet2!A:A,QUOTIENT(ROW()-1,19)+2)</f>
        <v>41444</v>
      </c>
      <c r="DJ2130" s="4">
        <f>INDEX(Sheet2!C:C,QUOTIENT(ROW()-1,19)+2)</f>
        <v>43100</v>
      </c>
      <c r="DK2130" s="4">
        <f>INDEX(Sheet2!$AA$2:$AS$228,QUOTIENT(ROW()-1,19)+1,MOD(ROW()-2,19)+1)</f>
        <v>43089.962500000001</v>
      </c>
      <c r="DL2130">
        <f>IFERROR(INDEX(Sheet2!$AU$2:$BM$228,QUOTIENT(ROW()-1,19)+1,MOD(ROW()-2,19)+1),NA())</f>
        <v>3.5</v>
      </c>
      <c r="DM2130" s="4" t="e">
        <f t="shared" si="120"/>
        <v>#N/A</v>
      </c>
      <c r="DN2130" t="e">
        <f t="shared" si="121"/>
        <v>#N/A</v>
      </c>
      <c r="DO2130" t="e">
        <f t="shared" si="122"/>
        <v>#N/A</v>
      </c>
    </row>
    <row r="2131" spans="7:119" x14ac:dyDescent="0.25">
      <c r="G2131"/>
      <c r="DI2131" s="4">
        <f>INDEX(Sheet2!A:A,QUOTIENT(ROW()-1,19)+2)</f>
        <v>41444</v>
      </c>
      <c r="DJ2131" s="4">
        <f>INDEX(Sheet2!C:C,QUOTIENT(ROW()-1,19)+2)</f>
        <v>43100</v>
      </c>
      <c r="DK2131" s="4">
        <f>INDEX(Sheet2!$AA$2:$AS$228,QUOTIENT(ROW()-1,19)+1,MOD(ROW()-2,19)+1)</f>
        <v>43110.037500000006</v>
      </c>
      <c r="DL2131">
        <f>IFERROR(INDEX(Sheet2!$AU$2:$BM$228,QUOTIENT(ROW()-1,19)+1,MOD(ROW()-2,19)+1),NA())</f>
        <v>3.5</v>
      </c>
      <c r="DM2131" s="4" t="e">
        <f t="shared" si="120"/>
        <v>#N/A</v>
      </c>
      <c r="DN2131" t="e">
        <f t="shared" si="121"/>
        <v>#N/A</v>
      </c>
      <c r="DO2131" t="e">
        <f t="shared" si="122"/>
        <v>#N/A</v>
      </c>
    </row>
    <row r="2132" spans="7:119" x14ac:dyDescent="0.25">
      <c r="G2132"/>
      <c r="DI2132" s="4">
        <f>INDEX(Sheet2!A:A,QUOTIENT(ROW()-1,19)+2)</f>
        <v>41444</v>
      </c>
      <c r="DJ2132" s="4">
        <f>INDEX(Sheet2!C:C,QUOTIENT(ROW()-1,19)+2)</f>
        <v>43100</v>
      </c>
      <c r="DK2132" s="4" t="e">
        <f>INDEX(Sheet2!$AA$2:$AS$228,QUOTIENT(ROW()-1,19)+1,MOD(ROW()-2,19)+1)</f>
        <v>#N/A</v>
      </c>
      <c r="DL2132" t="str">
        <f>IFERROR(INDEX(Sheet2!$AU$2:$BM$228,QUOTIENT(ROW()-1,19)+1,MOD(ROW()-2,19)+1),NA())</f>
        <v/>
      </c>
      <c r="DM2132" s="4" t="e">
        <f t="shared" si="120"/>
        <v>#N/A</v>
      </c>
      <c r="DN2132" t="e">
        <f t="shared" si="121"/>
        <v>#N/A</v>
      </c>
      <c r="DO2132" t="e">
        <f t="shared" si="122"/>
        <v>#N/A</v>
      </c>
    </row>
    <row r="2133" spans="7:119" x14ac:dyDescent="0.25">
      <c r="G2133"/>
      <c r="DI2133" s="4">
        <f>INDEX(Sheet2!A:A,QUOTIENT(ROW()-1,19)+2)</f>
        <v>41444</v>
      </c>
      <c r="DJ2133" s="4">
        <f>INDEX(Sheet2!C:C,QUOTIENT(ROW()-1,19)+2)</f>
        <v>43100</v>
      </c>
      <c r="DK2133" s="4" t="e">
        <f>INDEX(Sheet2!$AA$2:$AS$228,QUOTIENT(ROW()-1,19)+1,MOD(ROW()-2,19)+1)</f>
        <v>#N/A</v>
      </c>
      <c r="DL2133" t="str">
        <f>IFERROR(INDEX(Sheet2!$AU$2:$BM$228,QUOTIENT(ROW()-1,19)+1,MOD(ROW()-2,19)+1),NA())</f>
        <v/>
      </c>
      <c r="DM2133" s="4" t="e">
        <f t="shared" si="120"/>
        <v>#N/A</v>
      </c>
      <c r="DN2133" t="e">
        <f t="shared" si="121"/>
        <v>#N/A</v>
      </c>
      <c r="DO2133" t="e">
        <f t="shared" si="122"/>
        <v>#N/A</v>
      </c>
    </row>
    <row r="2134" spans="7:119" x14ac:dyDescent="0.25">
      <c r="G2134"/>
      <c r="DI2134" s="4">
        <f>INDEX(Sheet2!A:A,QUOTIENT(ROW()-1,19)+2)</f>
        <v>41444</v>
      </c>
      <c r="DJ2134" s="4">
        <f>INDEX(Sheet2!C:C,QUOTIENT(ROW()-1,19)+2)</f>
        <v>43100</v>
      </c>
      <c r="DK2134" s="4" t="e">
        <f>INDEX(Sheet2!$AA$2:$AS$228,QUOTIENT(ROW()-1,19)+1,MOD(ROW()-2,19)+1)</f>
        <v>#N/A</v>
      </c>
      <c r="DL2134" t="str">
        <f>IFERROR(INDEX(Sheet2!$AU$2:$BM$228,QUOTIENT(ROW()-1,19)+1,MOD(ROW()-2,19)+1),NA())</f>
        <v/>
      </c>
      <c r="DM2134" s="4" t="e">
        <f t="shared" si="120"/>
        <v>#N/A</v>
      </c>
      <c r="DN2134" t="e">
        <f t="shared" si="121"/>
        <v>#N/A</v>
      </c>
      <c r="DO2134" t="e">
        <f t="shared" si="122"/>
        <v>#N/A</v>
      </c>
    </row>
    <row r="2135" spans="7:119" x14ac:dyDescent="0.25">
      <c r="G2135"/>
      <c r="DI2135" s="4">
        <f>INDEX(Sheet2!A:A,QUOTIENT(ROW()-1,19)+2)</f>
        <v>41444</v>
      </c>
      <c r="DJ2135" s="4">
        <f>INDEX(Sheet2!C:C,QUOTIENT(ROW()-1,19)+2)</f>
        <v>43100</v>
      </c>
      <c r="DK2135" s="4" t="e">
        <f>INDEX(Sheet2!$AA$2:$AS$228,QUOTIENT(ROW()-1,19)+1,MOD(ROW()-2,19)+1)</f>
        <v>#N/A</v>
      </c>
      <c r="DL2135" t="str">
        <f>IFERROR(INDEX(Sheet2!$AU$2:$BM$228,QUOTIENT(ROW()-1,19)+1,MOD(ROW()-2,19)+1),NA())</f>
        <v/>
      </c>
      <c r="DM2135" s="4" t="e">
        <f t="shared" si="120"/>
        <v>#N/A</v>
      </c>
      <c r="DN2135" t="e">
        <f t="shared" si="121"/>
        <v>#N/A</v>
      </c>
      <c r="DO2135" t="e">
        <f t="shared" si="122"/>
        <v>#N/A</v>
      </c>
    </row>
    <row r="2136" spans="7:119" x14ac:dyDescent="0.25">
      <c r="G2136"/>
      <c r="DI2136" s="4">
        <f>INDEX(Sheet2!A:A,QUOTIENT(ROW()-1,19)+2)</f>
        <v>41444</v>
      </c>
      <c r="DJ2136" s="4">
        <f>INDEX(Sheet2!C:C,QUOTIENT(ROW()-1,19)+2)</f>
        <v>43100</v>
      </c>
      <c r="DK2136" s="4" t="e">
        <f>INDEX(Sheet2!$AA$2:$AS$228,QUOTIENT(ROW()-1,19)+1,MOD(ROW()-2,19)+1)</f>
        <v>#N/A</v>
      </c>
      <c r="DL2136" t="str">
        <f>IFERROR(INDEX(Sheet2!$AU$2:$BM$228,QUOTIENT(ROW()-1,19)+1,MOD(ROW()-2,19)+1),NA())</f>
        <v/>
      </c>
      <c r="DM2136" s="4" t="e">
        <f t="shared" si="120"/>
        <v>#N/A</v>
      </c>
      <c r="DN2136" t="e">
        <f t="shared" si="121"/>
        <v>#N/A</v>
      </c>
      <c r="DO2136" t="e">
        <f t="shared" si="122"/>
        <v>#N/A</v>
      </c>
    </row>
    <row r="2137" spans="7:119" x14ac:dyDescent="0.25">
      <c r="G2137"/>
      <c r="DI2137" s="4">
        <f>INDEX(Sheet2!A:A,QUOTIENT(ROW()-1,19)+2)</f>
        <v>41444</v>
      </c>
      <c r="DJ2137" s="4">
        <f>INDEX(Sheet2!C:C,QUOTIENT(ROW()-1,19)+2)</f>
        <v>43100</v>
      </c>
      <c r="DK2137" s="4" t="e">
        <f>INDEX(Sheet2!$AA$2:$AS$228,QUOTIENT(ROW()-1,19)+1,MOD(ROW()-2,19)+1)</f>
        <v>#N/A</v>
      </c>
      <c r="DL2137" t="str">
        <f>IFERROR(INDEX(Sheet2!$AU$2:$BM$228,QUOTIENT(ROW()-1,19)+1,MOD(ROW()-2,19)+1),NA())</f>
        <v/>
      </c>
      <c r="DM2137" s="4" t="e">
        <f t="shared" si="120"/>
        <v>#N/A</v>
      </c>
      <c r="DN2137" t="e">
        <f t="shared" si="121"/>
        <v>#N/A</v>
      </c>
      <c r="DO2137" t="e">
        <f t="shared" si="122"/>
        <v>#N/A</v>
      </c>
    </row>
    <row r="2138" spans="7:119" x14ac:dyDescent="0.25">
      <c r="G2138"/>
      <c r="DI2138" s="4">
        <f>INDEX(Sheet2!A:A,QUOTIENT(ROW()-1,19)+2)</f>
        <v>41444</v>
      </c>
      <c r="DJ2138" s="4">
        <f>INDEX(Sheet2!C:C,QUOTIENT(ROW()-1,19)+2)</f>
        <v>43100</v>
      </c>
      <c r="DK2138" s="4" t="e">
        <f>INDEX(Sheet2!$AA$2:$AS$228,QUOTIENT(ROW()-1,19)+1,MOD(ROW()-2,19)+1)</f>
        <v>#N/A</v>
      </c>
      <c r="DL2138" t="str">
        <f>IFERROR(INDEX(Sheet2!$AU$2:$BM$228,QUOTIENT(ROW()-1,19)+1,MOD(ROW()-2,19)+1),NA())</f>
        <v/>
      </c>
      <c r="DM2138" s="4" t="e">
        <f t="shared" si="120"/>
        <v>#N/A</v>
      </c>
      <c r="DN2138" t="e">
        <f t="shared" si="121"/>
        <v>#N/A</v>
      </c>
      <c r="DO2138" t="e">
        <f t="shared" si="122"/>
        <v>#N/A</v>
      </c>
    </row>
    <row r="2139" spans="7:119" x14ac:dyDescent="0.25">
      <c r="G2139"/>
      <c r="DI2139" s="4">
        <f>INDEX(Sheet2!A:A,QUOTIENT(ROW()-1,19)+2)</f>
        <v>41444</v>
      </c>
      <c r="DJ2139" s="4">
        <f>INDEX(Sheet2!C:C,QUOTIENT(ROW()-1,19)+2)</f>
        <v>43100</v>
      </c>
      <c r="DK2139" s="4" t="e">
        <f>INDEX(Sheet2!$AA$2:$AS$228,QUOTIENT(ROW()-1,19)+1,MOD(ROW()-2,19)+1)</f>
        <v>#N/A</v>
      </c>
      <c r="DL2139" t="str">
        <f>IFERROR(INDEX(Sheet2!$AU$2:$BM$228,QUOTIENT(ROW()-1,19)+1,MOD(ROW()-2,19)+1),NA())</f>
        <v/>
      </c>
      <c r="DM2139" s="4" t="e">
        <f t="shared" si="120"/>
        <v>#N/A</v>
      </c>
      <c r="DN2139" t="e">
        <f t="shared" si="121"/>
        <v>#N/A</v>
      </c>
      <c r="DO2139" t="e">
        <f t="shared" si="122"/>
        <v>#N/A</v>
      </c>
    </row>
    <row r="2140" spans="7:119" x14ac:dyDescent="0.25">
      <c r="G2140"/>
      <c r="DI2140" s="4">
        <f>INDEX(Sheet2!A:A,QUOTIENT(ROW()-1,19)+2)</f>
        <v>41444</v>
      </c>
      <c r="DJ2140" s="4">
        <f>INDEX(Sheet2!C:C,QUOTIENT(ROW()-1,19)+2)</f>
        <v>43100</v>
      </c>
      <c r="DK2140" s="4" t="e">
        <f>INDEX(Sheet2!$AA$2:$AS$228,QUOTIENT(ROW()-1,19)+1,MOD(ROW()-2,19)+1)</f>
        <v>#N/A</v>
      </c>
      <c r="DL2140" t="str">
        <f>IFERROR(INDEX(Sheet2!$AU$2:$BM$228,QUOTIENT(ROW()-1,19)+1,MOD(ROW()-2,19)+1),NA())</f>
        <v/>
      </c>
      <c r="DM2140" s="4" t="e">
        <f t="shared" si="120"/>
        <v>#N/A</v>
      </c>
      <c r="DN2140" t="e">
        <f t="shared" si="121"/>
        <v>#N/A</v>
      </c>
      <c r="DO2140" t="e">
        <f t="shared" si="122"/>
        <v>#N/A</v>
      </c>
    </row>
    <row r="2141" spans="7:119" x14ac:dyDescent="0.25">
      <c r="G2141"/>
      <c r="DI2141" s="4">
        <f>INDEX(Sheet2!A:A,QUOTIENT(ROW()-1,19)+2)</f>
        <v>41444</v>
      </c>
      <c r="DJ2141" s="4">
        <f>INDEX(Sheet2!C:C,QUOTIENT(ROW()-1,19)+2)</f>
        <v>43100</v>
      </c>
      <c r="DK2141" s="4" t="e">
        <f>INDEX(Sheet2!$AA$2:$AS$228,QUOTIENT(ROW()-1,19)+1,MOD(ROW()-2,19)+1)</f>
        <v>#N/A</v>
      </c>
      <c r="DL2141" t="str">
        <f>IFERROR(INDEX(Sheet2!$AU$2:$BM$228,QUOTIENT(ROW()-1,19)+1,MOD(ROW()-2,19)+1),NA())</f>
        <v/>
      </c>
      <c r="DM2141" s="4" t="e">
        <f t="shared" si="120"/>
        <v>#N/A</v>
      </c>
      <c r="DN2141" t="e">
        <f t="shared" si="121"/>
        <v>#N/A</v>
      </c>
      <c r="DO2141" t="e">
        <f t="shared" si="122"/>
        <v>#N/A</v>
      </c>
    </row>
    <row r="2142" spans="7:119" x14ac:dyDescent="0.25">
      <c r="G2142"/>
      <c r="DI2142" s="4">
        <f>INDEX(Sheet2!A:A,QUOTIENT(ROW()-1,19)+2)</f>
        <v>41444</v>
      </c>
      <c r="DJ2142" s="4">
        <f>INDEX(Sheet2!C:C,QUOTIENT(ROW()-1,19)+2)</f>
        <v>43100</v>
      </c>
      <c r="DK2142" s="4" t="e">
        <f>INDEX(Sheet2!$AA$2:$AS$228,QUOTIENT(ROW()-1,19)+1,MOD(ROW()-2,19)+1)</f>
        <v>#N/A</v>
      </c>
      <c r="DL2142" t="str">
        <f>IFERROR(INDEX(Sheet2!$AU$2:$BM$228,QUOTIENT(ROW()-1,19)+1,MOD(ROW()-2,19)+1),NA())</f>
        <v/>
      </c>
      <c r="DM2142" s="4" t="e">
        <f t="shared" si="120"/>
        <v>#N/A</v>
      </c>
      <c r="DN2142" t="e">
        <f t="shared" si="121"/>
        <v>#N/A</v>
      </c>
      <c r="DO2142" t="e">
        <f t="shared" si="122"/>
        <v>#N/A</v>
      </c>
    </row>
    <row r="2143" spans="7:119" x14ac:dyDescent="0.25">
      <c r="G2143"/>
      <c r="DI2143" s="4">
        <f>INDEX(Sheet2!A:A,QUOTIENT(ROW()-1,19)+2)</f>
        <v>41444</v>
      </c>
      <c r="DJ2143" s="4">
        <f>INDEX(Sheet2!C:C,QUOTIENT(ROW()-1,19)+2)</f>
        <v>43100</v>
      </c>
      <c r="DK2143" s="4" t="e">
        <f>INDEX(Sheet2!$AA$2:$AS$228,QUOTIENT(ROW()-1,19)+1,MOD(ROW()-2,19)+1)</f>
        <v>#N/A</v>
      </c>
      <c r="DL2143" t="str">
        <f>IFERROR(INDEX(Sheet2!$AU$2:$BM$228,QUOTIENT(ROW()-1,19)+1,MOD(ROW()-2,19)+1),NA())</f>
        <v/>
      </c>
      <c r="DM2143" s="4" t="e">
        <f t="shared" si="120"/>
        <v>#N/A</v>
      </c>
      <c r="DN2143" t="e">
        <f t="shared" si="121"/>
        <v>#N/A</v>
      </c>
      <c r="DO2143" t="e">
        <f t="shared" si="122"/>
        <v>#N/A</v>
      </c>
    </row>
    <row r="2144" spans="7:119" x14ac:dyDescent="0.25">
      <c r="G2144"/>
      <c r="DI2144" s="4">
        <f>INDEX(Sheet2!A:A,QUOTIENT(ROW()-1,19)+2)</f>
        <v>41444</v>
      </c>
      <c r="DJ2144" s="4">
        <f>INDEX(Sheet2!C:C,QUOTIENT(ROW()-1,19)+2)</f>
        <v>43100</v>
      </c>
      <c r="DK2144" s="4" t="e">
        <f>INDEX(Sheet2!$AA$2:$AS$228,QUOTIENT(ROW()-1,19)+1,MOD(ROW()-2,19)+1)</f>
        <v>#N/A</v>
      </c>
      <c r="DL2144" t="str">
        <f>IFERROR(INDEX(Sheet2!$AU$2:$BM$228,QUOTIENT(ROW()-1,19)+1,MOD(ROW()-2,19)+1),NA())</f>
        <v/>
      </c>
      <c r="DM2144" s="4" t="e">
        <f t="shared" si="120"/>
        <v>#N/A</v>
      </c>
      <c r="DN2144" t="e">
        <f t="shared" si="121"/>
        <v>#N/A</v>
      </c>
      <c r="DO2144" t="e">
        <f t="shared" si="122"/>
        <v>#N/A</v>
      </c>
    </row>
    <row r="2145" spans="7:119" x14ac:dyDescent="0.25">
      <c r="G2145"/>
      <c r="DI2145" s="4">
        <f>INDEX(Sheet2!A:A,QUOTIENT(ROW()-1,19)+2)</f>
        <v>41444</v>
      </c>
      <c r="DJ2145" s="4">
        <f>INDEX(Sheet2!C:C,QUOTIENT(ROW()-1,19)+2)</f>
        <v>43100</v>
      </c>
      <c r="DK2145" s="4" t="e">
        <f>INDEX(Sheet2!$AA$2:$AS$228,QUOTIENT(ROW()-1,19)+1,MOD(ROW()-2,19)+1)</f>
        <v>#N/A</v>
      </c>
      <c r="DL2145" t="str">
        <f>IFERROR(INDEX(Sheet2!$AU$2:$BM$228,QUOTIENT(ROW()-1,19)+1,MOD(ROW()-2,19)+1),NA())</f>
        <v/>
      </c>
      <c r="DM2145" s="4" t="e">
        <f t="shared" si="120"/>
        <v>#N/A</v>
      </c>
      <c r="DN2145" t="e">
        <f t="shared" si="121"/>
        <v>#N/A</v>
      </c>
      <c r="DO2145" t="e">
        <f t="shared" si="122"/>
        <v>#N/A</v>
      </c>
    </row>
    <row r="2146" spans="7:119" x14ac:dyDescent="0.25">
      <c r="G2146"/>
      <c r="DI2146" s="4">
        <f>INDEX(Sheet2!A:A,QUOTIENT(ROW()-1,19)+2)</f>
        <v>41444</v>
      </c>
      <c r="DJ2146" s="4">
        <f>INDEX(Sheet2!C:C,QUOTIENT(ROW()-1,19)+2)</f>
        <v>43100</v>
      </c>
      <c r="DK2146" s="4" t="e">
        <f>INDEX(Sheet2!$AA$2:$AS$228,QUOTIENT(ROW()-1,19)+1,MOD(ROW()-2,19)+1)</f>
        <v>#N/A</v>
      </c>
      <c r="DL2146" t="str">
        <f>IFERROR(INDEX(Sheet2!$AU$2:$BM$228,QUOTIENT(ROW()-1,19)+1,MOD(ROW()-2,19)+1),NA())</f>
        <v/>
      </c>
      <c r="DM2146" s="4" t="e">
        <f t="shared" si="120"/>
        <v>#N/A</v>
      </c>
      <c r="DN2146" t="e">
        <f t="shared" si="121"/>
        <v>#N/A</v>
      </c>
      <c r="DO2146" t="e">
        <f t="shared" si="122"/>
        <v>#N/A</v>
      </c>
    </row>
    <row r="2147" spans="7:119" x14ac:dyDescent="0.25">
      <c r="G2147"/>
      <c r="DI2147" s="4">
        <f>INDEX(Sheet2!A:A,QUOTIENT(ROW()-1,19)+2)</f>
        <v>41444</v>
      </c>
      <c r="DJ2147" s="4">
        <f>INDEX(Sheet2!C:C,QUOTIENT(ROW()-1,19)+2)</f>
        <v>43100</v>
      </c>
      <c r="DK2147" s="4" t="e">
        <f>INDEX(Sheet2!$AA$2:$AS$228,QUOTIENT(ROW()-1,19)+1,MOD(ROW()-2,19)+1)</f>
        <v>#N/A</v>
      </c>
      <c r="DL2147" t="str">
        <f>IFERROR(INDEX(Sheet2!$AU$2:$BM$228,QUOTIENT(ROW()-1,19)+1,MOD(ROW()-2,19)+1),NA())</f>
        <v/>
      </c>
      <c r="DM2147" s="4" t="e">
        <f t="shared" si="120"/>
        <v>#N/A</v>
      </c>
      <c r="DN2147" t="e">
        <f t="shared" si="121"/>
        <v>#N/A</v>
      </c>
      <c r="DO2147" t="e">
        <f t="shared" si="122"/>
        <v>#N/A</v>
      </c>
    </row>
    <row r="2148" spans="7:119" x14ac:dyDescent="0.25">
      <c r="G2148"/>
      <c r="DI2148" s="4">
        <f>INDEX(Sheet2!A:A,QUOTIENT(ROW()-1,19)+2)</f>
        <v>41444</v>
      </c>
      <c r="DJ2148" s="4">
        <f>INDEX(Sheet2!C:C,QUOTIENT(ROW()-1,19)+2)</f>
        <v>43100</v>
      </c>
      <c r="DK2148" s="4" t="e">
        <f>INDEX(Sheet2!$AA$2:$AS$228,QUOTIENT(ROW()-1,19)+1,MOD(ROW()-2,19)+1)</f>
        <v>#N/A</v>
      </c>
      <c r="DL2148" t="str">
        <f>IFERROR(INDEX(Sheet2!$AU$2:$BM$228,QUOTIENT(ROW()-1,19)+1,MOD(ROW()-2,19)+1),NA())</f>
        <v/>
      </c>
      <c r="DM2148" s="4" t="e">
        <f t="shared" si="120"/>
        <v>#N/A</v>
      </c>
      <c r="DN2148" t="e">
        <f t="shared" si="121"/>
        <v>#N/A</v>
      </c>
      <c r="DO2148" t="e">
        <f t="shared" si="122"/>
        <v>#N/A</v>
      </c>
    </row>
    <row r="2149" spans="7:119" x14ac:dyDescent="0.25">
      <c r="G2149"/>
      <c r="DI2149" s="4">
        <f>INDEX(Sheet2!A:A,QUOTIENT(ROW()-1,19)+2)</f>
        <v>41444</v>
      </c>
      <c r="DJ2149" s="4">
        <f>INDEX(Sheet2!C:C,QUOTIENT(ROW()-1,19)+2)</f>
        <v>43100</v>
      </c>
      <c r="DK2149" s="4">
        <f>INDEX(Sheet2!$AA$2:$AS$228,QUOTIENT(ROW()-1,19)+1,MOD(ROW()-2,19)+1)</f>
        <v>43100</v>
      </c>
      <c r="DL2149">
        <f>IFERROR(INDEX(Sheet2!$AU$2:$BM$228,QUOTIENT(ROW()-1,19)+1,MOD(ROW()-2,19)+1),NA())</f>
        <v>3.75</v>
      </c>
      <c r="DM2149" s="4" t="e">
        <f t="shared" si="120"/>
        <v>#N/A</v>
      </c>
      <c r="DN2149" t="e">
        <f t="shared" si="121"/>
        <v>#N/A</v>
      </c>
      <c r="DO2149" t="e">
        <f t="shared" si="122"/>
        <v>#N/A</v>
      </c>
    </row>
    <row r="2150" spans="7:119" x14ac:dyDescent="0.25">
      <c r="G2150"/>
      <c r="DI2150" s="4">
        <f>INDEX(Sheet2!A:A,QUOTIENT(ROW()-1,19)+2)</f>
        <v>41444</v>
      </c>
      <c r="DJ2150" s="4">
        <f>INDEX(Sheet2!C:C,QUOTIENT(ROW()-1,19)+2)</f>
        <v>43100</v>
      </c>
      <c r="DK2150" s="4" t="e">
        <f>INDEX(Sheet2!$AA$2:$AS$228,QUOTIENT(ROW()-1,19)+1,MOD(ROW()-2,19)+1)</f>
        <v>#N/A</v>
      </c>
      <c r="DL2150" t="str">
        <f>IFERROR(INDEX(Sheet2!$AU$2:$BM$228,QUOTIENT(ROW()-1,19)+1,MOD(ROW()-2,19)+1),NA())</f>
        <v/>
      </c>
      <c r="DM2150" s="4" t="e">
        <f t="shared" si="120"/>
        <v>#N/A</v>
      </c>
      <c r="DN2150" t="e">
        <f t="shared" si="121"/>
        <v>#N/A</v>
      </c>
      <c r="DO2150" t="e">
        <f t="shared" si="122"/>
        <v>#N/A</v>
      </c>
    </row>
    <row r="2151" spans="7:119" x14ac:dyDescent="0.25">
      <c r="G2151"/>
      <c r="DI2151" s="4">
        <f>INDEX(Sheet2!A:A,QUOTIENT(ROW()-1,19)+2)</f>
        <v>41444</v>
      </c>
      <c r="DJ2151" s="4">
        <f>INDEX(Sheet2!C:C,QUOTIENT(ROW()-1,19)+2)</f>
        <v>43100</v>
      </c>
      <c r="DK2151" s="4" t="e">
        <f>INDEX(Sheet2!$AA$2:$AS$228,QUOTIENT(ROW()-1,19)+1,MOD(ROW()-2,19)+1)</f>
        <v>#N/A</v>
      </c>
      <c r="DL2151" t="str">
        <f>IFERROR(INDEX(Sheet2!$AU$2:$BM$228,QUOTIENT(ROW()-1,19)+1,MOD(ROW()-2,19)+1),NA())</f>
        <v/>
      </c>
      <c r="DM2151" s="4" t="e">
        <f t="shared" si="120"/>
        <v>#N/A</v>
      </c>
      <c r="DN2151" t="e">
        <f t="shared" si="121"/>
        <v>#N/A</v>
      </c>
      <c r="DO2151" t="e">
        <f t="shared" si="122"/>
        <v>#N/A</v>
      </c>
    </row>
    <row r="2152" spans="7:119" x14ac:dyDescent="0.25">
      <c r="G2152"/>
      <c r="DI2152" s="4">
        <f>INDEX(Sheet2!A:A,QUOTIENT(ROW()-1,19)+2)</f>
        <v>41444</v>
      </c>
      <c r="DJ2152" s="4">
        <f>INDEX(Sheet2!C:C,QUOTIENT(ROW()-1,19)+2)</f>
        <v>43100</v>
      </c>
      <c r="DK2152" s="4" t="e">
        <f>INDEX(Sheet2!$AA$2:$AS$228,QUOTIENT(ROW()-1,19)+1,MOD(ROW()-2,19)+1)</f>
        <v>#N/A</v>
      </c>
      <c r="DL2152" t="str">
        <f>IFERROR(INDEX(Sheet2!$AU$2:$BM$228,QUOTIENT(ROW()-1,19)+1,MOD(ROW()-2,19)+1),NA())</f>
        <v/>
      </c>
      <c r="DM2152" s="4" t="e">
        <f t="shared" si="120"/>
        <v>#N/A</v>
      </c>
      <c r="DN2152" t="e">
        <f t="shared" si="121"/>
        <v>#N/A</v>
      </c>
      <c r="DO2152" t="e">
        <f t="shared" si="122"/>
        <v>#N/A</v>
      </c>
    </row>
    <row r="2153" spans="7:119" x14ac:dyDescent="0.25">
      <c r="G2153"/>
      <c r="DI2153" s="4">
        <f>INDEX(Sheet2!A:A,QUOTIENT(ROW()-1,19)+2)</f>
        <v>41444</v>
      </c>
      <c r="DJ2153" s="4">
        <f>INDEX(Sheet2!C:C,QUOTIENT(ROW()-1,19)+2)</f>
        <v>43100</v>
      </c>
      <c r="DK2153" s="4" t="e">
        <f>INDEX(Sheet2!$AA$2:$AS$228,QUOTIENT(ROW()-1,19)+1,MOD(ROW()-2,19)+1)</f>
        <v>#N/A</v>
      </c>
      <c r="DL2153" t="str">
        <f>IFERROR(INDEX(Sheet2!$AU$2:$BM$228,QUOTIENT(ROW()-1,19)+1,MOD(ROW()-2,19)+1),NA())</f>
        <v/>
      </c>
      <c r="DM2153" s="4" t="e">
        <f t="shared" si="120"/>
        <v>#N/A</v>
      </c>
      <c r="DN2153" t="e">
        <f t="shared" si="121"/>
        <v>#N/A</v>
      </c>
      <c r="DO2153" t="e">
        <f t="shared" si="122"/>
        <v>#N/A</v>
      </c>
    </row>
    <row r="2154" spans="7:119" x14ac:dyDescent="0.25">
      <c r="G2154"/>
      <c r="DI2154" s="4">
        <f>INDEX(Sheet2!A:A,QUOTIENT(ROW()-1,19)+2)</f>
        <v>41444</v>
      </c>
      <c r="DJ2154" s="4">
        <f>INDEX(Sheet2!C:C,QUOTIENT(ROW()-1,19)+2)</f>
        <v>43100</v>
      </c>
      <c r="DK2154" s="4" t="e">
        <f>INDEX(Sheet2!$AA$2:$AS$228,QUOTIENT(ROW()-1,19)+1,MOD(ROW()-2,19)+1)</f>
        <v>#N/A</v>
      </c>
      <c r="DL2154" t="str">
        <f>IFERROR(INDEX(Sheet2!$AU$2:$BM$228,QUOTIENT(ROW()-1,19)+1,MOD(ROW()-2,19)+1),NA())</f>
        <v/>
      </c>
      <c r="DM2154" s="4" t="e">
        <f t="shared" si="120"/>
        <v>#N/A</v>
      </c>
      <c r="DN2154" t="e">
        <f t="shared" si="121"/>
        <v>#N/A</v>
      </c>
      <c r="DO2154" t="e">
        <f t="shared" si="122"/>
        <v>#N/A</v>
      </c>
    </row>
    <row r="2155" spans="7:119" x14ac:dyDescent="0.25">
      <c r="G2155"/>
      <c r="DI2155" s="4">
        <f>INDEX(Sheet2!A:A,QUOTIENT(ROW()-1,19)+2)</f>
        <v>41444</v>
      </c>
      <c r="DJ2155" s="4">
        <f>INDEX(Sheet2!C:C,QUOTIENT(ROW()-1,19)+2)</f>
        <v>43100</v>
      </c>
      <c r="DK2155" s="4" t="e">
        <f>INDEX(Sheet2!$AA$2:$AS$228,QUOTIENT(ROW()-1,19)+1,MOD(ROW()-2,19)+1)</f>
        <v>#N/A</v>
      </c>
      <c r="DL2155" t="str">
        <f>IFERROR(INDEX(Sheet2!$AU$2:$BM$228,QUOTIENT(ROW()-1,19)+1,MOD(ROW()-2,19)+1),NA())</f>
        <v/>
      </c>
      <c r="DM2155" s="4" t="e">
        <f t="shared" si="120"/>
        <v>#N/A</v>
      </c>
      <c r="DN2155" t="e">
        <f t="shared" si="121"/>
        <v>#N/A</v>
      </c>
      <c r="DO2155" t="e">
        <f t="shared" si="122"/>
        <v>#N/A</v>
      </c>
    </row>
    <row r="2156" spans="7:119" x14ac:dyDescent="0.25">
      <c r="G2156"/>
      <c r="DI2156" s="4">
        <f>INDEX(Sheet2!A:A,QUOTIENT(ROW()-1,19)+2)</f>
        <v>41444</v>
      </c>
      <c r="DJ2156" s="4">
        <f>INDEX(Sheet2!C:C,QUOTIENT(ROW()-1,19)+2)</f>
        <v>43100</v>
      </c>
      <c r="DK2156" s="4" t="e">
        <f>INDEX(Sheet2!$AA$2:$AS$228,QUOTIENT(ROW()-1,19)+1,MOD(ROW()-2,19)+1)</f>
        <v>#N/A</v>
      </c>
      <c r="DL2156" t="str">
        <f>IFERROR(INDEX(Sheet2!$AU$2:$BM$228,QUOTIENT(ROW()-1,19)+1,MOD(ROW()-2,19)+1),NA())</f>
        <v/>
      </c>
      <c r="DM2156" s="4" t="e">
        <f t="shared" si="120"/>
        <v>#N/A</v>
      </c>
      <c r="DN2156" t="e">
        <f t="shared" si="121"/>
        <v>#N/A</v>
      </c>
      <c r="DO2156" t="e">
        <f t="shared" si="122"/>
        <v>#N/A</v>
      </c>
    </row>
    <row r="2157" spans="7:119" x14ac:dyDescent="0.25">
      <c r="G2157"/>
      <c r="DI2157" s="4">
        <f>INDEX(Sheet2!A:A,QUOTIENT(ROW()-1,19)+2)</f>
        <v>41444</v>
      </c>
      <c r="DJ2157" s="4">
        <f>INDEX(Sheet2!C:C,QUOTIENT(ROW()-1,19)+2)</f>
        <v>43100</v>
      </c>
      <c r="DK2157" s="4" t="e">
        <f>INDEX(Sheet2!$AA$2:$AS$228,QUOTIENT(ROW()-1,19)+1,MOD(ROW()-2,19)+1)</f>
        <v>#N/A</v>
      </c>
      <c r="DL2157" t="str">
        <f>IFERROR(INDEX(Sheet2!$AU$2:$BM$228,QUOTIENT(ROW()-1,19)+1,MOD(ROW()-2,19)+1),NA())</f>
        <v/>
      </c>
      <c r="DM2157" s="4" t="e">
        <f t="shared" si="120"/>
        <v>#N/A</v>
      </c>
      <c r="DN2157" t="e">
        <f t="shared" si="121"/>
        <v>#N/A</v>
      </c>
      <c r="DO2157" t="e">
        <f t="shared" si="122"/>
        <v>#N/A</v>
      </c>
    </row>
    <row r="2158" spans="7:119" x14ac:dyDescent="0.25">
      <c r="G2158"/>
      <c r="DI2158" s="4">
        <f>INDEX(Sheet2!A:A,QUOTIENT(ROW()-1,19)+2)</f>
        <v>41444</v>
      </c>
      <c r="DJ2158" s="4">
        <f>INDEX(Sheet2!C:C,QUOTIENT(ROW()-1,19)+2)</f>
        <v>43100</v>
      </c>
      <c r="DK2158" s="4" t="e">
        <f>INDEX(Sheet2!$AA$2:$AS$228,QUOTIENT(ROW()-1,19)+1,MOD(ROW()-2,19)+1)</f>
        <v>#N/A</v>
      </c>
      <c r="DL2158" t="str">
        <f>IFERROR(INDEX(Sheet2!$AU$2:$BM$228,QUOTIENT(ROW()-1,19)+1,MOD(ROW()-2,19)+1),NA())</f>
        <v/>
      </c>
      <c r="DM2158" s="4" t="e">
        <f t="shared" si="120"/>
        <v>#N/A</v>
      </c>
      <c r="DN2158" t="e">
        <f t="shared" si="121"/>
        <v>#N/A</v>
      </c>
      <c r="DO2158" t="e">
        <f t="shared" si="122"/>
        <v>#N/A</v>
      </c>
    </row>
    <row r="2159" spans="7:119" x14ac:dyDescent="0.25">
      <c r="G2159"/>
      <c r="DI2159" s="4">
        <f>INDEX(Sheet2!A:A,QUOTIENT(ROW()-1,19)+2)</f>
        <v>41444</v>
      </c>
      <c r="DJ2159" s="4">
        <f>INDEX(Sheet2!C:C,QUOTIENT(ROW()-1,19)+2)</f>
        <v>43100</v>
      </c>
      <c r="DK2159" s="4" t="e">
        <f>INDEX(Sheet2!$AA$2:$AS$228,QUOTIENT(ROW()-1,19)+1,MOD(ROW()-2,19)+1)</f>
        <v>#N/A</v>
      </c>
      <c r="DL2159" t="str">
        <f>IFERROR(INDEX(Sheet2!$AU$2:$BM$228,QUOTIENT(ROW()-1,19)+1,MOD(ROW()-2,19)+1),NA())</f>
        <v/>
      </c>
      <c r="DM2159" s="4" t="e">
        <f t="shared" si="120"/>
        <v>#N/A</v>
      </c>
      <c r="DN2159" t="e">
        <f t="shared" si="121"/>
        <v>#N/A</v>
      </c>
      <c r="DO2159" t="e">
        <f t="shared" si="122"/>
        <v>#N/A</v>
      </c>
    </row>
    <row r="2160" spans="7:119" x14ac:dyDescent="0.25">
      <c r="G2160"/>
      <c r="DI2160" s="4">
        <f>INDEX(Sheet2!A:A,QUOTIENT(ROW()-1,19)+2)</f>
        <v>41444</v>
      </c>
      <c r="DJ2160" s="4">
        <f>INDEX(Sheet2!C:C,QUOTIENT(ROW()-1,19)+2)</f>
        <v>43100</v>
      </c>
      <c r="DK2160" s="4" t="e">
        <f>INDEX(Sheet2!$AA$2:$AS$228,QUOTIENT(ROW()-1,19)+1,MOD(ROW()-2,19)+1)</f>
        <v>#N/A</v>
      </c>
      <c r="DL2160" t="str">
        <f>IFERROR(INDEX(Sheet2!$AU$2:$BM$228,QUOTIENT(ROW()-1,19)+1,MOD(ROW()-2,19)+1),NA())</f>
        <v/>
      </c>
      <c r="DM2160" s="4" t="e">
        <f t="shared" si="120"/>
        <v>#N/A</v>
      </c>
      <c r="DN2160" t="e">
        <f t="shared" si="121"/>
        <v>#N/A</v>
      </c>
      <c r="DO2160" t="e">
        <f t="shared" si="122"/>
        <v>#N/A</v>
      </c>
    </row>
    <row r="2161" spans="7:119" x14ac:dyDescent="0.25">
      <c r="G2161"/>
      <c r="DI2161" s="4">
        <f>INDEX(Sheet2!A:A,QUOTIENT(ROW()-1,19)+2)</f>
        <v>41444</v>
      </c>
      <c r="DJ2161" s="4">
        <f>INDEX(Sheet2!C:C,QUOTIENT(ROW()-1,19)+2)</f>
        <v>43100</v>
      </c>
      <c r="DK2161" s="4" t="e">
        <f>INDEX(Sheet2!$AA$2:$AS$228,QUOTIENT(ROW()-1,19)+1,MOD(ROW()-2,19)+1)</f>
        <v>#N/A</v>
      </c>
      <c r="DL2161" t="str">
        <f>IFERROR(INDEX(Sheet2!$AU$2:$BM$228,QUOTIENT(ROW()-1,19)+1,MOD(ROW()-2,19)+1),NA())</f>
        <v/>
      </c>
      <c r="DM2161" s="4" t="e">
        <f t="shared" si="120"/>
        <v>#N/A</v>
      </c>
      <c r="DN2161" t="e">
        <f t="shared" si="121"/>
        <v>#N/A</v>
      </c>
      <c r="DO2161" t="e">
        <f t="shared" si="122"/>
        <v>#N/A</v>
      </c>
    </row>
    <row r="2162" spans="7:119" x14ac:dyDescent="0.25">
      <c r="G2162"/>
      <c r="DI2162" s="4">
        <f>INDEX(Sheet2!A:A,QUOTIENT(ROW()-1,19)+2)</f>
        <v>41444</v>
      </c>
      <c r="DJ2162" s="4">
        <f>INDEX(Sheet2!C:C,QUOTIENT(ROW()-1,19)+2)</f>
        <v>43100</v>
      </c>
      <c r="DK2162" s="4" t="e">
        <f>INDEX(Sheet2!$AA$2:$AS$228,QUOTIENT(ROW()-1,19)+1,MOD(ROW()-2,19)+1)</f>
        <v>#N/A</v>
      </c>
      <c r="DL2162" t="str">
        <f>IFERROR(INDEX(Sheet2!$AU$2:$BM$228,QUOTIENT(ROW()-1,19)+1,MOD(ROW()-2,19)+1),NA())</f>
        <v/>
      </c>
      <c r="DM2162" s="4" t="e">
        <f t="shared" si="120"/>
        <v>#N/A</v>
      </c>
      <c r="DN2162" t="e">
        <f t="shared" si="121"/>
        <v>#N/A</v>
      </c>
      <c r="DO2162" t="e">
        <f t="shared" si="122"/>
        <v>#N/A</v>
      </c>
    </row>
    <row r="2163" spans="7:119" x14ac:dyDescent="0.25">
      <c r="G2163"/>
      <c r="DI2163" s="4">
        <f>INDEX(Sheet2!A:A,QUOTIENT(ROW()-1,19)+2)</f>
        <v>41444</v>
      </c>
      <c r="DJ2163" s="4">
        <f>INDEX(Sheet2!C:C,QUOTIENT(ROW()-1,19)+2)</f>
        <v>43100</v>
      </c>
      <c r="DK2163" s="4" t="e">
        <f>INDEX(Sheet2!$AA$2:$AS$228,QUOTIENT(ROW()-1,19)+1,MOD(ROW()-2,19)+1)</f>
        <v>#N/A</v>
      </c>
      <c r="DL2163" t="str">
        <f>IFERROR(INDEX(Sheet2!$AU$2:$BM$228,QUOTIENT(ROW()-1,19)+1,MOD(ROW()-2,19)+1),NA())</f>
        <v/>
      </c>
      <c r="DM2163" s="4" t="e">
        <f t="shared" si="120"/>
        <v>#N/A</v>
      </c>
      <c r="DN2163" t="e">
        <f t="shared" si="121"/>
        <v>#N/A</v>
      </c>
      <c r="DO2163" t="e">
        <f t="shared" si="122"/>
        <v>#N/A</v>
      </c>
    </row>
    <row r="2164" spans="7:119" x14ac:dyDescent="0.25">
      <c r="G2164"/>
      <c r="DI2164" s="4">
        <f>INDEX(Sheet2!A:A,QUOTIENT(ROW()-1,19)+2)</f>
        <v>41444</v>
      </c>
      <c r="DJ2164" s="4">
        <f>INDEX(Sheet2!C:C,QUOTIENT(ROW()-1,19)+2)</f>
        <v>43100</v>
      </c>
      <c r="DK2164" s="4" t="e">
        <f>INDEX(Sheet2!$AA$2:$AS$228,QUOTIENT(ROW()-1,19)+1,MOD(ROW()-2,19)+1)</f>
        <v>#N/A</v>
      </c>
      <c r="DL2164" t="str">
        <f>IFERROR(INDEX(Sheet2!$AU$2:$BM$228,QUOTIENT(ROW()-1,19)+1,MOD(ROW()-2,19)+1),NA())</f>
        <v/>
      </c>
      <c r="DM2164" s="4" t="e">
        <f t="shared" si="120"/>
        <v>#N/A</v>
      </c>
      <c r="DN2164" t="e">
        <f t="shared" si="121"/>
        <v>#N/A</v>
      </c>
      <c r="DO2164" t="e">
        <f t="shared" si="122"/>
        <v>#N/A</v>
      </c>
    </row>
    <row r="2165" spans="7:119" x14ac:dyDescent="0.25">
      <c r="G2165"/>
      <c r="DI2165" s="4">
        <f>INDEX(Sheet2!A:A,QUOTIENT(ROW()-1,19)+2)</f>
        <v>41444</v>
      </c>
      <c r="DJ2165" s="4">
        <f>INDEX(Sheet2!C:C,QUOTIENT(ROW()-1,19)+2)</f>
        <v>43100</v>
      </c>
      <c r="DK2165" s="4" t="e">
        <f>INDEX(Sheet2!$AA$2:$AS$228,QUOTIENT(ROW()-1,19)+1,MOD(ROW()-2,19)+1)</f>
        <v>#N/A</v>
      </c>
      <c r="DL2165" t="str">
        <f>IFERROR(INDEX(Sheet2!$AU$2:$BM$228,QUOTIENT(ROW()-1,19)+1,MOD(ROW()-2,19)+1),NA())</f>
        <v/>
      </c>
      <c r="DM2165" s="4" t="e">
        <f t="shared" si="120"/>
        <v>#N/A</v>
      </c>
      <c r="DN2165" t="e">
        <f t="shared" si="121"/>
        <v>#N/A</v>
      </c>
      <c r="DO2165" t="e">
        <f t="shared" si="122"/>
        <v>#N/A</v>
      </c>
    </row>
    <row r="2166" spans="7:119" x14ac:dyDescent="0.25">
      <c r="G2166"/>
      <c r="DI2166" s="4">
        <f>INDEX(Sheet2!A:A,QUOTIENT(ROW()-1,19)+2)</f>
        <v>41444</v>
      </c>
      <c r="DJ2166" s="4">
        <f>INDEX(Sheet2!C:C,QUOTIENT(ROW()-1,19)+2)</f>
        <v>43100</v>
      </c>
      <c r="DK2166" s="4" t="e">
        <f>INDEX(Sheet2!$AA$2:$AS$228,QUOTIENT(ROW()-1,19)+1,MOD(ROW()-2,19)+1)</f>
        <v>#N/A</v>
      </c>
      <c r="DL2166" t="str">
        <f>IFERROR(INDEX(Sheet2!$AU$2:$BM$228,QUOTIENT(ROW()-1,19)+1,MOD(ROW()-2,19)+1),NA())</f>
        <v/>
      </c>
      <c r="DM2166" s="4" t="e">
        <f t="shared" si="120"/>
        <v>#N/A</v>
      </c>
      <c r="DN2166" t="e">
        <f t="shared" si="121"/>
        <v>#N/A</v>
      </c>
      <c r="DO2166" t="e">
        <f t="shared" si="122"/>
        <v>#N/A</v>
      </c>
    </row>
    <row r="2167" spans="7:119" x14ac:dyDescent="0.25">
      <c r="G2167"/>
      <c r="DI2167" s="4">
        <f>INDEX(Sheet2!A:A,QUOTIENT(ROW()-1,19)+2)</f>
        <v>41444</v>
      </c>
      <c r="DJ2167" s="4">
        <f>INDEX(Sheet2!C:C,QUOTIENT(ROW()-1,19)+2)</f>
        <v>43100</v>
      </c>
      <c r="DK2167" s="4" t="e">
        <f>INDEX(Sheet2!$AA$2:$AS$228,QUOTIENT(ROW()-1,19)+1,MOD(ROW()-2,19)+1)</f>
        <v>#N/A</v>
      </c>
      <c r="DL2167" t="str">
        <f>IFERROR(INDEX(Sheet2!$AU$2:$BM$228,QUOTIENT(ROW()-1,19)+1,MOD(ROW()-2,19)+1),NA())</f>
        <v/>
      </c>
      <c r="DM2167" s="4" t="e">
        <f t="shared" si="120"/>
        <v>#N/A</v>
      </c>
      <c r="DN2167" t="e">
        <f t="shared" si="121"/>
        <v>#N/A</v>
      </c>
      <c r="DO2167" t="e">
        <f t="shared" si="122"/>
        <v>#N/A</v>
      </c>
    </row>
    <row r="2168" spans="7:119" x14ac:dyDescent="0.25">
      <c r="G2168"/>
      <c r="DI2168" s="4">
        <f>INDEX(Sheet2!A:A,QUOTIENT(ROW()-1,19)+2)</f>
        <v>41444</v>
      </c>
      <c r="DJ2168" s="4">
        <f>INDEX(Sheet2!C:C,QUOTIENT(ROW()-1,19)+2)</f>
        <v>43100</v>
      </c>
      <c r="DK2168" s="4">
        <f>INDEX(Sheet2!$AA$2:$AS$228,QUOTIENT(ROW()-1,19)+1,MOD(ROW()-2,19)+1)</f>
        <v>43019.7</v>
      </c>
      <c r="DL2168">
        <f>IFERROR(INDEX(Sheet2!$AU$2:$BM$228,QUOTIENT(ROW()-1,19)+1,MOD(ROW()-2,19)+1),NA())</f>
        <v>4</v>
      </c>
      <c r="DM2168" s="4" t="e">
        <f t="shared" si="120"/>
        <v>#N/A</v>
      </c>
      <c r="DN2168" t="e">
        <f t="shared" si="121"/>
        <v>#N/A</v>
      </c>
      <c r="DO2168" t="e">
        <f t="shared" si="122"/>
        <v>#N/A</v>
      </c>
    </row>
    <row r="2169" spans="7:119" x14ac:dyDescent="0.25">
      <c r="G2169"/>
      <c r="DI2169" s="4">
        <f>INDEX(Sheet2!A:A,QUOTIENT(ROW()-1,19)+2)</f>
        <v>41444</v>
      </c>
      <c r="DJ2169" s="4">
        <f>INDEX(Sheet2!C:C,QUOTIENT(ROW()-1,19)+2)</f>
        <v>43100</v>
      </c>
      <c r="DK2169" s="4">
        <f>INDEX(Sheet2!$AA$2:$AS$228,QUOTIENT(ROW()-1,19)+1,MOD(ROW()-2,19)+1)</f>
        <v>43039.775000000001</v>
      </c>
      <c r="DL2169">
        <f>IFERROR(INDEX(Sheet2!$AU$2:$BM$228,QUOTIENT(ROW()-1,19)+1,MOD(ROW()-2,19)+1),NA())</f>
        <v>4</v>
      </c>
      <c r="DM2169" s="4" t="e">
        <f t="shared" si="120"/>
        <v>#N/A</v>
      </c>
      <c r="DN2169" t="e">
        <f t="shared" si="121"/>
        <v>#N/A</v>
      </c>
      <c r="DO2169" t="e">
        <f t="shared" si="122"/>
        <v>#N/A</v>
      </c>
    </row>
    <row r="2170" spans="7:119" x14ac:dyDescent="0.25">
      <c r="G2170"/>
      <c r="DI2170" s="4">
        <f>INDEX(Sheet2!A:A,QUOTIENT(ROW()-1,19)+2)</f>
        <v>41444</v>
      </c>
      <c r="DJ2170" s="4">
        <f>INDEX(Sheet2!C:C,QUOTIENT(ROW()-1,19)+2)</f>
        <v>43100</v>
      </c>
      <c r="DK2170" s="4">
        <f>INDEX(Sheet2!$AA$2:$AS$228,QUOTIENT(ROW()-1,19)+1,MOD(ROW()-2,19)+1)</f>
        <v>43059.85</v>
      </c>
      <c r="DL2170">
        <f>IFERROR(INDEX(Sheet2!$AU$2:$BM$228,QUOTIENT(ROW()-1,19)+1,MOD(ROW()-2,19)+1),NA())</f>
        <v>4</v>
      </c>
      <c r="DM2170" s="4" t="e">
        <f t="shared" si="120"/>
        <v>#N/A</v>
      </c>
      <c r="DN2170" t="e">
        <f t="shared" si="121"/>
        <v>#N/A</v>
      </c>
      <c r="DO2170" t="e">
        <f t="shared" si="122"/>
        <v>#N/A</v>
      </c>
    </row>
    <row r="2171" spans="7:119" x14ac:dyDescent="0.25">
      <c r="G2171"/>
      <c r="DI2171" s="4">
        <f>INDEX(Sheet2!A:A,QUOTIENT(ROW()-1,19)+2)</f>
        <v>41444</v>
      </c>
      <c r="DJ2171" s="4">
        <f>INDEX(Sheet2!C:C,QUOTIENT(ROW()-1,19)+2)</f>
        <v>43100</v>
      </c>
      <c r="DK2171" s="4">
        <f>INDEX(Sheet2!$AA$2:$AS$228,QUOTIENT(ROW()-1,19)+1,MOD(ROW()-2,19)+1)</f>
        <v>43079.925000000003</v>
      </c>
      <c r="DL2171">
        <f>IFERROR(INDEX(Sheet2!$AU$2:$BM$228,QUOTIENT(ROW()-1,19)+1,MOD(ROW()-2,19)+1),NA())</f>
        <v>4</v>
      </c>
      <c r="DM2171" s="4" t="e">
        <f t="shared" si="120"/>
        <v>#N/A</v>
      </c>
      <c r="DN2171" t="e">
        <f t="shared" si="121"/>
        <v>#N/A</v>
      </c>
      <c r="DO2171" t="e">
        <f t="shared" si="122"/>
        <v>#N/A</v>
      </c>
    </row>
    <row r="2172" spans="7:119" x14ac:dyDescent="0.25">
      <c r="G2172"/>
      <c r="DI2172" s="4">
        <f>INDEX(Sheet2!A:A,QUOTIENT(ROW()-1,19)+2)</f>
        <v>41444</v>
      </c>
      <c r="DJ2172" s="4">
        <f>INDEX(Sheet2!C:C,QUOTIENT(ROW()-1,19)+2)</f>
        <v>43100</v>
      </c>
      <c r="DK2172" s="4">
        <f>INDEX(Sheet2!$AA$2:$AS$228,QUOTIENT(ROW()-1,19)+1,MOD(ROW()-2,19)+1)</f>
        <v>43100</v>
      </c>
      <c r="DL2172">
        <f>IFERROR(INDEX(Sheet2!$AU$2:$BM$228,QUOTIENT(ROW()-1,19)+1,MOD(ROW()-2,19)+1),NA())</f>
        <v>4</v>
      </c>
      <c r="DM2172" s="4" t="e">
        <f t="shared" si="120"/>
        <v>#N/A</v>
      </c>
      <c r="DN2172" t="e">
        <f t="shared" si="121"/>
        <v>#N/A</v>
      </c>
      <c r="DO2172" t="e">
        <f t="shared" si="122"/>
        <v>#N/A</v>
      </c>
    </row>
    <row r="2173" spans="7:119" x14ac:dyDescent="0.25">
      <c r="G2173"/>
      <c r="DI2173" s="4">
        <f>INDEX(Sheet2!A:A,QUOTIENT(ROW()-1,19)+2)</f>
        <v>41444</v>
      </c>
      <c r="DJ2173" s="4">
        <f>INDEX(Sheet2!C:C,QUOTIENT(ROW()-1,19)+2)</f>
        <v>43100</v>
      </c>
      <c r="DK2173" s="4">
        <f>INDEX(Sheet2!$AA$2:$AS$228,QUOTIENT(ROW()-1,19)+1,MOD(ROW()-2,19)+1)</f>
        <v>43120.074999999997</v>
      </c>
      <c r="DL2173">
        <f>IFERROR(INDEX(Sheet2!$AU$2:$BM$228,QUOTIENT(ROW()-1,19)+1,MOD(ROW()-2,19)+1),NA())</f>
        <v>4</v>
      </c>
      <c r="DM2173" s="4" t="e">
        <f t="shared" si="120"/>
        <v>#N/A</v>
      </c>
      <c r="DN2173" t="e">
        <f t="shared" si="121"/>
        <v>#N/A</v>
      </c>
      <c r="DO2173" t="e">
        <f t="shared" si="122"/>
        <v>#N/A</v>
      </c>
    </row>
    <row r="2174" spans="7:119" x14ac:dyDescent="0.25">
      <c r="G2174"/>
      <c r="DI2174" s="4">
        <f>INDEX(Sheet2!A:A,QUOTIENT(ROW()-1,19)+2)</f>
        <v>41444</v>
      </c>
      <c r="DJ2174" s="4">
        <f>INDEX(Sheet2!C:C,QUOTIENT(ROW()-1,19)+2)</f>
        <v>43100</v>
      </c>
      <c r="DK2174" s="4">
        <f>INDEX(Sheet2!$AA$2:$AS$228,QUOTIENT(ROW()-1,19)+1,MOD(ROW()-2,19)+1)</f>
        <v>43140.15</v>
      </c>
      <c r="DL2174">
        <f>IFERROR(INDEX(Sheet2!$AU$2:$BM$228,QUOTIENT(ROW()-1,19)+1,MOD(ROW()-2,19)+1),NA())</f>
        <v>4</v>
      </c>
      <c r="DM2174" s="4" t="e">
        <f t="shared" si="120"/>
        <v>#N/A</v>
      </c>
      <c r="DN2174" t="e">
        <f t="shared" si="121"/>
        <v>#N/A</v>
      </c>
      <c r="DO2174" t="e">
        <f t="shared" si="122"/>
        <v>#N/A</v>
      </c>
    </row>
    <row r="2175" spans="7:119" x14ac:dyDescent="0.25">
      <c r="G2175"/>
      <c r="DI2175" s="4">
        <f>INDEX(Sheet2!A:A,QUOTIENT(ROW()-1,19)+2)</f>
        <v>41444</v>
      </c>
      <c r="DJ2175" s="4">
        <f>INDEX(Sheet2!C:C,QUOTIENT(ROW()-1,19)+2)</f>
        <v>43100</v>
      </c>
      <c r="DK2175" s="4">
        <f>INDEX(Sheet2!$AA$2:$AS$228,QUOTIENT(ROW()-1,19)+1,MOD(ROW()-2,19)+1)</f>
        <v>43160.224999999999</v>
      </c>
      <c r="DL2175">
        <f>IFERROR(INDEX(Sheet2!$AU$2:$BM$228,QUOTIENT(ROW()-1,19)+1,MOD(ROW()-2,19)+1),NA())</f>
        <v>4</v>
      </c>
      <c r="DM2175" s="4" t="e">
        <f t="shared" si="120"/>
        <v>#N/A</v>
      </c>
      <c r="DN2175" t="e">
        <f t="shared" si="121"/>
        <v>#N/A</v>
      </c>
      <c r="DO2175" t="e">
        <f t="shared" si="122"/>
        <v>#N/A</v>
      </c>
    </row>
    <row r="2176" spans="7:119" x14ac:dyDescent="0.25">
      <c r="G2176"/>
      <c r="DI2176" s="4">
        <f>INDEX(Sheet2!A:A,QUOTIENT(ROW()-1,19)+2)</f>
        <v>41444</v>
      </c>
      <c r="DJ2176" s="4">
        <f>INDEX(Sheet2!C:C,QUOTIENT(ROW()-1,19)+2)</f>
        <v>43100</v>
      </c>
      <c r="DK2176" s="4">
        <f>INDEX(Sheet2!$AA$2:$AS$228,QUOTIENT(ROW()-1,19)+1,MOD(ROW()-2,19)+1)</f>
        <v>43180.3</v>
      </c>
      <c r="DL2176">
        <f>IFERROR(INDEX(Sheet2!$AU$2:$BM$228,QUOTIENT(ROW()-1,19)+1,MOD(ROW()-2,19)+1),NA())</f>
        <v>4</v>
      </c>
      <c r="DM2176" s="4" t="e">
        <f t="shared" si="120"/>
        <v>#N/A</v>
      </c>
      <c r="DN2176" t="e">
        <f t="shared" si="121"/>
        <v>#N/A</v>
      </c>
      <c r="DO2176" t="e">
        <f t="shared" si="122"/>
        <v>#N/A</v>
      </c>
    </row>
    <row r="2177" spans="7:119" x14ac:dyDescent="0.25">
      <c r="G2177"/>
      <c r="DI2177" s="4">
        <f>INDEX(Sheet2!A:A,QUOTIENT(ROW()-1,19)+2)</f>
        <v>41444</v>
      </c>
      <c r="DJ2177" s="4">
        <f>INDEX(Sheet2!C:C,QUOTIENT(ROW()-1,19)+2)</f>
        <v>43100</v>
      </c>
      <c r="DK2177" s="4" t="e">
        <f>INDEX(Sheet2!$AA$2:$AS$228,QUOTIENT(ROW()-1,19)+1,MOD(ROW()-2,19)+1)</f>
        <v>#N/A</v>
      </c>
      <c r="DL2177" t="str">
        <f>IFERROR(INDEX(Sheet2!$AU$2:$BM$228,QUOTIENT(ROW()-1,19)+1,MOD(ROW()-2,19)+1),NA())</f>
        <v/>
      </c>
      <c r="DM2177" s="4" t="e">
        <f t="shared" si="120"/>
        <v>#N/A</v>
      </c>
      <c r="DN2177" t="e">
        <f t="shared" si="121"/>
        <v>#N/A</v>
      </c>
      <c r="DO2177" t="e">
        <f t="shared" si="122"/>
        <v>#N/A</v>
      </c>
    </row>
    <row r="2178" spans="7:119" x14ac:dyDescent="0.25">
      <c r="G2178"/>
      <c r="DI2178" s="4">
        <f>INDEX(Sheet2!A:A,QUOTIENT(ROW()-1,19)+2)</f>
        <v>41444</v>
      </c>
      <c r="DJ2178" s="4">
        <f>INDEX(Sheet2!C:C,QUOTIENT(ROW()-1,19)+2)</f>
        <v>43100</v>
      </c>
      <c r="DK2178" s="4" t="e">
        <f>INDEX(Sheet2!$AA$2:$AS$228,QUOTIENT(ROW()-1,19)+1,MOD(ROW()-2,19)+1)</f>
        <v>#N/A</v>
      </c>
      <c r="DL2178" t="str">
        <f>IFERROR(INDEX(Sheet2!$AU$2:$BM$228,QUOTIENT(ROW()-1,19)+1,MOD(ROW()-2,19)+1),NA())</f>
        <v/>
      </c>
      <c r="DM2178" s="4" t="e">
        <f t="shared" ref="DM2178:DM2241" si="123">+IF($C$2=$DI2178,DK2178,NA())</f>
        <v>#N/A</v>
      </c>
      <c r="DN2178" t="e">
        <f t="shared" ref="DN2178:DN2241" si="124">+IF($C$2=$DI2178,DL2178,NA())</f>
        <v>#N/A</v>
      </c>
      <c r="DO2178" t="e">
        <f t="shared" si="122"/>
        <v>#N/A</v>
      </c>
    </row>
    <row r="2179" spans="7:119" x14ac:dyDescent="0.25">
      <c r="G2179"/>
      <c r="DI2179" s="4">
        <f>INDEX(Sheet2!A:A,QUOTIENT(ROW()-1,19)+2)</f>
        <v>41444</v>
      </c>
      <c r="DJ2179" s="4">
        <f>INDEX(Sheet2!C:C,QUOTIENT(ROW()-1,19)+2)</f>
        <v>43100</v>
      </c>
      <c r="DK2179" s="4" t="e">
        <f>INDEX(Sheet2!$AA$2:$AS$228,QUOTIENT(ROW()-1,19)+1,MOD(ROW()-2,19)+1)</f>
        <v>#N/A</v>
      </c>
      <c r="DL2179" t="str">
        <f>IFERROR(INDEX(Sheet2!$AU$2:$BM$228,QUOTIENT(ROW()-1,19)+1,MOD(ROW()-2,19)+1),NA())</f>
        <v/>
      </c>
      <c r="DM2179" s="4" t="e">
        <f t="shared" si="123"/>
        <v>#N/A</v>
      </c>
      <c r="DN2179" t="e">
        <f t="shared" si="124"/>
        <v>#N/A</v>
      </c>
      <c r="DO2179" t="e">
        <f t="shared" ref="DO2179:DO2242" si="125">IF(DN2179="",NA(),DN2179)</f>
        <v>#N/A</v>
      </c>
    </row>
    <row r="2180" spans="7:119" x14ac:dyDescent="0.25">
      <c r="G2180"/>
      <c r="DI2180" s="4">
        <f>INDEX(Sheet2!A:A,QUOTIENT(ROW()-1,19)+2)</f>
        <v>41444</v>
      </c>
      <c r="DJ2180" s="4">
        <f>INDEX(Sheet2!C:C,QUOTIENT(ROW()-1,19)+2)</f>
        <v>43100</v>
      </c>
      <c r="DK2180" s="4" t="e">
        <f>INDEX(Sheet2!$AA$2:$AS$228,QUOTIENT(ROW()-1,19)+1,MOD(ROW()-2,19)+1)</f>
        <v>#N/A</v>
      </c>
      <c r="DL2180" t="str">
        <f>IFERROR(INDEX(Sheet2!$AU$2:$BM$228,QUOTIENT(ROW()-1,19)+1,MOD(ROW()-2,19)+1),NA())</f>
        <v/>
      </c>
      <c r="DM2180" s="4" t="e">
        <f t="shared" si="123"/>
        <v>#N/A</v>
      </c>
      <c r="DN2180" t="e">
        <f t="shared" si="124"/>
        <v>#N/A</v>
      </c>
      <c r="DO2180" t="e">
        <f t="shared" si="125"/>
        <v>#N/A</v>
      </c>
    </row>
    <row r="2181" spans="7:119" x14ac:dyDescent="0.25">
      <c r="G2181"/>
      <c r="DI2181" s="4">
        <f>INDEX(Sheet2!A:A,QUOTIENT(ROW()-1,19)+2)</f>
        <v>41444</v>
      </c>
      <c r="DJ2181" s="4">
        <f>INDEX(Sheet2!C:C,QUOTIENT(ROW()-1,19)+2)</f>
        <v>43100</v>
      </c>
      <c r="DK2181" s="4" t="e">
        <f>INDEX(Sheet2!$AA$2:$AS$228,QUOTIENT(ROW()-1,19)+1,MOD(ROW()-2,19)+1)</f>
        <v>#N/A</v>
      </c>
      <c r="DL2181" t="str">
        <f>IFERROR(INDEX(Sheet2!$AU$2:$BM$228,QUOTIENT(ROW()-1,19)+1,MOD(ROW()-2,19)+1),NA())</f>
        <v/>
      </c>
      <c r="DM2181" s="4" t="e">
        <f t="shared" si="123"/>
        <v>#N/A</v>
      </c>
      <c r="DN2181" t="e">
        <f t="shared" si="124"/>
        <v>#N/A</v>
      </c>
      <c r="DO2181" t="e">
        <f t="shared" si="125"/>
        <v>#N/A</v>
      </c>
    </row>
    <row r="2182" spans="7:119" x14ac:dyDescent="0.25">
      <c r="G2182"/>
      <c r="DI2182" s="4">
        <f>INDEX(Sheet2!A:A,QUOTIENT(ROW()-1,19)+2)</f>
        <v>41444</v>
      </c>
      <c r="DJ2182" s="4">
        <f>INDEX(Sheet2!C:C,QUOTIENT(ROW()-1,19)+2)</f>
        <v>43100</v>
      </c>
      <c r="DK2182" s="4" t="e">
        <f>INDEX(Sheet2!$AA$2:$AS$228,QUOTIENT(ROW()-1,19)+1,MOD(ROW()-2,19)+1)</f>
        <v>#N/A</v>
      </c>
      <c r="DL2182" t="str">
        <f>IFERROR(INDEX(Sheet2!$AU$2:$BM$228,QUOTIENT(ROW()-1,19)+1,MOD(ROW()-2,19)+1),NA())</f>
        <v/>
      </c>
      <c r="DM2182" s="4" t="e">
        <f t="shared" si="123"/>
        <v>#N/A</v>
      </c>
      <c r="DN2182" t="e">
        <f t="shared" si="124"/>
        <v>#N/A</v>
      </c>
      <c r="DO2182" t="e">
        <f t="shared" si="125"/>
        <v>#N/A</v>
      </c>
    </row>
    <row r="2183" spans="7:119" x14ac:dyDescent="0.25">
      <c r="G2183"/>
      <c r="DI2183" s="4">
        <f>INDEX(Sheet2!A:A,QUOTIENT(ROW()-1,19)+2)</f>
        <v>41444</v>
      </c>
      <c r="DJ2183" s="4">
        <f>INDEX(Sheet2!C:C,QUOTIENT(ROW()-1,19)+2)</f>
        <v>43100</v>
      </c>
      <c r="DK2183" s="4" t="e">
        <f>INDEX(Sheet2!$AA$2:$AS$228,QUOTIENT(ROW()-1,19)+1,MOD(ROW()-2,19)+1)</f>
        <v>#N/A</v>
      </c>
      <c r="DL2183" t="str">
        <f>IFERROR(INDEX(Sheet2!$AU$2:$BM$228,QUOTIENT(ROW()-1,19)+1,MOD(ROW()-2,19)+1),NA())</f>
        <v/>
      </c>
      <c r="DM2183" s="4" t="e">
        <f t="shared" si="123"/>
        <v>#N/A</v>
      </c>
      <c r="DN2183" t="e">
        <f t="shared" si="124"/>
        <v>#N/A</v>
      </c>
      <c r="DO2183" t="e">
        <f t="shared" si="125"/>
        <v>#N/A</v>
      </c>
    </row>
    <row r="2184" spans="7:119" x14ac:dyDescent="0.25">
      <c r="G2184"/>
      <c r="DI2184" s="4">
        <f>INDEX(Sheet2!A:A,QUOTIENT(ROW()-1,19)+2)</f>
        <v>41444</v>
      </c>
      <c r="DJ2184" s="4">
        <f>INDEX(Sheet2!C:C,QUOTIENT(ROW()-1,19)+2)</f>
        <v>43100</v>
      </c>
      <c r="DK2184" s="4" t="e">
        <f>INDEX(Sheet2!$AA$2:$AS$228,QUOTIENT(ROW()-1,19)+1,MOD(ROW()-2,19)+1)</f>
        <v>#N/A</v>
      </c>
      <c r="DL2184" t="str">
        <f>IFERROR(INDEX(Sheet2!$AU$2:$BM$228,QUOTIENT(ROW()-1,19)+1,MOD(ROW()-2,19)+1),NA())</f>
        <v/>
      </c>
      <c r="DM2184" s="4" t="e">
        <f t="shared" si="123"/>
        <v>#N/A</v>
      </c>
      <c r="DN2184" t="e">
        <f t="shared" si="124"/>
        <v>#N/A</v>
      </c>
      <c r="DO2184" t="e">
        <f t="shared" si="125"/>
        <v>#N/A</v>
      </c>
    </row>
    <row r="2185" spans="7:119" x14ac:dyDescent="0.25">
      <c r="G2185"/>
      <c r="DI2185" s="4">
        <f>INDEX(Sheet2!A:A,QUOTIENT(ROW()-1,19)+2)</f>
        <v>41444</v>
      </c>
      <c r="DJ2185" s="4">
        <f>INDEX(Sheet2!C:C,QUOTIENT(ROW()-1,19)+2)</f>
        <v>43100</v>
      </c>
      <c r="DK2185" s="4" t="e">
        <f>INDEX(Sheet2!$AA$2:$AS$228,QUOTIENT(ROW()-1,19)+1,MOD(ROW()-2,19)+1)</f>
        <v>#N/A</v>
      </c>
      <c r="DL2185" t="str">
        <f>IFERROR(INDEX(Sheet2!$AU$2:$BM$228,QUOTIENT(ROW()-1,19)+1,MOD(ROW()-2,19)+1),NA())</f>
        <v/>
      </c>
      <c r="DM2185" s="4" t="e">
        <f t="shared" si="123"/>
        <v>#N/A</v>
      </c>
      <c r="DN2185" t="e">
        <f t="shared" si="124"/>
        <v>#N/A</v>
      </c>
      <c r="DO2185" t="e">
        <f t="shared" si="125"/>
        <v>#N/A</v>
      </c>
    </row>
    <row r="2186" spans="7:119" x14ac:dyDescent="0.25">
      <c r="G2186"/>
      <c r="DI2186" s="4">
        <f>INDEX(Sheet2!A:A,QUOTIENT(ROW()-1,19)+2)</f>
        <v>41444</v>
      </c>
      <c r="DJ2186" s="4">
        <f>INDEX(Sheet2!C:C,QUOTIENT(ROW()-1,19)+2)</f>
        <v>43100</v>
      </c>
      <c r="DK2186" s="4" t="e">
        <f>INDEX(Sheet2!$AA$2:$AS$228,QUOTIENT(ROW()-1,19)+1,MOD(ROW()-2,19)+1)</f>
        <v>#N/A</v>
      </c>
      <c r="DL2186" t="str">
        <f>IFERROR(INDEX(Sheet2!$AU$2:$BM$228,QUOTIENT(ROW()-1,19)+1,MOD(ROW()-2,19)+1),NA())</f>
        <v/>
      </c>
      <c r="DM2186" s="4" t="e">
        <f t="shared" si="123"/>
        <v>#N/A</v>
      </c>
      <c r="DN2186" t="e">
        <f t="shared" si="124"/>
        <v>#N/A</v>
      </c>
      <c r="DO2186" t="e">
        <f t="shared" si="125"/>
        <v>#N/A</v>
      </c>
    </row>
    <row r="2187" spans="7:119" x14ac:dyDescent="0.25">
      <c r="G2187"/>
      <c r="DI2187" s="4">
        <f>INDEX(Sheet2!A:A,QUOTIENT(ROW()-1,19)+2)</f>
        <v>41444</v>
      </c>
      <c r="DJ2187" s="4">
        <f>INDEX(Sheet2!C:C,QUOTIENT(ROW()-1,19)+2)</f>
        <v>43100</v>
      </c>
      <c r="DK2187" s="4">
        <f>INDEX(Sheet2!$AA$2:$AS$228,QUOTIENT(ROW()-1,19)+1,MOD(ROW()-2,19)+1)</f>
        <v>43079.924999999996</v>
      </c>
      <c r="DL2187">
        <f>IFERROR(INDEX(Sheet2!$AU$2:$BM$228,QUOTIENT(ROW()-1,19)+1,MOD(ROW()-2,19)+1),NA())</f>
        <v>4.25</v>
      </c>
      <c r="DM2187" s="4" t="e">
        <f t="shared" si="123"/>
        <v>#N/A</v>
      </c>
      <c r="DN2187" t="e">
        <f t="shared" si="124"/>
        <v>#N/A</v>
      </c>
      <c r="DO2187" t="e">
        <f t="shared" si="125"/>
        <v>#N/A</v>
      </c>
    </row>
    <row r="2188" spans="7:119" x14ac:dyDescent="0.25">
      <c r="G2188"/>
      <c r="DI2188" s="4">
        <f>INDEX(Sheet2!A:A,QUOTIENT(ROW()-1,19)+2)</f>
        <v>41444</v>
      </c>
      <c r="DJ2188" s="4">
        <f>INDEX(Sheet2!C:C,QUOTIENT(ROW()-1,19)+2)</f>
        <v>43100</v>
      </c>
      <c r="DK2188" s="4">
        <f>INDEX(Sheet2!$AA$2:$AS$228,QUOTIENT(ROW()-1,19)+1,MOD(ROW()-2,19)+1)</f>
        <v>43100</v>
      </c>
      <c r="DL2188">
        <f>IFERROR(INDEX(Sheet2!$AU$2:$BM$228,QUOTIENT(ROW()-1,19)+1,MOD(ROW()-2,19)+1),NA())</f>
        <v>4.25</v>
      </c>
      <c r="DM2188" s="4" t="e">
        <f t="shared" si="123"/>
        <v>#N/A</v>
      </c>
      <c r="DN2188" t="e">
        <f t="shared" si="124"/>
        <v>#N/A</v>
      </c>
      <c r="DO2188" t="e">
        <f t="shared" si="125"/>
        <v>#N/A</v>
      </c>
    </row>
    <row r="2189" spans="7:119" x14ac:dyDescent="0.25">
      <c r="G2189"/>
      <c r="DI2189" s="4">
        <f>INDEX(Sheet2!A:A,QUOTIENT(ROW()-1,19)+2)</f>
        <v>41444</v>
      </c>
      <c r="DJ2189" s="4">
        <f>INDEX(Sheet2!C:C,QUOTIENT(ROW()-1,19)+2)</f>
        <v>43100</v>
      </c>
      <c r="DK2189" s="4">
        <f>INDEX(Sheet2!$AA$2:$AS$228,QUOTIENT(ROW()-1,19)+1,MOD(ROW()-2,19)+1)</f>
        <v>43120.074999999997</v>
      </c>
      <c r="DL2189">
        <f>IFERROR(INDEX(Sheet2!$AU$2:$BM$228,QUOTIENT(ROW()-1,19)+1,MOD(ROW()-2,19)+1),NA())</f>
        <v>4.25</v>
      </c>
      <c r="DM2189" s="4" t="e">
        <f t="shared" si="123"/>
        <v>#N/A</v>
      </c>
      <c r="DN2189" t="e">
        <f t="shared" si="124"/>
        <v>#N/A</v>
      </c>
      <c r="DO2189" t="e">
        <f t="shared" si="125"/>
        <v>#N/A</v>
      </c>
    </row>
    <row r="2190" spans="7:119" x14ac:dyDescent="0.25">
      <c r="G2190"/>
      <c r="DI2190" s="4">
        <f>INDEX(Sheet2!A:A,QUOTIENT(ROW()-1,19)+2)</f>
        <v>41444</v>
      </c>
      <c r="DJ2190" s="4">
        <f>INDEX(Sheet2!C:C,QUOTIENT(ROW()-1,19)+2)</f>
        <v>43100</v>
      </c>
      <c r="DK2190" s="4" t="e">
        <f>INDEX(Sheet2!$AA$2:$AS$228,QUOTIENT(ROW()-1,19)+1,MOD(ROW()-2,19)+1)</f>
        <v>#N/A</v>
      </c>
      <c r="DL2190" t="str">
        <f>IFERROR(INDEX(Sheet2!$AU$2:$BM$228,QUOTIENT(ROW()-1,19)+1,MOD(ROW()-2,19)+1),NA())</f>
        <v/>
      </c>
      <c r="DM2190" s="4" t="e">
        <f t="shared" si="123"/>
        <v>#N/A</v>
      </c>
      <c r="DN2190" t="e">
        <f t="shared" si="124"/>
        <v>#N/A</v>
      </c>
      <c r="DO2190" t="e">
        <f t="shared" si="125"/>
        <v>#N/A</v>
      </c>
    </row>
    <row r="2191" spans="7:119" x14ac:dyDescent="0.25">
      <c r="G2191"/>
      <c r="DI2191" s="4">
        <f>INDEX(Sheet2!A:A,QUOTIENT(ROW()-1,19)+2)</f>
        <v>41444</v>
      </c>
      <c r="DJ2191" s="4">
        <f>INDEX(Sheet2!C:C,QUOTIENT(ROW()-1,19)+2)</f>
        <v>43100</v>
      </c>
      <c r="DK2191" s="4" t="e">
        <f>INDEX(Sheet2!$AA$2:$AS$228,QUOTIENT(ROW()-1,19)+1,MOD(ROW()-2,19)+1)</f>
        <v>#N/A</v>
      </c>
      <c r="DL2191" t="str">
        <f>IFERROR(INDEX(Sheet2!$AU$2:$BM$228,QUOTIENT(ROW()-1,19)+1,MOD(ROW()-2,19)+1),NA())</f>
        <v/>
      </c>
      <c r="DM2191" s="4" t="e">
        <f t="shared" si="123"/>
        <v>#N/A</v>
      </c>
      <c r="DN2191" t="e">
        <f t="shared" si="124"/>
        <v>#N/A</v>
      </c>
      <c r="DO2191" t="e">
        <f t="shared" si="125"/>
        <v>#N/A</v>
      </c>
    </row>
    <row r="2192" spans="7:119" x14ac:dyDescent="0.25">
      <c r="G2192"/>
      <c r="DI2192" s="4">
        <f>INDEX(Sheet2!A:A,QUOTIENT(ROW()-1,19)+2)</f>
        <v>41444</v>
      </c>
      <c r="DJ2192" s="4">
        <f>INDEX(Sheet2!C:C,QUOTIENT(ROW()-1,19)+2)</f>
        <v>43100</v>
      </c>
      <c r="DK2192" s="4" t="e">
        <f>INDEX(Sheet2!$AA$2:$AS$228,QUOTIENT(ROW()-1,19)+1,MOD(ROW()-2,19)+1)</f>
        <v>#N/A</v>
      </c>
      <c r="DL2192" t="str">
        <f>IFERROR(INDEX(Sheet2!$AU$2:$BM$228,QUOTIENT(ROW()-1,19)+1,MOD(ROW()-2,19)+1),NA())</f>
        <v/>
      </c>
      <c r="DM2192" s="4" t="e">
        <f t="shared" si="123"/>
        <v>#N/A</v>
      </c>
      <c r="DN2192" t="e">
        <f t="shared" si="124"/>
        <v>#N/A</v>
      </c>
      <c r="DO2192" t="e">
        <f t="shared" si="125"/>
        <v>#N/A</v>
      </c>
    </row>
    <row r="2193" spans="7:119" x14ac:dyDescent="0.25">
      <c r="G2193"/>
      <c r="DI2193" s="4">
        <f>INDEX(Sheet2!A:A,QUOTIENT(ROW()-1,19)+2)</f>
        <v>41444</v>
      </c>
      <c r="DJ2193" s="4">
        <f>INDEX(Sheet2!C:C,QUOTIENT(ROW()-1,19)+2)</f>
        <v>43100</v>
      </c>
      <c r="DK2193" s="4" t="e">
        <f>INDEX(Sheet2!$AA$2:$AS$228,QUOTIENT(ROW()-1,19)+1,MOD(ROW()-2,19)+1)</f>
        <v>#N/A</v>
      </c>
      <c r="DL2193" t="str">
        <f>IFERROR(INDEX(Sheet2!$AU$2:$BM$228,QUOTIENT(ROW()-1,19)+1,MOD(ROW()-2,19)+1),NA())</f>
        <v/>
      </c>
      <c r="DM2193" s="4" t="e">
        <f t="shared" si="123"/>
        <v>#N/A</v>
      </c>
      <c r="DN2193" t="e">
        <f t="shared" si="124"/>
        <v>#N/A</v>
      </c>
      <c r="DO2193" t="e">
        <f t="shared" si="125"/>
        <v>#N/A</v>
      </c>
    </row>
    <row r="2194" spans="7:119" x14ac:dyDescent="0.25">
      <c r="G2194"/>
      <c r="DI2194" s="4">
        <f>INDEX(Sheet2!A:A,QUOTIENT(ROW()-1,19)+2)</f>
        <v>41444</v>
      </c>
      <c r="DJ2194" s="4">
        <f>INDEX(Sheet2!C:C,QUOTIENT(ROW()-1,19)+2)</f>
        <v>43100</v>
      </c>
      <c r="DK2194" s="4" t="e">
        <f>INDEX(Sheet2!$AA$2:$AS$228,QUOTIENT(ROW()-1,19)+1,MOD(ROW()-2,19)+1)</f>
        <v>#N/A</v>
      </c>
      <c r="DL2194" t="str">
        <f>IFERROR(INDEX(Sheet2!$AU$2:$BM$228,QUOTIENT(ROW()-1,19)+1,MOD(ROW()-2,19)+1),NA())</f>
        <v/>
      </c>
      <c r="DM2194" s="4" t="e">
        <f t="shared" si="123"/>
        <v>#N/A</v>
      </c>
      <c r="DN2194" t="e">
        <f t="shared" si="124"/>
        <v>#N/A</v>
      </c>
      <c r="DO2194" t="e">
        <f t="shared" si="125"/>
        <v>#N/A</v>
      </c>
    </row>
    <row r="2195" spans="7:119" x14ac:dyDescent="0.25">
      <c r="G2195"/>
      <c r="DI2195" s="4">
        <f>INDEX(Sheet2!A:A,QUOTIENT(ROW()-1,19)+2)</f>
        <v>41444</v>
      </c>
      <c r="DJ2195" s="4">
        <f>INDEX(Sheet2!C:C,QUOTIENT(ROW()-1,19)+2)</f>
        <v>43100</v>
      </c>
      <c r="DK2195" s="4" t="e">
        <f>INDEX(Sheet2!$AA$2:$AS$228,QUOTIENT(ROW()-1,19)+1,MOD(ROW()-2,19)+1)</f>
        <v>#N/A</v>
      </c>
      <c r="DL2195" t="str">
        <f>IFERROR(INDEX(Sheet2!$AU$2:$BM$228,QUOTIENT(ROW()-1,19)+1,MOD(ROW()-2,19)+1),NA())</f>
        <v/>
      </c>
      <c r="DM2195" s="4" t="e">
        <f t="shared" si="123"/>
        <v>#N/A</v>
      </c>
      <c r="DN2195" t="e">
        <f t="shared" si="124"/>
        <v>#N/A</v>
      </c>
      <c r="DO2195" t="e">
        <f t="shared" si="125"/>
        <v>#N/A</v>
      </c>
    </row>
    <row r="2196" spans="7:119" x14ac:dyDescent="0.25">
      <c r="G2196"/>
      <c r="DI2196" s="4">
        <f>INDEX(Sheet2!A:A,QUOTIENT(ROW()-1,19)+2)</f>
        <v>41444</v>
      </c>
      <c r="DJ2196" s="4">
        <f>INDEX(Sheet2!C:C,QUOTIENT(ROW()-1,19)+2)</f>
        <v>43100</v>
      </c>
      <c r="DK2196" s="4" t="e">
        <f>INDEX(Sheet2!$AA$2:$AS$228,QUOTIENT(ROW()-1,19)+1,MOD(ROW()-2,19)+1)</f>
        <v>#N/A</v>
      </c>
      <c r="DL2196" t="str">
        <f>IFERROR(INDEX(Sheet2!$AU$2:$BM$228,QUOTIENT(ROW()-1,19)+1,MOD(ROW()-2,19)+1),NA())</f>
        <v/>
      </c>
      <c r="DM2196" s="4" t="e">
        <f t="shared" si="123"/>
        <v>#N/A</v>
      </c>
      <c r="DN2196" t="e">
        <f t="shared" si="124"/>
        <v>#N/A</v>
      </c>
      <c r="DO2196" t="e">
        <f t="shared" si="125"/>
        <v>#N/A</v>
      </c>
    </row>
    <row r="2197" spans="7:119" x14ac:dyDescent="0.25">
      <c r="G2197"/>
      <c r="DI2197" s="4">
        <f>INDEX(Sheet2!A:A,QUOTIENT(ROW()-1,19)+2)</f>
        <v>41444</v>
      </c>
      <c r="DJ2197" s="4">
        <f>INDEX(Sheet2!C:C,QUOTIENT(ROW()-1,19)+2)</f>
        <v>43100</v>
      </c>
      <c r="DK2197" s="4" t="e">
        <f>INDEX(Sheet2!$AA$2:$AS$228,QUOTIENT(ROW()-1,19)+1,MOD(ROW()-2,19)+1)</f>
        <v>#N/A</v>
      </c>
      <c r="DL2197" t="str">
        <f>IFERROR(INDEX(Sheet2!$AU$2:$BM$228,QUOTIENT(ROW()-1,19)+1,MOD(ROW()-2,19)+1),NA())</f>
        <v/>
      </c>
      <c r="DM2197" s="4" t="e">
        <f t="shared" si="123"/>
        <v>#N/A</v>
      </c>
      <c r="DN2197" t="e">
        <f t="shared" si="124"/>
        <v>#N/A</v>
      </c>
      <c r="DO2197" t="e">
        <f t="shared" si="125"/>
        <v>#N/A</v>
      </c>
    </row>
    <row r="2198" spans="7:119" x14ac:dyDescent="0.25">
      <c r="G2198"/>
      <c r="DI2198" s="4">
        <f>INDEX(Sheet2!A:A,QUOTIENT(ROW()-1,19)+2)</f>
        <v>41444</v>
      </c>
      <c r="DJ2198" s="4">
        <f>INDEX(Sheet2!C:C,QUOTIENT(ROW()-1,19)+2)</f>
        <v>43100</v>
      </c>
      <c r="DK2198" s="4" t="e">
        <f>INDEX(Sheet2!$AA$2:$AS$228,QUOTIENT(ROW()-1,19)+1,MOD(ROW()-2,19)+1)</f>
        <v>#N/A</v>
      </c>
      <c r="DL2198" t="str">
        <f>IFERROR(INDEX(Sheet2!$AU$2:$BM$228,QUOTIENT(ROW()-1,19)+1,MOD(ROW()-2,19)+1),NA())</f>
        <v/>
      </c>
      <c r="DM2198" s="4" t="e">
        <f t="shared" si="123"/>
        <v>#N/A</v>
      </c>
      <c r="DN2198" t="e">
        <f t="shared" si="124"/>
        <v>#N/A</v>
      </c>
      <c r="DO2198" t="e">
        <f t="shared" si="125"/>
        <v>#N/A</v>
      </c>
    </row>
    <row r="2199" spans="7:119" x14ac:dyDescent="0.25">
      <c r="G2199"/>
      <c r="DI2199" s="4">
        <f>INDEX(Sheet2!A:A,QUOTIENT(ROW()-1,19)+2)</f>
        <v>41444</v>
      </c>
      <c r="DJ2199" s="4">
        <f>INDEX(Sheet2!C:C,QUOTIENT(ROW()-1,19)+2)</f>
        <v>43100</v>
      </c>
      <c r="DK2199" s="4" t="e">
        <f>INDEX(Sheet2!$AA$2:$AS$228,QUOTIENT(ROW()-1,19)+1,MOD(ROW()-2,19)+1)</f>
        <v>#N/A</v>
      </c>
      <c r="DL2199" t="str">
        <f>IFERROR(INDEX(Sheet2!$AU$2:$BM$228,QUOTIENT(ROW()-1,19)+1,MOD(ROW()-2,19)+1),NA())</f>
        <v/>
      </c>
      <c r="DM2199" s="4" t="e">
        <f t="shared" si="123"/>
        <v>#N/A</v>
      </c>
      <c r="DN2199" t="e">
        <f t="shared" si="124"/>
        <v>#N/A</v>
      </c>
      <c r="DO2199" t="e">
        <f t="shared" si="125"/>
        <v>#N/A</v>
      </c>
    </row>
    <row r="2200" spans="7:119" x14ac:dyDescent="0.25">
      <c r="G2200"/>
      <c r="DI2200" s="4">
        <f>INDEX(Sheet2!A:A,QUOTIENT(ROW()-1,19)+2)</f>
        <v>41444</v>
      </c>
      <c r="DJ2200" s="4">
        <f>INDEX(Sheet2!C:C,QUOTIENT(ROW()-1,19)+2)</f>
        <v>43100</v>
      </c>
      <c r="DK2200" s="4" t="e">
        <f>INDEX(Sheet2!$AA$2:$AS$228,QUOTIENT(ROW()-1,19)+1,MOD(ROW()-2,19)+1)</f>
        <v>#N/A</v>
      </c>
      <c r="DL2200" t="str">
        <f>IFERROR(INDEX(Sheet2!$AU$2:$BM$228,QUOTIENT(ROW()-1,19)+1,MOD(ROW()-2,19)+1),NA())</f>
        <v/>
      </c>
      <c r="DM2200" s="4" t="e">
        <f t="shared" si="123"/>
        <v>#N/A</v>
      </c>
      <c r="DN2200" t="e">
        <f t="shared" si="124"/>
        <v>#N/A</v>
      </c>
      <c r="DO2200" t="e">
        <f t="shared" si="125"/>
        <v>#N/A</v>
      </c>
    </row>
    <row r="2201" spans="7:119" x14ac:dyDescent="0.25">
      <c r="G2201"/>
      <c r="DI2201" s="4">
        <f>INDEX(Sheet2!A:A,QUOTIENT(ROW()-1,19)+2)</f>
        <v>41444</v>
      </c>
      <c r="DJ2201" s="4">
        <f>INDEX(Sheet2!C:C,QUOTIENT(ROW()-1,19)+2)</f>
        <v>43100</v>
      </c>
      <c r="DK2201" s="4" t="e">
        <f>INDEX(Sheet2!$AA$2:$AS$228,QUOTIENT(ROW()-1,19)+1,MOD(ROW()-2,19)+1)</f>
        <v>#N/A</v>
      </c>
      <c r="DL2201" t="str">
        <f>IFERROR(INDEX(Sheet2!$AU$2:$BM$228,QUOTIENT(ROW()-1,19)+1,MOD(ROW()-2,19)+1),NA())</f>
        <v/>
      </c>
      <c r="DM2201" s="4" t="e">
        <f t="shared" si="123"/>
        <v>#N/A</v>
      </c>
      <c r="DN2201" t="e">
        <f t="shared" si="124"/>
        <v>#N/A</v>
      </c>
      <c r="DO2201" t="e">
        <f t="shared" si="125"/>
        <v>#N/A</v>
      </c>
    </row>
    <row r="2202" spans="7:119" x14ac:dyDescent="0.25">
      <c r="G2202"/>
      <c r="DI2202" s="4">
        <f>INDEX(Sheet2!A:A,QUOTIENT(ROW()-1,19)+2)</f>
        <v>41444</v>
      </c>
      <c r="DJ2202" s="4">
        <f>INDEX(Sheet2!C:C,QUOTIENT(ROW()-1,19)+2)</f>
        <v>43100</v>
      </c>
      <c r="DK2202" s="4" t="e">
        <f>INDEX(Sheet2!$AA$2:$AS$228,QUOTIENT(ROW()-1,19)+1,MOD(ROW()-2,19)+1)</f>
        <v>#N/A</v>
      </c>
      <c r="DL2202" t="str">
        <f>IFERROR(INDEX(Sheet2!$AU$2:$BM$228,QUOTIENT(ROW()-1,19)+1,MOD(ROW()-2,19)+1),NA())</f>
        <v/>
      </c>
      <c r="DM2202" s="4" t="e">
        <f t="shared" si="123"/>
        <v>#N/A</v>
      </c>
      <c r="DN2202" t="e">
        <f t="shared" si="124"/>
        <v>#N/A</v>
      </c>
      <c r="DO2202" t="e">
        <f t="shared" si="125"/>
        <v>#N/A</v>
      </c>
    </row>
    <row r="2203" spans="7:119" x14ac:dyDescent="0.25">
      <c r="G2203"/>
      <c r="DI2203" s="4">
        <f>INDEX(Sheet2!A:A,QUOTIENT(ROW()-1,19)+2)</f>
        <v>41444</v>
      </c>
      <c r="DJ2203" s="4">
        <f>INDEX(Sheet2!C:C,QUOTIENT(ROW()-1,19)+2)</f>
        <v>43100</v>
      </c>
      <c r="DK2203" s="4" t="e">
        <f>INDEX(Sheet2!$AA$2:$AS$228,QUOTIENT(ROW()-1,19)+1,MOD(ROW()-2,19)+1)</f>
        <v>#N/A</v>
      </c>
      <c r="DL2203" t="str">
        <f>IFERROR(INDEX(Sheet2!$AU$2:$BM$228,QUOTIENT(ROW()-1,19)+1,MOD(ROW()-2,19)+1),NA())</f>
        <v/>
      </c>
      <c r="DM2203" s="4" t="e">
        <f t="shared" si="123"/>
        <v>#N/A</v>
      </c>
      <c r="DN2203" t="e">
        <f t="shared" si="124"/>
        <v>#N/A</v>
      </c>
      <c r="DO2203" t="e">
        <f t="shared" si="125"/>
        <v>#N/A</v>
      </c>
    </row>
    <row r="2204" spans="7:119" x14ac:dyDescent="0.25">
      <c r="G2204"/>
      <c r="DI2204" s="4">
        <f>INDEX(Sheet2!A:A,QUOTIENT(ROW()-1,19)+2)</f>
        <v>41444</v>
      </c>
      <c r="DJ2204" s="4">
        <f>INDEX(Sheet2!C:C,QUOTIENT(ROW()-1,19)+2)</f>
        <v>43100</v>
      </c>
      <c r="DK2204" s="4" t="e">
        <f>INDEX(Sheet2!$AA$2:$AS$228,QUOTIENT(ROW()-1,19)+1,MOD(ROW()-2,19)+1)</f>
        <v>#N/A</v>
      </c>
      <c r="DL2204" t="str">
        <f>IFERROR(INDEX(Sheet2!$AU$2:$BM$228,QUOTIENT(ROW()-1,19)+1,MOD(ROW()-2,19)+1),NA())</f>
        <v/>
      </c>
      <c r="DM2204" s="4" t="e">
        <f t="shared" si="123"/>
        <v>#N/A</v>
      </c>
      <c r="DN2204" t="e">
        <f t="shared" si="124"/>
        <v>#N/A</v>
      </c>
      <c r="DO2204" t="e">
        <f t="shared" si="125"/>
        <v>#N/A</v>
      </c>
    </row>
    <row r="2205" spans="7:119" x14ac:dyDescent="0.25">
      <c r="G2205"/>
      <c r="DI2205" s="4">
        <f>INDEX(Sheet2!A:A,QUOTIENT(ROW()-1,19)+2)</f>
        <v>41444</v>
      </c>
      <c r="DJ2205" s="4">
        <f>INDEX(Sheet2!C:C,QUOTIENT(ROW()-1,19)+2)</f>
        <v>43100</v>
      </c>
      <c r="DK2205" s="4" t="e">
        <f>INDEX(Sheet2!$AA$2:$AS$228,QUOTIENT(ROW()-1,19)+1,MOD(ROW()-2,19)+1)</f>
        <v>#N/A</v>
      </c>
      <c r="DL2205" t="str">
        <f>IFERROR(INDEX(Sheet2!$AU$2:$BM$228,QUOTIENT(ROW()-1,19)+1,MOD(ROW()-2,19)+1),NA())</f>
        <v/>
      </c>
      <c r="DM2205" s="4" t="e">
        <f t="shared" si="123"/>
        <v>#N/A</v>
      </c>
      <c r="DN2205" t="e">
        <f t="shared" si="124"/>
        <v>#N/A</v>
      </c>
      <c r="DO2205" t="e">
        <f t="shared" si="125"/>
        <v>#N/A</v>
      </c>
    </row>
    <row r="2206" spans="7:119" x14ac:dyDescent="0.25">
      <c r="G2206"/>
      <c r="DI2206" s="4">
        <f>INDEX(Sheet2!A:A,QUOTIENT(ROW()-1,19)+2)</f>
        <v>41444</v>
      </c>
      <c r="DJ2206" s="4">
        <f>INDEX(Sheet2!C:C,QUOTIENT(ROW()-1,19)+2)</f>
        <v>43100</v>
      </c>
      <c r="DK2206" s="4">
        <f>INDEX(Sheet2!$AA$2:$AS$228,QUOTIENT(ROW()-1,19)+1,MOD(ROW()-2,19)+1)</f>
        <v>43079.924999999996</v>
      </c>
      <c r="DL2206">
        <f>IFERROR(INDEX(Sheet2!$AU$2:$BM$228,QUOTIENT(ROW()-1,19)+1,MOD(ROW()-2,19)+1),NA())</f>
        <v>4.5</v>
      </c>
      <c r="DM2206" s="4" t="e">
        <f t="shared" si="123"/>
        <v>#N/A</v>
      </c>
      <c r="DN2206" t="e">
        <f t="shared" si="124"/>
        <v>#N/A</v>
      </c>
      <c r="DO2206" t="e">
        <f t="shared" si="125"/>
        <v>#N/A</v>
      </c>
    </row>
    <row r="2207" spans="7:119" x14ac:dyDescent="0.25">
      <c r="G2207"/>
      <c r="DI2207" s="4">
        <f>INDEX(Sheet2!A:A,QUOTIENT(ROW()-1,19)+2)</f>
        <v>41444</v>
      </c>
      <c r="DJ2207" s="4">
        <f>INDEX(Sheet2!C:C,QUOTIENT(ROW()-1,19)+2)</f>
        <v>43100</v>
      </c>
      <c r="DK2207" s="4">
        <f>INDEX(Sheet2!$AA$2:$AS$228,QUOTIENT(ROW()-1,19)+1,MOD(ROW()-2,19)+1)</f>
        <v>43100</v>
      </c>
      <c r="DL2207">
        <f>IFERROR(INDEX(Sheet2!$AU$2:$BM$228,QUOTIENT(ROW()-1,19)+1,MOD(ROW()-2,19)+1),NA())</f>
        <v>4.5</v>
      </c>
      <c r="DM2207" s="4" t="e">
        <f t="shared" si="123"/>
        <v>#N/A</v>
      </c>
      <c r="DN2207" t="e">
        <f t="shared" si="124"/>
        <v>#N/A</v>
      </c>
      <c r="DO2207" t="e">
        <f t="shared" si="125"/>
        <v>#N/A</v>
      </c>
    </row>
    <row r="2208" spans="7:119" x14ac:dyDescent="0.25">
      <c r="G2208"/>
      <c r="DI2208" s="4">
        <f>INDEX(Sheet2!A:A,QUOTIENT(ROW()-1,19)+2)</f>
        <v>41444</v>
      </c>
      <c r="DJ2208" s="4">
        <f>INDEX(Sheet2!C:C,QUOTIENT(ROW()-1,19)+2)</f>
        <v>43100</v>
      </c>
      <c r="DK2208" s="4">
        <f>INDEX(Sheet2!$AA$2:$AS$228,QUOTIENT(ROW()-1,19)+1,MOD(ROW()-2,19)+1)</f>
        <v>43120.074999999997</v>
      </c>
      <c r="DL2208">
        <f>IFERROR(INDEX(Sheet2!$AU$2:$BM$228,QUOTIENT(ROW()-1,19)+1,MOD(ROW()-2,19)+1),NA())</f>
        <v>4.5</v>
      </c>
      <c r="DM2208" s="4" t="e">
        <f t="shared" si="123"/>
        <v>#N/A</v>
      </c>
      <c r="DN2208" t="e">
        <f t="shared" si="124"/>
        <v>#N/A</v>
      </c>
      <c r="DO2208" t="e">
        <f t="shared" si="125"/>
        <v>#N/A</v>
      </c>
    </row>
    <row r="2209" spans="7:119" x14ac:dyDescent="0.25">
      <c r="G2209"/>
      <c r="DI2209" s="4">
        <f>INDEX(Sheet2!A:A,QUOTIENT(ROW()-1,19)+2)</f>
        <v>41444</v>
      </c>
      <c r="DJ2209" s="4">
        <f>INDEX(Sheet2!C:C,QUOTIENT(ROW()-1,19)+2)</f>
        <v>43100</v>
      </c>
      <c r="DK2209" s="4" t="e">
        <f>INDEX(Sheet2!$AA$2:$AS$228,QUOTIENT(ROW()-1,19)+1,MOD(ROW()-2,19)+1)</f>
        <v>#N/A</v>
      </c>
      <c r="DL2209" t="str">
        <f>IFERROR(INDEX(Sheet2!$AU$2:$BM$228,QUOTIENT(ROW()-1,19)+1,MOD(ROW()-2,19)+1),NA())</f>
        <v/>
      </c>
      <c r="DM2209" s="4" t="e">
        <f t="shared" si="123"/>
        <v>#N/A</v>
      </c>
      <c r="DN2209" t="e">
        <f t="shared" si="124"/>
        <v>#N/A</v>
      </c>
      <c r="DO2209" t="e">
        <f t="shared" si="125"/>
        <v>#N/A</v>
      </c>
    </row>
    <row r="2210" spans="7:119" x14ac:dyDescent="0.25">
      <c r="G2210"/>
      <c r="DI2210" s="4">
        <f>INDEX(Sheet2!A:A,QUOTIENT(ROW()-1,19)+2)</f>
        <v>41444</v>
      </c>
      <c r="DJ2210" s="4">
        <f>INDEX(Sheet2!C:C,QUOTIENT(ROW()-1,19)+2)</f>
        <v>43100</v>
      </c>
      <c r="DK2210" s="4" t="e">
        <f>INDEX(Sheet2!$AA$2:$AS$228,QUOTIENT(ROW()-1,19)+1,MOD(ROW()-2,19)+1)</f>
        <v>#N/A</v>
      </c>
      <c r="DL2210" t="str">
        <f>IFERROR(INDEX(Sheet2!$AU$2:$BM$228,QUOTIENT(ROW()-1,19)+1,MOD(ROW()-2,19)+1),NA())</f>
        <v/>
      </c>
      <c r="DM2210" s="4" t="e">
        <f t="shared" si="123"/>
        <v>#N/A</v>
      </c>
      <c r="DN2210" t="e">
        <f t="shared" si="124"/>
        <v>#N/A</v>
      </c>
      <c r="DO2210" t="e">
        <f t="shared" si="125"/>
        <v>#N/A</v>
      </c>
    </row>
    <row r="2211" spans="7:119" x14ac:dyDescent="0.25">
      <c r="G2211"/>
      <c r="DI2211" s="4">
        <f>INDEX(Sheet2!A:A,QUOTIENT(ROW()-1,19)+2)</f>
        <v>41444</v>
      </c>
      <c r="DJ2211" s="4">
        <f>INDEX(Sheet2!C:C,QUOTIENT(ROW()-1,19)+2)</f>
        <v>43100</v>
      </c>
      <c r="DK2211" s="4" t="e">
        <f>INDEX(Sheet2!$AA$2:$AS$228,QUOTIENT(ROW()-1,19)+1,MOD(ROW()-2,19)+1)</f>
        <v>#N/A</v>
      </c>
      <c r="DL2211" t="str">
        <f>IFERROR(INDEX(Sheet2!$AU$2:$BM$228,QUOTIENT(ROW()-1,19)+1,MOD(ROW()-2,19)+1),NA())</f>
        <v/>
      </c>
      <c r="DM2211" s="4" t="e">
        <f t="shared" si="123"/>
        <v>#N/A</v>
      </c>
      <c r="DN2211" t="e">
        <f t="shared" si="124"/>
        <v>#N/A</v>
      </c>
      <c r="DO2211" t="e">
        <f t="shared" si="125"/>
        <v>#N/A</v>
      </c>
    </row>
    <row r="2212" spans="7:119" x14ac:dyDescent="0.25">
      <c r="G2212"/>
      <c r="DI2212" s="4">
        <f>INDEX(Sheet2!A:A,QUOTIENT(ROW()-1,19)+2)</f>
        <v>41444</v>
      </c>
      <c r="DJ2212" s="4">
        <f>INDEX(Sheet2!C:C,QUOTIENT(ROW()-1,19)+2)</f>
        <v>43100</v>
      </c>
      <c r="DK2212" s="4" t="e">
        <f>INDEX(Sheet2!$AA$2:$AS$228,QUOTIENT(ROW()-1,19)+1,MOD(ROW()-2,19)+1)</f>
        <v>#N/A</v>
      </c>
      <c r="DL2212" t="str">
        <f>IFERROR(INDEX(Sheet2!$AU$2:$BM$228,QUOTIENT(ROW()-1,19)+1,MOD(ROW()-2,19)+1),NA())</f>
        <v/>
      </c>
      <c r="DM2212" s="4" t="e">
        <f t="shared" si="123"/>
        <v>#N/A</v>
      </c>
      <c r="DN2212" t="e">
        <f t="shared" si="124"/>
        <v>#N/A</v>
      </c>
      <c r="DO2212" t="e">
        <f t="shared" si="125"/>
        <v>#N/A</v>
      </c>
    </row>
    <row r="2213" spans="7:119" x14ac:dyDescent="0.25">
      <c r="G2213"/>
      <c r="DI2213" s="4">
        <f>INDEX(Sheet2!A:A,QUOTIENT(ROW()-1,19)+2)</f>
        <v>41444</v>
      </c>
      <c r="DJ2213" s="4">
        <f>INDEX(Sheet2!C:C,QUOTIENT(ROW()-1,19)+2)</f>
        <v>43100</v>
      </c>
      <c r="DK2213" s="4" t="e">
        <f>INDEX(Sheet2!$AA$2:$AS$228,QUOTIENT(ROW()-1,19)+1,MOD(ROW()-2,19)+1)</f>
        <v>#N/A</v>
      </c>
      <c r="DL2213" t="str">
        <f>IFERROR(INDEX(Sheet2!$AU$2:$BM$228,QUOTIENT(ROW()-1,19)+1,MOD(ROW()-2,19)+1),NA())</f>
        <v/>
      </c>
      <c r="DM2213" s="4" t="e">
        <f t="shared" si="123"/>
        <v>#N/A</v>
      </c>
      <c r="DN2213" t="e">
        <f t="shared" si="124"/>
        <v>#N/A</v>
      </c>
      <c r="DO2213" t="e">
        <f t="shared" si="125"/>
        <v>#N/A</v>
      </c>
    </row>
    <row r="2214" spans="7:119" x14ac:dyDescent="0.25">
      <c r="G2214"/>
      <c r="DI2214" s="4">
        <f>INDEX(Sheet2!A:A,QUOTIENT(ROW()-1,19)+2)</f>
        <v>41444</v>
      </c>
      <c r="DJ2214" s="4">
        <f>INDEX(Sheet2!C:C,QUOTIENT(ROW()-1,19)+2)</f>
        <v>43100</v>
      </c>
      <c r="DK2214" s="4" t="e">
        <f>INDEX(Sheet2!$AA$2:$AS$228,QUOTIENT(ROW()-1,19)+1,MOD(ROW()-2,19)+1)</f>
        <v>#N/A</v>
      </c>
      <c r="DL2214" t="str">
        <f>IFERROR(INDEX(Sheet2!$AU$2:$BM$228,QUOTIENT(ROW()-1,19)+1,MOD(ROW()-2,19)+1),NA())</f>
        <v/>
      </c>
      <c r="DM2214" s="4" t="e">
        <f t="shared" si="123"/>
        <v>#N/A</v>
      </c>
      <c r="DN2214" t="e">
        <f t="shared" si="124"/>
        <v>#N/A</v>
      </c>
      <c r="DO2214" t="e">
        <f t="shared" si="125"/>
        <v>#N/A</v>
      </c>
    </row>
    <row r="2215" spans="7:119" x14ac:dyDescent="0.25">
      <c r="G2215"/>
      <c r="DI2215" s="4">
        <f>INDEX(Sheet2!A:A,QUOTIENT(ROW()-1,19)+2)</f>
        <v>41444</v>
      </c>
      <c r="DJ2215" s="4">
        <f>INDEX(Sheet2!C:C,QUOTIENT(ROW()-1,19)+2)</f>
        <v>43100</v>
      </c>
      <c r="DK2215" s="4" t="e">
        <f>INDEX(Sheet2!$AA$2:$AS$228,QUOTIENT(ROW()-1,19)+1,MOD(ROW()-2,19)+1)</f>
        <v>#N/A</v>
      </c>
      <c r="DL2215" t="str">
        <f>IFERROR(INDEX(Sheet2!$AU$2:$BM$228,QUOTIENT(ROW()-1,19)+1,MOD(ROW()-2,19)+1),NA())</f>
        <v/>
      </c>
      <c r="DM2215" s="4" t="e">
        <f t="shared" si="123"/>
        <v>#N/A</v>
      </c>
      <c r="DN2215" t="e">
        <f t="shared" si="124"/>
        <v>#N/A</v>
      </c>
      <c r="DO2215" t="e">
        <f t="shared" si="125"/>
        <v>#N/A</v>
      </c>
    </row>
    <row r="2216" spans="7:119" x14ac:dyDescent="0.25">
      <c r="G2216"/>
      <c r="DI2216" s="4">
        <f>INDEX(Sheet2!A:A,QUOTIENT(ROW()-1,19)+2)</f>
        <v>41444</v>
      </c>
      <c r="DJ2216" s="4">
        <f>INDEX(Sheet2!C:C,QUOTIENT(ROW()-1,19)+2)</f>
        <v>43100</v>
      </c>
      <c r="DK2216" s="4" t="e">
        <f>INDEX(Sheet2!$AA$2:$AS$228,QUOTIENT(ROW()-1,19)+1,MOD(ROW()-2,19)+1)</f>
        <v>#N/A</v>
      </c>
      <c r="DL2216" t="str">
        <f>IFERROR(INDEX(Sheet2!$AU$2:$BM$228,QUOTIENT(ROW()-1,19)+1,MOD(ROW()-2,19)+1),NA())</f>
        <v/>
      </c>
      <c r="DM2216" s="4" t="e">
        <f t="shared" si="123"/>
        <v>#N/A</v>
      </c>
      <c r="DN2216" t="e">
        <f t="shared" si="124"/>
        <v>#N/A</v>
      </c>
      <c r="DO2216" t="e">
        <f t="shared" si="125"/>
        <v>#N/A</v>
      </c>
    </row>
    <row r="2217" spans="7:119" x14ac:dyDescent="0.25">
      <c r="G2217"/>
      <c r="DI2217" s="4">
        <f>INDEX(Sheet2!A:A,QUOTIENT(ROW()-1,19)+2)</f>
        <v>41444</v>
      </c>
      <c r="DJ2217" s="4">
        <f>INDEX(Sheet2!C:C,QUOTIENT(ROW()-1,19)+2)</f>
        <v>43100</v>
      </c>
      <c r="DK2217" s="4" t="e">
        <f>INDEX(Sheet2!$AA$2:$AS$228,QUOTIENT(ROW()-1,19)+1,MOD(ROW()-2,19)+1)</f>
        <v>#N/A</v>
      </c>
      <c r="DL2217" t="str">
        <f>IFERROR(INDEX(Sheet2!$AU$2:$BM$228,QUOTIENT(ROW()-1,19)+1,MOD(ROW()-2,19)+1),NA())</f>
        <v/>
      </c>
      <c r="DM2217" s="4" t="e">
        <f t="shared" si="123"/>
        <v>#N/A</v>
      </c>
      <c r="DN2217" t="e">
        <f t="shared" si="124"/>
        <v>#N/A</v>
      </c>
      <c r="DO2217" t="e">
        <f t="shared" si="125"/>
        <v>#N/A</v>
      </c>
    </row>
    <row r="2218" spans="7:119" x14ac:dyDescent="0.25">
      <c r="G2218"/>
      <c r="DI2218" s="4">
        <f>INDEX(Sheet2!A:A,QUOTIENT(ROW()-1,19)+2)</f>
        <v>41444</v>
      </c>
      <c r="DJ2218" s="4">
        <f>INDEX(Sheet2!C:C,QUOTIENT(ROW()-1,19)+2)</f>
        <v>43100</v>
      </c>
      <c r="DK2218" s="4" t="e">
        <f>INDEX(Sheet2!$AA$2:$AS$228,QUOTIENT(ROW()-1,19)+1,MOD(ROW()-2,19)+1)</f>
        <v>#N/A</v>
      </c>
      <c r="DL2218" t="str">
        <f>IFERROR(INDEX(Sheet2!$AU$2:$BM$228,QUOTIENT(ROW()-1,19)+1,MOD(ROW()-2,19)+1),NA())</f>
        <v/>
      </c>
      <c r="DM2218" s="4" t="e">
        <f t="shared" si="123"/>
        <v>#N/A</v>
      </c>
      <c r="DN2218" t="e">
        <f t="shared" si="124"/>
        <v>#N/A</v>
      </c>
      <c r="DO2218" t="e">
        <f t="shared" si="125"/>
        <v>#N/A</v>
      </c>
    </row>
    <row r="2219" spans="7:119" x14ac:dyDescent="0.25">
      <c r="G2219"/>
      <c r="DI2219" s="4">
        <f>INDEX(Sheet2!A:A,QUOTIENT(ROW()-1,19)+2)</f>
        <v>41444</v>
      </c>
      <c r="DJ2219" s="4">
        <f>INDEX(Sheet2!C:C,QUOTIENT(ROW()-1,19)+2)</f>
        <v>43100</v>
      </c>
      <c r="DK2219" s="4" t="e">
        <f>INDEX(Sheet2!$AA$2:$AS$228,QUOTIENT(ROW()-1,19)+1,MOD(ROW()-2,19)+1)</f>
        <v>#N/A</v>
      </c>
      <c r="DL2219" t="str">
        <f>IFERROR(INDEX(Sheet2!$AU$2:$BM$228,QUOTIENT(ROW()-1,19)+1,MOD(ROW()-2,19)+1),NA())</f>
        <v/>
      </c>
      <c r="DM2219" s="4" t="e">
        <f t="shared" si="123"/>
        <v>#N/A</v>
      </c>
      <c r="DN2219" t="e">
        <f t="shared" si="124"/>
        <v>#N/A</v>
      </c>
      <c r="DO2219" t="e">
        <f t="shared" si="125"/>
        <v>#N/A</v>
      </c>
    </row>
    <row r="2220" spans="7:119" x14ac:dyDescent="0.25">
      <c r="G2220"/>
      <c r="DI2220" s="4">
        <f>INDEX(Sheet2!A:A,QUOTIENT(ROW()-1,19)+2)</f>
        <v>41444</v>
      </c>
      <c r="DJ2220" s="4">
        <f>INDEX(Sheet2!C:C,QUOTIENT(ROW()-1,19)+2)</f>
        <v>43100</v>
      </c>
      <c r="DK2220" s="4" t="e">
        <f>INDEX(Sheet2!$AA$2:$AS$228,QUOTIENT(ROW()-1,19)+1,MOD(ROW()-2,19)+1)</f>
        <v>#N/A</v>
      </c>
      <c r="DL2220" t="str">
        <f>IFERROR(INDEX(Sheet2!$AU$2:$BM$228,QUOTIENT(ROW()-1,19)+1,MOD(ROW()-2,19)+1),NA())</f>
        <v/>
      </c>
      <c r="DM2220" s="4" t="e">
        <f t="shared" si="123"/>
        <v>#N/A</v>
      </c>
      <c r="DN2220" t="e">
        <f t="shared" si="124"/>
        <v>#N/A</v>
      </c>
      <c r="DO2220" t="e">
        <f t="shared" si="125"/>
        <v>#N/A</v>
      </c>
    </row>
    <row r="2221" spans="7:119" x14ac:dyDescent="0.25">
      <c r="G2221"/>
      <c r="DI2221" s="4">
        <f>INDEX(Sheet2!A:A,QUOTIENT(ROW()-1,19)+2)</f>
        <v>41444</v>
      </c>
      <c r="DJ2221" s="4">
        <f>INDEX(Sheet2!C:C,QUOTIENT(ROW()-1,19)+2)</f>
        <v>43100</v>
      </c>
      <c r="DK2221" s="4" t="e">
        <f>INDEX(Sheet2!$AA$2:$AS$228,QUOTIENT(ROW()-1,19)+1,MOD(ROW()-2,19)+1)</f>
        <v>#N/A</v>
      </c>
      <c r="DL2221" t="str">
        <f>IFERROR(INDEX(Sheet2!$AU$2:$BM$228,QUOTIENT(ROW()-1,19)+1,MOD(ROW()-2,19)+1),NA())</f>
        <v/>
      </c>
      <c r="DM2221" s="4" t="e">
        <f t="shared" si="123"/>
        <v>#N/A</v>
      </c>
      <c r="DN2221" t="e">
        <f t="shared" si="124"/>
        <v>#N/A</v>
      </c>
      <c r="DO2221" t="e">
        <f t="shared" si="125"/>
        <v>#N/A</v>
      </c>
    </row>
    <row r="2222" spans="7:119" x14ac:dyDescent="0.25">
      <c r="G2222"/>
      <c r="DI2222" s="4">
        <f>INDEX(Sheet2!A:A,QUOTIENT(ROW()-1,19)+2)</f>
        <v>41444</v>
      </c>
      <c r="DJ2222" s="4">
        <f>INDEX(Sheet2!C:C,QUOTIENT(ROW()-1,19)+2)</f>
        <v>43100</v>
      </c>
      <c r="DK2222" s="4" t="e">
        <f>INDEX(Sheet2!$AA$2:$AS$228,QUOTIENT(ROW()-1,19)+1,MOD(ROW()-2,19)+1)</f>
        <v>#N/A</v>
      </c>
      <c r="DL2222" t="str">
        <f>IFERROR(INDEX(Sheet2!$AU$2:$BM$228,QUOTIENT(ROW()-1,19)+1,MOD(ROW()-2,19)+1),NA())</f>
        <v/>
      </c>
      <c r="DM2222" s="4" t="e">
        <f t="shared" si="123"/>
        <v>#N/A</v>
      </c>
      <c r="DN2222" t="e">
        <f t="shared" si="124"/>
        <v>#N/A</v>
      </c>
      <c r="DO2222" t="e">
        <f t="shared" si="125"/>
        <v>#N/A</v>
      </c>
    </row>
    <row r="2223" spans="7:119" x14ac:dyDescent="0.25">
      <c r="G2223"/>
      <c r="DI2223" s="4">
        <f>INDEX(Sheet2!A:A,QUOTIENT(ROW()-1,19)+2)</f>
        <v>41444</v>
      </c>
      <c r="DJ2223" s="4">
        <f>INDEX(Sheet2!C:C,QUOTIENT(ROW()-1,19)+2)</f>
        <v>43100</v>
      </c>
      <c r="DK2223" s="4" t="e">
        <f>INDEX(Sheet2!$AA$2:$AS$228,QUOTIENT(ROW()-1,19)+1,MOD(ROW()-2,19)+1)</f>
        <v>#N/A</v>
      </c>
      <c r="DL2223" t="str">
        <f>IFERROR(INDEX(Sheet2!$AU$2:$BM$228,QUOTIENT(ROW()-1,19)+1,MOD(ROW()-2,19)+1),NA())</f>
        <v/>
      </c>
      <c r="DM2223" s="4" t="e">
        <f t="shared" si="123"/>
        <v>#N/A</v>
      </c>
      <c r="DN2223" t="e">
        <f t="shared" si="124"/>
        <v>#N/A</v>
      </c>
      <c r="DO2223" t="e">
        <f t="shared" si="125"/>
        <v>#N/A</v>
      </c>
    </row>
    <row r="2224" spans="7:119" x14ac:dyDescent="0.25">
      <c r="G2224"/>
      <c r="DI2224" s="4">
        <f>INDEX(Sheet2!A:A,QUOTIENT(ROW()-1,19)+2)</f>
        <v>41535</v>
      </c>
      <c r="DJ2224" s="4">
        <f>INDEX(Sheet2!C:C,QUOTIENT(ROW()-1,19)+2)</f>
        <v>41639</v>
      </c>
      <c r="DK2224" s="4" t="e">
        <f>INDEX(Sheet2!$AA$2:$AS$228,QUOTIENT(ROW()-1,19)+1,MOD(ROW()-2,19)+1)</f>
        <v>#N/A</v>
      </c>
      <c r="DL2224" t="str">
        <f>IFERROR(INDEX(Sheet2!$AU$2:$BM$228,QUOTIENT(ROW()-1,19)+1,MOD(ROW()-2,19)+1),NA())</f>
        <v/>
      </c>
      <c r="DM2224" s="4" t="e">
        <f t="shared" si="123"/>
        <v>#N/A</v>
      </c>
      <c r="DN2224" t="e">
        <f t="shared" si="124"/>
        <v>#N/A</v>
      </c>
      <c r="DO2224" t="e">
        <f t="shared" si="125"/>
        <v>#N/A</v>
      </c>
    </row>
    <row r="2225" spans="7:119" x14ac:dyDescent="0.25">
      <c r="G2225"/>
      <c r="DI2225" s="4">
        <f>INDEX(Sheet2!A:A,QUOTIENT(ROW()-1,19)+2)</f>
        <v>41535</v>
      </c>
      <c r="DJ2225" s="4">
        <f>INDEX(Sheet2!C:C,QUOTIENT(ROW()-1,19)+2)</f>
        <v>41639</v>
      </c>
      <c r="DK2225" s="4">
        <f>INDEX(Sheet2!$AA$2:$AS$228,QUOTIENT(ROW()-1,19)+1,MOD(ROW()-2,19)+1)</f>
        <v>41478.400000000001</v>
      </c>
      <c r="DL2225">
        <f>IFERROR(INDEX(Sheet2!$AU$2:$BM$228,QUOTIENT(ROW()-1,19)+1,MOD(ROW()-2,19)+1),NA())</f>
        <v>0.25</v>
      </c>
      <c r="DM2225" s="4" t="e">
        <f t="shared" si="123"/>
        <v>#N/A</v>
      </c>
      <c r="DN2225" t="e">
        <f t="shared" si="124"/>
        <v>#N/A</v>
      </c>
      <c r="DO2225" t="e">
        <f t="shared" si="125"/>
        <v>#N/A</v>
      </c>
    </row>
    <row r="2226" spans="7:119" x14ac:dyDescent="0.25">
      <c r="G2226"/>
      <c r="DI2226" s="4">
        <f>INDEX(Sheet2!A:A,QUOTIENT(ROW()-1,19)+2)</f>
        <v>41535</v>
      </c>
      <c r="DJ2226" s="4">
        <f>INDEX(Sheet2!C:C,QUOTIENT(ROW()-1,19)+2)</f>
        <v>41639</v>
      </c>
      <c r="DK2226" s="4">
        <f>INDEX(Sheet2!$AA$2:$AS$228,QUOTIENT(ROW()-1,19)+1,MOD(ROW()-2,19)+1)</f>
        <v>41498.475000000006</v>
      </c>
      <c r="DL2226">
        <f>IFERROR(INDEX(Sheet2!$AU$2:$BM$228,QUOTIENT(ROW()-1,19)+1,MOD(ROW()-2,19)+1),NA())</f>
        <v>0.25</v>
      </c>
      <c r="DM2226" s="4" t="e">
        <f t="shared" si="123"/>
        <v>#N/A</v>
      </c>
      <c r="DN2226" t="e">
        <f t="shared" si="124"/>
        <v>#N/A</v>
      </c>
      <c r="DO2226" t="e">
        <f t="shared" si="125"/>
        <v>#N/A</v>
      </c>
    </row>
    <row r="2227" spans="7:119" x14ac:dyDescent="0.25">
      <c r="G2227"/>
      <c r="DI2227" s="4">
        <f>INDEX(Sheet2!A:A,QUOTIENT(ROW()-1,19)+2)</f>
        <v>41535</v>
      </c>
      <c r="DJ2227" s="4">
        <f>INDEX(Sheet2!C:C,QUOTIENT(ROW()-1,19)+2)</f>
        <v>41639</v>
      </c>
      <c r="DK2227" s="4">
        <f>INDEX(Sheet2!$AA$2:$AS$228,QUOTIENT(ROW()-1,19)+1,MOD(ROW()-2,19)+1)</f>
        <v>41518.550000000003</v>
      </c>
      <c r="DL2227">
        <f>IFERROR(INDEX(Sheet2!$AU$2:$BM$228,QUOTIENT(ROW()-1,19)+1,MOD(ROW()-2,19)+1),NA())</f>
        <v>0.25</v>
      </c>
      <c r="DM2227" s="4" t="e">
        <f t="shared" si="123"/>
        <v>#N/A</v>
      </c>
      <c r="DN2227" t="e">
        <f t="shared" si="124"/>
        <v>#N/A</v>
      </c>
      <c r="DO2227" t="e">
        <f t="shared" si="125"/>
        <v>#N/A</v>
      </c>
    </row>
    <row r="2228" spans="7:119" x14ac:dyDescent="0.25">
      <c r="G2228"/>
      <c r="DI2228" s="4">
        <f>INDEX(Sheet2!A:A,QUOTIENT(ROW()-1,19)+2)</f>
        <v>41535</v>
      </c>
      <c r="DJ2228" s="4">
        <f>INDEX(Sheet2!C:C,QUOTIENT(ROW()-1,19)+2)</f>
        <v>41639</v>
      </c>
      <c r="DK2228" s="4">
        <f>INDEX(Sheet2!$AA$2:$AS$228,QUOTIENT(ROW()-1,19)+1,MOD(ROW()-2,19)+1)</f>
        <v>41538.625000000007</v>
      </c>
      <c r="DL2228">
        <f>IFERROR(INDEX(Sheet2!$AU$2:$BM$228,QUOTIENT(ROW()-1,19)+1,MOD(ROW()-2,19)+1),NA())</f>
        <v>0.25</v>
      </c>
      <c r="DM2228" s="4" t="e">
        <f t="shared" si="123"/>
        <v>#N/A</v>
      </c>
      <c r="DN2228" t="e">
        <f t="shared" si="124"/>
        <v>#N/A</v>
      </c>
      <c r="DO2228" t="e">
        <f t="shared" si="125"/>
        <v>#N/A</v>
      </c>
    </row>
    <row r="2229" spans="7:119" x14ac:dyDescent="0.25">
      <c r="G2229"/>
      <c r="DI2229" s="4">
        <f>INDEX(Sheet2!A:A,QUOTIENT(ROW()-1,19)+2)</f>
        <v>41535</v>
      </c>
      <c r="DJ2229" s="4">
        <f>INDEX(Sheet2!C:C,QUOTIENT(ROW()-1,19)+2)</f>
        <v>41639</v>
      </c>
      <c r="DK2229" s="4">
        <f>INDEX(Sheet2!$AA$2:$AS$228,QUOTIENT(ROW()-1,19)+1,MOD(ROW()-2,19)+1)</f>
        <v>41558.700000000004</v>
      </c>
      <c r="DL2229">
        <f>IFERROR(INDEX(Sheet2!$AU$2:$BM$228,QUOTIENT(ROW()-1,19)+1,MOD(ROW()-2,19)+1),NA())</f>
        <v>0.25</v>
      </c>
      <c r="DM2229" s="4" t="e">
        <f t="shared" si="123"/>
        <v>#N/A</v>
      </c>
      <c r="DN2229" t="e">
        <f t="shared" si="124"/>
        <v>#N/A</v>
      </c>
      <c r="DO2229" t="e">
        <f t="shared" si="125"/>
        <v>#N/A</v>
      </c>
    </row>
    <row r="2230" spans="7:119" x14ac:dyDescent="0.25">
      <c r="G2230"/>
      <c r="DI2230" s="4">
        <f>INDEX(Sheet2!A:A,QUOTIENT(ROW()-1,19)+2)</f>
        <v>41535</v>
      </c>
      <c r="DJ2230" s="4">
        <f>INDEX(Sheet2!C:C,QUOTIENT(ROW()-1,19)+2)</f>
        <v>41639</v>
      </c>
      <c r="DK2230" s="4">
        <f>INDEX(Sheet2!$AA$2:$AS$228,QUOTIENT(ROW()-1,19)+1,MOD(ROW()-2,19)+1)</f>
        <v>41578.775000000001</v>
      </c>
      <c r="DL2230">
        <f>IFERROR(INDEX(Sheet2!$AU$2:$BM$228,QUOTIENT(ROW()-1,19)+1,MOD(ROW()-2,19)+1),NA())</f>
        <v>0.25</v>
      </c>
      <c r="DM2230" s="4" t="e">
        <f t="shared" si="123"/>
        <v>#N/A</v>
      </c>
      <c r="DN2230" t="e">
        <f t="shared" si="124"/>
        <v>#N/A</v>
      </c>
      <c r="DO2230" t="e">
        <f t="shared" si="125"/>
        <v>#N/A</v>
      </c>
    </row>
    <row r="2231" spans="7:119" x14ac:dyDescent="0.25">
      <c r="G2231"/>
      <c r="DI2231" s="4">
        <f>INDEX(Sheet2!A:A,QUOTIENT(ROW()-1,19)+2)</f>
        <v>41535</v>
      </c>
      <c r="DJ2231" s="4">
        <f>INDEX(Sheet2!C:C,QUOTIENT(ROW()-1,19)+2)</f>
        <v>41639</v>
      </c>
      <c r="DK2231" s="4">
        <f>INDEX(Sheet2!$AA$2:$AS$228,QUOTIENT(ROW()-1,19)+1,MOD(ROW()-2,19)+1)</f>
        <v>41598.850000000006</v>
      </c>
      <c r="DL2231">
        <f>IFERROR(INDEX(Sheet2!$AU$2:$BM$228,QUOTIENT(ROW()-1,19)+1,MOD(ROW()-2,19)+1),NA())</f>
        <v>0.25</v>
      </c>
      <c r="DM2231" s="4" t="e">
        <f t="shared" si="123"/>
        <v>#N/A</v>
      </c>
      <c r="DN2231" t="e">
        <f t="shared" si="124"/>
        <v>#N/A</v>
      </c>
      <c r="DO2231" t="e">
        <f t="shared" si="125"/>
        <v>#N/A</v>
      </c>
    </row>
    <row r="2232" spans="7:119" x14ac:dyDescent="0.25">
      <c r="G2232"/>
      <c r="DI2232" s="4">
        <f>INDEX(Sheet2!A:A,QUOTIENT(ROW()-1,19)+2)</f>
        <v>41535</v>
      </c>
      <c r="DJ2232" s="4">
        <f>INDEX(Sheet2!C:C,QUOTIENT(ROW()-1,19)+2)</f>
        <v>41639</v>
      </c>
      <c r="DK2232" s="4">
        <f>INDEX(Sheet2!$AA$2:$AS$228,QUOTIENT(ROW()-1,19)+1,MOD(ROW()-2,19)+1)</f>
        <v>41618.925000000003</v>
      </c>
      <c r="DL2232">
        <f>IFERROR(INDEX(Sheet2!$AU$2:$BM$228,QUOTIENT(ROW()-1,19)+1,MOD(ROW()-2,19)+1),NA())</f>
        <v>0.25</v>
      </c>
      <c r="DM2232" s="4" t="e">
        <f t="shared" si="123"/>
        <v>#N/A</v>
      </c>
      <c r="DN2232" t="e">
        <f t="shared" si="124"/>
        <v>#N/A</v>
      </c>
      <c r="DO2232" t="e">
        <f t="shared" si="125"/>
        <v>#N/A</v>
      </c>
    </row>
    <row r="2233" spans="7:119" x14ac:dyDescent="0.25">
      <c r="G2233"/>
      <c r="DI2233" s="4">
        <f>INDEX(Sheet2!A:A,QUOTIENT(ROW()-1,19)+2)</f>
        <v>41535</v>
      </c>
      <c r="DJ2233" s="4">
        <f>INDEX(Sheet2!C:C,QUOTIENT(ROW()-1,19)+2)</f>
        <v>41639</v>
      </c>
      <c r="DK2233" s="4">
        <f>INDEX(Sheet2!$AA$2:$AS$228,QUOTIENT(ROW()-1,19)+1,MOD(ROW()-2,19)+1)</f>
        <v>41639.000000000007</v>
      </c>
      <c r="DL2233">
        <f>IFERROR(INDEX(Sheet2!$AU$2:$BM$228,QUOTIENT(ROW()-1,19)+1,MOD(ROW()-2,19)+1),NA())</f>
        <v>0.25</v>
      </c>
      <c r="DM2233" s="4" t="e">
        <f t="shared" si="123"/>
        <v>#N/A</v>
      </c>
      <c r="DN2233" t="e">
        <f t="shared" si="124"/>
        <v>#N/A</v>
      </c>
      <c r="DO2233" t="e">
        <f t="shared" si="125"/>
        <v>#N/A</v>
      </c>
    </row>
    <row r="2234" spans="7:119" x14ac:dyDescent="0.25">
      <c r="G2234"/>
      <c r="DI2234" s="4">
        <f>INDEX(Sheet2!A:A,QUOTIENT(ROW()-1,19)+2)</f>
        <v>41535</v>
      </c>
      <c r="DJ2234" s="4">
        <f>INDEX(Sheet2!C:C,QUOTIENT(ROW()-1,19)+2)</f>
        <v>41639</v>
      </c>
      <c r="DK2234" s="4">
        <f>INDEX(Sheet2!$AA$2:$AS$228,QUOTIENT(ROW()-1,19)+1,MOD(ROW()-2,19)+1)</f>
        <v>41659.075000000004</v>
      </c>
      <c r="DL2234">
        <f>IFERROR(INDEX(Sheet2!$AU$2:$BM$228,QUOTIENT(ROW()-1,19)+1,MOD(ROW()-2,19)+1),NA())</f>
        <v>0.25</v>
      </c>
      <c r="DM2234" s="4" t="e">
        <f t="shared" si="123"/>
        <v>#N/A</v>
      </c>
      <c r="DN2234" t="e">
        <f t="shared" si="124"/>
        <v>#N/A</v>
      </c>
      <c r="DO2234" t="e">
        <f t="shared" si="125"/>
        <v>#N/A</v>
      </c>
    </row>
    <row r="2235" spans="7:119" x14ac:dyDescent="0.25">
      <c r="G2235"/>
      <c r="DI2235" s="4">
        <f>INDEX(Sheet2!A:A,QUOTIENT(ROW()-1,19)+2)</f>
        <v>41535</v>
      </c>
      <c r="DJ2235" s="4">
        <f>INDEX(Sheet2!C:C,QUOTIENT(ROW()-1,19)+2)</f>
        <v>41639</v>
      </c>
      <c r="DK2235" s="4">
        <f>INDEX(Sheet2!$AA$2:$AS$228,QUOTIENT(ROW()-1,19)+1,MOD(ROW()-2,19)+1)</f>
        <v>41679.15</v>
      </c>
      <c r="DL2235">
        <f>IFERROR(INDEX(Sheet2!$AU$2:$BM$228,QUOTIENT(ROW()-1,19)+1,MOD(ROW()-2,19)+1),NA())</f>
        <v>0.25</v>
      </c>
      <c r="DM2235" s="4" t="e">
        <f t="shared" si="123"/>
        <v>#N/A</v>
      </c>
      <c r="DN2235" t="e">
        <f t="shared" si="124"/>
        <v>#N/A</v>
      </c>
      <c r="DO2235" t="e">
        <f t="shared" si="125"/>
        <v>#N/A</v>
      </c>
    </row>
    <row r="2236" spans="7:119" x14ac:dyDescent="0.25">
      <c r="G2236"/>
      <c r="DI2236" s="4">
        <f>INDEX(Sheet2!A:A,QUOTIENT(ROW()-1,19)+2)</f>
        <v>41535</v>
      </c>
      <c r="DJ2236" s="4">
        <f>INDEX(Sheet2!C:C,QUOTIENT(ROW()-1,19)+2)</f>
        <v>41639</v>
      </c>
      <c r="DK2236" s="4">
        <f>INDEX(Sheet2!$AA$2:$AS$228,QUOTIENT(ROW()-1,19)+1,MOD(ROW()-2,19)+1)</f>
        <v>41699.225000000006</v>
      </c>
      <c r="DL2236">
        <f>IFERROR(INDEX(Sheet2!$AU$2:$BM$228,QUOTIENT(ROW()-1,19)+1,MOD(ROW()-2,19)+1),NA())</f>
        <v>0.25</v>
      </c>
      <c r="DM2236" s="4" t="e">
        <f t="shared" si="123"/>
        <v>#N/A</v>
      </c>
      <c r="DN2236" t="e">
        <f t="shared" si="124"/>
        <v>#N/A</v>
      </c>
      <c r="DO2236" t="e">
        <f t="shared" si="125"/>
        <v>#N/A</v>
      </c>
    </row>
    <row r="2237" spans="7:119" x14ac:dyDescent="0.25">
      <c r="G2237"/>
      <c r="DI2237" s="4">
        <f>INDEX(Sheet2!A:A,QUOTIENT(ROW()-1,19)+2)</f>
        <v>41535</v>
      </c>
      <c r="DJ2237" s="4">
        <f>INDEX(Sheet2!C:C,QUOTIENT(ROW()-1,19)+2)</f>
        <v>41639</v>
      </c>
      <c r="DK2237" s="4">
        <f>INDEX(Sheet2!$AA$2:$AS$228,QUOTIENT(ROW()-1,19)+1,MOD(ROW()-2,19)+1)</f>
        <v>41719.300000000003</v>
      </c>
      <c r="DL2237">
        <f>IFERROR(INDEX(Sheet2!$AU$2:$BM$228,QUOTIENT(ROW()-1,19)+1,MOD(ROW()-2,19)+1),NA())</f>
        <v>0.25</v>
      </c>
      <c r="DM2237" s="4" t="e">
        <f t="shared" si="123"/>
        <v>#N/A</v>
      </c>
      <c r="DN2237" t="e">
        <f t="shared" si="124"/>
        <v>#N/A</v>
      </c>
      <c r="DO2237" t="e">
        <f t="shared" si="125"/>
        <v>#N/A</v>
      </c>
    </row>
    <row r="2238" spans="7:119" x14ac:dyDescent="0.25">
      <c r="G2238"/>
      <c r="DI2238" s="4">
        <f>INDEX(Sheet2!A:A,QUOTIENT(ROW()-1,19)+2)</f>
        <v>41535</v>
      </c>
      <c r="DJ2238" s="4">
        <f>INDEX(Sheet2!C:C,QUOTIENT(ROW()-1,19)+2)</f>
        <v>41639</v>
      </c>
      <c r="DK2238" s="4">
        <f>INDEX(Sheet2!$AA$2:$AS$228,QUOTIENT(ROW()-1,19)+1,MOD(ROW()-2,19)+1)</f>
        <v>41739.375000000007</v>
      </c>
      <c r="DL2238">
        <f>IFERROR(INDEX(Sheet2!$AU$2:$BM$228,QUOTIENT(ROW()-1,19)+1,MOD(ROW()-2,19)+1),NA())</f>
        <v>0.25</v>
      </c>
      <c r="DM2238" s="4" t="e">
        <f t="shared" si="123"/>
        <v>#N/A</v>
      </c>
      <c r="DN2238" t="e">
        <f t="shared" si="124"/>
        <v>#N/A</v>
      </c>
      <c r="DO2238" t="e">
        <f t="shared" si="125"/>
        <v>#N/A</v>
      </c>
    </row>
    <row r="2239" spans="7:119" x14ac:dyDescent="0.25">
      <c r="G2239"/>
      <c r="DI2239" s="4">
        <f>INDEX(Sheet2!A:A,QUOTIENT(ROW()-1,19)+2)</f>
        <v>41535</v>
      </c>
      <c r="DJ2239" s="4">
        <f>INDEX(Sheet2!C:C,QUOTIENT(ROW()-1,19)+2)</f>
        <v>41639</v>
      </c>
      <c r="DK2239" s="4">
        <f>INDEX(Sheet2!$AA$2:$AS$228,QUOTIENT(ROW()-1,19)+1,MOD(ROW()-2,19)+1)</f>
        <v>41759.450000000004</v>
      </c>
      <c r="DL2239">
        <f>IFERROR(INDEX(Sheet2!$AU$2:$BM$228,QUOTIENT(ROW()-1,19)+1,MOD(ROW()-2,19)+1),NA())</f>
        <v>0.25</v>
      </c>
      <c r="DM2239" s="4" t="e">
        <f t="shared" si="123"/>
        <v>#N/A</v>
      </c>
      <c r="DN2239" t="e">
        <f t="shared" si="124"/>
        <v>#N/A</v>
      </c>
      <c r="DO2239" t="e">
        <f t="shared" si="125"/>
        <v>#N/A</v>
      </c>
    </row>
    <row r="2240" spans="7:119" x14ac:dyDescent="0.25">
      <c r="G2240"/>
      <c r="DI2240" s="4">
        <f>INDEX(Sheet2!A:A,QUOTIENT(ROW()-1,19)+2)</f>
        <v>41535</v>
      </c>
      <c r="DJ2240" s="4">
        <f>INDEX(Sheet2!C:C,QUOTIENT(ROW()-1,19)+2)</f>
        <v>41639</v>
      </c>
      <c r="DK2240" s="4">
        <f>INDEX(Sheet2!$AA$2:$AS$228,QUOTIENT(ROW()-1,19)+1,MOD(ROW()-2,19)+1)</f>
        <v>41779.525000000001</v>
      </c>
      <c r="DL2240">
        <f>IFERROR(INDEX(Sheet2!$AU$2:$BM$228,QUOTIENT(ROW()-1,19)+1,MOD(ROW()-2,19)+1),NA())</f>
        <v>0.25</v>
      </c>
      <c r="DM2240" s="4" t="e">
        <f t="shared" si="123"/>
        <v>#N/A</v>
      </c>
      <c r="DN2240" t="e">
        <f t="shared" si="124"/>
        <v>#N/A</v>
      </c>
      <c r="DO2240" t="e">
        <f t="shared" si="125"/>
        <v>#N/A</v>
      </c>
    </row>
    <row r="2241" spans="7:119" x14ac:dyDescent="0.25">
      <c r="G2241"/>
      <c r="DI2241" s="4">
        <f>INDEX(Sheet2!A:A,QUOTIENT(ROW()-1,19)+2)</f>
        <v>41535</v>
      </c>
      <c r="DJ2241" s="4">
        <f>INDEX(Sheet2!C:C,QUOTIENT(ROW()-1,19)+2)</f>
        <v>41639</v>
      </c>
      <c r="DK2241" s="4">
        <f>INDEX(Sheet2!$AA$2:$AS$228,QUOTIENT(ROW()-1,19)+1,MOD(ROW()-2,19)+1)</f>
        <v>41799.600000000006</v>
      </c>
      <c r="DL2241">
        <f>IFERROR(INDEX(Sheet2!$AU$2:$BM$228,QUOTIENT(ROW()-1,19)+1,MOD(ROW()-2,19)+1),NA())</f>
        <v>0.25</v>
      </c>
      <c r="DM2241" s="4" t="e">
        <f t="shared" si="123"/>
        <v>#N/A</v>
      </c>
      <c r="DN2241" t="e">
        <f t="shared" si="124"/>
        <v>#N/A</v>
      </c>
      <c r="DO2241" t="e">
        <f t="shared" si="125"/>
        <v>#N/A</v>
      </c>
    </row>
    <row r="2242" spans="7:119" x14ac:dyDescent="0.25">
      <c r="G2242"/>
      <c r="DI2242" s="4">
        <f>INDEX(Sheet2!A:A,QUOTIENT(ROW()-1,19)+2)</f>
        <v>41535</v>
      </c>
      <c r="DJ2242" s="4">
        <f>INDEX(Sheet2!C:C,QUOTIENT(ROW()-1,19)+2)</f>
        <v>41639</v>
      </c>
      <c r="DK2242" s="4" t="e">
        <f>INDEX(Sheet2!$AA$2:$AS$228,QUOTIENT(ROW()-1,19)+1,MOD(ROW()-2,19)+1)</f>
        <v>#N/A</v>
      </c>
      <c r="DL2242" t="str">
        <f>IFERROR(INDEX(Sheet2!$AU$2:$BM$228,QUOTIENT(ROW()-1,19)+1,MOD(ROW()-2,19)+1),NA())</f>
        <v/>
      </c>
      <c r="DM2242" s="4" t="e">
        <f t="shared" ref="DM2242:DM2305" si="126">+IF($C$2=$DI2242,DK2242,NA())</f>
        <v>#N/A</v>
      </c>
      <c r="DN2242" t="e">
        <f t="shared" ref="DN2242:DN2305" si="127">+IF($C$2=$DI2242,DL2242,NA())</f>
        <v>#N/A</v>
      </c>
      <c r="DO2242" t="e">
        <f t="shared" si="125"/>
        <v>#N/A</v>
      </c>
    </row>
    <row r="2243" spans="7:119" x14ac:dyDescent="0.25">
      <c r="G2243"/>
      <c r="DI2243" s="4">
        <f>INDEX(Sheet2!A:A,QUOTIENT(ROW()-1,19)+2)</f>
        <v>41535</v>
      </c>
      <c r="DJ2243" s="4">
        <f>INDEX(Sheet2!C:C,QUOTIENT(ROW()-1,19)+2)</f>
        <v>42004</v>
      </c>
      <c r="DK2243" s="4" t="e">
        <f>INDEX(Sheet2!$AA$2:$AS$228,QUOTIENT(ROW()-1,19)+1,MOD(ROW()-2,19)+1)</f>
        <v>#N/A</v>
      </c>
      <c r="DL2243" t="str">
        <f>IFERROR(INDEX(Sheet2!$AU$2:$BM$228,QUOTIENT(ROW()-1,19)+1,MOD(ROW()-2,19)+1),NA())</f>
        <v/>
      </c>
      <c r="DM2243" s="4" t="e">
        <f t="shared" si="126"/>
        <v>#N/A</v>
      </c>
      <c r="DN2243" t="e">
        <f t="shared" si="127"/>
        <v>#N/A</v>
      </c>
      <c r="DO2243" t="e">
        <f t="shared" ref="DO2243:DO2306" si="128">IF(DN2243="",NA(),DN2243)</f>
        <v>#N/A</v>
      </c>
    </row>
    <row r="2244" spans="7:119" x14ac:dyDescent="0.25">
      <c r="G2244"/>
      <c r="DI2244" s="4">
        <f>INDEX(Sheet2!A:A,QUOTIENT(ROW()-1,19)+2)</f>
        <v>41535</v>
      </c>
      <c r="DJ2244" s="4">
        <f>INDEX(Sheet2!C:C,QUOTIENT(ROW()-1,19)+2)</f>
        <v>42004</v>
      </c>
      <c r="DK2244" s="4">
        <f>INDEX(Sheet2!$AA$2:$AS$228,QUOTIENT(ROW()-1,19)+1,MOD(ROW()-2,19)+1)</f>
        <v>41873.512499999997</v>
      </c>
      <c r="DL2244">
        <f>IFERROR(INDEX(Sheet2!$AU$2:$BM$228,QUOTIENT(ROW()-1,19)+1,MOD(ROW()-2,19)+1),NA())</f>
        <v>0.25</v>
      </c>
      <c r="DM2244" s="4" t="e">
        <f t="shared" si="126"/>
        <v>#N/A</v>
      </c>
      <c r="DN2244" t="e">
        <f t="shared" si="127"/>
        <v>#N/A</v>
      </c>
      <c r="DO2244" t="e">
        <f t="shared" si="128"/>
        <v>#N/A</v>
      </c>
    </row>
    <row r="2245" spans="7:119" x14ac:dyDescent="0.25">
      <c r="G2245"/>
      <c r="DI2245" s="4">
        <f>INDEX(Sheet2!A:A,QUOTIENT(ROW()-1,19)+2)</f>
        <v>41535</v>
      </c>
      <c r="DJ2245" s="4">
        <f>INDEX(Sheet2!C:C,QUOTIENT(ROW()-1,19)+2)</f>
        <v>42004</v>
      </c>
      <c r="DK2245" s="4">
        <f>INDEX(Sheet2!$AA$2:$AS$228,QUOTIENT(ROW()-1,19)+1,MOD(ROW()-2,19)+1)</f>
        <v>41893.587500000001</v>
      </c>
      <c r="DL2245">
        <f>IFERROR(INDEX(Sheet2!$AU$2:$BM$228,QUOTIENT(ROW()-1,19)+1,MOD(ROW()-2,19)+1),NA())</f>
        <v>0.25</v>
      </c>
      <c r="DM2245" s="4" t="e">
        <f t="shared" si="126"/>
        <v>#N/A</v>
      </c>
      <c r="DN2245" t="e">
        <f t="shared" si="127"/>
        <v>#N/A</v>
      </c>
      <c r="DO2245" t="e">
        <f t="shared" si="128"/>
        <v>#N/A</v>
      </c>
    </row>
    <row r="2246" spans="7:119" x14ac:dyDescent="0.25">
      <c r="G2246"/>
      <c r="DI2246" s="4">
        <f>INDEX(Sheet2!A:A,QUOTIENT(ROW()-1,19)+2)</f>
        <v>41535</v>
      </c>
      <c r="DJ2246" s="4">
        <f>INDEX(Sheet2!C:C,QUOTIENT(ROW()-1,19)+2)</f>
        <v>42004</v>
      </c>
      <c r="DK2246" s="4">
        <f>INDEX(Sheet2!$AA$2:$AS$228,QUOTIENT(ROW()-1,19)+1,MOD(ROW()-2,19)+1)</f>
        <v>41913.662499999999</v>
      </c>
      <c r="DL2246">
        <f>IFERROR(INDEX(Sheet2!$AU$2:$BM$228,QUOTIENT(ROW()-1,19)+1,MOD(ROW()-2,19)+1),NA())</f>
        <v>0.25</v>
      </c>
      <c r="DM2246" s="4" t="e">
        <f t="shared" si="126"/>
        <v>#N/A</v>
      </c>
      <c r="DN2246" t="e">
        <f t="shared" si="127"/>
        <v>#N/A</v>
      </c>
      <c r="DO2246" t="e">
        <f t="shared" si="128"/>
        <v>#N/A</v>
      </c>
    </row>
    <row r="2247" spans="7:119" x14ac:dyDescent="0.25">
      <c r="G2247"/>
      <c r="DI2247" s="4">
        <f>INDEX(Sheet2!A:A,QUOTIENT(ROW()-1,19)+2)</f>
        <v>41535</v>
      </c>
      <c r="DJ2247" s="4">
        <f>INDEX(Sheet2!C:C,QUOTIENT(ROW()-1,19)+2)</f>
        <v>42004</v>
      </c>
      <c r="DK2247" s="4">
        <f>INDEX(Sheet2!$AA$2:$AS$228,QUOTIENT(ROW()-1,19)+1,MOD(ROW()-2,19)+1)</f>
        <v>41933.737500000003</v>
      </c>
      <c r="DL2247">
        <f>IFERROR(INDEX(Sheet2!$AU$2:$BM$228,QUOTIENT(ROW()-1,19)+1,MOD(ROW()-2,19)+1),NA())</f>
        <v>0.25</v>
      </c>
      <c r="DM2247" s="4" t="e">
        <f t="shared" si="126"/>
        <v>#N/A</v>
      </c>
      <c r="DN2247" t="e">
        <f t="shared" si="127"/>
        <v>#N/A</v>
      </c>
      <c r="DO2247" t="e">
        <f t="shared" si="128"/>
        <v>#N/A</v>
      </c>
    </row>
    <row r="2248" spans="7:119" x14ac:dyDescent="0.25">
      <c r="G2248"/>
      <c r="DI2248" s="4">
        <f>INDEX(Sheet2!A:A,QUOTIENT(ROW()-1,19)+2)</f>
        <v>41535</v>
      </c>
      <c r="DJ2248" s="4">
        <f>INDEX(Sheet2!C:C,QUOTIENT(ROW()-1,19)+2)</f>
        <v>42004</v>
      </c>
      <c r="DK2248" s="4">
        <f>INDEX(Sheet2!$AA$2:$AS$228,QUOTIENT(ROW()-1,19)+1,MOD(ROW()-2,19)+1)</f>
        <v>41953.8125</v>
      </c>
      <c r="DL2248">
        <f>IFERROR(INDEX(Sheet2!$AU$2:$BM$228,QUOTIENT(ROW()-1,19)+1,MOD(ROW()-2,19)+1),NA())</f>
        <v>0.25</v>
      </c>
      <c r="DM2248" s="4" t="e">
        <f t="shared" si="126"/>
        <v>#N/A</v>
      </c>
      <c r="DN2248" t="e">
        <f t="shared" si="127"/>
        <v>#N/A</v>
      </c>
      <c r="DO2248" t="e">
        <f t="shared" si="128"/>
        <v>#N/A</v>
      </c>
    </row>
    <row r="2249" spans="7:119" x14ac:dyDescent="0.25">
      <c r="G2249"/>
      <c r="DI2249" s="4">
        <f>INDEX(Sheet2!A:A,QUOTIENT(ROW()-1,19)+2)</f>
        <v>41535</v>
      </c>
      <c r="DJ2249" s="4">
        <f>INDEX(Sheet2!C:C,QUOTIENT(ROW()-1,19)+2)</f>
        <v>42004</v>
      </c>
      <c r="DK2249" s="4">
        <f>INDEX(Sheet2!$AA$2:$AS$228,QUOTIENT(ROW()-1,19)+1,MOD(ROW()-2,19)+1)</f>
        <v>41973.887499999997</v>
      </c>
      <c r="DL2249">
        <f>IFERROR(INDEX(Sheet2!$AU$2:$BM$228,QUOTIENT(ROW()-1,19)+1,MOD(ROW()-2,19)+1),NA())</f>
        <v>0.25</v>
      </c>
      <c r="DM2249" s="4" t="e">
        <f t="shared" si="126"/>
        <v>#N/A</v>
      </c>
      <c r="DN2249" t="e">
        <f t="shared" si="127"/>
        <v>#N/A</v>
      </c>
      <c r="DO2249" t="e">
        <f t="shared" si="128"/>
        <v>#N/A</v>
      </c>
    </row>
    <row r="2250" spans="7:119" x14ac:dyDescent="0.25">
      <c r="G2250"/>
      <c r="DI2250" s="4">
        <f>INDEX(Sheet2!A:A,QUOTIENT(ROW()-1,19)+2)</f>
        <v>41535</v>
      </c>
      <c r="DJ2250" s="4">
        <f>INDEX(Sheet2!C:C,QUOTIENT(ROW()-1,19)+2)</f>
        <v>42004</v>
      </c>
      <c r="DK2250" s="4">
        <f>INDEX(Sheet2!$AA$2:$AS$228,QUOTIENT(ROW()-1,19)+1,MOD(ROW()-2,19)+1)</f>
        <v>41993.962500000001</v>
      </c>
      <c r="DL2250">
        <f>IFERROR(INDEX(Sheet2!$AU$2:$BM$228,QUOTIENT(ROW()-1,19)+1,MOD(ROW()-2,19)+1),NA())</f>
        <v>0.25</v>
      </c>
      <c r="DM2250" s="4" t="e">
        <f t="shared" si="126"/>
        <v>#N/A</v>
      </c>
      <c r="DN2250" t="e">
        <f t="shared" si="127"/>
        <v>#N/A</v>
      </c>
      <c r="DO2250" t="e">
        <f t="shared" si="128"/>
        <v>#N/A</v>
      </c>
    </row>
    <row r="2251" spans="7:119" x14ac:dyDescent="0.25">
      <c r="G2251"/>
      <c r="DI2251" s="4">
        <f>INDEX(Sheet2!A:A,QUOTIENT(ROW()-1,19)+2)</f>
        <v>41535</v>
      </c>
      <c r="DJ2251" s="4">
        <f>INDEX(Sheet2!C:C,QUOTIENT(ROW()-1,19)+2)</f>
        <v>42004</v>
      </c>
      <c r="DK2251" s="4">
        <f>INDEX(Sheet2!$AA$2:$AS$228,QUOTIENT(ROW()-1,19)+1,MOD(ROW()-2,19)+1)</f>
        <v>42014.037499999999</v>
      </c>
      <c r="DL2251">
        <f>IFERROR(INDEX(Sheet2!$AU$2:$BM$228,QUOTIENT(ROW()-1,19)+1,MOD(ROW()-2,19)+1),NA())</f>
        <v>0.25</v>
      </c>
      <c r="DM2251" s="4" t="e">
        <f t="shared" si="126"/>
        <v>#N/A</v>
      </c>
      <c r="DN2251" t="e">
        <f t="shared" si="127"/>
        <v>#N/A</v>
      </c>
      <c r="DO2251" t="e">
        <f t="shared" si="128"/>
        <v>#N/A</v>
      </c>
    </row>
    <row r="2252" spans="7:119" x14ac:dyDescent="0.25">
      <c r="G2252"/>
      <c r="DI2252" s="4">
        <f>INDEX(Sheet2!A:A,QUOTIENT(ROW()-1,19)+2)</f>
        <v>41535</v>
      </c>
      <c r="DJ2252" s="4">
        <f>INDEX(Sheet2!C:C,QUOTIENT(ROW()-1,19)+2)</f>
        <v>42004</v>
      </c>
      <c r="DK2252" s="4">
        <f>INDEX(Sheet2!$AA$2:$AS$228,QUOTIENT(ROW()-1,19)+1,MOD(ROW()-2,19)+1)</f>
        <v>42034.112500000003</v>
      </c>
      <c r="DL2252">
        <f>IFERROR(INDEX(Sheet2!$AU$2:$BM$228,QUOTIENT(ROW()-1,19)+1,MOD(ROW()-2,19)+1),NA())</f>
        <v>0.25</v>
      </c>
      <c r="DM2252" s="4" t="e">
        <f t="shared" si="126"/>
        <v>#N/A</v>
      </c>
      <c r="DN2252" t="e">
        <f t="shared" si="127"/>
        <v>#N/A</v>
      </c>
      <c r="DO2252" t="e">
        <f t="shared" si="128"/>
        <v>#N/A</v>
      </c>
    </row>
    <row r="2253" spans="7:119" x14ac:dyDescent="0.25">
      <c r="G2253"/>
      <c r="DI2253" s="4">
        <f>INDEX(Sheet2!A:A,QUOTIENT(ROW()-1,19)+2)</f>
        <v>41535</v>
      </c>
      <c r="DJ2253" s="4">
        <f>INDEX(Sheet2!C:C,QUOTIENT(ROW()-1,19)+2)</f>
        <v>42004</v>
      </c>
      <c r="DK2253" s="4">
        <f>INDEX(Sheet2!$AA$2:$AS$228,QUOTIENT(ROW()-1,19)+1,MOD(ROW()-2,19)+1)</f>
        <v>42054.1875</v>
      </c>
      <c r="DL2253">
        <f>IFERROR(INDEX(Sheet2!$AU$2:$BM$228,QUOTIENT(ROW()-1,19)+1,MOD(ROW()-2,19)+1),NA())</f>
        <v>0.25</v>
      </c>
      <c r="DM2253" s="4" t="e">
        <f t="shared" si="126"/>
        <v>#N/A</v>
      </c>
      <c r="DN2253" t="e">
        <f t="shared" si="127"/>
        <v>#N/A</v>
      </c>
      <c r="DO2253" t="e">
        <f t="shared" si="128"/>
        <v>#N/A</v>
      </c>
    </row>
    <row r="2254" spans="7:119" x14ac:dyDescent="0.25">
      <c r="G2254"/>
      <c r="DI2254" s="4">
        <f>INDEX(Sheet2!A:A,QUOTIENT(ROW()-1,19)+2)</f>
        <v>41535</v>
      </c>
      <c r="DJ2254" s="4">
        <f>INDEX(Sheet2!C:C,QUOTIENT(ROW()-1,19)+2)</f>
        <v>42004</v>
      </c>
      <c r="DK2254" s="4">
        <f>INDEX(Sheet2!$AA$2:$AS$228,QUOTIENT(ROW()-1,19)+1,MOD(ROW()-2,19)+1)</f>
        <v>42074.262499999997</v>
      </c>
      <c r="DL2254">
        <f>IFERROR(INDEX(Sheet2!$AU$2:$BM$228,QUOTIENT(ROW()-1,19)+1,MOD(ROW()-2,19)+1),NA())</f>
        <v>0.25</v>
      </c>
      <c r="DM2254" s="4" t="e">
        <f t="shared" si="126"/>
        <v>#N/A</v>
      </c>
      <c r="DN2254" t="e">
        <f t="shared" si="127"/>
        <v>#N/A</v>
      </c>
      <c r="DO2254" t="e">
        <f t="shared" si="128"/>
        <v>#N/A</v>
      </c>
    </row>
    <row r="2255" spans="7:119" x14ac:dyDescent="0.25">
      <c r="G2255"/>
      <c r="DI2255" s="4">
        <f>INDEX(Sheet2!A:A,QUOTIENT(ROW()-1,19)+2)</f>
        <v>41535</v>
      </c>
      <c r="DJ2255" s="4">
        <f>INDEX(Sheet2!C:C,QUOTIENT(ROW()-1,19)+2)</f>
        <v>42004</v>
      </c>
      <c r="DK2255" s="4">
        <f>INDEX(Sheet2!$AA$2:$AS$228,QUOTIENT(ROW()-1,19)+1,MOD(ROW()-2,19)+1)</f>
        <v>42094.337500000001</v>
      </c>
      <c r="DL2255">
        <f>IFERROR(INDEX(Sheet2!$AU$2:$BM$228,QUOTIENT(ROW()-1,19)+1,MOD(ROW()-2,19)+1),NA())</f>
        <v>0.25</v>
      </c>
      <c r="DM2255" s="4" t="e">
        <f t="shared" si="126"/>
        <v>#N/A</v>
      </c>
      <c r="DN2255" t="e">
        <f t="shared" si="127"/>
        <v>#N/A</v>
      </c>
      <c r="DO2255" t="e">
        <f t="shared" si="128"/>
        <v>#N/A</v>
      </c>
    </row>
    <row r="2256" spans="7:119" x14ac:dyDescent="0.25">
      <c r="G2256"/>
      <c r="DI2256" s="4">
        <f>INDEX(Sheet2!A:A,QUOTIENT(ROW()-1,19)+2)</f>
        <v>41535</v>
      </c>
      <c r="DJ2256" s="4">
        <f>INDEX(Sheet2!C:C,QUOTIENT(ROW()-1,19)+2)</f>
        <v>42004</v>
      </c>
      <c r="DK2256" s="4">
        <f>INDEX(Sheet2!$AA$2:$AS$228,QUOTIENT(ROW()-1,19)+1,MOD(ROW()-2,19)+1)</f>
        <v>42114.412499999999</v>
      </c>
      <c r="DL2256">
        <f>IFERROR(INDEX(Sheet2!$AU$2:$BM$228,QUOTIENT(ROW()-1,19)+1,MOD(ROW()-2,19)+1),NA())</f>
        <v>0.25</v>
      </c>
      <c r="DM2256" s="4" t="e">
        <f t="shared" si="126"/>
        <v>#N/A</v>
      </c>
      <c r="DN2256" t="e">
        <f t="shared" si="127"/>
        <v>#N/A</v>
      </c>
      <c r="DO2256" t="e">
        <f t="shared" si="128"/>
        <v>#N/A</v>
      </c>
    </row>
    <row r="2257" spans="7:119" x14ac:dyDescent="0.25">
      <c r="G2257"/>
      <c r="DI2257" s="4">
        <f>INDEX(Sheet2!A:A,QUOTIENT(ROW()-1,19)+2)</f>
        <v>41535</v>
      </c>
      <c r="DJ2257" s="4">
        <f>INDEX(Sheet2!C:C,QUOTIENT(ROW()-1,19)+2)</f>
        <v>42004</v>
      </c>
      <c r="DK2257" s="4">
        <f>INDEX(Sheet2!$AA$2:$AS$228,QUOTIENT(ROW()-1,19)+1,MOD(ROW()-2,19)+1)</f>
        <v>42134.487500000003</v>
      </c>
      <c r="DL2257">
        <f>IFERROR(INDEX(Sheet2!$AU$2:$BM$228,QUOTIENT(ROW()-1,19)+1,MOD(ROW()-2,19)+1),NA())</f>
        <v>0.25</v>
      </c>
      <c r="DM2257" s="4" t="e">
        <f t="shared" si="126"/>
        <v>#N/A</v>
      </c>
      <c r="DN2257" t="e">
        <f t="shared" si="127"/>
        <v>#N/A</v>
      </c>
      <c r="DO2257" t="e">
        <f t="shared" si="128"/>
        <v>#N/A</v>
      </c>
    </row>
    <row r="2258" spans="7:119" x14ac:dyDescent="0.25">
      <c r="G2258"/>
      <c r="DI2258" s="4">
        <f>INDEX(Sheet2!A:A,QUOTIENT(ROW()-1,19)+2)</f>
        <v>41535</v>
      </c>
      <c r="DJ2258" s="4">
        <f>INDEX(Sheet2!C:C,QUOTIENT(ROW()-1,19)+2)</f>
        <v>42004</v>
      </c>
      <c r="DK2258" s="4" t="e">
        <f>INDEX(Sheet2!$AA$2:$AS$228,QUOTIENT(ROW()-1,19)+1,MOD(ROW()-2,19)+1)</f>
        <v>#N/A</v>
      </c>
      <c r="DL2258" t="str">
        <f>IFERROR(INDEX(Sheet2!$AU$2:$BM$228,QUOTIENT(ROW()-1,19)+1,MOD(ROW()-2,19)+1),NA())</f>
        <v/>
      </c>
      <c r="DM2258" s="4" t="e">
        <f t="shared" si="126"/>
        <v>#N/A</v>
      </c>
      <c r="DN2258" t="e">
        <f t="shared" si="127"/>
        <v>#N/A</v>
      </c>
      <c r="DO2258" t="e">
        <f t="shared" si="128"/>
        <v>#N/A</v>
      </c>
    </row>
    <row r="2259" spans="7:119" x14ac:dyDescent="0.25">
      <c r="G2259"/>
      <c r="DI2259" s="4">
        <f>INDEX(Sheet2!A:A,QUOTIENT(ROW()-1,19)+2)</f>
        <v>41535</v>
      </c>
      <c r="DJ2259" s="4">
        <f>INDEX(Sheet2!C:C,QUOTIENT(ROW()-1,19)+2)</f>
        <v>42004</v>
      </c>
      <c r="DK2259" s="4" t="e">
        <f>INDEX(Sheet2!$AA$2:$AS$228,QUOTIENT(ROW()-1,19)+1,MOD(ROW()-2,19)+1)</f>
        <v>#N/A</v>
      </c>
      <c r="DL2259" t="str">
        <f>IFERROR(INDEX(Sheet2!$AU$2:$BM$228,QUOTIENT(ROW()-1,19)+1,MOD(ROW()-2,19)+1),NA())</f>
        <v/>
      </c>
      <c r="DM2259" s="4" t="e">
        <f t="shared" si="126"/>
        <v>#N/A</v>
      </c>
      <c r="DN2259" t="e">
        <f t="shared" si="127"/>
        <v>#N/A</v>
      </c>
      <c r="DO2259" t="e">
        <f t="shared" si="128"/>
        <v>#N/A</v>
      </c>
    </row>
    <row r="2260" spans="7:119" x14ac:dyDescent="0.25">
      <c r="G2260"/>
      <c r="DI2260" s="4">
        <f>INDEX(Sheet2!A:A,QUOTIENT(ROW()-1,19)+2)</f>
        <v>41535</v>
      </c>
      <c r="DJ2260" s="4">
        <f>INDEX(Sheet2!C:C,QUOTIENT(ROW()-1,19)+2)</f>
        <v>42004</v>
      </c>
      <c r="DK2260" s="4" t="e">
        <f>INDEX(Sheet2!$AA$2:$AS$228,QUOTIENT(ROW()-1,19)+1,MOD(ROW()-2,19)+1)</f>
        <v>#N/A</v>
      </c>
      <c r="DL2260" t="str">
        <f>IFERROR(INDEX(Sheet2!$AU$2:$BM$228,QUOTIENT(ROW()-1,19)+1,MOD(ROW()-2,19)+1),NA())</f>
        <v/>
      </c>
      <c r="DM2260" s="4" t="e">
        <f t="shared" si="126"/>
        <v>#N/A</v>
      </c>
      <c r="DN2260" t="e">
        <f t="shared" si="127"/>
        <v>#N/A</v>
      </c>
      <c r="DO2260" t="e">
        <f t="shared" si="128"/>
        <v>#N/A</v>
      </c>
    </row>
    <row r="2261" spans="7:119" x14ac:dyDescent="0.25">
      <c r="G2261"/>
      <c r="DI2261" s="4">
        <f>INDEX(Sheet2!A:A,QUOTIENT(ROW()-1,19)+2)</f>
        <v>41535</v>
      </c>
      <c r="DJ2261" s="4">
        <f>INDEX(Sheet2!C:C,QUOTIENT(ROW()-1,19)+2)</f>
        <v>42004</v>
      </c>
      <c r="DK2261" s="4" t="e">
        <f>INDEX(Sheet2!$AA$2:$AS$228,QUOTIENT(ROW()-1,19)+1,MOD(ROW()-2,19)+1)</f>
        <v>#N/A</v>
      </c>
      <c r="DL2261" t="str">
        <f>IFERROR(INDEX(Sheet2!$AU$2:$BM$228,QUOTIENT(ROW()-1,19)+1,MOD(ROW()-2,19)+1),NA())</f>
        <v/>
      </c>
      <c r="DM2261" s="4" t="e">
        <f t="shared" si="126"/>
        <v>#N/A</v>
      </c>
      <c r="DN2261" t="e">
        <f t="shared" si="127"/>
        <v>#N/A</v>
      </c>
      <c r="DO2261" t="e">
        <f t="shared" si="128"/>
        <v>#N/A</v>
      </c>
    </row>
    <row r="2262" spans="7:119" x14ac:dyDescent="0.25">
      <c r="G2262"/>
      <c r="DI2262" s="4">
        <f>INDEX(Sheet2!A:A,QUOTIENT(ROW()-1,19)+2)</f>
        <v>41535</v>
      </c>
      <c r="DJ2262" s="4">
        <f>INDEX(Sheet2!C:C,QUOTIENT(ROW()-1,19)+2)</f>
        <v>42004</v>
      </c>
      <c r="DK2262" s="4" t="e">
        <f>INDEX(Sheet2!$AA$2:$AS$228,QUOTIENT(ROW()-1,19)+1,MOD(ROW()-2,19)+1)</f>
        <v>#N/A</v>
      </c>
      <c r="DL2262" t="str">
        <f>IFERROR(INDEX(Sheet2!$AU$2:$BM$228,QUOTIENT(ROW()-1,19)+1,MOD(ROW()-2,19)+1),NA())</f>
        <v/>
      </c>
      <c r="DM2262" s="4" t="e">
        <f t="shared" si="126"/>
        <v>#N/A</v>
      </c>
      <c r="DN2262" t="e">
        <f t="shared" si="127"/>
        <v>#N/A</v>
      </c>
      <c r="DO2262" t="e">
        <f t="shared" si="128"/>
        <v>#N/A</v>
      </c>
    </row>
    <row r="2263" spans="7:119" x14ac:dyDescent="0.25">
      <c r="G2263"/>
      <c r="DI2263" s="4">
        <f>INDEX(Sheet2!A:A,QUOTIENT(ROW()-1,19)+2)</f>
        <v>41535</v>
      </c>
      <c r="DJ2263" s="4">
        <f>INDEX(Sheet2!C:C,QUOTIENT(ROW()-1,19)+2)</f>
        <v>42004</v>
      </c>
      <c r="DK2263" s="4">
        <f>INDEX(Sheet2!$AA$2:$AS$228,QUOTIENT(ROW()-1,19)+1,MOD(ROW()-2,19)+1)</f>
        <v>41993.962500000001</v>
      </c>
      <c r="DL2263">
        <f>IFERROR(INDEX(Sheet2!$AU$2:$BM$228,QUOTIENT(ROW()-1,19)+1,MOD(ROW()-2,19)+1),NA())</f>
        <v>1</v>
      </c>
      <c r="DM2263" s="4" t="e">
        <f t="shared" si="126"/>
        <v>#N/A</v>
      </c>
      <c r="DN2263" t="e">
        <f t="shared" si="127"/>
        <v>#N/A</v>
      </c>
      <c r="DO2263" t="e">
        <f t="shared" si="128"/>
        <v>#N/A</v>
      </c>
    </row>
    <row r="2264" spans="7:119" x14ac:dyDescent="0.25">
      <c r="G2264"/>
      <c r="DI2264" s="4">
        <f>INDEX(Sheet2!A:A,QUOTIENT(ROW()-1,19)+2)</f>
        <v>41535</v>
      </c>
      <c r="DJ2264" s="4">
        <f>INDEX(Sheet2!C:C,QUOTIENT(ROW()-1,19)+2)</f>
        <v>42004</v>
      </c>
      <c r="DK2264" s="4">
        <f>INDEX(Sheet2!$AA$2:$AS$228,QUOTIENT(ROW()-1,19)+1,MOD(ROW()-2,19)+1)</f>
        <v>42014.037500000006</v>
      </c>
      <c r="DL2264">
        <f>IFERROR(INDEX(Sheet2!$AU$2:$BM$228,QUOTIENT(ROW()-1,19)+1,MOD(ROW()-2,19)+1),NA())</f>
        <v>1</v>
      </c>
      <c r="DM2264" s="4" t="e">
        <f t="shared" si="126"/>
        <v>#N/A</v>
      </c>
      <c r="DN2264" t="e">
        <f t="shared" si="127"/>
        <v>#N/A</v>
      </c>
      <c r="DO2264" t="e">
        <f t="shared" si="128"/>
        <v>#N/A</v>
      </c>
    </row>
    <row r="2265" spans="7:119" x14ac:dyDescent="0.25">
      <c r="G2265"/>
      <c r="DI2265" s="4">
        <f>INDEX(Sheet2!A:A,QUOTIENT(ROW()-1,19)+2)</f>
        <v>41535</v>
      </c>
      <c r="DJ2265" s="4">
        <f>INDEX(Sheet2!C:C,QUOTIENT(ROW()-1,19)+2)</f>
        <v>42004</v>
      </c>
      <c r="DK2265" s="4" t="e">
        <f>INDEX(Sheet2!$AA$2:$AS$228,QUOTIENT(ROW()-1,19)+1,MOD(ROW()-2,19)+1)</f>
        <v>#N/A</v>
      </c>
      <c r="DL2265" t="str">
        <f>IFERROR(INDEX(Sheet2!$AU$2:$BM$228,QUOTIENT(ROW()-1,19)+1,MOD(ROW()-2,19)+1),NA())</f>
        <v/>
      </c>
      <c r="DM2265" s="4" t="e">
        <f t="shared" si="126"/>
        <v>#N/A</v>
      </c>
      <c r="DN2265" t="e">
        <f t="shared" si="127"/>
        <v>#N/A</v>
      </c>
      <c r="DO2265" t="e">
        <f t="shared" si="128"/>
        <v>#N/A</v>
      </c>
    </row>
    <row r="2266" spans="7:119" x14ac:dyDescent="0.25">
      <c r="G2266"/>
      <c r="DI2266" s="4">
        <f>INDEX(Sheet2!A:A,QUOTIENT(ROW()-1,19)+2)</f>
        <v>41535</v>
      </c>
      <c r="DJ2266" s="4">
        <f>INDEX(Sheet2!C:C,QUOTIENT(ROW()-1,19)+2)</f>
        <v>42004</v>
      </c>
      <c r="DK2266" s="4" t="e">
        <f>INDEX(Sheet2!$AA$2:$AS$228,QUOTIENT(ROW()-1,19)+1,MOD(ROW()-2,19)+1)</f>
        <v>#N/A</v>
      </c>
      <c r="DL2266" t="str">
        <f>IFERROR(INDEX(Sheet2!$AU$2:$BM$228,QUOTIENT(ROW()-1,19)+1,MOD(ROW()-2,19)+1),NA())</f>
        <v/>
      </c>
      <c r="DM2266" s="4" t="e">
        <f t="shared" si="126"/>
        <v>#N/A</v>
      </c>
      <c r="DN2266" t="e">
        <f t="shared" si="127"/>
        <v>#N/A</v>
      </c>
      <c r="DO2266" t="e">
        <f t="shared" si="128"/>
        <v>#N/A</v>
      </c>
    </row>
    <row r="2267" spans="7:119" x14ac:dyDescent="0.25">
      <c r="G2267"/>
      <c r="DI2267" s="4">
        <f>INDEX(Sheet2!A:A,QUOTIENT(ROW()-1,19)+2)</f>
        <v>41535</v>
      </c>
      <c r="DJ2267" s="4">
        <f>INDEX(Sheet2!C:C,QUOTIENT(ROW()-1,19)+2)</f>
        <v>42004</v>
      </c>
      <c r="DK2267" s="4" t="e">
        <f>INDEX(Sheet2!$AA$2:$AS$228,QUOTIENT(ROW()-1,19)+1,MOD(ROW()-2,19)+1)</f>
        <v>#N/A</v>
      </c>
      <c r="DL2267" t="str">
        <f>IFERROR(INDEX(Sheet2!$AU$2:$BM$228,QUOTIENT(ROW()-1,19)+1,MOD(ROW()-2,19)+1),NA())</f>
        <v/>
      </c>
      <c r="DM2267" s="4" t="e">
        <f t="shared" si="126"/>
        <v>#N/A</v>
      </c>
      <c r="DN2267" t="e">
        <f t="shared" si="127"/>
        <v>#N/A</v>
      </c>
      <c r="DO2267" t="e">
        <f t="shared" si="128"/>
        <v>#N/A</v>
      </c>
    </row>
    <row r="2268" spans="7:119" x14ac:dyDescent="0.25">
      <c r="G2268"/>
      <c r="DI2268" s="4">
        <f>INDEX(Sheet2!A:A,QUOTIENT(ROW()-1,19)+2)</f>
        <v>41535</v>
      </c>
      <c r="DJ2268" s="4">
        <f>INDEX(Sheet2!C:C,QUOTIENT(ROW()-1,19)+2)</f>
        <v>42004</v>
      </c>
      <c r="DK2268" s="4" t="e">
        <f>INDEX(Sheet2!$AA$2:$AS$228,QUOTIENT(ROW()-1,19)+1,MOD(ROW()-2,19)+1)</f>
        <v>#N/A</v>
      </c>
      <c r="DL2268" t="str">
        <f>IFERROR(INDEX(Sheet2!$AU$2:$BM$228,QUOTIENT(ROW()-1,19)+1,MOD(ROW()-2,19)+1),NA())</f>
        <v/>
      </c>
      <c r="DM2268" s="4" t="e">
        <f t="shared" si="126"/>
        <v>#N/A</v>
      </c>
      <c r="DN2268" t="e">
        <f t="shared" si="127"/>
        <v>#N/A</v>
      </c>
      <c r="DO2268" t="e">
        <f t="shared" si="128"/>
        <v>#N/A</v>
      </c>
    </row>
    <row r="2269" spans="7:119" x14ac:dyDescent="0.25">
      <c r="G2269"/>
      <c r="DI2269" s="4">
        <f>INDEX(Sheet2!A:A,QUOTIENT(ROW()-1,19)+2)</f>
        <v>41535</v>
      </c>
      <c r="DJ2269" s="4">
        <f>INDEX(Sheet2!C:C,QUOTIENT(ROW()-1,19)+2)</f>
        <v>42004</v>
      </c>
      <c r="DK2269" s="4" t="e">
        <f>INDEX(Sheet2!$AA$2:$AS$228,QUOTIENT(ROW()-1,19)+1,MOD(ROW()-2,19)+1)</f>
        <v>#N/A</v>
      </c>
      <c r="DL2269" t="str">
        <f>IFERROR(INDEX(Sheet2!$AU$2:$BM$228,QUOTIENT(ROW()-1,19)+1,MOD(ROW()-2,19)+1),NA())</f>
        <v/>
      </c>
      <c r="DM2269" s="4" t="e">
        <f t="shared" si="126"/>
        <v>#N/A</v>
      </c>
      <c r="DN2269" t="e">
        <f t="shared" si="127"/>
        <v>#N/A</v>
      </c>
      <c r="DO2269" t="e">
        <f t="shared" si="128"/>
        <v>#N/A</v>
      </c>
    </row>
    <row r="2270" spans="7:119" x14ac:dyDescent="0.25">
      <c r="G2270"/>
      <c r="DI2270" s="4">
        <f>INDEX(Sheet2!A:A,QUOTIENT(ROW()-1,19)+2)</f>
        <v>41535</v>
      </c>
      <c r="DJ2270" s="4">
        <f>INDEX(Sheet2!C:C,QUOTIENT(ROW()-1,19)+2)</f>
        <v>42004</v>
      </c>
      <c r="DK2270" s="4" t="e">
        <f>INDEX(Sheet2!$AA$2:$AS$228,QUOTIENT(ROW()-1,19)+1,MOD(ROW()-2,19)+1)</f>
        <v>#N/A</v>
      </c>
      <c r="DL2270" t="str">
        <f>IFERROR(INDEX(Sheet2!$AU$2:$BM$228,QUOTIENT(ROW()-1,19)+1,MOD(ROW()-2,19)+1),NA())</f>
        <v/>
      </c>
      <c r="DM2270" s="4" t="e">
        <f t="shared" si="126"/>
        <v>#N/A</v>
      </c>
      <c r="DN2270" t="e">
        <f t="shared" si="127"/>
        <v>#N/A</v>
      </c>
      <c r="DO2270" t="e">
        <f t="shared" si="128"/>
        <v>#N/A</v>
      </c>
    </row>
    <row r="2271" spans="7:119" x14ac:dyDescent="0.25">
      <c r="G2271"/>
      <c r="DI2271" s="4">
        <f>INDEX(Sheet2!A:A,QUOTIENT(ROW()-1,19)+2)</f>
        <v>41535</v>
      </c>
      <c r="DJ2271" s="4">
        <f>INDEX(Sheet2!C:C,QUOTIENT(ROW()-1,19)+2)</f>
        <v>42004</v>
      </c>
      <c r="DK2271" s="4" t="e">
        <f>INDEX(Sheet2!$AA$2:$AS$228,QUOTIENT(ROW()-1,19)+1,MOD(ROW()-2,19)+1)</f>
        <v>#N/A</v>
      </c>
      <c r="DL2271" t="str">
        <f>IFERROR(INDEX(Sheet2!$AU$2:$BM$228,QUOTIENT(ROW()-1,19)+1,MOD(ROW()-2,19)+1),NA())</f>
        <v/>
      </c>
      <c r="DM2271" s="4" t="e">
        <f t="shared" si="126"/>
        <v>#N/A</v>
      </c>
      <c r="DN2271" t="e">
        <f t="shared" si="127"/>
        <v>#N/A</v>
      </c>
      <c r="DO2271" t="e">
        <f t="shared" si="128"/>
        <v>#N/A</v>
      </c>
    </row>
    <row r="2272" spans="7:119" x14ac:dyDescent="0.25">
      <c r="G2272"/>
      <c r="DI2272" s="4">
        <f>INDEX(Sheet2!A:A,QUOTIENT(ROW()-1,19)+2)</f>
        <v>41535</v>
      </c>
      <c r="DJ2272" s="4">
        <f>INDEX(Sheet2!C:C,QUOTIENT(ROW()-1,19)+2)</f>
        <v>42004</v>
      </c>
      <c r="DK2272" s="4" t="e">
        <f>INDEX(Sheet2!$AA$2:$AS$228,QUOTIENT(ROW()-1,19)+1,MOD(ROW()-2,19)+1)</f>
        <v>#N/A</v>
      </c>
      <c r="DL2272" t="str">
        <f>IFERROR(INDEX(Sheet2!$AU$2:$BM$228,QUOTIENT(ROW()-1,19)+1,MOD(ROW()-2,19)+1),NA())</f>
        <v/>
      </c>
      <c r="DM2272" s="4" t="e">
        <f t="shared" si="126"/>
        <v>#N/A</v>
      </c>
      <c r="DN2272" t="e">
        <f t="shared" si="127"/>
        <v>#N/A</v>
      </c>
      <c r="DO2272" t="e">
        <f t="shared" si="128"/>
        <v>#N/A</v>
      </c>
    </row>
    <row r="2273" spans="7:119" x14ac:dyDescent="0.25">
      <c r="G2273"/>
      <c r="DI2273" s="4">
        <f>INDEX(Sheet2!A:A,QUOTIENT(ROW()-1,19)+2)</f>
        <v>41535</v>
      </c>
      <c r="DJ2273" s="4">
        <f>INDEX(Sheet2!C:C,QUOTIENT(ROW()-1,19)+2)</f>
        <v>42004</v>
      </c>
      <c r="DK2273" s="4" t="e">
        <f>INDEX(Sheet2!$AA$2:$AS$228,QUOTIENT(ROW()-1,19)+1,MOD(ROW()-2,19)+1)</f>
        <v>#N/A</v>
      </c>
      <c r="DL2273" t="str">
        <f>IFERROR(INDEX(Sheet2!$AU$2:$BM$228,QUOTIENT(ROW()-1,19)+1,MOD(ROW()-2,19)+1),NA())</f>
        <v/>
      </c>
      <c r="DM2273" s="4" t="e">
        <f t="shared" si="126"/>
        <v>#N/A</v>
      </c>
      <c r="DN2273" t="e">
        <f t="shared" si="127"/>
        <v>#N/A</v>
      </c>
      <c r="DO2273" t="e">
        <f t="shared" si="128"/>
        <v>#N/A</v>
      </c>
    </row>
    <row r="2274" spans="7:119" x14ac:dyDescent="0.25">
      <c r="G2274"/>
      <c r="DI2274" s="4">
        <f>INDEX(Sheet2!A:A,QUOTIENT(ROW()-1,19)+2)</f>
        <v>41535</v>
      </c>
      <c r="DJ2274" s="4">
        <f>INDEX(Sheet2!C:C,QUOTIENT(ROW()-1,19)+2)</f>
        <v>42004</v>
      </c>
      <c r="DK2274" s="4" t="e">
        <f>INDEX(Sheet2!$AA$2:$AS$228,QUOTIENT(ROW()-1,19)+1,MOD(ROW()-2,19)+1)</f>
        <v>#N/A</v>
      </c>
      <c r="DL2274" t="str">
        <f>IFERROR(INDEX(Sheet2!$AU$2:$BM$228,QUOTIENT(ROW()-1,19)+1,MOD(ROW()-2,19)+1),NA())</f>
        <v/>
      </c>
      <c r="DM2274" s="4" t="e">
        <f t="shared" si="126"/>
        <v>#N/A</v>
      </c>
      <c r="DN2274" t="e">
        <f t="shared" si="127"/>
        <v>#N/A</v>
      </c>
      <c r="DO2274" t="e">
        <f t="shared" si="128"/>
        <v>#N/A</v>
      </c>
    </row>
    <row r="2275" spans="7:119" x14ac:dyDescent="0.25">
      <c r="G2275"/>
      <c r="DI2275" s="4">
        <f>INDEX(Sheet2!A:A,QUOTIENT(ROW()-1,19)+2)</f>
        <v>41535</v>
      </c>
      <c r="DJ2275" s="4">
        <f>INDEX(Sheet2!C:C,QUOTIENT(ROW()-1,19)+2)</f>
        <v>42004</v>
      </c>
      <c r="DK2275" s="4" t="e">
        <f>INDEX(Sheet2!$AA$2:$AS$228,QUOTIENT(ROW()-1,19)+1,MOD(ROW()-2,19)+1)</f>
        <v>#N/A</v>
      </c>
      <c r="DL2275" t="str">
        <f>IFERROR(INDEX(Sheet2!$AU$2:$BM$228,QUOTIENT(ROW()-1,19)+1,MOD(ROW()-2,19)+1),NA())</f>
        <v/>
      </c>
      <c r="DM2275" s="4" t="e">
        <f t="shared" si="126"/>
        <v>#N/A</v>
      </c>
      <c r="DN2275" t="e">
        <f t="shared" si="127"/>
        <v>#N/A</v>
      </c>
      <c r="DO2275" t="e">
        <f t="shared" si="128"/>
        <v>#N/A</v>
      </c>
    </row>
    <row r="2276" spans="7:119" x14ac:dyDescent="0.25">
      <c r="G2276"/>
      <c r="DI2276" s="4">
        <f>INDEX(Sheet2!A:A,QUOTIENT(ROW()-1,19)+2)</f>
        <v>41535</v>
      </c>
      <c r="DJ2276" s="4">
        <f>INDEX(Sheet2!C:C,QUOTIENT(ROW()-1,19)+2)</f>
        <v>42004</v>
      </c>
      <c r="DK2276" s="4" t="e">
        <f>INDEX(Sheet2!$AA$2:$AS$228,QUOTIENT(ROW()-1,19)+1,MOD(ROW()-2,19)+1)</f>
        <v>#N/A</v>
      </c>
      <c r="DL2276" t="str">
        <f>IFERROR(INDEX(Sheet2!$AU$2:$BM$228,QUOTIENT(ROW()-1,19)+1,MOD(ROW()-2,19)+1),NA())</f>
        <v/>
      </c>
      <c r="DM2276" s="4" t="e">
        <f t="shared" si="126"/>
        <v>#N/A</v>
      </c>
      <c r="DN2276" t="e">
        <f t="shared" si="127"/>
        <v>#N/A</v>
      </c>
      <c r="DO2276" t="e">
        <f t="shared" si="128"/>
        <v>#N/A</v>
      </c>
    </row>
    <row r="2277" spans="7:119" x14ac:dyDescent="0.25">
      <c r="G2277"/>
      <c r="DI2277" s="4">
        <f>INDEX(Sheet2!A:A,QUOTIENT(ROW()-1,19)+2)</f>
        <v>41535</v>
      </c>
      <c r="DJ2277" s="4">
        <f>INDEX(Sheet2!C:C,QUOTIENT(ROW()-1,19)+2)</f>
        <v>42004</v>
      </c>
      <c r="DK2277" s="4" t="e">
        <f>INDEX(Sheet2!$AA$2:$AS$228,QUOTIENT(ROW()-1,19)+1,MOD(ROW()-2,19)+1)</f>
        <v>#N/A</v>
      </c>
      <c r="DL2277" t="str">
        <f>IFERROR(INDEX(Sheet2!$AU$2:$BM$228,QUOTIENT(ROW()-1,19)+1,MOD(ROW()-2,19)+1),NA())</f>
        <v/>
      </c>
      <c r="DM2277" s="4" t="e">
        <f t="shared" si="126"/>
        <v>#N/A</v>
      </c>
      <c r="DN2277" t="e">
        <f t="shared" si="127"/>
        <v>#N/A</v>
      </c>
      <c r="DO2277" t="e">
        <f t="shared" si="128"/>
        <v>#N/A</v>
      </c>
    </row>
    <row r="2278" spans="7:119" x14ac:dyDescent="0.25">
      <c r="G2278"/>
      <c r="DI2278" s="4">
        <f>INDEX(Sheet2!A:A,QUOTIENT(ROW()-1,19)+2)</f>
        <v>41535</v>
      </c>
      <c r="DJ2278" s="4">
        <f>INDEX(Sheet2!C:C,QUOTIENT(ROW()-1,19)+2)</f>
        <v>42004</v>
      </c>
      <c r="DK2278" s="4" t="e">
        <f>INDEX(Sheet2!$AA$2:$AS$228,QUOTIENT(ROW()-1,19)+1,MOD(ROW()-2,19)+1)</f>
        <v>#N/A</v>
      </c>
      <c r="DL2278" t="str">
        <f>IFERROR(INDEX(Sheet2!$AU$2:$BM$228,QUOTIENT(ROW()-1,19)+1,MOD(ROW()-2,19)+1),NA())</f>
        <v/>
      </c>
      <c r="DM2278" s="4" t="e">
        <f t="shared" si="126"/>
        <v>#N/A</v>
      </c>
      <c r="DN2278" t="e">
        <f t="shared" si="127"/>
        <v>#N/A</v>
      </c>
      <c r="DO2278" t="e">
        <f t="shared" si="128"/>
        <v>#N/A</v>
      </c>
    </row>
    <row r="2279" spans="7:119" x14ac:dyDescent="0.25">
      <c r="G2279"/>
      <c r="DI2279" s="4">
        <f>INDEX(Sheet2!A:A,QUOTIENT(ROW()-1,19)+2)</f>
        <v>41535</v>
      </c>
      <c r="DJ2279" s="4">
        <f>INDEX(Sheet2!C:C,QUOTIENT(ROW()-1,19)+2)</f>
        <v>42004</v>
      </c>
      <c r="DK2279" s="4" t="e">
        <f>INDEX(Sheet2!$AA$2:$AS$228,QUOTIENT(ROW()-1,19)+1,MOD(ROW()-2,19)+1)</f>
        <v>#N/A</v>
      </c>
      <c r="DL2279" t="str">
        <f>IFERROR(INDEX(Sheet2!$AU$2:$BM$228,QUOTIENT(ROW()-1,19)+1,MOD(ROW()-2,19)+1),NA())</f>
        <v/>
      </c>
      <c r="DM2279" s="4" t="e">
        <f t="shared" si="126"/>
        <v>#N/A</v>
      </c>
      <c r="DN2279" t="e">
        <f t="shared" si="127"/>
        <v>#N/A</v>
      </c>
      <c r="DO2279" t="e">
        <f t="shared" si="128"/>
        <v>#N/A</v>
      </c>
    </row>
    <row r="2280" spans="7:119" x14ac:dyDescent="0.25">
      <c r="G2280"/>
      <c r="DI2280" s="4">
        <f>INDEX(Sheet2!A:A,QUOTIENT(ROW()-1,19)+2)</f>
        <v>41535</v>
      </c>
      <c r="DJ2280" s="4">
        <f>INDEX(Sheet2!C:C,QUOTIENT(ROW()-1,19)+2)</f>
        <v>42004</v>
      </c>
      <c r="DK2280" s="4" t="e">
        <f>INDEX(Sheet2!$AA$2:$AS$228,QUOTIENT(ROW()-1,19)+1,MOD(ROW()-2,19)+1)</f>
        <v>#N/A</v>
      </c>
      <c r="DL2280" t="str">
        <f>IFERROR(INDEX(Sheet2!$AU$2:$BM$228,QUOTIENT(ROW()-1,19)+1,MOD(ROW()-2,19)+1),NA())</f>
        <v/>
      </c>
      <c r="DM2280" s="4" t="e">
        <f t="shared" si="126"/>
        <v>#N/A</v>
      </c>
      <c r="DN2280" t="e">
        <f t="shared" si="127"/>
        <v>#N/A</v>
      </c>
      <c r="DO2280" t="e">
        <f t="shared" si="128"/>
        <v>#N/A</v>
      </c>
    </row>
    <row r="2281" spans="7:119" x14ac:dyDescent="0.25">
      <c r="G2281"/>
      <c r="DI2281" s="4">
        <f>INDEX(Sheet2!A:A,QUOTIENT(ROW()-1,19)+2)</f>
        <v>41535</v>
      </c>
      <c r="DJ2281" s="4">
        <f>INDEX(Sheet2!C:C,QUOTIENT(ROW()-1,19)+2)</f>
        <v>42004</v>
      </c>
      <c r="DK2281" s="4" t="e">
        <f>INDEX(Sheet2!$AA$2:$AS$228,QUOTIENT(ROW()-1,19)+1,MOD(ROW()-2,19)+1)</f>
        <v>#N/A</v>
      </c>
      <c r="DL2281" t="str">
        <f>IFERROR(INDEX(Sheet2!$AU$2:$BM$228,QUOTIENT(ROW()-1,19)+1,MOD(ROW()-2,19)+1),NA())</f>
        <v/>
      </c>
      <c r="DM2281" s="4" t="e">
        <f t="shared" si="126"/>
        <v>#N/A</v>
      </c>
      <c r="DN2281" t="e">
        <f t="shared" si="127"/>
        <v>#N/A</v>
      </c>
      <c r="DO2281" t="e">
        <f t="shared" si="128"/>
        <v>#N/A</v>
      </c>
    </row>
    <row r="2282" spans="7:119" x14ac:dyDescent="0.25">
      <c r="G2282"/>
      <c r="DI2282" s="4">
        <f>INDEX(Sheet2!A:A,QUOTIENT(ROW()-1,19)+2)</f>
        <v>41535</v>
      </c>
      <c r="DJ2282" s="4">
        <f>INDEX(Sheet2!C:C,QUOTIENT(ROW()-1,19)+2)</f>
        <v>42004</v>
      </c>
      <c r="DK2282" s="4">
        <f>INDEX(Sheet2!$AA$2:$AS$228,QUOTIENT(ROW()-1,19)+1,MOD(ROW()-2,19)+1)</f>
        <v>42004</v>
      </c>
      <c r="DL2282">
        <f>IFERROR(INDEX(Sheet2!$AU$2:$BM$228,QUOTIENT(ROW()-1,19)+1,MOD(ROW()-2,19)+1),NA())</f>
        <v>1.25</v>
      </c>
      <c r="DM2282" s="4" t="e">
        <f t="shared" si="126"/>
        <v>#N/A</v>
      </c>
      <c r="DN2282" t="e">
        <f t="shared" si="127"/>
        <v>#N/A</v>
      </c>
      <c r="DO2282" t="e">
        <f t="shared" si="128"/>
        <v>#N/A</v>
      </c>
    </row>
    <row r="2283" spans="7:119" x14ac:dyDescent="0.25">
      <c r="G2283"/>
      <c r="DI2283" s="4">
        <f>INDEX(Sheet2!A:A,QUOTIENT(ROW()-1,19)+2)</f>
        <v>41535</v>
      </c>
      <c r="DJ2283" s="4">
        <f>INDEX(Sheet2!C:C,QUOTIENT(ROW()-1,19)+2)</f>
        <v>42004</v>
      </c>
      <c r="DK2283" s="4" t="e">
        <f>INDEX(Sheet2!$AA$2:$AS$228,QUOTIENT(ROW()-1,19)+1,MOD(ROW()-2,19)+1)</f>
        <v>#N/A</v>
      </c>
      <c r="DL2283" t="str">
        <f>IFERROR(INDEX(Sheet2!$AU$2:$BM$228,QUOTIENT(ROW()-1,19)+1,MOD(ROW()-2,19)+1),NA())</f>
        <v/>
      </c>
      <c r="DM2283" s="4" t="e">
        <f t="shared" si="126"/>
        <v>#N/A</v>
      </c>
      <c r="DN2283" t="e">
        <f t="shared" si="127"/>
        <v>#N/A</v>
      </c>
      <c r="DO2283" t="e">
        <f t="shared" si="128"/>
        <v>#N/A</v>
      </c>
    </row>
    <row r="2284" spans="7:119" x14ac:dyDescent="0.25">
      <c r="G2284"/>
      <c r="DI2284" s="4">
        <f>INDEX(Sheet2!A:A,QUOTIENT(ROW()-1,19)+2)</f>
        <v>41535</v>
      </c>
      <c r="DJ2284" s="4">
        <f>INDEX(Sheet2!C:C,QUOTIENT(ROW()-1,19)+2)</f>
        <v>42004</v>
      </c>
      <c r="DK2284" s="4" t="e">
        <f>INDEX(Sheet2!$AA$2:$AS$228,QUOTIENT(ROW()-1,19)+1,MOD(ROW()-2,19)+1)</f>
        <v>#N/A</v>
      </c>
      <c r="DL2284" t="str">
        <f>IFERROR(INDEX(Sheet2!$AU$2:$BM$228,QUOTIENT(ROW()-1,19)+1,MOD(ROW()-2,19)+1),NA())</f>
        <v/>
      </c>
      <c r="DM2284" s="4" t="e">
        <f t="shared" si="126"/>
        <v>#N/A</v>
      </c>
      <c r="DN2284" t="e">
        <f t="shared" si="127"/>
        <v>#N/A</v>
      </c>
      <c r="DO2284" t="e">
        <f t="shared" si="128"/>
        <v>#N/A</v>
      </c>
    </row>
    <row r="2285" spans="7:119" x14ac:dyDescent="0.25">
      <c r="G2285"/>
      <c r="DI2285" s="4">
        <f>INDEX(Sheet2!A:A,QUOTIENT(ROW()-1,19)+2)</f>
        <v>41535</v>
      </c>
      <c r="DJ2285" s="4">
        <f>INDEX(Sheet2!C:C,QUOTIENT(ROW()-1,19)+2)</f>
        <v>42004</v>
      </c>
      <c r="DK2285" s="4" t="e">
        <f>INDEX(Sheet2!$AA$2:$AS$228,QUOTIENT(ROW()-1,19)+1,MOD(ROW()-2,19)+1)</f>
        <v>#N/A</v>
      </c>
      <c r="DL2285" t="str">
        <f>IFERROR(INDEX(Sheet2!$AU$2:$BM$228,QUOTIENT(ROW()-1,19)+1,MOD(ROW()-2,19)+1),NA())</f>
        <v/>
      </c>
      <c r="DM2285" s="4" t="e">
        <f t="shared" si="126"/>
        <v>#N/A</v>
      </c>
      <c r="DN2285" t="e">
        <f t="shared" si="127"/>
        <v>#N/A</v>
      </c>
      <c r="DO2285" t="e">
        <f t="shared" si="128"/>
        <v>#N/A</v>
      </c>
    </row>
    <row r="2286" spans="7:119" x14ac:dyDescent="0.25">
      <c r="G2286"/>
      <c r="DI2286" s="4">
        <f>INDEX(Sheet2!A:A,QUOTIENT(ROW()-1,19)+2)</f>
        <v>41535</v>
      </c>
      <c r="DJ2286" s="4">
        <f>INDEX(Sheet2!C:C,QUOTIENT(ROW()-1,19)+2)</f>
        <v>42004</v>
      </c>
      <c r="DK2286" s="4" t="e">
        <f>INDEX(Sheet2!$AA$2:$AS$228,QUOTIENT(ROW()-1,19)+1,MOD(ROW()-2,19)+1)</f>
        <v>#N/A</v>
      </c>
      <c r="DL2286" t="str">
        <f>IFERROR(INDEX(Sheet2!$AU$2:$BM$228,QUOTIENT(ROW()-1,19)+1,MOD(ROW()-2,19)+1),NA())</f>
        <v/>
      </c>
      <c r="DM2286" s="4" t="e">
        <f t="shared" si="126"/>
        <v>#N/A</v>
      </c>
      <c r="DN2286" t="e">
        <f t="shared" si="127"/>
        <v>#N/A</v>
      </c>
      <c r="DO2286" t="e">
        <f t="shared" si="128"/>
        <v>#N/A</v>
      </c>
    </row>
    <row r="2287" spans="7:119" x14ac:dyDescent="0.25">
      <c r="G2287"/>
      <c r="DI2287" s="4">
        <f>INDEX(Sheet2!A:A,QUOTIENT(ROW()-1,19)+2)</f>
        <v>41535</v>
      </c>
      <c r="DJ2287" s="4">
        <f>INDEX(Sheet2!C:C,QUOTIENT(ROW()-1,19)+2)</f>
        <v>42004</v>
      </c>
      <c r="DK2287" s="4" t="e">
        <f>INDEX(Sheet2!$AA$2:$AS$228,QUOTIENT(ROW()-1,19)+1,MOD(ROW()-2,19)+1)</f>
        <v>#N/A</v>
      </c>
      <c r="DL2287" t="str">
        <f>IFERROR(INDEX(Sheet2!$AU$2:$BM$228,QUOTIENT(ROW()-1,19)+1,MOD(ROW()-2,19)+1),NA())</f>
        <v/>
      </c>
      <c r="DM2287" s="4" t="e">
        <f t="shared" si="126"/>
        <v>#N/A</v>
      </c>
      <c r="DN2287" t="e">
        <f t="shared" si="127"/>
        <v>#N/A</v>
      </c>
      <c r="DO2287" t="e">
        <f t="shared" si="128"/>
        <v>#N/A</v>
      </c>
    </row>
    <row r="2288" spans="7:119" x14ac:dyDescent="0.25">
      <c r="G2288"/>
      <c r="DI2288" s="4">
        <f>INDEX(Sheet2!A:A,QUOTIENT(ROW()-1,19)+2)</f>
        <v>41535</v>
      </c>
      <c r="DJ2288" s="4">
        <f>INDEX(Sheet2!C:C,QUOTIENT(ROW()-1,19)+2)</f>
        <v>42004</v>
      </c>
      <c r="DK2288" s="4" t="e">
        <f>INDEX(Sheet2!$AA$2:$AS$228,QUOTIENT(ROW()-1,19)+1,MOD(ROW()-2,19)+1)</f>
        <v>#N/A</v>
      </c>
      <c r="DL2288" t="str">
        <f>IFERROR(INDEX(Sheet2!$AU$2:$BM$228,QUOTIENT(ROW()-1,19)+1,MOD(ROW()-2,19)+1),NA())</f>
        <v/>
      </c>
      <c r="DM2288" s="4" t="e">
        <f t="shared" si="126"/>
        <v>#N/A</v>
      </c>
      <c r="DN2288" t="e">
        <f t="shared" si="127"/>
        <v>#N/A</v>
      </c>
      <c r="DO2288" t="e">
        <f t="shared" si="128"/>
        <v>#N/A</v>
      </c>
    </row>
    <row r="2289" spans="7:119" x14ac:dyDescent="0.25">
      <c r="G2289"/>
      <c r="DI2289" s="4">
        <f>INDEX(Sheet2!A:A,QUOTIENT(ROW()-1,19)+2)</f>
        <v>41535</v>
      </c>
      <c r="DJ2289" s="4">
        <f>INDEX(Sheet2!C:C,QUOTIENT(ROW()-1,19)+2)</f>
        <v>42004</v>
      </c>
      <c r="DK2289" s="4" t="e">
        <f>INDEX(Sheet2!$AA$2:$AS$228,QUOTIENT(ROW()-1,19)+1,MOD(ROW()-2,19)+1)</f>
        <v>#N/A</v>
      </c>
      <c r="DL2289" t="str">
        <f>IFERROR(INDEX(Sheet2!$AU$2:$BM$228,QUOTIENT(ROW()-1,19)+1,MOD(ROW()-2,19)+1),NA())</f>
        <v/>
      </c>
      <c r="DM2289" s="4" t="e">
        <f t="shared" si="126"/>
        <v>#N/A</v>
      </c>
      <c r="DN2289" t="e">
        <f t="shared" si="127"/>
        <v>#N/A</v>
      </c>
      <c r="DO2289" t="e">
        <f t="shared" si="128"/>
        <v>#N/A</v>
      </c>
    </row>
    <row r="2290" spans="7:119" x14ac:dyDescent="0.25">
      <c r="G2290"/>
      <c r="DI2290" s="4">
        <f>INDEX(Sheet2!A:A,QUOTIENT(ROW()-1,19)+2)</f>
        <v>41535</v>
      </c>
      <c r="DJ2290" s="4">
        <f>INDEX(Sheet2!C:C,QUOTIENT(ROW()-1,19)+2)</f>
        <v>42004</v>
      </c>
      <c r="DK2290" s="4" t="e">
        <f>INDEX(Sheet2!$AA$2:$AS$228,QUOTIENT(ROW()-1,19)+1,MOD(ROW()-2,19)+1)</f>
        <v>#N/A</v>
      </c>
      <c r="DL2290" t="str">
        <f>IFERROR(INDEX(Sheet2!$AU$2:$BM$228,QUOTIENT(ROW()-1,19)+1,MOD(ROW()-2,19)+1),NA())</f>
        <v/>
      </c>
      <c r="DM2290" s="4" t="e">
        <f t="shared" si="126"/>
        <v>#N/A</v>
      </c>
      <c r="DN2290" t="e">
        <f t="shared" si="127"/>
        <v>#N/A</v>
      </c>
      <c r="DO2290" t="e">
        <f t="shared" si="128"/>
        <v>#N/A</v>
      </c>
    </row>
    <row r="2291" spans="7:119" x14ac:dyDescent="0.25">
      <c r="G2291"/>
      <c r="DI2291" s="4">
        <f>INDEX(Sheet2!A:A,QUOTIENT(ROW()-1,19)+2)</f>
        <v>41535</v>
      </c>
      <c r="DJ2291" s="4">
        <f>INDEX(Sheet2!C:C,QUOTIENT(ROW()-1,19)+2)</f>
        <v>42004</v>
      </c>
      <c r="DK2291" s="4" t="e">
        <f>INDEX(Sheet2!$AA$2:$AS$228,QUOTIENT(ROW()-1,19)+1,MOD(ROW()-2,19)+1)</f>
        <v>#N/A</v>
      </c>
      <c r="DL2291" t="str">
        <f>IFERROR(INDEX(Sheet2!$AU$2:$BM$228,QUOTIENT(ROW()-1,19)+1,MOD(ROW()-2,19)+1),NA())</f>
        <v/>
      </c>
      <c r="DM2291" s="4" t="e">
        <f t="shared" si="126"/>
        <v>#N/A</v>
      </c>
      <c r="DN2291" t="e">
        <f t="shared" si="127"/>
        <v>#N/A</v>
      </c>
      <c r="DO2291" t="e">
        <f t="shared" si="128"/>
        <v>#N/A</v>
      </c>
    </row>
    <row r="2292" spans="7:119" x14ac:dyDescent="0.25">
      <c r="G2292"/>
      <c r="DI2292" s="4">
        <f>INDEX(Sheet2!A:A,QUOTIENT(ROW()-1,19)+2)</f>
        <v>41535</v>
      </c>
      <c r="DJ2292" s="4">
        <f>INDEX(Sheet2!C:C,QUOTIENT(ROW()-1,19)+2)</f>
        <v>42004</v>
      </c>
      <c r="DK2292" s="4" t="e">
        <f>INDEX(Sheet2!$AA$2:$AS$228,QUOTIENT(ROW()-1,19)+1,MOD(ROW()-2,19)+1)</f>
        <v>#N/A</v>
      </c>
      <c r="DL2292" t="str">
        <f>IFERROR(INDEX(Sheet2!$AU$2:$BM$228,QUOTIENT(ROW()-1,19)+1,MOD(ROW()-2,19)+1),NA())</f>
        <v/>
      </c>
      <c r="DM2292" s="4" t="e">
        <f t="shared" si="126"/>
        <v>#N/A</v>
      </c>
      <c r="DN2292" t="e">
        <f t="shared" si="127"/>
        <v>#N/A</v>
      </c>
      <c r="DO2292" t="e">
        <f t="shared" si="128"/>
        <v>#N/A</v>
      </c>
    </row>
    <row r="2293" spans="7:119" x14ac:dyDescent="0.25">
      <c r="G2293"/>
      <c r="DI2293" s="4">
        <f>INDEX(Sheet2!A:A,QUOTIENT(ROW()-1,19)+2)</f>
        <v>41535</v>
      </c>
      <c r="DJ2293" s="4">
        <f>INDEX(Sheet2!C:C,QUOTIENT(ROW()-1,19)+2)</f>
        <v>42004</v>
      </c>
      <c r="DK2293" s="4" t="e">
        <f>INDEX(Sheet2!$AA$2:$AS$228,QUOTIENT(ROW()-1,19)+1,MOD(ROW()-2,19)+1)</f>
        <v>#N/A</v>
      </c>
      <c r="DL2293" t="str">
        <f>IFERROR(INDEX(Sheet2!$AU$2:$BM$228,QUOTIENT(ROW()-1,19)+1,MOD(ROW()-2,19)+1),NA())</f>
        <v/>
      </c>
      <c r="DM2293" s="4" t="e">
        <f t="shared" si="126"/>
        <v>#N/A</v>
      </c>
      <c r="DN2293" t="e">
        <f t="shared" si="127"/>
        <v>#N/A</v>
      </c>
      <c r="DO2293" t="e">
        <f t="shared" si="128"/>
        <v>#N/A</v>
      </c>
    </row>
    <row r="2294" spans="7:119" x14ac:dyDescent="0.25">
      <c r="G2294"/>
      <c r="DI2294" s="4">
        <f>INDEX(Sheet2!A:A,QUOTIENT(ROW()-1,19)+2)</f>
        <v>41535</v>
      </c>
      <c r="DJ2294" s="4">
        <f>INDEX(Sheet2!C:C,QUOTIENT(ROW()-1,19)+2)</f>
        <v>42004</v>
      </c>
      <c r="DK2294" s="4" t="e">
        <f>INDEX(Sheet2!$AA$2:$AS$228,QUOTIENT(ROW()-1,19)+1,MOD(ROW()-2,19)+1)</f>
        <v>#N/A</v>
      </c>
      <c r="DL2294" t="str">
        <f>IFERROR(INDEX(Sheet2!$AU$2:$BM$228,QUOTIENT(ROW()-1,19)+1,MOD(ROW()-2,19)+1),NA())</f>
        <v/>
      </c>
      <c r="DM2294" s="4" t="e">
        <f t="shared" si="126"/>
        <v>#N/A</v>
      </c>
      <c r="DN2294" t="e">
        <f t="shared" si="127"/>
        <v>#N/A</v>
      </c>
      <c r="DO2294" t="e">
        <f t="shared" si="128"/>
        <v>#N/A</v>
      </c>
    </row>
    <row r="2295" spans="7:119" x14ac:dyDescent="0.25">
      <c r="G2295"/>
      <c r="DI2295" s="4">
        <f>INDEX(Sheet2!A:A,QUOTIENT(ROW()-1,19)+2)</f>
        <v>41535</v>
      </c>
      <c r="DJ2295" s="4">
        <f>INDEX(Sheet2!C:C,QUOTIENT(ROW()-1,19)+2)</f>
        <v>42004</v>
      </c>
      <c r="DK2295" s="4" t="e">
        <f>INDEX(Sheet2!$AA$2:$AS$228,QUOTIENT(ROW()-1,19)+1,MOD(ROW()-2,19)+1)</f>
        <v>#N/A</v>
      </c>
      <c r="DL2295" t="str">
        <f>IFERROR(INDEX(Sheet2!$AU$2:$BM$228,QUOTIENT(ROW()-1,19)+1,MOD(ROW()-2,19)+1),NA())</f>
        <v/>
      </c>
      <c r="DM2295" s="4" t="e">
        <f t="shared" si="126"/>
        <v>#N/A</v>
      </c>
      <c r="DN2295" t="e">
        <f t="shared" si="127"/>
        <v>#N/A</v>
      </c>
      <c r="DO2295" t="e">
        <f t="shared" si="128"/>
        <v>#N/A</v>
      </c>
    </row>
    <row r="2296" spans="7:119" x14ac:dyDescent="0.25">
      <c r="G2296"/>
      <c r="DI2296" s="4">
        <f>INDEX(Sheet2!A:A,QUOTIENT(ROW()-1,19)+2)</f>
        <v>41535</v>
      </c>
      <c r="DJ2296" s="4">
        <f>INDEX(Sheet2!C:C,QUOTIENT(ROW()-1,19)+2)</f>
        <v>42004</v>
      </c>
      <c r="DK2296" s="4" t="e">
        <f>INDEX(Sheet2!$AA$2:$AS$228,QUOTIENT(ROW()-1,19)+1,MOD(ROW()-2,19)+1)</f>
        <v>#N/A</v>
      </c>
      <c r="DL2296" t="str">
        <f>IFERROR(INDEX(Sheet2!$AU$2:$BM$228,QUOTIENT(ROW()-1,19)+1,MOD(ROW()-2,19)+1),NA())</f>
        <v/>
      </c>
      <c r="DM2296" s="4" t="e">
        <f t="shared" si="126"/>
        <v>#N/A</v>
      </c>
      <c r="DN2296" t="e">
        <f t="shared" si="127"/>
        <v>#N/A</v>
      </c>
      <c r="DO2296" t="e">
        <f t="shared" si="128"/>
        <v>#N/A</v>
      </c>
    </row>
    <row r="2297" spans="7:119" x14ac:dyDescent="0.25">
      <c r="G2297"/>
      <c r="DI2297" s="4">
        <f>INDEX(Sheet2!A:A,QUOTIENT(ROW()-1,19)+2)</f>
        <v>41535</v>
      </c>
      <c r="DJ2297" s="4">
        <f>INDEX(Sheet2!C:C,QUOTIENT(ROW()-1,19)+2)</f>
        <v>42004</v>
      </c>
      <c r="DK2297" s="4" t="e">
        <f>INDEX(Sheet2!$AA$2:$AS$228,QUOTIENT(ROW()-1,19)+1,MOD(ROW()-2,19)+1)</f>
        <v>#N/A</v>
      </c>
      <c r="DL2297" t="str">
        <f>IFERROR(INDEX(Sheet2!$AU$2:$BM$228,QUOTIENT(ROW()-1,19)+1,MOD(ROW()-2,19)+1),NA())</f>
        <v/>
      </c>
      <c r="DM2297" s="4" t="e">
        <f t="shared" si="126"/>
        <v>#N/A</v>
      </c>
      <c r="DN2297" t="e">
        <f t="shared" si="127"/>
        <v>#N/A</v>
      </c>
      <c r="DO2297" t="e">
        <f t="shared" si="128"/>
        <v>#N/A</v>
      </c>
    </row>
    <row r="2298" spans="7:119" x14ac:dyDescent="0.25">
      <c r="G2298"/>
      <c r="DI2298" s="4">
        <f>INDEX(Sheet2!A:A,QUOTIENT(ROW()-1,19)+2)</f>
        <v>41535</v>
      </c>
      <c r="DJ2298" s="4">
        <f>INDEX(Sheet2!C:C,QUOTIENT(ROW()-1,19)+2)</f>
        <v>42004</v>
      </c>
      <c r="DK2298" s="4" t="e">
        <f>INDEX(Sheet2!$AA$2:$AS$228,QUOTIENT(ROW()-1,19)+1,MOD(ROW()-2,19)+1)</f>
        <v>#N/A</v>
      </c>
      <c r="DL2298" t="str">
        <f>IFERROR(INDEX(Sheet2!$AU$2:$BM$228,QUOTIENT(ROW()-1,19)+1,MOD(ROW()-2,19)+1),NA())</f>
        <v/>
      </c>
      <c r="DM2298" s="4" t="e">
        <f t="shared" si="126"/>
        <v>#N/A</v>
      </c>
      <c r="DN2298" t="e">
        <f t="shared" si="127"/>
        <v>#N/A</v>
      </c>
      <c r="DO2298" t="e">
        <f t="shared" si="128"/>
        <v>#N/A</v>
      </c>
    </row>
    <row r="2299" spans="7:119" x14ac:dyDescent="0.25">
      <c r="G2299"/>
      <c r="DI2299" s="4">
        <f>INDEX(Sheet2!A:A,QUOTIENT(ROW()-1,19)+2)</f>
        <v>41535</v>
      </c>
      <c r="DJ2299" s="4">
        <f>INDEX(Sheet2!C:C,QUOTIENT(ROW()-1,19)+2)</f>
        <v>42004</v>
      </c>
      <c r="DK2299" s="4" t="e">
        <f>INDEX(Sheet2!$AA$2:$AS$228,QUOTIENT(ROW()-1,19)+1,MOD(ROW()-2,19)+1)</f>
        <v>#N/A</v>
      </c>
      <c r="DL2299" t="str">
        <f>IFERROR(INDEX(Sheet2!$AU$2:$BM$228,QUOTIENT(ROW()-1,19)+1,MOD(ROW()-2,19)+1),NA())</f>
        <v/>
      </c>
      <c r="DM2299" s="4" t="e">
        <f t="shared" si="126"/>
        <v>#N/A</v>
      </c>
      <c r="DN2299" t="e">
        <f t="shared" si="127"/>
        <v>#N/A</v>
      </c>
      <c r="DO2299" t="e">
        <f t="shared" si="128"/>
        <v>#N/A</v>
      </c>
    </row>
    <row r="2300" spans="7:119" x14ac:dyDescent="0.25">
      <c r="G2300"/>
      <c r="DI2300" s="4">
        <f>INDEX(Sheet2!A:A,QUOTIENT(ROW()-1,19)+2)</f>
        <v>41535</v>
      </c>
      <c r="DJ2300" s="4">
        <f>INDEX(Sheet2!C:C,QUOTIENT(ROW()-1,19)+2)</f>
        <v>42369</v>
      </c>
      <c r="DK2300" s="4" t="e">
        <f>INDEX(Sheet2!$AA$2:$AS$228,QUOTIENT(ROW()-1,19)+1,MOD(ROW()-2,19)+1)</f>
        <v>#N/A</v>
      </c>
      <c r="DL2300" t="str">
        <f>IFERROR(INDEX(Sheet2!$AU$2:$BM$228,QUOTIENT(ROW()-1,19)+1,MOD(ROW()-2,19)+1),NA())</f>
        <v/>
      </c>
      <c r="DM2300" s="4" t="e">
        <f t="shared" si="126"/>
        <v>#N/A</v>
      </c>
      <c r="DN2300" t="e">
        <f t="shared" si="127"/>
        <v>#N/A</v>
      </c>
      <c r="DO2300" t="e">
        <f t="shared" si="128"/>
        <v>#N/A</v>
      </c>
    </row>
    <row r="2301" spans="7:119" x14ac:dyDescent="0.25">
      <c r="G2301"/>
      <c r="DI2301" s="4">
        <f>INDEX(Sheet2!A:A,QUOTIENT(ROW()-1,19)+2)</f>
        <v>41535</v>
      </c>
      <c r="DJ2301" s="4">
        <f>INDEX(Sheet2!C:C,QUOTIENT(ROW()-1,19)+2)</f>
        <v>42369</v>
      </c>
      <c r="DK2301" s="4">
        <f>INDEX(Sheet2!$AA$2:$AS$228,QUOTIENT(ROW()-1,19)+1,MOD(ROW()-2,19)+1)</f>
        <v>42358.962500000001</v>
      </c>
      <c r="DL2301">
        <f>IFERROR(INDEX(Sheet2!$AU$2:$BM$228,QUOTIENT(ROW()-1,19)+1,MOD(ROW()-2,19)+1),NA())</f>
        <v>0.25</v>
      </c>
      <c r="DM2301" s="4" t="e">
        <f t="shared" si="126"/>
        <v>#N/A</v>
      </c>
      <c r="DN2301" t="e">
        <f t="shared" si="127"/>
        <v>#N/A</v>
      </c>
      <c r="DO2301" t="e">
        <f t="shared" si="128"/>
        <v>#N/A</v>
      </c>
    </row>
    <row r="2302" spans="7:119" x14ac:dyDescent="0.25">
      <c r="G2302"/>
      <c r="DI2302" s="4">
        <f>INDEX(Sheet2!A:A,QUOTIENT(ROW()-1,19)+2)</f>
        <v>41535</v>
      </c>
      <c r="DJ2302" s="4">
        <f>INDEX(Sheet2!C:C,QUOTIENT(ROW()-1,19)+2)</f>
        <v>42369</v>
      </c>
      <c r="DK2302" s="4">
        <f>INDEX(Sheet2!$AA$2:$AS$228,QUOTIENT(ROW()-1,19)+1,MOD(ROW()-2,19)+1)</f>
        <v>42379.037500000006</v>
      </c>
      <c r="DL2302">
        <f>IFERROR(INDEX(Sheet2!$AU$2:$BM$228,QUOTIENT(ROW()-1,19)+1,MOD(ROW()-2,19)+1),NA())</f>
        <v>0.25</v>
      </c>
      <c r="DM2302" s="4" t="e">
        <f t="shared" si="126"/>
        <v>#N/A</v>
      </c>
      <c r="DN2302" t="e">
        <f t="shared" si="127"/>
        <v>#N/A</v>
      </c>
      <c r="DO2302" t="e">
        <f t="shared" si="128"/>
        <v>#N/A</v>
      </c>
    </row>
    <row r="2303" spans="7:119" x14ac:dyDescent="0.25">
      <c r="G2303"/>
      <c r="DI2303" s="4">
        <f>INDEX(Sheet2!A:A,QUOTIENT(ROW()-1,19)+2)</f>
        <v>41535</v>
      </c>
      <c r="DJ2303" s="4">
        <f>INDEX(Sheet2!C:C,QUOTIENT(ROW()-1,19)+2)</f>
        <v>42369</v>
      </c>
      <c r="DK2303" s="4" t="e">
        <f>INDEX(Sheet2!$AA$2:$AS$228,QUOTIENT(ROW()-1,19)+1,MOD(ROW()-2,19)+1)</f>
        <v>#N/A</v>
      </c>
      <c r="DL2303" t="str">
        <f>IFERROR(INDEX(Sheet2!$AU$2:$BM$228,QUOTIENT(ROW()-1,19)+1,MOD(ROW()-2,19)+1),NA())</f>
        <v/>
      </c>
      <c r="DM2303" s="4" t="e">
        <f t="shared" si="126"/>
        <v>#N/A</v>
      </c>
      <c r="DN2303" t="e">
        <f t="shared" si="127"/>
        <v>#N/A</v>
      </c>
      <c r="DO2303" t="e">
        <f t="shared" si="128"/>
        <v>#N/A</v>
      </c>
    </row>
    <row r="2304" spans="7:119" x14ac:dyDescent="0.25">
      <c r="G2304"/>
      <c r="DI2304" s="4">
        <f>INDEX(Sheet2!A:A,QUOTIENT(ROW()-1,19)+2)</f>
        <v>41535</v>
      </c>
      <c r="DJ2304" s="4">
        <f>INDEX(Sheet2!C:C,QUOTIENT(ROW()-1,19)+2)</f>
        <v>42369</v>
      </c>
      <c r="DK2304" s="4" t="e">
        <f>INDEX(Sheet2!$AA$2:$AS$228,QUOTIENT(ROW()-1,19)+1,MOD(ROW()-2,19)+1)</f>
        <v>#N/A</v>
      </c>
      <c r="DL2304" t="str">
        <f>IFERROR(INDEX(Sheet2!$AU$2:$BM$228,QUOTIENT(ROW()-1,19)+1,MOD(ROW()-2,19)+1),NA())</f>
        <v/>
      </c>
      <c r="DM2304" s="4" t="e">
        <f t="shared" si="126"/>
        <v>#N/A</v>
      </c>
      <c r="DN2304" t="e">
        <f t="shared" si="127"/>
        <v>#N/A</v>
      </c>
      <c r="DO2304" t="e">
        <f t="shared" si="128"/>
        <v>#N/A</v>
      </c>
    </row>
    <row r="2305" spans="7:119" x14ac:dyDescent="0.25">
      <c r="G2305"/>
      <c r="DI2305" s="4">
        <f>INDEX(Sheet2!A:A,QUOTIENT(ROW()-1,19)+2)</f>
        <v>41535</v>
      </c>
      <c r="DJ2305" s="4">
        <f>INDEX(Sheet2!C:C,QUOTIENT(ROW()-1,19)+2)</f>
        <v>42369</v>
      </c>
      <c r="DK2305" s="4" t="e">
        <f>INDEX(Sheet2!$AA$2:$AS$228,QUOTIENT(ROW()-1,19)+1,MOD(ROW()-2,19)+1)</f>
        <v>#N/A</v>
      </c>
      <c r="DL2305" t="str">
        <f>IFERROR(INDEX(Sheet2!$AU$2:$BM$228,QUOTIENT(ROW()-1,19)+1,MOD(ROW()-2,19)+1),NA())</f>
        <v/>
      </c>
      <c r="DM2305" s="4" t="e">
        <f t="shared" si="126"/>
        <v>#N/A</v>
      </c>
      <c r="DN2305" t="e">
        <f t="shared" si="127"/>
        <v>#N/A</v>
      </c>
      <c r="DO2305" t="e">
        <f t="shared" si="128"/>
        <v>#N/A</v>
      </c>
    </row>
    <row r="2306" spans="7:119" x14ac:dyDescent="0.25">
      <c r="G2306"/>
      <c r="DI2306" s="4">
        <f>INDEX(Sheet2!A:A,QUOTIENT(ROW()-1,19)+2)</f>
        <v>41535</v>
      </c>
      <c r="DJ2306" s="4">
        <f>INDEX(Sheet2!C:C,QUOTIENT(ROW()-1,19)+2)</f>
        <v>42369</v>
      </c>
      <c r="DK2306" s="4" t="e">
        <f>INDEX(Sheet2!$AA$2:$AS$228,QUOTIENT(ROW()-1,19)+1,MOD(ROW()-2,19)+1)</f>
        <v>#N/A</v>
      </c>
      <c r="DL2306" t="str">
        <f>IFERROR(INDEX(Sheet2!$AU$2:$BM$228,QUOTIENT(ROW()-1,19)+1,MOD(ROW()-2,19)+1),NA())</f>
        <v/>
      </c>
      <c r="DM2306" s="4" t="e">
        <f t="shared" ref="DM2306:DM2369" si="129">+IF($C$2=$DI2306,DK2306,NA())</f>
        <v>#N/A</v>
      </c>
      <c r="DN2306" t="e">
        <f t="shared" ref="DN2306:DN2369" si="130">+IF($C$2=$DI2306,DL2306,NA())</f>
        <v>#N/A</v>
      </c>
      <c r="DO2306" t="e">
        <f t="shared" si="128"/>
        <v>#N/A</v>
      </c>
    </row>
    <row r="2307" spans="7:119" x14ac:dyDescent="0.25">
      <c r="G2307"/>
      <c r="DI2307" s="4">
        <f>INDEX(Sheet2!A:A,QUOTIENT(ROW()-1,19)+2)</f>
        <v>41535</v>
      </c>
      <c r="DJ2307" s="4">
        <f>INDEX(Sheet2!C:C,QUOTIENT(ROW()-1,19)+2)</f>
        <v>42369</v>
      </c>
      <c r="DK2307" s="4" t="e">
        <f>INDEX(Sheet2!$AA$2:$AS$228,QUOTIENT(ROW()-1,19)+1,MOD(ROW()-2,19)+1)</f>
        <v>#N/A</v>
      </c>
      <c r="DL2307" t="str">
        <f>IFERROR(INDEX(Sheet2!$AU$2:$BM$228,QUOTIENT(ROW()-1,19)+1,MOD(ROW()-2,19)+1),NA())</f>
        <v/>
      </c>
      <c r="DM2307" s="4" t="e">
        <f t="shared" si="129"/>
        <v>#N/A</v>
      </c>
      <c r="DN2307" t="e">
        <f t="shared" si="130"/>
        <v>#N/A</v>
      </c>
      <c r="DO2307" t="e">
        <f t="shared" ref="DO2307:DO2370" si="131">IF(DN2307="",NA(),DN2307)</f>
        <v>#N/A</v>
      </c>
    </row>
    <row r="2308" spans="7:119" x14ac:dyDescent="0.25">
      <c r="G2308"/>
      <c r="DI2308" s="4">
        <f>INDEX(Sheet2!A:A,QUOTIENT(ROW()-1,19)+2)</f>
        <v>41535</v>
      </c>
      <c r="DJ2308" s="4">
        <f>INDEX(Sheet2!C:C,QUOTIENT(ROW()-1,19)+2)</f>
        <v>42369</v>
      </c>
      <c r="DK2308" s="4" t="e">
        <f>INDEX(Sheet2!$AA$2:$AS$228,QUOTIENT(ROW()-1,19)+1,MOD(ROW()-2,19)+1)</f>
        <v>#N/A</v>
      </c>
      <c r="DL2308" t="str">
        <f>IFERROR(INDEX(Sheet2!$AU$2:$BM$228,QUOTIENT(ROW()-1,19)+1,MOD(ROW()-2,19)+1),NA())</f>
        <v/>
      </c>
      <c r="DM2308" s="4" t="e">
        <f t="shared" si="129"/>
        <v>#N/A</v>
      </c>
      <c r="DN2308" t="e">
        <f t="shared" si="130"/>
        <v>#N/A</v>
      </c>
      <c r="DO2308" t="e">
        <f t="shared" si="131"/>
        <v>#N/A</v>
      </c>
    </row>
    <row r="2309" spans="7:119" x14ac:dyDescent="0.25">
      <c r="G2309"/>
      <c r="DI2309" s="4">
        <f>INDEX(Sheet2!A:A,QUOTIENT(ROW()-1,19)+2)</f>
        <v>41535</v>
      </c>
      <c r="DJ2309" s="4">
        <f>INDEX(Sheet2!C:C,QUOTIENT(ROW()-1,19)+2)</f>
        <v>42369</v>
      </c>
      <c r="DK2309" s="4" t="e">
        <f>INDEX(Sheet2!$AA$2:$AS$228,QUOTIENT(ROW()-1,19)+1,MOD(ROW()-2,19)+1)</f>
        <v>#N/A</v>
      </c>
      <c r="DL2309" t="str">
        <f>IFERROR(INDEX(Sheet2!$AU$2:$BM$228,QUOTIENT(ROW()-1,19)+1,MOD(ROW()-2,19)+1),NA())</f>
        <v/>
      </c>
      <c r="DM2309" s="4" t="e">
        <f t="shared" si="129"/>
        <v>#N/A</v>
      </c>
      <c r="DN2309" t="e">
        <f t="shared" si="130"/>
        <v>#N/A</v>
      </c>
      <c r="DO2309" t="e">
        <f t="shared" si="131"/>
        <v>#N/A</v>
      </c>
    </row>
    <row r="2310" spans="7:119" x14ac:dyDescent="0.25">
      <c r="G2310"/>
      <c r="DI2310" s="4">
        <f>INDEX(Sheet2!A:A,QUOTIENT(ROW()-1,19)+2)</f>
        <v>41535</v>
      </c>
      <c r="DJ2310" s="4">
        <f>INDEX(Sheet2!C:C,QUOTIENT(ROW()-1,19)+2)</f>
        <v>42369</v>
      </c>
      <c r="DK2310" s="4" t="e">
        <f>INDEX(Sheet2!$AA$2:$AS$228,QUOTIENT(ROW()-1,19)+1,MOD(ROW()-2,19)+1)</f>
        <v>#N/A</v>
      </c>
      <c r="DL2310" t="str">
        <f>IFERROR(INDEX(Sheet2!$AU$2:$BM$228,QUOTIENT(ROW()-1,19)+1,MOD(ROW()-2,19)+1),NA())</f>
        <v/>
      </c>
      <c r="DM2310" s="4" t="e">
        <f t="shared" si="129"/>
        <v>#N/A</v>
      </c>
      <c r="DN2310" t="e">
        <f t="shared" si="130"/>
        <v>#N/A</v>
      </c>
      <c r="DO2310" t="e">
        <f t="shared" si="131"/>
        <v>#N/A</v>
      </c>
    </row>
    <row r="2311" spans="7:119" x14ac:dyDescent="0.25">
      <c r="G2311"/>
      <c r="DI2311" s="4">
        <f>INDEX(Sheet2!A:A,QUOTIENT(ROW()-1,19)+2)</f>
        <v>41535</v>
      </c>
      <c r="DJ2311" s="4">
        <f>INDEX(Sheet2!C:C,QUOTIENT(ROW()-1,19)+2)</f>
        <v>42369</v>
      </c>
      <c r="DK2311" s="4" t="e">
        <f>INDEX(Sheet2!$AA$2:$AS$228,QUOTIENT(ROW()-1,19)+1,MOD(ROW()-2,19)+1)</f>
        <v>#N/A</v>
      </c>
      <c r="DL2311" t="str">
        <f>IFERROR(INDEX(Sheet2!$AU$2:$BM$228,QUOTIENT(ROW()-1,19)+1,MOD(ROW()-2,19)+1),NA())</f>
        <v/>
      </c>
      <c r="DM2311" s="4" t="e">
        <f t="shared" si="129"/>
        <v>#N/A</v>
      </c>
      <c r="DN2311" t="e">
        <f t="shared" si="130"/>
        <v>#N/A</v>
      </c>
      <c r="DO2311" t="e">
        <f t="shared" si="131"/>
        <v>#N/A</v>
      </c>
    </row>
    <row r="2312" spans="7:119" x14ac:dyDescent="0.25">
      <c r="G2312"/>
      <c r="DI2312" s="4">
        <f>INDEX(Sheet2!A:A,QUOTIENT(ROW()-1,19)+2)</f>
        <v>41535</v>
      </c>
      <c r="DJ2312" s="4">
        <f>INDEX(Sheet2!C:C,QUOTIENT(ROW()-1,19)+2)</f>
        <v>42369</v>
      </c>
      <c r="DK2312" s="4" t="e">
        <f>INDEX(Sheet2!$AA$2:$AS$228,QUOTIENT(ROW()-1,19)+1,MOD(ROW()-2,19)+1)</f>
        <v>#N/A</v>
      </c>
      <c r="DL2312" t="str">
        <f>IFERROR(INDEX(Sheet2!$AU$2:$BM$228,QUOTIENT(ROW()-1,19)+1,MOD(ROW()-2,19)+1),NA())</f>
        <v/>
      </c>
      <c r="DM2312" s="4" t="e">
        <f t="shared" si="129"/>
        <v>#N/A</v>
      </c>
      <c r="DN2312" t="e">
        <f t="shared" si="130"/>
        <v>#N/A</v>
      </c>
      <c r="DO2312" t="e">
        <f t="shared" si="131"/>
        <v>#N/A</v>
      </c>
    </row>
    <row r="2313" spans="7:119" x14ac:dyDescent="0.25">
      <c r="G2313"/>
      <c r="DI2313" s="4">
        <f>INDEX(Sheet2!A:A,QUOTIENT(ROW()-1,19)+2)</f>
        <v>41535</v>
      </c>
      <c r="DJ2313" s="4">
        <f>INDEX(Sheet2!C:C,QUOTIENT(ROW()-1,19)+2)</f>
        <v>42369</v>
      </c>
      <c r="DK2313" s="4" t="e">
        <f>INDEX(Sheet2!$AA$2:$AS$228,QUOTIENT(ROW()-1,19)+1,MOD(ROW()-2,19)+1)</f>
        <v>#N/A</v>
      </c>
      <c r="DL2313" t="str">
        <f>IFERROR(INDEX(Sheet2!$AU$2:$BM$228,QUOTIENT(ROW()-1,19)+1,MOD(ROW()-2,19)+1),NA())</f>
        <v/>
      </c>
      <c r="DM2313" s="4" t="e">
        <f t="shared" si="129"/>
        <v>#N/A</v>
      </c>
      <c r="DN2313" t="e">
        <f t="shared" si="130"/>
        <v>#N/A</v>
      </c>
      <c r="DO2313" t="e">
        <f t="shared" si="131"/>
        <v>#N/A</v>
      </c>
    </row>
    <row r="2314" spans="7:119" x14ac:dyDescent="0.25">
      <c r="G2314"/>
      <c r="DI2314" s="4">
        <f>INDEX(Sheet2!A:A,QUOTIENT(ROW()-1,19)+2)</f>
        <v>41535</v>
      </c>
      <c r="DJ2314" s="4">
        <f>INDEX(Sheet2!C:C,QUOTIENT(ROW()-1,19)+2)</f>
        <v>42369</v>
      </c>
      <c r="DK2314" s="4" t="e">
        <f>INDEX(Sheet2!$AA$2:$AS$228,QUOTIENT(ROW()-1,19)+1,MOD(ROW()-2,19)+1)</f>
        <v>#N/A</v>
      </c>
      <c r="DL2314" t="str">
        <f>IFERROR(INDEX(Sheet2!$AU$2:$BM$228,QUOTIENT(ROW()-1,19)+1,MOD(ROW()-2,19)+1),NA())</f>
        <v/>
      </c>
      <c r="DM2314" s="4" t="e">
        <f t="shared" si="129"/>
        <v>#N/A</v>
      </c>
      <c r="DN2314" t="e">
        <f t="shared" si="130"/>
        <v>#N/A</v>
      </c>
      <c r="DO2314" t="e">
        <f t="shared" si="131"/>
        <v>#N/A</v>
      </c>
    </row>
    <row r="2315" spans="7:119" x14ac:dyDescent="0.25">
      <c r="G2315"/>
      <c r="DI2315" s="4">
        <f>INDEX(Sheet2!A:A,QUOTIENT(ROW()-1,19)+2)</f>
        <v>41535</v>
      </c>
      <c r="DJ2315" s="4">
        <f>INDEX(Sheet2!C:C,QUOTIENT(ROW()-1,19)+2)</f>
        <v>42369</v>
      </c>
      <c r="DK2315" s="4" t="e">
        <f>INDEX(Sheet2!$AA$2:$AS$228,QUOTIENT(ROW()-1,19)+1,MOD(ROW()-2,19)+1)</f>
        <v>#N/A</v>
      </c>
      <c r="DL2315" t="str">
        <f>IFERROR(INDEX(Sheet2!$AU$2:$BM$228,QUOTIENT(ROW()-1,19)+1,MOD(ROW()-2,19)+1),NA())</f>
        <v/>
      </c>
      <c r="DM2315" s="4" t="e">
        <f t="shared" si="129"/>
        <v>#N/A</v>
      </c>
      <c r="DN2315" t="e">
        <f t="shared" si="130"/>
        <v>#N/A</v>
      </c>
      <c r="DO2315" t="e">
        <f t="shared" si="131"/>
        <v>#N/A</v>
      </c>
    </row>
    <row r="2316" spans="7:119" x14ac:dyDescent="0.25">
      <c r="G2316"/>
      <c r="DI2316" s="4">
        <f>INDEX(Sheet2!A:A,QUOTIENT(ROW()-1,19)+2)</f>
        <v>41535</v>
      </c>
      <c r="DJ2316" s="4">
        <f>INDEX(Sheet2!C:C,QUOTIENT(ROW()-1,19)+2)</f>
        <v>42369</v>
      </c>
      <c r="DK2316" s="4" t="e">
        <f>INDEX(Sheet2!$AA$2:$AS$228,QUOTIENT(ROW()-1,19)+1,MOD(ROW()-2,19)+1)</f>
        <v>#N/A</v>
      </c>
      <c r="DL2316" t="str">
        <f>IFERROR(INDEX(Sheet2!$AU$2:$BM$228,QUOTIENT(ROW()-1,19)+1,MOD(ROW()-2,19)+1),NA())</f>
        <v/>
      </c>
      <c r="DM2316" s="4" t="e">
        <f t="shared" si="129"/>
        <v>#N/A</v>
      </c>
      <c r="DN2316" t="e">
        <f t="shared" si="130"/>
        <v>#N/A</v>
      </c>
      <c r="DO2316" t="e">
        <f t="shared" si="131"/>
        <v>#N/A</v>
      </c>
    </row>
    <row r="2317" spans="7:119" x14ac:dyDescent="0.25">
      <c r="G2317"/>
      <c r="DI2317" s="4">
        <f>INDEX(Sheet2!A:A,QUOTIENT(ROW()-1,19)+2)</f>
        <v>41535</v>
      </c>
      <c r="DJ2317" s="4">
        <f>INDEX(Sheet2!C:C,QUOTIENT(ROW()-1,19)+2)</f>
        <v>42369</v>
      </c>
      <c r="DK2317" s="4" t="e">
        <f>INDEX(Sheet2!$AA$2:$AS$228,QUOTIENT(ROW()-1,19)+1,MOD(ROW()-2,19)+1)</f>
        <v>#N/A</v>
      </c>
      <c r="DL2317" t="str">
        <f>IFERROR(INDEX(Sheet2!$AU$2:$BM$228,QUOTIENT(ROW()-1,19)+1,MOD(ROW()-2,19)+1),NA())</f>
        <v/>
      </c>
      <c r="DM2317" s="4" t="e">
        <f t="shared" si="129"/>
        <v>#N/A</v>
      </c>
      <c r="DN2317" t="e">
        <f t="shared" si="130"/>
        <v>#N/A</v>
      </c>
      <c r="DO2317" t="e">
        <f t="shared" si="131"/>
        <v>#N/A</v>
      </c>
    </row>
    <row r="2318" spans="7:119" x14ac:dyDescent="0.25">
      <c r="G2318"/>
      <c r="DI2318" s="4">
        <f>INDEX(Sheet2!A:A,QUOTIENT(ROW()-1,19)+2)</f>
        <v>41535</v>
      </c>
      <c r="DJ2318" s="4">
        <f>INDEX(Sheet2!C:C,QUOTIENT(ROW()-1,19)+2)</f>
        <v>42369</v>
      </c>
      <c r="DK2318" s="4" t="e">
        <f>INDEX(Sheet2!$AA$2:$AS$228,QUOTIENT(ROW()-1,19)+1,MOD(ROW()-2,19)+1)</f>
        <v>#N/A</v>
      </c>
      <c r="DL2318" t="str">
        <f>IFERROR(INDEX(Sheet2!$AU$2:$BM$228,QUOTIENT(ROW()-1,19)+1,MOD(ROW()-2,19)+1),NA())</f>
        <v/>
      </c>
      <c r="DM2318" s="4" t="e">
        <f t="shared" si="129"/>
        <v>#N/A</v>
      </c>
      <c r="DN2318" t="e">
        <f t="shared" si="130"/>
        <v>#N/A</v>
      </c>
      <c r="DO2318" t="e">
        <f t="shared" si="131"/>
        <v>#N/A</v>
      </c>
    </row>
    <row r="2319" spans="7:119" x14ac:dyDescent="0.25">
      <c r="G2319"/>
      <c r="DI2319" s="4">
        <f>INDEX(Sheet2!A:A,QUOTIENT(ROW()-1,19)+2)</f>
        <v>41535</v>
      </c>
      <c r="DJ2319" s="4">
        <f>INDEX(Sheet2!C:C,QUOTIENT(ROW()-1,19)+2)</f>
        <v>42369</v>
      </c>
      <c r="DK2319" s="4" t="e">
        <f>INDEX(Sheet2!$AA$2:$AS$228,QUOTIENT(ROW()-1,19)+1,MOD(ROW()-2,19)+1)</f>
        <v>#N/A</v>
      </c>
      <c r="DL2319" t="str">
        <f>IFERROR(INDEX(Sheet2!$AU$2:$BM$228,QUOTIENT(ROW()-1,19)+1,MOD(ROW()-2,19)+1),NA())</f>
        <v/>
      </c>
      <c r="DM2319" s="4" t="e">
        <f t="shared" si="129"/>
        <v>#N/A</v>
      </c>
      <c r="DN2319" t="e">
        <f t="shared" si="130"/>
        <v>#N/A</v>
      </c>
      <c r="DO2319" t="e">
        <f t="shared" si="131"/>
        <v>#N/A</v>
      </c>
    </row>
    <row r="2320" spans="7:119" x14ac:dyDescent="0.25">
      <c r="G2320"/>
      <c r="DI2320" s="4">
        <f>INDEX(Sheet2!A:A,QUOTIENT(ROW()-1,19)+2)</f>
        <v>41535</v>
      </c>
      <c r="DJ2320" s="4">
        <f>INDEX(Sheet2!C:C,QUOTIENT(ROW()-1,19)+2)</f>
        <v>42369</v>
      </c>
      <c r="DK2320" s="4">
        <f>INDEX(Sheet2!$AA$2:$AS$228,QUOTIENT(ROW()-1,19)+1,MOD(ROW()-2,19)+1)</f>
        <v>42369</v>
      </c>
      <c r="DL2320">
        <f>IFERROR(INDEX(Sheet2!$AU$2:$BM$228,QUOTIENT(ROW()-1,19)+1,MOD(ROW()-2,19)+1),NA())</f>
        <v>0.5</v>
      </c>
      <c r="DM2320" s="4" t="e">
        <f t="shared" si="129"/>
        <v>#N/A</v>
      </c>
      <c r="DN2320" t="e">
        <f t="shared" si="130"/>
        <v>#N/A</v>
      </c>
      <c r="DO2320" t="e">
        <f t="shared" si="131"/>
        <v>#N/A</v>
      </c>
    </row>
    <row r="2321" spans="7:119" x14ac:dyDescent="0.25">
      <c r="G2321"/>
      <c r="DI2321" s="4">
        <f>INDEX(Sheet2!A:A,QUOTIENT(ROW()-1,19)+2)</f>
        <v>41535</v>
      </c>
      <c r="DJ2321" s="4">
        <f>INDEX(Sheet2!C:C,QUOTIENT(ROW()-1,19)+2)</f>
        <v>42369</v>
      </c>
      <c r="DK2321" s="4" t="e">
        <f>INDEX(Sheet2!$AA$2:$AS$228,QUOTIENT(ROW()-1,19)+1,MOD(ROW()-2,19)+1)</f>
        <v>#N/A</v>
      </c>
      <c r="DL2321" t="str">
        <f>IFERROR(INDEX(Sheet2!$AU$2:$BM$228,QUOTIENT(ROW()-1,19)+1,MOD(ROW()-2,19)+1),NA())</f>
        <v/>
      </c>
      <c r="DM2321" s="4" t="e">
        <f t="shared" si="129"/>
        <v>#N/A</v>
      </c>
      <c r="DN2321" t="e">
        <f t="shared" si="130"/>
        <v>#N/A</v>
      </c>
      <c r="DO2321" t="e">
        <f t="shared" si="131"/>
        <v>#N/A</v>
      </c>
    </row>
    <row r="2322" spans="7:119" x14ac:dyDescent="0.25">
      <c r="G2322"/>
      <c r="DI2322" s="4">
        <f>INDEX(Sheet2!A:A,QUOTIENT(ROW()-1,19)+2)</f>
        <v>41535</v>
      </c>
      <c r="DJ2322" s="4">
        <f>INDEX(Sheet2!C:C,QUOTIENT(ROW()-1,19)+2)</f>
        <v>42369</v>
      </c>
      <c r="DK2322" s="4" t="e">
        <f>INDEX(Sheet2!$AA$2:$AS$228,QUOTIENT(ROW()-1,19)+1,MOD(ROW()-2,19)+1)</f>
        <v>#N/A</v>
      </c>
      <c r="DL2322" t="str">
        <f>IFERROR(INDEX(Sheet2!$AU$2:$BM$228,QUOTIENT(ROW()-1,19)+1,MOD(ROW()-2,19)+1),NA())</f>
        <v/>
      </c>
      <c r="DM2322" s="4" t="e">
        <f t="shared" si="129"/>
        <v>#N/A</v>
      </c>
      <c r="DN2322" t="e">
        <f t="shared" si="130"/>
        <v>#N/A</v>
      </c>
      <c r="DO2322" t="e">
        <f t="shared" si="131"/>
        <v>#N/A</v>
      </c>
    </row>
    <row r="2323" spans="7:119" x14ac:dyDescent="0.25">
      <c r="G2323"/>
      <c r="DI2323" s="4">
        <f>INDEX(Sheet2!A:A,QUOTIENT(ROW()-1,19)+2)</f>
        <v>41535</v>
      </c>
      <c r="DJ2323" s="4">
        <f>INDEX(Sheet2!C:C,QUOTIENT(ROW()-1,19)+2)</f>
        <v>42369</v>
      </c>
      <c r="DK2323" s="4" t="e">
        <f>INDEX(Sheet2!$AA$2:$AS$228,QUOTIENT(ROW()-1,19)+1,MOD(ROW()-2,19)+1)</f>
        <v>#N/A</v>
      </c>
      <c r="DL2323" t="str">
        <f>IFERROR(INDEX(Sheet2!$AU$2:$BM$228,QUOTIENT(ROW()-1,19)+1,MOD(ROW()-2,19)+1),NA())</f>
        <v/>
      </c>
      <c r="DM2323" s="4" t="e">
        <f t="shared" si="129"/>
        <v>#N/A</v>
      </c>
      <c r="DN2323" t="e">
        <f t="shared" si="130"/>
        <v>#N/A</v>
      </c>
      <c r="DO2323" t="e">
        <f t="shared" si="131"/>
        <v>#N/A</v>
      </c>
    </row>
    <row r="2324" spans="7:119" x14ac:dyDescent="0.25">
      <c r="G2324"/>
      <c r="DI2324" s="4">
        <f>INDEX(Sheet2!A:A,QUOTIENT(ROW()-1,19)+2)</f>
        <v>41535</v>
      </c>
      <c r="DJ2324" s="4">
        <f>INDEX(Sheet2!C:C,QUOTIENT(ROW()-1,19)+2)</f>
        <v>42369</v>
      </c>
      <c r="DK2324" s="4" t="e">
        <f>INDEX(Sheet2!$AA$2:$AS$228,QUOTIENT(ROW()-1,19)+1,MOD(ROW()-2,19)+1)</f>
        <v>#N/A</v>
      </c>
      <c r="DL2324" t="str">
        <f>IFERROR(INDEX(Sheet2!$AU$2:$BM$228,QUOTIENT(ROW()-1,19)+1,MOD(ROW()-2,19)+1),NA())</f>
        <v/>
      </c>
      <c r="DM2324" s="4" t="e">
        <f t="shared" si="129"/>
        <v>#N/A</v>
      </c>
      <c r="DN2324" t="e">
        <f t="shared" si="130"/>
        <v>#N/A</v>
      </c>
      <c r="DO2324" t="e">
        <f t="shared" si="131"/>
        <v>#N/A</v>
      </c>
    </row>
    <row r="2325" spans="7:119" x14ac:dyDescent="0.25">
      <c r="G2325"/>
      <c r="DI2325" s="4">
        <f>INDEX(Sheet2!A:A,QUOTIENT(ROW()-1,19)+2)</f>
        <v>41535</v>
      </c>
      <c r="DJ2325" s="4">
        <f>INDEX(Sheet2!C:C,QUOTIENT(ROW()-1,19)+2)</f>
        <v>42369</v>
      </c>
      <c r="DK2325" s="4" t="e">
        <f>INDEX(Sheet2!$AA$2:$AS$228,QUOTIENT(ROW()-1,19)+1,MOD(ROW()-2,19)+1)</f>
        <v>#N/A</v>
      </c>
      <c r="DL2325" t="str">
        <f>IFERROR(INDEX(Sheet2!$AU$2:$BM$228,QUOTIENT(ROW()-1,19)+1,MOD(ROW()-2,19)+1),NA())</f>
        <v/>
      </c>
      <c r="DM2325" s="4" t="e">
        <f t="shared" si="129"/>
        <v>#N/A</v>
      </c>
      <c r="DN2325" t="e">
        <f t="shared" si="130"/>
        <v>#N/A</v>
      </c>
      <c r="DO2325" t="e">
        <f t="shared" si="131"/>
        <v>#N/A</v>
      </c>
    </row>
    <row r="2326" spans="7:119" x14ac:dyDescent="0.25">
      <c r="G2326"/>
      <c r="DI2326" s="4">
        <f>INDEX(Sheet2!A:A,QUOTIENT(ROW()-1,19)+2)</f>
        <v>41535</v>
      </c>
      <c r="DJ2326" s="4">
        <f>INDEX(Sheet2!C:C,QUOTIENT(ROW()-1,19)+2)</f>
        <v>42369</v>
      </c>
      <c r="DK2326" s="4" t="e">
        <f>INDEX(Sheet2!$AA$2:$AS$228,QUOTIENT(ROW()-1,19)+1,MOD(ROW()-2,19)+1)</f>
        <v>#N/A</v>
      </c>
      <c r="DL2326" t="str">
        <f>IFERROR(INDEX(Sheet2!$AU$2:$BM$228,QUOTIENT(ROW()-1,19)+1,MOD(ROW()-2,19)+1),NA())</f>
        <v/>
      </c>
      <c r="DM2326" s="4" t="e">
        <f t="shared" si="129"/>
        <v>#N/A</v>
      </c>
      <c r="DN2326" t="e">
        <f t="shared" si="130"/>
        <v>#N/A</v>
      </c>
      <c r="DO2326" t="e">
        <f t="shared" si="131"/>
        <v>#N/A</v>
      </c>
    </row>
    <row r="2327" spans="7:119" x14ac:dyDescent="0.25">
      <c r="G2327"/>
      <c r="DI2327" s="4">
        <f>INDEX(Sheet2!A:A,QUOTIENT(ROW()-1,19)+2)</f>
        <v>41535</v>
      </c>
      <c r="DJ2327" s="4">
        <f>INDEX(Sheet2!C:C,QUOTIENT(ROW()-1,19)+2)</f>
        <v>42369</v>
      </c>
      <c r="DK2327" s="4" t="e">
        <f>INDEX(Sheet2!$AA$2:$AS$228,QUOTIENT(ROW()-1,19)+1,MOD(ROW()-2,19)+1)</f>
        <v>#N/A</v>
      </c>
      <c r="DL2327" t="str">
        <f>IFERROR(INDEX(Sheet2!$AU$2:$BM$228,QUOTIENT(ROW()-1,19)+1,MOD(ROW()-2,19)+1),NA())</f>
        <v/>
      </c>
      <c r="DM2327" s="4" t="e">
        <f t="shared" si="129"/>
        <v>#N/A</v>
      </c>
      <c r="DN2327" t="e">
        <f t="shared" si="130"/>
        <v>#N/A</v>
      </c>
      <c r="DO2327" t="e">
        <f t="shared" si="131"/>
        <v>#N/A</v>
      </c>
    </row>
    <row r="2328" spans="7:119" x14ac:dyDescent="0.25">
      <c r="G2328"/>
      <c r="DI2328" s="4">
        <f>INDEX(Sheet2!A:A,QUOTIENT(ROW()-1,19)+2)</f>
        <v>41535</v>
      </c>
      <c r="DJ2328" s="4">
        <f>INDEX(Sheet2!C:C,QUOTIENT(ROW()-1,19)+2)</f>
        <v>42369</v>
      </c>
      <c r="DK2328" s="4" t="e">
        <f>INDEX(Sheet2!$AA$2:$AS$228,QUOTIENT(ROW()-1,19)+1,MOD(ROW()-2,19)+1)</f>
        <v>#N/A</v>
      </c>
      <c r="DL2328" t="str">
        <f>IFERROR(INDEX(Sheet2!$AU$2:$BM$228,QUOTIENT(ROW()-1,19)+1,MOD(ROW()-2,19)+1),NA())</f>
        <v/>
      </c>
      <c r="DM2328" s="4" t="e">
        <f t="shared" si="129"/>
        <v>#N/A</v>
      </c>
      <c r="DN2328" t="e">
        <f t="shared" si="130"/>
        <v>#N/A</v>
      </c>
      <c r="DO2328" t="e">
        <f t="shared" si="131"/>
        <v>#N/A</v>
      </c>
    </row>
    <row r="2329" spans="7:119" x14ac:dyDescent="0.25">
      <c r="G2329"/>
      <c r="DI2329" s="4">
        <f>INDEX(Sheet2!A:A,QUOTIENT(ROW()-1,19)+2)</f>
        <v>41535</v>
      </c>
      <c r="DJ2329" s="4">
        <f>INDEX(Sheet2!C:C,QUOTIENT(ROW()-1,19)+2)</f>
        <v>42369</v>
      </c>
      <c r="DK2329" s="4" t="e">
        <f>INDEX(Sheet2!$AA$2:$AS$228,QUOTIENT(ROW()-1,19)+1,MOD(ROW()-2,19)+1)</f>
        <v>#N/A</v>
      </c>
      <c r="DL2329" t="str">
        <f>IFERROR(INDEX(Sheet2!$AU$2:$BM$228,QUOTIENT(ROW()-1,19)+1,MOD(ROW()-2,19)+1),NA())</f>
        <v/>
      </c>
      <c r="DM2329" s="4" t="e">
        <f t="shared" si="129"/>
        <v>#N/A</v>
      </c>
      <c r="DN2329" t="e">
        <f t="shared" si="130"/>
        <v>#N/A</v>
      </c>
      <c r="DO2329" t="e">
        <f t="shared" si="131"/>
        <v>#N/A</v>
      </c>
    </row>
    <row r="2330" spans="7:119" x14ac:dyDescent="0.25">
      <c r="G2330"/>
      <c r="DI2330" s="4">
        <f>INDEX(Sheet2!A:A,QUOTIENT(ROW()-1,19)+2)</f>
        <v>41535</v>
      </c>
      <c r="DJ2330" s="4">
        <f>INDEX(Sheet2!C:C,QUOTIENT(ROW()-1,19)+2)</f>
        <v>42369</v>
      </c>
      <c r="DK2330" s="4" t="e">
        <f>INDEX(Sheet2!$AA$2:$AS$228,QUOTIENT(ROW()-1,19)+1,MOD(ROW()-2,19)+1)</f>
        <v>#N/A</v>
      </c>
      <c r="DL2330" t="str">
        <f>IFERROR(INDEX(Sheet2!$AU$2:$BM$228,QUOTIENT(ROW()-1,19)+1,MOD(ROW()-2,19)+1),NA())</f>
        <v/>
      </c>
      <c r="DM2330" s="4" t="e">
        <f t="shared" si="129"/>
        <v>#N/A</v>
      </c>
      <c r="DN2330" t="e">
        <f t="shared" si="130"/>
        <v>#N/A</v>
      </c>
      <c r="DO2330" t="e">
        <f t="shared" si="131"/>
        <v>#N/A</v>
      </c>
    </row>
    <row r="2331" spans="7:119" x14ac:dyDescent="0.25">
      <c r="G2331"/>
      <c r="DI2331" s="4">
        <f>INDEX(Sheet2!A:A,QUOTIENT(ROW()-1,19)+2)</f>
        <v>41535</v>
      </c>
      <c r="DJ2331" s="4">
        <f>INDEX(Sheet2!C:C,QUOTIENT(ROW()-1,19)+2)</f>
        <v>42369</v>
      </c>
      <c r="DK2331" s="4" t="e">
        <f>INDEX(Sheet2!$AA$2:$AS$228,QUOTIENT(ROW()-1,19)+1,MOD(ROW()-2,19)+1)</f>
        <v>#N/A</v>
      </c>
      <c r="DL2331" t="str">
        <f>IFERROR(INDEX(Sheet2!$AU$2:$BM$228,QUOTIENT(ROW()-1,19)+1,MOD(ROW()-2,19)+1),NA())</f>
        <v/>
      </c>
      <c r="DM2331" s="4" t="e">
        <f t="shared" si="129"/>
        <v>#N/A</v>
      </c>
      <c r="DN2331" t="e">
        <f t="shared" si="130"/>
        <v>#N/A</v>
      </c>
      <c r="DO2331" t="e">
        <f t="shared" si="131"/>
        <v>#N/A</v>
      </c>
    </row>
    <row r="2332" spans="7:119" x14ac:dyDescent="0.25">
      <c r="G2332"/>
      <c r="DI2332" s="4">
        <f>INDEX(Sheet2!A:A,QUOTIENT(ROW()-1,19)+2)</f>
        <v>41535</v>
      </c>
      <c r="DJ2332" s="4">
        <f>INDEX(Sheet2!C:C,QUOTIENT(ROW()-1,19)+2)</f>
        <v>42369</v>
      </c>
      <c r="DK2332" s="4" t="e">
        <f>INDEX(Sheet2!$AA$2:$AS$228,QUOTIENT(ROW()-1,19)+1,MOD(ROW()-2,19)+1)</f>
        <v>#N/A</v>
      </c>
      <c r="DL2332" t="str">
        <f>IFERROR(INDEX(Sheet2!$AU$2:$BM$228,QUOTIENT(ROW()-1,19)+1,MOD(ROW()-2,19)+1),NA())</f>
        <v/>
      </c>
      <c r="DM2332" s="4" t="e">
        <f t="shared" si="129"/>
        <v>#N/A</v>
      </c>
      <c r="DN2332" t="e">
        <f t="shared" si="130"/>
        <v>#N/A</v>
      </c>
      <c r="DO2332" t="e">
        <f t="shared" si="131"/>
        <v>#N/A</v>
      </c>
    </row>
    <row r="2333" spans="7:119" x14ac:dyDescent="0.25">
      <c r="G2333"/>
      <c r="DI2333" s="4">
        <f>INDEX(Sheet2!A:A,QUOTIENT(ROW()-1,19)+2)</f>
        <v>41535</v>
      </c>
      <c r="DJ2333" s="4">
        <f>INDEX(Sheet2!C:C,QUOTIENT(ROW()-1,19)+2)</f>
        <v>42369</v>
      </c>
      <c r="DK2333" s="4" t="e">
        <f>INDEX(Sheet2!$AA$2:$AS$228,QUOTIENT(ROW()-1,19)+1,MOD(ROW()-2,19)+1)</f>
        <v>#N/A</v>
      </c>
      <c r="DL2333" t="str">
        <f>IFERROR(INDEX(Sheet2!$AU$2:$BM$228,QUOTIENT(ROW()-1,19)+1,MOD(ROW()-2,19)+1),NA())</f>
        <v/>
      </c>
      <c r="DM2333" s="4" t="e">
        <f t="shared" si="129"/>
        <v>#N/A</v>
      </c>
      <c r="DN2333" t="e">
        <f t="shared" si="130"/>
        <v>#N/A</v>
      </c>
      <c r="DO2333" t="e">
        <f t="shared" si="131"/>
        <v>#N/A</v>
      </c>
    </row>
    <row r="2334" spans="7:119" x14ac:dyDescent="0.25">
      <c r="G2334"/>
      <c r="DI2334" s="4">
        <f>INDEX(Sheet2!A:A,QUOTIENT(ROW()-1,19)+2)</f>
        <v>41535</v>
      </c>
      <c r="DJ2334" s="4">
        <f>INDEX(Sheet2!C:C,QUOTIENT(ROW()-1,19)+2)</f>
        <v>42369</v>
      </c>
      <c r="DK2334" s="4" t="e">
        <f>INDEX(Sheet2!$AA$2:$AS$228,QUOTIENT(ROW()-1,19)+1,MOD(ROW()-2,19)+1)</f>
        <v>#N/A</v>
      </c>
      <c r="DL2334" t="str">
        <f>IFERROR(INDEX(Sheet2!$AU$2:$BM$228,QUOTIENT(ROW()-1,19)+1,MOD(ROW()-2,19)+1),NA())</f>
        <v/>
      </c>
      <c r="DM2334" s="4" t="e">
        <f t="shared" si="129"/>
        <v>#N/A</v>
      </c>
      <c r="DN2334" t="e">
        <f t="shared" si="130"/>
        <v>#N/A</v>
      </c>
      <c r="DO2334" t="e">
        <f t="shared" si="131"/>
        <v>#N/A</v>
      </c>
    </row>
    <row r="2335" spans="7:119" x14ac:dyDescent="0.25">
      <c r="G2335"/>
      <c r="DI2335" s="4">
        <f>INDEX(Sheet2!A:A,QUOTIENT(ROW()-1,19)+2)</f>
        <v>41535</v>
      </c>
      <c r="DJ2335" s="4">
        <f>INDEX(Sheet2!C:C,QUOTIENT(ROW()-1,19)+2)</f>
        <v>42369</v>
      </c>
      <c r="DK2335" s="4" t="e">
        <f>INDEX(Sheet2!$AA$2:$AS$228,QUOTIENT(ROW()-1,19)+1,MOD(ROW()-2,19)+1)</f>
        <v>#N/A</v>
      </c>
      <c r="DL2335" t="str">
        <f>IFERROR(INDEX(Sheet2!$AU$2:$BM$228,QUOTIENT(ROW()-1,19)+1,MOD(ROW()-2,19)+1),NA())</f>
        <v/>
      </c>
      <c r="DM2335" s="4" t="e">
        <f t="shared" si="129"/>
        <v>#N/A</v>
      </c>
      <c r="DN2335" t="e">
        <f t="shared" si="130"/>
        <v>#N/A</v>
      </c>
      <c r="DO2335" t="e">
        <f t="shared" si="131"/>
        <v>#N/A</v>
      </c>
    </row>
    <row r="2336" spans="7:119" x14ac:dyDescent="0.25">
      <c r="G2336"/>
      <c r="DI2336" s="4">
        <f>INDEX(Sheet2!A:A,QUOTIENT(ROW()-1,19)+2)</f>
        <v>41535</v>
      </c>
      <c r="DJ2336" s="4">
        <f>INDEX(Sheet2!C:C,QUOTIENT(ROW()-1,19)+2)</f>
        <v>42369</v>
      </c>
      <c r="DK2336" s="4" t="e">
        <f>INDEX(Sheet2!$AA$2:$AS$228,QUOTIENT(ROW()-1,19)+1,MOD(ROW()-2,19)+1)</f>
        <v>#N/A</v>
      </c>
      <c r="DL2336" t="str">
        <f>IFERROR(INDEX(Sheet2!$AU$2:$BM$228,QUOTIENT(ROW()-1,19)+1,MOD(ROW()-2,19)+1),NA())</f>
        <v/>
      </c>
      <c r="DM2336" s="4" t="e">
        <f t="shared" si="129"/>
        <v>#N/A</v>
      </c>
      <c r="DN2336" t="e">
        <f t="shared" si="130"/>
        <v>#N/A</v>
      </c>
      <c r="DO2336" t="e">
        <f t="shared" si="131"/>
        <v>#N/A</v>
      </c>
    </row>
    <row r="2337" spans="7:119" x14ac:dyDescent="0.25">
      <c r="G2337"/>
      <c r="DI2337" s="4">
        <f>INDEX(Sheet2!A:A,QUOTIENT(ROW()-1,19)+2)</f>
        <v>41535</v>
      </c>
      <c r="DJ2337" s="4">
        <f>INDEX(Sheet2!C:C,QUOTIENT(ROW()-1,19)+2)</f>
        <v>42369</v>
      </c>
      <c r="DK2337" s="4" t="e">
        <f>INDEX(Sheet2!$AA$2:$AS$228,QUOTIENT(ROW()-1,19)+1,MOD(ROW()-2,19)+1)</f>
        <v>#N/A</v>
      </c>
      <c r="DL2337" t="str">
        <f>IFERROR(INDEX(Sheet2!$AU$2:$BM$228,QUOTIENT(ROW()-1,19)+1,MOD(ROW()-2,19)+1),NA())</f>
        <v/>
      </c>
      <c r="DM2337" s="4" t="e">
        <f t="shared" si="129"/>
        <v>#N/A</v>
      </c>
      <c r="DN2337" t="e">
        <f t="shared" si="130"/>
        <v>#N/A</v>
      </c>
      <c r="DO2337" t="e">
        <f t="shared" si="131"/>
        <v>#N/A</v>
      </c>
    </row>
    <row r="2338" spans="7:119" x14ac:dyDescent="0.25">
      <c r="G2338"/>
      <c r="DI2338" s="4">
        <f>INDEX(Sheet2!A:A,QUOTIENT(ROW()-1,19)+2)</f>
        <v>41535</v>
      </c>
      <c r="DJ2338" s="4">
        <f>INDEX(Sheet2!C:C,QUOTIENT(ROW()-1,19)+2)</f>
        <v>42369</v>
      </c>
      <c r="DK2338" s="4" t="e">
        <f>INDEX(Sheet2!$AA$2:$AS$228,QUOTIENT(ROW()-1,19)+1,MOD(ROW()-2,19)+1)</f>
        <v>#N/A</v>
      </c>
      <c r="DL2338" t="str">
        <f>IFERROR(INDEX(Sheet2!$AU$2:$BM$228,QUOTIENT(ROW()-1,19)+1,MOD(ROW()-2,19)+1),NA())</f>
        <v/>
      </c>
      <c r="DM2338" s="4" t="e">
        <f t="shared" si="129"/>
        <v>#N/A</v>
      </c>
      <c r="DN2338" t="e">
        <f t="shared" si="130"/>
        <v>#N/A</v>
      </c>
      <c r="DO2338" t="e">
        <f t="shared" si="131"/>
        <v>#N/A</v>
      </c>
    </row>
    <row r="2339" spans="7:119" x14ac:dyDescent="0.25">
      <c r="G2339"/>
      <c r="DI2339" s="4">
        <f>INDEX(Sheet2!A:A,QUOTIENT(ROW()-1,19)+2)</f>
        <v>41535</v>
      </c>
      <c r="DJ2339" s="4">
        <f>INDEX(Sheet2!C:C,QUOTIENT(ROW()-1,19)+2)</f>
        <v>42369</v>
      </c>
      <c r="DK2339" s="4">
        <f>INDEX(Sheet2!$AA$2:$AS$228,QUOTIENT(ROW()-1,19)+1,MOD(ROW()-2,19)+1)</f>
        <v>42328.85</v>
      </c>
      <c r="DL2339">
        <f>IFERROR(INDEX(Sheet2!$AU$2:$BM$228,QUOTIENT(ROW()-1,19)+1,MOD(ROW()-2,19)+1),NA())</f>
        <v>0.75</v>
      </c>
      <c r="DM2339" s="4" t="e">
        <f t="shared" si="129"/>
        <v>#N/A</v>
      </c>
      <c r="DN2339" t="e">
        <f t="shared" si="130"/>
        <v>#N/A</v>
      </c>
      <c r="DO2339" t="e">
        <f t="shared" si="131"/>
        <v>#N/A</v>
      </c>
    </row>
    <row r="2340" spans="7:119" x14ac:dyDescent="0.25">
      <c r="G2340"/>
      <c r="DI2340" s="4">
        <f>INDEX(Sheet2!A:A,QUOTIENT(ROW()-1,19)+2)</f>
        <v>41535</v>
      </c>
      <c r="DJ2340" s="4">
        <f>INDEX(Sheet2!C:C,QUOTIENT(ROW()-1,19)+2)</f>
        <v>42369</v>
      </c>
      <c r="DK2340" s="4">
        <f>INDEX(Sheet2!$AA$2:$AS$228,QUOTIENT(ROW()-1,19)+1,MOD(ROW()-2,19)+1)</f>
        <v>42348.925000000003</v>
      </c>
      <c r="DL2340">
        <f>IFERROR(INDEX(Sheet2!$AU$2:$BM$228,QUOTIENT(ROW()-1,19)+1,MOD(ROW()-2,19)+1),NA())</f>
        <v>0.75</v>
      </c>
      <c r="DM2340" s="4" t="e">
        <f t="shared" si="129"/>
        <v>#N/A</v>
      </c>
      <c r="DN2340" t="e">
        <f t="shared" si="130"/>
        <v>#N/A</v>
      </c>
      <c r="DO2340" t="e">
        <f t="shared" si="131"/>
        <v>#N/A</v>
      </c>
    </row>
    <row r="2341" spans="7:119" x14ac:dyDescent="0.25">
      <c r="G2341"/>
      <c r="DI2341" s="4">
        <f>INDEX(Sheet2!A:A,QUOTIENT(ROW()-1,19)+2)</f>
        <v>41535</v>
      </c>
      <c r="DJ2341" s="4">
        <f>INDEX(Sheet2!C:C,QUOTIENT(ROW()-1,19)+2)</f>
        <v>42369</v>
      </c>
      <c r="DK2341" s="4">
        <f>INDEX(Sheet2!$AA$2:$AS$228,QUOTIENT(ROW()-1,19)+1,MOD(ROW()-2,19)+1)</f>
        <v>42369</v>
      </c>
      <c r="DL2341">
        <f>IFERROR(INDEX(Sheet2!$AU$2:$BM$228,QUOTIENT(ROW()-1,19)+1,MOD(ROW()-2,19)+1),NA())</f>
        <v>0.75</v>
      </c>
      <c r="DM2341" s="4" t="e">
        <f t="shared" si="129"/>
        <v>#N/A</v>
      </c>
      <c r="DN2341" t="e">
        <f t="shared" si="130"/>
        <v>#N/A</v>
      </c>
      <c r="DO2341" t="e">
        <f t="shared" si="131"/>
        <v>#N/A</v>
      </c>
    </row>
    <row r="2342" spans="7:119" x14ac:dyDescent="0.25">
      <c r="G2342"/>
      <c r="DI2342" s="4">
        <f>INDEX(Sheet2!A:A,QUOTIENT(ROW()-1,19)+2)</f>
        <v>41535</v>
      </c>
      <c r="DJ2342" s="4">
        <f>INDEX(Sheet2!C:C,QUOTIENT(ROW()-1,19)+2)</f>
        <v>42369</v>
      </c>
      <c r="DK2342" s="4">
        <f>INDEX(Sheet2!$AA$2:$AS$228,QUOTIENT(ROW()-1,19)+1,MOD(ROW()-2,19)+1)</f>
        <v>42389.075000000004</v>
      </c>
      <c r="DL2342">
        <f>IFERROR(INDEX(Sheet2!$AU$2:$BM$228,QUOTIENT(ROW()-1,19)+1,MOD(ROW()-2,19)+1),NA())</f>
        <v>0.75</v>
      </c>
      <c r="DM2342" s="4" t="e">
        <f t="shared" si="129"/>
        <v>#N/A</v>
      </c>
      <c r="DN2342" t="e">
        <f t="shared" si="130"/>
        <v>#N/A</v>
      </c>
      <c r="DO2342" t="e">
        <f t="shared" si="131"/>
        <v>#N/A</v>
      </c>
    </row>
    <row r="2343" spans="7:119" x14ac:dyDescent="0.25">
      <c r="G2343"/>
      <c r="DI2343" s="4">
        <f>INDEX(Sheet2!A:A,QUOTIENT(ROW()-1,19)+2)</f>
        <v>41535</v>
      </c>
      <c r="DJ2343" s="4">
        <f>INDEX(Sheet2!C:C,QUOTIENT(ROW()-1,19)+2)</f>
        <v>42369</v>
      </c>
      <c r="DK2343" s="4">
        <f>INDEX(Sheet2!$AA$2:$AS$228,QUOTIENT(ROW()-1,19)+1,MOD(ROW()-2,19)+1)</f>
        <v>42409.15</v>
      </c>
      <c r="DL2343">
        <f>IFERROR(INDEX(Sheet2!$AU$2:$BM$228,QUOTIENT(ROW()-1,19)+1,MOD(ROW()-2,19)+1),NA())</f>
        <v>0.75</v>
      </c>
      <c r="DM2343" s="4" t="e">
        <f t="shared" si="129"/>
        <v>#N/A</v>
      </c>
      <c r="DN2343" t="e">
        <f t="shared" si="130"/>
        <v>#N/A</v>
      </c>
      <c r="DO2343" t="e">
        <f t="shared" si="131"/>
        <v>#N/A</v>
      </c>
    </row>
    <row r="2344" spans="7:119" x14ac:dyDescent="0.25">
      <c r="G2344"/>
      <c r="DI2344" s="4">
        <f>INDEX(Sheet2!A:A,QUOTIENT(ROW()-1,19)+2)</f>
        <v>41535</v>
      </c>
      <c r="DJ2344" s="4">
        <f>INDEX(Sheet2!C:C,QUOTIENT(ROW()-1,19)+2)</f>
        <v>42369</v>
      </c>
      <c r="DK2344" s="4" t="e">
        <f>INDEX(Sheet2!$AA$2:$AS$228,QUOTIENT(ROW()-1,19)+1,MOD(ROW()-2,19)+1)</f>
        <v>#N/A</v>
      </c>
      <c r="DL2344" t="str">
        <f>IFERROR(INDEX(Sheet2!$AU$2:$BM$228,QUOTIENT(ROW()-1,19)+1,MOD(ROW()-2,19)+1),NA())</f>
        <v/>
      </c>
      <c r="DM2344" s="4" t="e">
        <f t="shared" si="129"/>
        <v>#N/A</v>
      </c>
      <c r="DN2344" t="e">
        <f t="shared" si="130"/>
        <v>#N/A</v>
      </c>
      <c r="DO2344" t="e">
        <f t="shared" si="131"/>
        <v>#N/A</v>
      </c>
    </row>
    <row r="2345" spans="7:119" x14ac:dyDescent="0.25">
      <c r="G2345"/>
      <c r="DI2345" s="4">
        <f>INDEX(Sheet2!A:A,QUOTIENT(ROW()-1,19)+2)</f>
        <v>41535</v>
      </c>
      <c r="DJ2345" s="4">
        <f>INDEX(Sheet2!C:C,QUOTIENT(ROW()-1,19)+2)</f>
        <v>42369</v>
      </c>
      <c r="DK2345" s="4" t="e">
        <f>INDEX(Sheet2!$AA$2:$AS$228,QUOTIENT(ROW()-1,19)+1,MOD(ROW()-2,19)+1)</f>
        <v>#N/A</v>
      </c>
      <c r="DL2345" t="str">
        <f>IFERROR(INDEX(Sheet2!$AU$2:$BM$228,QUOTIENT(ROW()-1,19)+1,MOD(ROW()-2,19)+1),NA())</f>
        <v/>
      </c>
      <c r="DM2345" s="4" t="e">
        <f t="shared" si="129"/>
        <v>#N/A</v>
      </c>
      <c r="DN2345" t="e">
        <f t="shared" si="130"/>
        <v>#N/A</v>
      </c>
      <c r="DO2345" t="e">
        <f t="shared" si="131"/>
        <v>#N/A</v>
      </c>
    </row>
    <row r="2346" spans="7:119" x14ac:dyDescent="0.25">
      <c r="G2346"/>
      <c r="DI2346" s="4">
        <f>INDEX(Sheet2!A:A,QUOTIENT(ROW()-1,19)+2)</f>
        <v>41535</v>
      </c>
      <c r="DJ2346" s="4">
        <f>INDEX(Sheet2!C:C,QUOTIENT(ROW()-1,19)+2)</f>
        <v>42369</v>
      </c>
      <c r="DK2346" s="4" t="e">
        <f>INDEX(Sheet2!$AA$2:$AS$228,QUOTIENT(ROW()-1,19)+1,MOD(ROW()-2,19)+1)</f>
        <v>#N/A</v>
      </c>
      <c r="DL2346" t="str">
        <f>IFERROR(INDEX(Sheet2!$AU$2:$BM$228,QUOTIENT(ROW()-1,19)+1,MOD(ROW()-2,19)+1),NA())</f>
        <v/>
      </c>
      <c r="DM2346" s="4" t="e">
        <f t="shared" si="129"/>
        <v>#N/A</v>
      </c>
      <c r="DN2346" t="e">
        <f t="shared" si="130"/>
        <v>#N/A</v>
      </c>
      <c r="DO2346" t="e">
        <f t="shared" si="131"/>
        <v>#N/A</v>
      </c>
    </row>
    <row r="2347" spans="7:119" x14ac:dyDescent="0.25">
      <c r="G2347"/>
      <c r="DI2347" s="4">
        <f>INDEX(Sheet2!A:A,QUOTIENT(ROW()-1,19)+2)</f>
        <v>41535</v>
      </c>
      <c r="DJ2347" s="4">
        <f>INDEX(Sheet2!C:C,QUOTIENT(ROW()-1,19)+2)</f>
        <v>42369</v>
      </c>
      <c r="DK2347" s="4" t="e">
        <f>INDEX(Sheet2!$AA$2:$AS$228,QUOTIENT(ROW()-1,19)+1,MOD(ROW()-2,19)+1)</f>
        <v>#N/A</v>
      </c>
      <c r="DL2347" t="str">
        <f>IFERROR(INDEX(Sheet2!$AU$2:$BM$228,QUOTIENT(ROW()-1,19)+1,MOD(ROW()-2,19)+1),NA())</f>
        <v/>
      </c>
      <c r="DM2347" s="4" t="e">
        <f t="shared" si="129"/>
        <v>#N/A</v>
      </c>
      <c r="DN2347" t="e">
        <f t="shared" si="130"/>
        <v>#N/A</v>
      </c>
      <c r="DO2347" t="e">
        <f t="shared" si="131"/>
        <v>#N/A</v>
      </c>
    </row>
    <row r="2348" spans="7:119" x14ac:dyDescent="0.25">
      <c r="G2348"/>
      <c r="DI2348" s="4">
        <f>INDEX(Sheet2!A:A,QUOTIENT(ROW()-1,19)+2)</f>
        <v>41535</v>
      </c>
      <c r="DJ2348" s="4">
        <f>INDEX(Sheet2!C:C,QUOTIENT(ROW()-1,19)+2)</f>
        <v>42369</v>
      </c>
      <c r="DK2348" s="4" t="e">
        <f>INDEX(Sheet2!$AA$2:$AS$228,QUOTIENT(ROW()-1,19)+1,MOD(ROW()-2,19)+1)</f>
        <v>#N/A</v>
      </c>
      <c r="DL2348" t="str">
        <f>IFERROR(INDEX(Sheet2!$AU$2:$BM$228,QUOTIENT(ROW()-1,19)+1,MOD(ROW()-2,19)+1),NA())</f>
        <v/>
      </c>
      <c r="DM2348" s="4" t="e">
        <f t="shared" si="129"/>
        <v>#N/A</v>
      </c>
      <c r="DN2348" t="e">
        <f t="shared" si="130"/>
        <v>#N/A</v>
      </c>
      <c r="DO2348" t="e">
        <f t="shared" si="131"/>
        <v>#N/A</v>
      </c>
    </row>
    <row r="2349" spans="7:119" x14ac:dyDescent="0.25">
      <c r="G2349"/>
      <c r="DI2349" s="4">
        <f>INDEX(Sheet2!A:A,QUOTIENT(ROW()-1,19)+2)</f>
        <v>41535</v>
      </c>
      <c r="DJ2349" s="4">
        <f>INDEX(Sheet2!C:C,QUOTIENT(ROW()-1,19)+2)</f>
        <v>42369</v>
      </c>
      <c r="DK2349" s="4" t="e">
        <f>INDEX(Sheet2!$AA$2:$AS$228,QUOTIENT(ROW()-1,19)+1,MOD(ROW()-2,19)+1)</f>
        <v>#N/A</v>
      </c>
      <c r="DL2349" t="str">
        <f>IFERROR(INDEX(Sheet2!$AU$2:$BM$228,QUOTIENT(ROW()-1,19)+1,MOD(ROW()-2,19)+1),NA())</f>
        <v/>
      </c>
      <c r="DM2349" s="4" t="e">
        <f t="shared" si="129"/>
        <v>#N/A</v>
      </c>
      <c r="DN2349" t="e">
        <f t="shared" si="130"/>
        <v>#N/A</v>
      </c>
      <c r="DO2349" t="e">
        <f t="shared" si="131"/>
        <v>#N/A</v>
      </c>
    </row>
    <row r="2350" spans="7:119" x14ac:dyDescent="0.25">
      <c r="G2350"/>
      <c r="DI2350" s="4">
        <f>INDEX(Sheet2!A:A,QUOTIENT(ROW()-1,19)+2)</f>
        <v>41535</v>
      </c>
      <c r="DJ2350" s="4">
        <f>INDEX(Sheet2!C:C,QUOTIENT(ROW()-1,19)+2)</f>
        <v>42369</v>
      </c>
      <c r="DK2350" s="4" t="e">
        <f>INDEX(Sheet2!$AA$2:$AS$228,QUOTIENT(ROW()-1,19)+1,MOD(ROW()-2,19)+1)</f>
        <v>#N/A</v>
      </c>
      <c r="DL2350" t="str">
        <f>IFERROR(INDEX(Sheet2!$AU$2:$BM$228,QUOTIENT(ROW()-1,19)+1,MOD(ROW()-2,19)+1),NA())</f>
        <v/>
      </c>
      <c r="DM2350" s="4" t="e">
        <f t="shared" si="129"/>
        <v>#N/A</v>
      </c>
      <c r="DN2350" t="e">
        <f t="shared" si="130"/>
        <v>#N/A</v>
      </c>
      <c r="DO2350" t="e">
        <f t="shared" si="131"/>
        <v>#N/A</v>
      </c>
    </row>
    <row r="2351" spans="7:119" x14ac:dyDescent="0.25">
      <c r="G2351"/>
      <c r="DI2351" s="4">
        <f>INDEX(Sheet2!A:A,QUOTIENT(ROW()-1,19)+2)</f>
        <v>41535</v>
      </c>
      <c r="DJ2351" s="4">
        <f>INDEX(Sheet2!C:C,QUOTIENT(ROW()-1,19)+2)</f>
        <v>42369</v>
      </c>
      <c r="DK2351" s="4" t="e">
        <f>INDEX(Sheet2!$AA$2:$AS$228,QUOTIENT(ROW()-1,19)+1,MOD(ROW()-2,19)+1)</f>
        <v>#N/A</v>
      </c>
      <c r="DL2351" t="str">
        <f>IFERROR(INDEX(Sheet2!$AU$2:$BM$228,QUOTIENT(ROW()-1,19)+1,MOD(ROW()-2,19)+1),NA())</f>
        <v/>
      </c>
      <c r="DM2351" s="4" t="e">
        <f t="shared" si="129"/>
        <v>#N/A</v>
      </c>
      <c r="DN2351" t="e">
        <f t="shared" si="130"/>
        <v>#N/A</v>
      </c>
      <c r="DO2351" t="e">
        <f t="shared" si="131"/>
        <v>#N/A</v>
      </c>
    </row>
    <row r="2352" spans="7:119" x14ac:dyDescent="0.25">
      <c r="G2352"/>
      <c r="DI2352" s="4">
        <f>INDEX(Sheet2!A:A,QUOTIENT(ROW()-1,19)+2)</f>
        <v>41535</v>
      </c>
      <c r="DJ2352" s="4">
        <f>INDEX(Sheet2!C:C,QUOTIENT(ROW()-1,19)+2)</f>
        <v>42369</v>
      </c>
      <c r="DK2352" s="4" t="e">
        <f>INDEX(Sheet2!$AA$2:$AS$228,QUOTIENT(ROW()-1,19)+1,MOD(ROW()-2,19)+1)</f>
        <v>#N/A</v>
      </c>
      <c r="DL2352" t="str">
        <f>IFERROR(INDEX(Sheet2!$AU$2:$BM$228,QUOTIENT(ROW()-1,19)+1,MOD(ROW()-2,19)+1),NA())</f>
        <v/>
      </c>
      <c r="DM2352" s="4" t="e">
        <f t="shared" si="129"/>
        <v>#N/A</v>
      </c>
      <c r="DN2352" t="e">
        <f t="shared" si="130"/>
        <v>#N/A</v>
      </c>
      <c r="DO2352" t="e">
        <f t="shared" si="131"/>
        <v>#N/A</v>
      </c>
    </row>
    <row r="2353" spans="7:119" x14ac:dyDescent="0.25">
      <c r="G2353"/>
      <c r="DI2353" s="4">
        <f>INDEX(Sheet2!A:A,QUOTIENT(ROW()-1,19)+2)</f>
        <v>41535</v>
      </c>
      <c r="DJ2353" s="4">
        <f>INDEX(Sheet2!C:C,QUOTIENT(ROW()-1,19)+2)</f>
        <v>42369</v>
      </c>
      <c r="DK2353" s="4" t="e">
        <f>INDEX(Sheet2!$AA$2:$AS$228,QUOTIENT(ROW()-1,19)+1,MOD(ROW()-2,19)+1)</f>
        <v>#N/A</v>
      </c>
      <c r="DL2353" t="str">
        <f>IFERROR(INDEX(Sheet2!$AU$2:$BM$228,QUOTIENT(ROW()-1,19)+1,MOD(ROW()-2,19)+1),NA())</f>
        <v/>
      </c>
      <c r="DM2353" s="4" t="e">
        <f t="shared" si="129"/>
        <v>#N/A</v>
      </c>
      <c r="DN2353" t="e">
        <f t="shared" si="130"/>
        <v>#N/A</v>
      </c>
      <c r="DO2353" t="e">
        <f t="shared" si="131"/>
        <v>#N/A</v>
      </c>
    </row>
    <row r="2354" spans="7:119" x14ac:dyDescent="0.25">
      <c r="G2354"/>
      <c r="DI2354" s="4">
        <f>INDEX(Sheet2!A:A,QUOTIENT(ROW()-1,19)+2)</f>
        <v>41535</v>
      </c>
      <c r="DJ2354" s="4">
        <f>INDEX(Sheet2!C:C,QUOTIENT(ROW()-1,19)+2)</f>
        <v>42369</v>
      </c>
      <c r="DK2354" s="4" t="e">
        <f>INDEX(Sheet2!$AA$2:$AS$228,QUOTIENT(ROW()-1,19)+1,MOD(ROW()-2,19)+1)</f>
        <v>#N/A</v>
      </c>
      <c r="DL2354" t="str">
        <f>IFERROR(INDEX(Sheet2!$AU$2:$BM$228,QUOTIENT(ROW()-1,19)+1,MOD(ROW()-2,19)+1),NA())</f>
        <v/>
      </c>
      <c r="DM2354" s="4" t="e">
        <f t="shared" si="129"/>
        <v>#N/A</v>
      </c>
      <c r="DN2354" t="e">
        <f t="shared" si="130"/>
        <v>#N/A</v>
      </c>
      <c r="DO2354" t="e">
        <f t="shared" si="131"/>
        <v>#N/A</v>
      </c>
    </row>
    <row r="2355" spans="7:119" x14ac:dyDescent="0.25">
      <c r="G2355"/>
      <c r="DI2355" s="4">
        <f>INDEX(Sheet2!A:A,QUOTIENT(ROW()-1,19)+2)</f>
        <v>41535</v>
      </c>
      <c r="DJ2355" s="4">
        <f>INDEX(Sheet2!C:C,QUOTIENT(ROW()-1,19)+2)</f>
        <v>42369</v>
      </c>
      <c r="DK2355" s="4" t="e">
        <f>INDEX(Sheet2!$AA$2:$AS$228,QUOTIENT(ROW()-1,19)+1,MOD(ROW()-2,19)+1)</f>
        <v>#N/A</v>
      </c>
      <c r="DL2355" t="str">
        <f>IFERROR(INDEX(Sheet2!$AU$2:$BM$228,QUOTIENT(ROW()-1,19)+1,MOD(ROW()-2,19)+1),NA())</f>
        <v/>
      </c>
      <c r="DM2355" s="4" t="e">
        <f t="shared" si="129"/>
        <v>#N/A</v>
      </c>
      <c r="DN2355" t="e">
        <f t="shared" si="130"/>
        <v>#N/A</v>
      </c>
      <c r="DO2355" t="e">
        <f t="shared" si="131"/>
        <v>#N/A</v>
      </c>
    </row>
    <row r="2356" spans="7:119" x14ac:dyDescent="0.25">
      <c r="G2356"/>
      <c r="DI2356" s="4">
        <f>INDEX(Sheet2!A:A,QUOTIENT(ROW()-1,19)+2)</f>
        <v>41535</v>
      </c>
      <c r="DJ2356" s="4">
        <f>INDEX(Sheet2!C:C,QUOTIENT(ROW()-1,19)+2)</f>
        <v>42369</v>
      </c>
      <c r="DK2356" s="4" t="e">
        <f>INDEX(Sheet2!$AA$2:$AS$228,QUOTIENT(ROW()-1,19)+1,MOD(ROW()-2,19)+1)</f>
        <v>#N/A</v>
      </c>
      <c r="DL2356" t="str">
        <f>IFERROR(INDEX(Sheet2!$AU$2:$BM$228,QUOTIENT(ROW()-1,19)+1,MOD(ROW()-2,19)+1),NA())</f>
        <v/>
      </c>
      <c r="DM2356" s="4" t="e">
        <f t="shared" si="129"/>
        <v>#N/A</v>
      </c>
      <c r="DN2356" t="e">
        <f t="shared" si="130"/>
        <v>#N/A</v>
      </c>
      <c r="DO2356" t="e">
        <f t="shared" si="131"/>
        <v>#N/A</v>
      </c>
    </row>
    <row r="2357" spans="7:119" x14ac:dyDescent="0.25">
      <c r="G2357"/>
      <c r="DI2357" s="4">
        <f>INDEX(Sheet2!A:A,QUOTIENT(ROW()-1,19)+2)</f>
        <v>41535</v>
      </c>
      <c r="DJ2357" s="4">
        <f>INDEX(Sheet2!C:C,QUOTIENT(ROW()-1,19)+2)</f>
        <v>42369</v>
      </c>
      <c r="DK2357" s="4" t="e">
        <f>INDEX(Sheet2!$AA$2:$AS$228,QUOTIENT(ROW()-1,19)+1,MOD(ROW()-2,19)+1)</f>
        <v>#N/A</v>
      </c>
      <c r="DL2357" t="str">
        <f>IFERROR(INDEX(Sheet2!$AU$2:$BM$228,QUOTIENT(ROW()-1,19)+1,MOD(ROW()-2,19)+1),NA())</f>
        <v/>
      </c>
      <c r="DM2357" s="4" t="e">
        <f t="shared" si="129"/>
        <v>#N/A</v>
      </c>
      <c r="DN2357" t="e">
        <f t="shared" si="130"/>
        <v>#N/A</v>
      </c>
      <c r="DO2357" t="e">
        <f t="shared" si="131"/>
        <v>#N/A</v>
      </c>
    </row>
    <row r="2358" spans="7:119" x14ac:dyDescent="0.25">
      <c r="G2358"/>
      <c r="DI2358" s="4">
        <f>INDEX(Sheet2!A:A,QUOTIENT(ROW()-1,19)+2)</f>
        <v>41535</v>
      </c>
      <c r="DJ2358" s="4">
        <f>INDEX(Sheet2!C:C,QUOTIENT(ROW()-1,19)+2)</f>
        <v>42369</v>
      </c>
      <c r="DK2358" s="4">
        <f>INDEX(Sheet2!$AA$2:$AS$228,QUOTIENT(ROW()-1,19)+1,MOD(ROW()-2,19)+1)</f>
        <v>42348.924999999996</v>
      </c>
      <c r="DL2358">
        <f>IFERROR(INDEX(Sheet2!$AU$2:$BM$228,QUOTIENT(ROW()-1,19)+1,MOD(ROW()-2,19)+1),NA())</f>
        <v>1</v>
      </c>
      <c r="DM2358" s="4" t="e">
        <f t="shared" si="129"/>
        <v>#N/A</v>
      </c>
      <c r="DN2358" t="e">
        <f t="shared" si="130"/>
        <v>#N/A</v>
      </c>
      <c r="DO2358" t="e">
        <f t="shared" si="131"/>
        <v>#N/A</v>
      </c>
    </row>
    <row r="2359" spans="7:119" x14ac:dyDescent="0.25">
      <c r="G2359"/>
      <c r="DI2359" s="4">
        <f>INDEX(Sheet2!A:A,QUOTIENT(ROW()-1,19)+2)</f>
        <v>41535</v>
      </c>
      <c r="DJ2359" s="4">
        <f>INDEX(Sheet2!C:C,QUOTIENT(ROW()-1,19)+2)</f>
        <v>42369</v>
      </c>
      <c r="DK2359" s="4">
        <f>INDEX(Sheet2!$AA$2:$AS$228,QUOTIENT(ROW()-1,19)+1,MOD(ROW()-2,19)+1)</f>
        <v>42369</v>
      </c>
      <c r="DL2359">
        <f>IFERROR(INDEX(Sheet2!$AU$2:$BM$228,QUOTIENT(ROW()-1,19)+1,MOD(ROW()-2,19)+1),NA())</f>
        <v>1</v>
      </c>
      <c r="DM2359" s="4" t="e">
        <f t="shared" si="129"/>
        <v>#N/A</v>
      </c>
      <c r="DN2359" t="e">
        <f t="shared" si="130"/>
        <v>#N/A</v>
      </c>
      <c r="DO2359" t="e">
        <f t="shared" si="131"/>
        <v>#N/A</v>
      </c>
    </row>
    <row r="2360" spans="7:119" x14ac:dyDescent="0.25">
      <c r="G2360"/>
      <c r="DI2360" s="4">
        <f>INDEX(Sheet2!A:A,QUOTIENT(ROW()-1,19)+2)</f>
        <v>41535</v>
      </c>
      <c r="DJ2360" s="4">
        <f>INDEX(Sheet2!C:C,QUOTIENT(ROW()-1,19)+2)</f>
        <v>42369</v>
      </c>
      <c r="DK2360" s="4">
        <f>INDEX(Sheet2!$AA$2:$AS$228,QUOTIENT(ROW()-1,19)+1,MOD(ROW()-2,19)+1)</f>
        <v>42389.074999999997</v>
      </c>
      <c r="DL2360">
        <f>IFERROR(INDEX(Sheet2!$AU$2:$BM$228,QUOTIENT(ROW()-1,19)+1,MOD(ROW()-2,19)+1),NA())</f>
        <v>1</v>
      </c>
      <c r="DM2360" s="4" t="e">
        <f t="shared" si="129"/>
        <v>#N/A</v>
      </c>
      <c r="DN2360" t="e">
        <f t="shared" si="130"/>
        <v>#N/A</v>
      </c>
      <c r="DO2360" t="e">
        <f t="shared" si="131"/>
        <v>#N/A</v>
      </c>
    </row>
    <row r="2361" spans="7:119" x14ac:dyDescent="0.25">
      <c r="G2361"/>
      <c r="DI2361" s="4">
        <f>INDEX(Sheet2!A:A,QUOTIENT(ROW()-1,19)+2)</f>
        <v>41535</v>
      </c>
      <c r="DJ2361" s="4">
        <f>INDEX(Sheet2!C:C,QUOTIENT(ROW()-1,19)+2)</f>
        <v>42369</v>
      </c>
      <c r="DK2361" s="4" t="e">
        <f>INDEX(Sheet2!$AA$2:$AS$228,QUOTIENT(ROW()-1,19)+1,MOD(ROW()-2,19)+1)</f>
        <v>#N/A</v>
      </c>
      <c r="DL2361" t="str">
        <f>IFERROR(INDEX(Sheet2!$AU$2:$BM$228,QUOTIENT(ROW()-1,19)+1,MOD(ROW()-2,19)+1),NA())</f>
        <v/>
      </c>
      <c r="DM2361" s="4" t="e">
        <f t="shared" si="129"/>
        <v>#N/A</v>
      </c>
      <c r="DN2361" t="e">
        <f t="shared" si="130"/>
        <v>#N/A</v>
      </c>
      <c r="DO2361" t="e">
        <f t="shared" si="131"/>
        <v>#N/A</v>
      </c>
    </row>
    <row r="2362" spans="7:119" x14ac:dyDescent="0.25">
      <c r="G2362"/>
      <c r="DI2362" s="4">
        <f>INDEX(Sheet2!A:A,QUOTIENT(ROW()-1,19)+2)</f>
        <v>41535</v>
      </c>
      <c r="DJ2362" s="4">
        <f>INDEX(Sheet2!C:C,QUOTIENT(ROW()-1,19)+2)</f>
        <v>42369</v>
      </c>
      <c r="DK2362" s="4" t="e">
        <f>INDEX(Sheet2!$AA$2:$AS$228,QUOTIENT(ROW()-1,19)+1,MOD(ROW()-2,19)+1)</f>
        <v>#N/A</v>
      </c>
      <c r="DL2362" t="str">
        <f>IFERROR(INDEX(Sheet2!$AU$2:$BM$228,QUOTIENT(ROW()-1,19)+1,MOD(ROW()-2,19)+1),NA())</f>
        <v/>
      </c>
      <c r="DM2362" s="4" t="e">
        <f t="shared" si="129"/>
        <v>#N/A</v>
      </c>
      <c r="DN2362" t="e">
        <f t="shared" si="130"/>
        <v>#N/A</v>
      </c>
      <c r="DO2362" t="e">
        <f t="shared" si="131"/>
        <v>#N/A</v>
      </c>
    </row>
    <row r="2363" spans="7:119" x14ac:dyDescent="0.25">
      <c r="G2363"/>
      <c r="DI2363" s="4">
        <f>INDEX(Sheet2!A:A,QUOTIENT(ROW()-1,19)+2)</f>
        <v>41535</v>
      </c>
      <c r="DJ2363" s="4">
        <f>INDEX(Sheet2!C:C,QUOTIENT(ROW()-1,19)+2)</f>
        <v>42369</v>
      </c>
      <c r="DK2363" s="4" t="e">
        <f>INDEX(Sheet2!$AA$2:$AS$228,QUOTIENT(ROW()-1,19)+1,MOD(ROW()-2,19)+1)</f>
        <v>#N/A</v>
      </c>
      <c r="DL2363" t="str">
        <f>IFERROR(INDEX(Sheet2!$AU$2:$BM$228,QUOTIENT(ROW()-1,19)+1,MOD(ROW()-2,19)+1),NA())</f>
        <v/>
      </c>
      <c r="DM2363" s="4" t="e">
        <f t="shared" si="129"/>
        <v>#N/A</v>
      </c>
      <c r="DN2363" t="e">
        <f t="shared" si="130"/>
        <v>#N/A</v>
      </c>
      <c r="DO2363" t="e">
        <f t="shared" si="131"/>
        <v>#N/A</v>
      </c>
    </row>
    <row r="2364" spans="7:119" x14ac:dyDescent="0.25">
      <c r="G2364"/>
      <c r="DI2364" s="4">
        <f>INDEX(Sheet2!A:A,QUOTIENT(ROW()-1,19)+2)</f>
        <v>41535</v>
      </c>
      <c r="DJ2364" s="4">
        <f>INDEX(Sheet2!C:C,QUOTIENT(ROW()-1,19)+2)</f>
        <v>42369</v>
      </c>
      <c r="DK2364" s="4" t="e">
        <f>INDEX(Sheet2!$AA$2:$AS$228,QUOTIENT(ROW()-1,19)+1,MOD(ROW()-2,19)+1)</f>
        <v>#N/A</v>
      </c>
      <c r="DL2364" t="str">
        <f>IFERROR(INDEX(Sheet2!$AU$2:$BM$228,QUOTIENT(ROW()-1,19)+1,MOD(ROW()-2,19)+1),NA())</f>
        <v/>
      </c>
      <c r="DM2364" s="4" t="e">
        <f t="shared" si="129"/>
        <v>#N/A</v>
      </c>
      <c r="DN2364" t="e">
        <f t="shared" si="130"/>
        <v>#N/A</v>
      </c>
      <c r="DO2364" t="e">
        <f t="shared" si="131"/>
        <v>#N/A</v>
      </c>
    </row>
    <row r="2365" spans="7:119" x14ac:dyDescent="0.25">
      <c r="G2365"/>
      <c r="DI2365" s="4">
        <f>INDEX(Sheet2!A:A,QUOTIENT(ROW()-1,19)+2)</f>
        <v>41535</v>
      </c>
      <c r="DJ2365" s="4">
        <f>INDEX(Sheet2!C:C,QUOTIENT(ROW()-1,19)+2)</f>
        <v>42369</v>
      </c>
      <c r="DK2365" s="4" t="e">
        <f>INDEX(Sheet2!$AA$2:$AS$228,QUOTIENT(ROW()-1,19)+1,MOD(ROW()-2,19)+1)</f>
        <v>#N/A</v>
      </c>
      <c r="DL2365" t="str">
        <f>IFERROR(INDEX(Sheet2!$AU$2:$BM$228,QUOTIENT(ROW()-1,19)+1,MOD(ROW()-2,19)+1),NA())</f>
        <v/>
      </c>
      <c r="DM2365" s="4" t="e">
        <f t="shared" si="129"/>
        <v>#N/A</v>
      </c>
      <c r="DN2365" t="e">
        <f t="shared" si="130"/>
        <v>#N/A</v>
      </c>
      <c r="DO2365" t="e">
        <f t="shared" si="131"/>
        <v>#N/A</v>
      </c>
    </row>
    <row r="2366" spans="7:119" x14ac:dyDescent="0.25">
      <c r="G2366"/>
      <c r="DI2366" s="4">
        <f>INDEX(Sheet2!A:A,QUOTIENT(ROW()-1,19)+2)</f>
        <v>41535</v>
      </c>
      <c r="DJ2366" s="4">
        <f>INDEX(Sheet2!C:C,QUOTIENT(ROW()-1,19)+2)</f>
        <v>42369</v>
      </c>
      <c r="DK2366" s="4" t="e">
        <f>INDEX(Sheet2!$AA$2:$AS$228,QUOTIENT(ROW()-1,19)+1,MOD(ROW()-2,19)+1)</f>
        <v>#N/A</v>
      </c>
      <c r="DL2366" t="str">
        <f>IFERROR(INDEX(Sheet2!$AU$2:$BM$228,QUOTIENT(ROW()-1,19)+1,MOD(ROW()-2,19)+1),NA())</f>
        <v/>
      </c>
      <c r="DM2366" s="4" t="e">
        <f t="shared" si="129"/>
        <v>#N/A</v>
      </c>
      <c r="DN2366" t="e">
        <f t="shared" si="130"/>
        <v>#N/A</v>
      </c>
      <c r="DO2366" t="e">
        <f t="shared" si="131"/>
        <v>#N/A</v>
      </c>
    </row>
    <row r="2367" spans="7:119" x14ac:dyDescent="0.25">
      <c r="G2367"/>
      <c r="DI2367" s="4">
        <f>INDEX(Sheet2!A:A,QUOTIENT(ROW()-1,19)+2)</f>
        <v>41535</v>
      </c>
      <c r="DJ2367" s="4">
        <f>INDEX(Sheet2!C:C,QUOTIENT(ROW()-1,19)+2)</f>
        <v>42369</v>
      </c>
      <c r="DK2367" s="4" t="e">
        <f>INDEX(Sheet2!$AA$2:$AS$228,QUOTIENT(ROW()-1,19)+1,MOD(ROW()-2,19)+1)</f>
        <v>#N/A</v>
      </c>
      <c r="DL2367" t="str">
        <f>IFERROR(INDEX(Sheet2!$AU$2:$BM$228,QUOTIENT(ROW()-1,19)+1,MOD(ROW()-2,19)+1),NA())</f>
        <v/>
      </c>
      <c r="DM2367" s="4" t="e">
        <f t="shared" si="129"/>
        <v>#N/A</v>
      </c>
      <c r="DN2367" t="e">
        <f t="shared" si="130"/>
        <v>#N/A</v>
      </c>
      <c r="DO2367" t="e">
        <f t="shared" si="131"/>
        <v>#N/A</v>
      </c>
    </row>
    <row r="2368" spans="7:119" x14ac:dyDescent="0.25">
      <c r="G2368"/>
      <c r="DI2368" s="4">
        <f>INDEX(Sheet2!A:A,QUOTIENT(ROW()-1,19)+2)</f>
        <v>41535</v>
      </c>
      <c r="DJ2368" s="4">
        <f>INDEX(Sheet2!C:C,QUOTIENT(ROW()-1,19)+2)</f>
        <v>42369</v>
      </c>
      <c r="DK2368" s="4" t="e">
        <f>INDEX(Sheet2!$AA$2:$AS$228,QUOTIENT(ROW()-1,19)+1,MOD(ROW()-2,19)+1)</f>
        <v>#N/A</v>
      </c>
      <c r="DL2368" t="str">
        <f>IFERROR(INDEX(Sheet2!$AU$2:$BM$228,QUOTIENT(ROW()-1,19)+1,MOD(ROW()-2,19)+1),NA())</f>
        <v/>
      </c>
      <c r="DM2368" s="4" t="e">
        <f t="shared" si="129"/>
        <v>#N/A</v>
      </c>
      <c r="DN2368" t="e">
        <f t="shared" si="130"/>
        <v>#N/A</v>
      </c>
      <c r="DO2368" t="e">
        <f t="shared" si="131"/>
        <v>#N/A</v>
      </c>
    </row>
    <row r="2369" spans="7:119" x14ac:dyDescent="0.25">
      <c r="G2369"/>
      <c r="DI2369" s="4">
        <f>INDEX(Sheet2!A:A,QUOTIENT(ROW()-1,19)+2)</f>
        <v>41535</v>
      </c>
      <c r="DJ2369" s="4">
        <f>INDEX(Sheet2!C:C,QUOTIENT(ROW()-1,19)+2)</f>
        <v>42369</v>
      </c>
      <c r="DK2369" s="4" t="e">
        <f>INDEX(Sheet2!$AA$2:$AS$228,QUOTIENT(ROW()-1,19)+1,MOD(ROW()-2,19)+1)</f>
        <v>#N/A</v>
      </c>
      <c r="DL2369" t="str">
        <f>IFERROR(INDEX(Sheet2!$AU$2:$BM$228,QUOTIENT(ROW()-1,19)+1,MOD(ROW()-2,19)+1),NA())</f>
        <v/>
      </c>
      <c r="DM2369" s="4" t="e">
        <f t="shared" si="129"/>
        <v>#N/A</v>
      </c>
      <c r="DN2369" t="e">
        <f t="shared" si="130"/>
        <v>#N/A</v>
      </c>
      <c r="DO2369" t="e">
        <f t="shared" si="131"/>
        <v>#N/A</v>
      </c>
    </row>
    <row r="2370" spans="7:119" x14ac:dyDescent="0.25">
      <c r="G2370"/>
      <c r="DI2370" s="4">
        <f>INDEX(Sheet2!A:A,QUOTIENT(ROW()-1,19)+2)</f>
        <v>41535</v>
      </c>
      <c r="DJ2370" s="4">
        <f>INDEX(Sheet2!C:C,QUOTIENT(ROW()-1,19)+2)</f>
        <v>42369</v>
      </c>
      <c r="DK2370" s="4" t="e">
        <f>INDEX(Sheet2!$AA$2:$AS$228,QUOTIENT(ROW()-1,19)+1,MOD(ROW()-2,19)+1)</f>
        <v>#N/A</v>
      </c>
      <c r="DL2370" t="str">
        <f>IFERROR(INDEX(Sheet2!$AU$2:$BM$228,QUOTIENT(ROW()-1,19)+1,MOD(ROW()-2,19)+1),NA())</f>
        <v/>
      </c>
      <c r="DM2370" s="4" t="e">
        <f t="shared" ref="DM2370:DM2433" si="132">+IF($C$2=$DI2370,DK2370,NA())</f>
        <v>#N/A</v>
      </c>
      <c r="DN2370" t="e">
        <f t="shared" ref="DN2370:DN2433" si="133">+IF($C$2=$DI2370,DL2370,NA())</f>
        <v>#N/A</v>
      </c>
      <c r="DO2370" t="e">
        <f t="shared" si="131"/>
        <v>#N/A</v>
      </c>
    </row>
    <row r="2371" spans="7:119" x14ac:dyDescent="0.25">
      <c r="G2371"/>
      <c r="DI2371" s="4">
        <f>INDEX(Sheet2!A:A,QUOTIENT(ROW()-1,19)+2)</f>
        <v>41535</v>
      </c>
      <c r="DJ2371" s="4">
        <f>INDEX(Sheet2!C:C,QUOTIENT(ROW()-1,19)+2)</f>
        <v>42369</v>
      </c>
      <c r="DK2371" s="4" t="e">
        <f>INDEX(Sheet2!$AA$2:$AS$228,QUOTIENT(ROW()-1,19)+1,MOD(ROW()-2,19)+1)</f>
        <v>#N/A</v>
      </c>
      <c r="DL2371" t="str">
        <f>IFERROR(INDEX(Sheet2!$AU$2:$BM$228,QUOTIENT(ROW()-1,19)+1,MOD(ROW()-2,19)+1),NA())</f>
        <v/>
      </c>
      <c r="DM2371" s="4" t="e">
        <f t="shared" si="132"/>
        <v>#N/A</v>
      </c>
      <c r="DN2371" t="e">
        <f t="shared" si="133"/>
        <v>#N/A</v>
      </c>
      <c r="DO2371" t="e">
        <f t="shared" ref="DO2371:DO2434" si="134">IF(DN2371="",NA(),DN2371)</f>
        <v>#N/A</v>
      </c>
    </row>
    <row r="2372" spans="7:119" x14ac:dyDescent="0.25">
      <c r="G2372"/>
      <c r="DI2372" s="4">
        <f>INDEX(Sheet2!A:A,QUOTIENT(ROW()-1,19)+2)</f>
        <v>41535</v>
      </c>
      <c r="DJ2372" s="4">
        <f>INDEX(Sheet2!C:C,QUOTIENT(ROW()-1,19)+2)</f>
        <v>42369</v>
      </c>
      <c r="DK2372" s="4" t="e">
        <f>INDEX(Sheet2!$AA$2:$AS$228,QUOTIENT(ROW()-1,19)+1,MOD(ROW()-2,19)+1)</f>
        <v>#N/A</v>
      </c>
      <c r="DL2372" t="str">
        <f>IFERROR(INDEX(Sheet2!$AU$2:$BM$228,QUOTIENT(ROW()-1,19)+1,MOD(ROW()-2,19)+1),NA())</f>
        <v/>
      </c>
      <c r="DM2372" s="4" t="e">
        <f t="shared" si="132"/>
        <v>#N/A</v>
      </c>
      <c r="DN2372" t="e">
        <f t="shared" si="133"/>
        <v>#N/A</v>
      </c>
      <c r="DO2372" t="e">
        <f t="shared" si="134"/>
        <v>#N/A</v>
      </c>
    </row>
    <row r="2373" spans="7:119" x14ac:dyDescent="0.25">
      <c r="G2373"/>
      <c r="DI2373" s="4">
        <f>INDEX(Sheet2!A:A,QUOTIENT(ROW()-1,19)+2)</f>
        <v>41535</v>
      </c>
      <c r="DJ2373" s="4">
        <f>INDEX(Sheet2!C:C,QUOTIENT(ROW()-1,19)+2)</f>
        <v>42369</v>
      </c>
      <c r="DK2373" s="4" t="e">
        <f>INDEX(Sheet2!$AA$2:$AS$228,QUOTIENT(ROW()-1,19)+1,MOD(ROW()-2,19)+1)</f>
        <v>#N/A</v>
      </c>
      <c r="DL2373" t="str">
        <f>IFERROR(INDEX(Sheet2!$AU$2:$BM$228,QUOTIENT(ROW()-1,19)+1,MOD(ROW()-2,19)+1),NA())</f>
        <v/>
      </c>
      <c r="DM2373" s="4" t="e">
        <f t="shared" si="132"/>
        <v>#N/A</v>
      </c>
      <c r="DN2373" t="e">
        <f t="shared" si="133"/>
        <v>#N/A</v>
      </c>
      <c r="DO2373" t="e">
        <f t="shared" si="134"/>
        <v>#N/A</v>
      </c>
    </row>
    <row r="2374" spans="7:119" x14ac:dyDescent="0.25">
      <c r="G2374"/>
      <c r="DI2374" s="4">
        <f>INDEX(Sheet2!A:A,QUOTIENT(ROW()-1,19)+2)</f>
        <v>41535</v>
      </c>
      <c r="DJ2374" s="4">
        <f>INDEX(Sheet2!C:C,QUOTIENT(ROW()-1,19)+2)</f>
        <v>42369</v>
      </c>
      <c r="DK2374" s="4" t="e">
        <f>INDEX(Sheet2!$AA$2:$AS$228,QUOTIENT(ROW()-1,19)+1,MOD(ROW()-2,19)+1)</f>
        <v>#N/A</v>
      </c>
      <c r="DL2374" t="str">
        <f>IFERROR(INDEX(Sheet2!$AU$2:$BM$228,QUOTIENT(ROW()-1,19)+1,MOD(ROW()-2,19)+1),NA())</f>
        <v/>
      </c>
      <c r="DM2374" s="4" t="e">
        <f t="shared" si="132"/>
        <v>#N/A</v>
      </c>
      <c r="DN2374" t="e">
        <f t="shared" si="133"/>
        <v>#N/A</v>
      </c>
      <c r="DO2374" t="e">
        <f t="shared" si="134"/>
        <v>#N/A</v>
      </c>
    </row>
    <row r="2375" spans="7:119" x14ac:dyDescent="0.25">
      <c r="G2375"/>
      <c r="DI2375" s="4">
        <f>INDEX(Sheet2!A:A,QUOTIENT(ROW()-1,19)+2)</f>
        <v>41535</v>
      </c>
      <c r="DJ2375" s="4">
        <f>INDEX(Sheet2!C:C,QUOTIENT(ROW()-1,19)+2)</f>
        <v>42369</v>
      </c>
      <c r="DK2375" s="4" t="e">
        <f>INDEX(Sheet2!$AA$2:$AS$228,QUOTIENT(ROW()-1,19)+1,MOD(ROW()-2,19)+1)</f>
        <v>#N/A</v>
      </c>
      <c r="DL2375" t="str">
        <f>IFERROR(INDEX(Sheet2!$AU$2:$BM$228,QUOTIENT(ROW()-1,19)+1,MOD(ROW()-2,19)+1),NA())</f>
        <v/>
      </c>
      <c r="DM2375" s="4" t="e">
        <f t="shared" si="132"/>
        <v>#N/A</v>
      </c>
      <c r="DN2375" t="e">
        <f t="shared" si="133"/>
        <v>#N/A</v>
      </c>
      <c r="DO2375" t="e">
        <f t="shared" si="134"/>
        <v>#N/A</v>
      </c>
    </row>
    <row r="2376" spans="7:119" x14ac:dyDescent="0.25">
      <c r="G2376"/>
      <c r="DI2376" s="4">
        <f>INDEX(Sheet2!A:A,QUOTIENT(ROW()-1,19)+2)</f>
        <v>41535</v>
      </c>
      <c r="DJ2376" s="4">
        <f>INDEX(Sheet2!C:C,QUOTIENT(ROW()-1,19)+2)</f>
        <v>42369</v>
      </c>
      <c r="DK2376" s="4" t="e">
        <f>INDEX(Sheet2!$AA$2:$AS$228,QUOTIENT(ROW()-1,19)+1,MOD(ROW()-2,19)+1)</f>
        <v>#N/A</v>
      </c>
      <c r="DL2376" t="str">
        <f>IFERROR(INDEX(Sheet2!$AU$2:$BM$228,QUOTIENT(ROW()-1,19)+1,MOD(ROW()-2,19)+1),NA())</f>
        <v/>
      </c>
      <c r="DM2376" s="4" t="e">
        <f t="shared" si="132"/>
        <v>#N/A</v>
      </c>
      <c r="DN2376" t="e">
        <f t="shared" si="133"/>
        <v>#N/A</v>
      </c>
      <c r="DO2376" t="e">
        <f t="shared" si="134"/>
        <v>#N/A</v>
      </c>
    </row>
    <row r="2377" spans="7:119" x14ac:dyDescent="0.25">
      <c r="G2377"/>
      <c r="DI2377" s="4">
        <f>INDEX(Sheet2!A:A,QUOTIENT(ROW()-1,19)+2)</f>
        <v>41535</v>
      </c>
      <c r="DJ2377" s="4">
        <f>INDEX(Sheet2!C:C,QUOTIENT(ROW()-1,19)+2)</f>
        <v>42369</v>
      </c>
      <c r="DK2377" s="4">
        <f>INDEX(Sheet2!$AA$2:$AS$228,QUOTIENT(ROW()-1,19)+1,MOD(ROW()-2,19)+1)</f>
        <v>42369</v>
      </c>
      <c r="DL2377">
        <f>IFERROR(INDEX(Sheet2!$AU$2:$BM$228,QUOTIENT(ROW()-1,19)+1,MOD(ROW()-2,19)+1),NA())</f>
        <v>1.25</v>
      </c>
      <c r="DM2377" s="4" t="e">
        <f t="shared" si="132"/>
        <v>#N/A</v>
      </c>
      <c r="DN2377" t="e">
        <f t="shared" si="133"/>
        <v>#N/A</v>
      </c>
      <c r="DO2377" t="e">
        <f t="shared" si="134"/>
        <v>#N/A</v>
      </c>
    </row>
    <row r="2378" spans="7:119" x14ac:dyDescent="0.25">
      <c r="G2378"/>
      <c r="DI2378" s="4">
        <f>INDEX(Sheet2!A:A,QUOTIENT(ROW()-1,19)+2)</f>
        <v>41535</v>
      </c>
      <c r="DJ2378" s="4">
        <f>INDEX(Sheet2!C:C,QUOTIENT(ROW()-1,19)+2)</f>
        <v>42369</v>
      </c>
      <c r="DK2378" s="4" t="e">
        <f>INDEX(Sheet2!$AA$2:$AS$228,QUOTIENT(ROW()-1,19)+1,MOD(ROW()-2,19)+1)</f>
        <v>#N/A</v>
      </c>
      <c r="DL2378" t="str">
        <f>IFERROR(INDEX(Sheet2!$AU$2:$BM$228,QUOTIENT(ROW()-1,19)+1,MOD(ROW()-2,19)+1),NA())</f>
        <v/>
      </c>
      <c r="DM2378" s="4" t="e">
        <f t="shared" si="132"/>
        <v>#N/A</v>
      </c>
      <c r="DN2378" t="e">
        <f t="shared" si="133"/>
        <v>#N/A</v>
      </c>
      <c r="DO2378" t="e">
        <f t="shared" si="134"/>
        <v>#N/A</v>
      </c>
    </row>
    <row r="2379" spans="7:119" x14ac:dyDescent="0.25">
      <c r="G2379"/>
      <c r="DI2379" s="4">
        <f>INDEX(Sheet2!A:A,QUOTIENT(ROW()-1,19)+2)</f>
        <v>41535</v>
      </c>
      <c r="DJ2379" s="4">
        <f>INDEX(Sheet2!C:C,QUOTIENT(ROW()-1,19)+2)</f>
        <v>42369</v>
      </c>
      <c r="DK2379" s="4" t="e">
        <f>INDEX(Sheet2!$AA$2:$AS$228,QUOTIENT(ROW()-1,19)+1,MOD(ROW()-2,19)+1)</f>
        <v>#N/A</v>
      </c>
      <c r="DL2379" t="str">
        <f>IFERROR(INDEX(Sheet2!$AU$2:$BM$228,QUOTIENT(ROW()-1,19)+1,MOD(ROW()-2,19)+1),NA())</f>
        <v/>
      </c>
      <c r="DM2379" s="4" t="e">
        <f t="shared" si="132"/>
        <v>#N/A</v>
      </c>
      <c r="DN2379" t="e">
        <f t="shared" si="133"/>
        <v>#N/A</v>
      </c>
      <c r="DO2379" t="e">
        <f t="shared" si="134"/>
        <v>#N/A</v>
      </c>
    </row>
    <row r="2380" spans="7:119" x14ac:dyDescent="0.25">
      <c r="G2380"/>
      <c r="DI2380" s="4">
        <f>INDEX(Sheet2!A:A,QUOTIENT(ROW()-1,19)+2)</f>
        <v>41535</v>
      </c>
      <c r="DJ2380" s="4">
        <f>INDEX(Sheet2!C:C,QUOTIENT(ROW()-1,19)+2)</f>
        <v>42369</v>
      </c>
      <c r="DK2380" s="4" t="e">
        <f>INDEX(Sheet2!$AA$2:$AS$228,QUOTIENT(ROW()-1,19)+1,MOD(ROW()-2,19)+1)</f>
        <v>#N/A</v>
      </c>
      <c r="DL2380" t="str">
        <f>IFERROR(INDEX(Sheet2!$AU$2:$BM$228,QUOTIENT(ROW()-1,19)+1,MOD(ROW()-2,19)+1),NA())</f>
        <v/>
      </c>
      <c r="DM2380" s="4" t="e">
        <f t="shared" si="132"/>
        <v>#N/A</v>
      </c>
      <c r="DN2380" t="e">
        <f t="shared" si="133"/>
        <v>#N/A</v>
      </c>
      <c r="DO2380" t="e">
        <f t="shared" si="134"/>
        <v>#N/A</v>
      </c>
    </row>
    <row r="2381" spans="7:119" x14ac:dyDescent="0.25">
      <c r="G2381"/>
      <c r="DI2381" s="4">
        <f>INDEX(Sheet2!A:A,QUOTIENT(ROW()-1,19)+2)</f>
        <v>41535</v>
      </c>
      <c r="DJ2381" s="4">
        <f>INDEX(Sheet2!C:C,QUOTIENT(ROW()-1,19)+2)</f>
        <v>42369</v>
      </c>
      <c r="DK2381" s="4" t="e">
        <f>INDEX(Sheet2!$AA$2:$AS$228,QUOTIENT(ROW()-1,19)+1,MOD(ROW()-2,19)+1)</f>
        <v>#N/A</v>
      </c>
      <c r="DL2381" t="str">
        <f>IFERROR(INDEX(Sheet2!$AU$2:$BM$228,QUOTIENT(ROW()-1,19)+1,MOD(ROW()-2,19)+1),NA())</f>
        <v/>
      </c>
      <c r="DM2381" s="4" t="e">
        <f t="shared" si="132"/>
        <v>#N/A</v>
      </c>
      <c r="DN2381" t="e">
        <f t="shared" si="133"/>
        <v>#N/A</v>
      </c>
      <c r="DO2381" t="e">
        <f t="shared" si="134"/>
        <v>#N/A</v>
      </c>
    </row>
    <row r="2382" spans="7:119" x14ac:dyDescent="0.25">
      <c r="G2382"/>
      <c r="DI2382" s="4">
        <f>INDEX(Sheet2!A:A,QUOTIENT(ROW()-1,19)+2)</f>
        <v>41535</v>
      </c>
      <c r="DJ2382" s="4">
        <f>INDEX(Sheet2!C:C,QUOTIENT(ROW()-1,19)+2)</f>
        <v>42369</v>
      </c>
      <c r="DK2382" s="4" t="e">
        <f>INDEX(Sheet2!$AA$2:$AS$228,QUOTIENT(ROW()-1,19)+1,MOD(ROW()-2,19)+1)</f>
        <v>#N/A</v>
      </c>
      <c r="DL2382" t="str">
        <f>IFERROR(INDEX(Sheet2!$AU$2:$BM$228,QUOTIENT(ROW()-1,19)+1,MOD(ROW()-2,19)+1),NA())</f>
        <v/>
      </c>
      <c r="DM2382" s="4" t="e">
        <f t="shared" si="132"/>
        <v>#N/A</v>
      </c>
      <c r="DN2382" t="e">
        <f t="shared" si="133"/>
        <v>#N/A</v>
      </c>
      <c r="DO2382" t="e">
        <f t="shared" si="134"/>
        <v>#N/A</v>
      </c>
    </row>
    <row r="2383" spans="7:119" x14ac:dyDescent="0.25">
      <c r="G2383"/>
      <c r="DI2383" s="4">
        <f>INDEX(Sheet2!A:A,QUOTIENT(ROW()-1,19)+2)</f>
        <v>41535</v>
      </c>
      <c r="DJ2383" s="4">
        <f>INDEX(Sheet2!C:C,QUOTIENT(ROW()-1,19)+2)</f>
        <v>42369</v>
      </c>
      <c r="DK2383" s="4" t="e">
        <f>INDEX(Sheet2!$AA$2:$AS$228,QUOTIENT(ROW()-1,19)+1,MOD(ROW()-2,19)+1)</f>
        <v>#N/A</v>
      </c>
      <c r="DL2383" t="str">
        <f>IFERROR(INDEX(Sheet2!$AU$2:$BM$228,QUOTIENT(ROW()-1,19)+1,MOD(ROW()-2,19)+1),NA())</f>
        <v/>
      </c>
      <c r="DM2383" s="4" t="e">
        <f t="shared" si="132"/>
        <v>#N/A</v>
      </c>
      <c r="DN2383" t="e">
        <f t="shared" si="133"/>
        <v>#N/A</v>
      </c>
      <c r="DO2383" t="e">
        <f t="shared" si="134"/>
        <v>#N/A</v>
      </c>
    </row>
    <row r="2384" spans="7:119" x14ac:dyDescent="0.25">
      <c r="G2384"/>
      <c r="DI2384" s="4">
        <f>INDEX(Sheet2!A:A,QUOTIENT(ROW()-1,19)+2)</f>
        <v>41535</v>
      </c>
      <c r="DJ2384" s="4">
        <f>INDEX(Sheet2!C:C,QUOTIENT(ROW()-1,19)+2)</f>
        <v>42369</v>
      </c>
      <c r="DK2384" s="4" t="e">
        <f>INDEX(Sheet2!$AA$2:$AS$228,QUOTIENT(ROW()-1,19)+1,MOD(ROW()-2,19)+1)</f>
        <v>#N/A</v>
      </c>
      <c r="DL2384" t="str">
        <f>IFERROR(INDEX(Sheet2!$AU$2:$BM$228,QUOTIENT(ROW()-1,19)+1,MOD(ROW()-2,19)+1),NA())</f>
        <v/>
      </c>
      <c r="DM2384" s="4" t="e">
        <f t="shared" si="132"/>
        <v>#N/A</v>
      </c>
      <c r="DN2384" t="e">
        <f t="shared" si="133"/>
        <v>#N/A</v>
      </c>
      <c r="DO2384" t="e">
        <f t="shared" si="134"/>
        <v>#N/A</v>
      </c>
    </row>
    <row r="2385" spans="7:119" x14ac:dyDescent="0.25">
      <c r="G2385"/>
      <c r="DI2385" s="4">
        <f>INDEX(Sheet2!A:A,QUOTIENT(ROW()-1,19)+2)</f>
        <v>41535</v>
      </c>
      <c r="DJ2385" s="4">
        <f>INDEX(Sheet2!C:C,QUOTIENT(ROW()-1,19)+2)</f>
        <v>42369</v>
      </c>
      <c r="DK2385" s="4" t="e">
        <f>INDEX(Sheet2!$AA$2:$AS$228,QUOTIENT(ROW()-1,19)+1,MOD(ROW()-2,19)+1)</f>
        <v>#N/A</v>
      </c>
      <c r="DL2385" t="str">
        <f>IFERROR(INDEX(Sheet2!$AU$2:$BM$228,QUOTIENT(ROW()-1,19)+1,MOD(ROW()-2,19)+1),NA())</f>
        <v/>
      </c>
      <c r="DM2385" s="4" t="e">
        <f t="shared" si="132"/>
        <v>#N/A</v>
      </c>
      <c r="DN2385" t="e">
        <f t="shared" si="133"/>
        <v>#N/A</v>
      </c>
      <c r="DO2385" t="e">
        <f t="shared" si="134"/>
        <v>#N/A</v>
      </c>
    </row>
    <row r="2386" spans="7:119" x14ac:dyDescent="0.25">
      <c r="G2386"/>
      <c r="DI2386" s="4">
        <f>INDEX(Sheet2!A:A,QUOTIENT(ROW()-1,19)+2)</f>
        <v>41535</v>
      </c>
      <c r="DJ2386" s="4">
        <f>INDEX(Sheet2!C:C,QUOTIENT(ROW()-1,19)+2)</f>
        <v>42369</v>
      </c>
      <c r="DK2386" s="4" t="e">
        <f>INDEX(Sheet2!$AA$2:$AS$228,QUOTIENT(ROW()-1,19)+1,MOD(ROW()-2,19)+1)</f>
        <v>#N/A</v>
      </c>
      <c r="DL2386" t="str">
        <f>IFERROR(INDEX(Sheet2!$AU$2:$BM$228,QUOTIENT(ROW()-1,19)+1,MOD(ROW()-2,19)+1),NA())</f>
        <v/>
      </c>
      <c r="DM2386" s="4" t="e">
        <f t="shared" si="132"/>
        <v>#N/A</v>
      </c>
      <c r="DN2386" t="e">
        <f t="shared" si="133"/>
        <v>#N/A</v>
      </c>
      <c r="DO2386" t="e">
        <f t="shared" si="134"/>
        <v>#N/A</v>
      </c>
    </row>
    <row r="2387" spans="7:119" x14ac:dyDescent="0.25">
      <c r="G2387"/>
      <c r="DI2387" s="4">
        <f>INDEX(Sheet2!A:A,QUOTIENT(ROW()-1,19)+2)</f>
        <v>41535</v>
      </c>
      <c r="DJ2387" s="4">
        <f>INDEX(Sheet2!C:C,QUOTIENT(ROW()-1,19)+2)</f>
        <v>42369</v>
      </c>
      <c r="DK2387" s="4" t="e">
        <f>INDEX(Sheet2!$AA$2:$AS$228,QUOTIENT(ROW()-1,19)+1,MOD(ROW()-2,19)+1)</f>
        <v>#N/A</v>
      </c>
      <c r="DL2387" t="str">
        <f>IFERROR(INDEX(Sheet2!$AU$2:$BM$228,QUOTIENT(ROW()-1,19)+1,MOD(ROW()-2,19)+1),NA())</f>
        <v/>
      </c>
      <c r="DM2387" s="4" t="e">
        <f t="shared" si="132"/>
        <v>#N/A</v>
      </c>
      <c r="DN2387" t="e">
        <f t="shared" si="133"/>
        <v>#N/A</v>
      </c>
      <c r="DO2387" t="e">
        <f t="shared" si="134"/>
        <v>#N/A</v>
      </c>
    </row>
    <row r="2388" spans="7:119" x14ac:dyDescent="0.25">
      <c r="G2388"/>
      <c r="DI2388" s="4">
        <f>INDEX(Sheet2!A:A,QUOTIENT(ROW()-1,19)+2)</f>
        <v>41535</v>
      </c>
      <c r="DJ2388" s="4">
        <f>INDEX(Sheet2!C:C,QUOTIENT(ROW()-1,19)+2)</f>
        <v>42369</v>
      </c>
      <c r="DK2388" s="4" t="e">
        <f>INDEX(Sheet2!$AA$2:$AS$228,QUOTIENT(ROW()-1,19)+1,MOD(ROW()-2,19)+1)</f>
        <v>#N/A</v>
      </c>
      <c r="DL2388" t="str">
        <f>IFERROR(INDEX(Sheet2!$AU$2:$BM$228,QUOTIENT(ROW()-1,19)+1,MOD(ROW()-2,19)+1),NA())</f>
        <v/>
      </c>
      <c r="DM2388" s="4" t="e">
        <f t="shared" si="132"/>
        <v>#N/A</v>
      </c>
      <c r="DN2388" t="e">
        <f t="shared" si="133"/>
        <v>#N/A</v>
      </c>
      <c r="DO2388" t="e">
        <f t="shared" si="134"/>
        <v>#N/A</v>
      </c>
    </row>
    <row r="2389" spans="7:119" x14ac:dyDescent="0.25">
      <c r="G2389"/>
      <c r="DI2389" s="4">
        <f>INDEX(Sheet2!A:A,QUOTIENT(ROW()-1,19)+2)</f>
        <v>41535</v>
      </c>
      <c r="DJ2389" s="4">
        <f>INDEX(Sheet2!C:C,QUOTIENT(ROW()-1,19)+2)</f>
        <v>42369</v>
      </c>
      <c r="DK2389" s="4" t="e">
        <f>INDEX(Sheet2!$AA$2:$AS$228,QUOTIENT(ROW()-1,19)+1,MOD(ROW()-2,19)+1)</f>
        <v>#N/A</v>
      </c>
      <c r="DL2389" t="str">
        <f>IFERROR(INDEX(Sheet2!$AU$2:$BM$228,QUOTIENT(ROW()-1,19)+1,MOD(ROW()-2,19)+1),NA())</f>
        <v/>
      </c>
      <c r="DM2389" s="4" t="e">
        <f t="shared" si="132"/>
        <v>#N/A</v>
      </c>
      <c r="DN2389" t="e">
        <f t="shared" si="133"/>
        <v>#N/A</v>
      </c>
      <c r="DO2389" t="e">
        <f t="shared" si="134"/>
        <v>#N/A</v>
      </c>
    </row>
    <row r="2390" spans="7:119" x14ac:dyDescent="0.25">
      <c r="G2390"/>
      <c r="DI2390" s="4">
        <f>INDEX(Sheet2!A:A,QUOTIENT(ROW()-1,19)+2)</f>
        <v>41535</v>
      </c>
      <c r="DJ2390" s="4">
        <f>INDEX(Sheet2!C:C,QUOTIENT(ROW()-1,19)+2)</f>
        <v>42369</v>
      </c>
      <c r="DK2390" s="4" t="e">
        <f>INDEX(Sheet2!$AA$2:$AS$228,QUOTIENT(ROW()-1,19)+1,MOD(ROW()-2,19)+1)</f>
        <v>#N/A</v>
      </c>
      <c r="DL2390" t="str">
        <f>IFERROR(INDEX(Sheet2!$AU$2:$BM$228,QUOTIENT(ROW()-1,19)+1,MOD(ROW()-2,19)+1),NA())</f>
        <v/>
      </c>
      <c r="DM2390" s="4" t="e">
        <f t="shared" si="132"/>
        <v>#N/A</v>
      </c>
      <c r="DN2390" t="e">
        <f t="shared" si="133"/>
        <v>#N/A</v>
      </c>
      <c r="DO2390" t="e">
        <f t="shared" si="134"/>
        <v>#N/A</v>
      </c>
    </row>
    <row r="2391" spans="7:119" x14ac:dyDescent="0.25">
      <c r="G2391"/>
      <c r="DI2391" s="4">
        <f>INDEX(Sheet2!A:A,QUOTIENT(ROW()-1,19)+2)</f>
        <v>41535</v>
      </c>
      <c r="DJ2391" s="4">
        <f>INDEX(Sheet2!C:C,QUOTIENT(ROW()-1,19)+2)</f>
        <v>42369</v>
      </c>
      <c r="DK2391" s="4" t="e">
        <f>INDEX(Sheet2!$AA$2:$AS$228,QUOTIENT(ROW()-1,19)+1,MOD(ROW()-2,19)+1)</f>
        <v>#N/A</v>
      </c>
      <c r="DL2391" t="str">
        <f>IFERROR(INDEX(Sheet2!$AU$2:$BM$228,QUOTIENT(ROW()-1,19)+1,MOD(ROW()-2,19)+1),NA())</f>
        <v/>
      </c>
      <c r="DM2391" s="4" t="e">
        <f t="shared" si="132"/>
        <v>#N/A</v>
      </c>
      <c r="DN2391" t="e">
        <f t="shared" si="133"/>
        <v>#N/A</v>
      </c>
      <c r="DO2391" t="e">
        <f t="shared" si="134"/>
        <v>#N/A</v>
      </c>
    </row>
    <row r="2392" spans="7:119" x14ac:dyDescent="0.25">
      <c r="G2392"/>
      <c r="DI2392" s="4">
        <f>INDEX(Sheet2!A:A,QUOTIENT(ROW()-1,19)+2)</f>
        <v>41535</v>
      </c>
      <c r="DJ2392" s="4">
        <f>INDEX(Sheet2!C:C,QUOTIENT(ROW()-1,19)+2)</f>
        <v>42369</v>
      </c>
      <c r="DK2392" s="4" t="e">
        <f>INDEX(Sheet2!$AA$2:$AS$228,QUOTIENT(ROW()-1,19)+1,MOD(ROW()-2,19)+1)</f>
        <v>#N/A</v>
      </c>
      <c r="DL2392" t="str">
        <f>IFERROR(INDEX(Sheet2!$AU$2:$BM$228,QUOTIENT(ROW()-1,19)+1,MOD(ROW()-2,19)+1),NA())</f>
        <v/>
      </c>
      <c r="DM2392" s="4" t="e">
        <f t="shared" si="132"/>
        <v>#N/A</v>
      </c>
      <c r="DN2392" t="e">
        <f t="shared" si="133"/>
        <v>#N/A</v>
      </c>
      <c r="DO2392" t="e">
        <f t="shared" si="134"/>
        <v>#N/A</v>
      </c>
    </row>
    <row r="2393" spans="7:119" x14ac:dyDescent="0.25">
      <c r="G2393"/>
      <c r="DI2393" s="4">
        <f>INDEX(Sheet2!A:A,QUOTIENT(ROW()-1,19)+2)</f>
        <v>41535</v>
      </c>
      <c r="DJ2393" s="4">
        <f>INDEX(Sheet2!C:C,QUOTIENT(ROW()-1,19)+2)</f>
        <v>42369</v>
      </c>
      <c r="DK2393" s="4" t="e">
        <f>INDEX(Sheet2!$AA$2:$AS$228,QUOTIENT(ROW()-1,19)+1,MOD(ROW()-2,19)+1)</f>
        <v>#N/A</v>
      </c>
      <c r="DL2393" t="str">
        <f>IFERROR(INDEX(Sheet2!$AU$2:$BM$228,QUOTIENT(ROW()-1,19)+1,MOD(ROW()-2,19)+1),NA())</f>
        <v/>
      </c>
      <c r="DM2393" s="4" t="e">
        <f t="shared" si="132"/>
        <v>#N/A</v>
      </c>
      <c r="DN2393" t="e">
        <f t="shared" si="133"/>
        <v>#N/A</v>
      </c>
      <c r="DO2393" t="e">
        <f t="shared" si="134"/>
        <v>#N/A</v>
      </c>
    </row>
    <row r="2394" spans="7:119" x14ac:dyDescent="0.25">
      <c r="G2394"/>
      <c r="DI2394" s="4">
        <f>INDEX(Sheet2!A:A,QUOTIENT(ROW()-1,19)+2)</f>
        <v>41535</v>
      </c>
      <c r="DJ2394" s="4">
        <f>INDEX(Sheet2!C:C,QUOTIENT(ROW()-1,19)+2)</f>
        <v>42369</v>
      </c>
      <c r="DK2394" s="4" t="e">
        <f>INDEX(Sheet2!$AA$2:$AS$228,QUOTIENT(ROW()-1,19)+1,MOD(ROW()-2,19)+1)</f>
        <v>#N/A</v>
      </c>
      <c r="DL2394" t="str">
        <f>IFERROR(INDEX(Sheet2!$AU$2:$BM$228,QUOTIENT(ROW()-1,19)+1,MOD(ROW()-2,19)+1),NA())</f>
        <v/>
      </c>
      <c r="DM2394" s="4" t="e">
        <f t="shared" si="132"/>
        <v>#N/A</v>
      </c>
      <c r="DN2394" t="e">
        <f t="shared" si="133"/>
        <v>#N/A</v>
      </c>
      <c r="DO2394" t="e">
        <f t="shared" si="134"/>
        <v>#N/A</v>
      </c>
    </row>
    <row r="2395" spans="7:119" x14ac:dyDescent="0.25">
      <c r="G2395"/>
      <c r="DI2395" s="4">
        <f>INDEX(Sheet2!A:A,QUOTIENT(ROW()-1,19)+2)</f>
        <v>41535</v>
      </c>
      <c r="DJ2395" s="4">
        <f>INDEX(Sheet2!C:C,QUOTIENT(ROW()-1,19)+2)</f>
        <v>42369</v>
      </c>
      <c r="DK2395" s="4" t="e">
        <f>INDEX(Sheet2!$AA$2:$AS$228,QUOTIENT(ROW()-1,19)+1,MOD(ROW()-2,19)+1)</f>
        <v>#N/A</v>
      </c>
      <c r="DL2395" t="str">
        <f>IFERROR(INDEX(Sheet2!$AU$2:$BM$228,QUOTIENT(ROW()-1,19)+1,MOD(ROW()-2,19)+1),NA())</f>
        <v/>
      </c>
      <c r="DM2395" s="4" t="e">
        <f t="shared" si="132"/>
        <v>#N/A</v>
      </c>
      <c r="DN2395" t="e">
        <f t="shared" si="133"/>
        <v>#N/A</v>
      </c>
      <c r="DO2395" t="e">
        <f t="shared" si="134"/>
        <v>#N/A</v>
      </c>
    </row>
    <row r="2396" spans="7:119" x14ac:dyDescent="0.25">
      <c r="G2396"/>
      <c r="DI2396" s="4">
        <f>INDEX(Sheet2!A:A,QUOTIENT(ROW()-1,19)+2)</f>
        <v>41535</v>
      </c>
      <c r="DJ2396" s="4">
        <f>INDEX(Sheet2!C:C,QUOTIENT(ROW()-1,19)+2)</f>
        <v>42369</v>
      </c>
      <c r="DK2396" s="4">
        <f>INDEX(Sheet2!$AA$2:$AS$228,QUOTIENT(ROW()-1,19)+1,MOD(ROW()-2,19)+1)</f>
        <v>42358.962500000001</v>
      </c>
      <c r="DL2396">
        <f>IFERROR(INDEX(Sheet2!$AU$2:$BM$228,QUOTIENT(ROW()-1,19)+1,MOD(ROW()-2,19)+1),NA())</f>
        <v>1.5</v>
      </c>
      <c r="DM2396" s="4" t="e">
        <f t="shared" si="132"/>
        <v>#N/A</v>
      </c>
      <c r="DN2396" t="e">
        <f t="shared" si="133"/>
        <v>#N/A</v>
      </c>
      <c r="DO2396" t="e">
        <f t="shared" si="134"/>
        <v>#N/A</v>
      </c>
    </row>
    <row r="2397" spans="7:119" x14ac:dyDescent="0.25">
      <c r="G2397"/>
      <c r="DI2397" s="4">
        <f>INDEX(Sheet2!A:A,QUOTIENT(ROW()-1,19)+2)</f>
        <v>41535</v>
      </c>
      <c r="DJ2397" s="4">
        <f>INDEX(Sheet2!C:C,QUOTIENT(ROW()-1,19)+2)</f>
        <v>42369</v>
      </c>
      <c r="DK2397" s="4">
        <f>INDEX(Sheet2!$AA$2:$AS$228,QUOTIENT(ROW()-1,19)+1,MOD(ROW()-2,19)+1)</f>
        <v>42379.037500000006</v>
      </c>
      <c r="DL2397">
        <f>IFERROR(INDEX(Sheet2!$AU$2:$BM$228,QUOTIENT(ROW()-1,19)+1,MOD(ROW()-2,19)+1),NA())</f>
        <v>1.5</v>
      </c>
      <c r="DM2397" s="4" t="e">
        <f t="shared" si="132"/>
        <v>#N/A</v>
      </c>
      <c r="DN2397" t="e">
        <f t="shared" si="133"/>
        <v>#N/A</v>
      </c>
      <c r="DO2397" t="e">
        <f t="shared" si="134"/>
        <v>#N/A</v>
      </c>
    </row>
    <row r="2398" spans="7:119" x14ac:dyDescent="0.25">
      <c r="G2398"/>
      <c r="DI2398" s="4">
        <f>INDEX(Sheet2!A:A,QUOTIENT(ROW()-1,19)+2)</f>
        <v>41535</v>
      </c>
      <c r="DJ2398" s="4">
        <f>INDEX(Sheet2!C:C,QUOTIENT(ROW()-1,19)+2)</f>
        <v>42369</v>
      </c>
      <c r="DK2398" s="4" t="e">
        <f>INDEX(Sheet2!$AA$2:$AS$228,QUOTIENT(ROW()-1,19)+1,MOD(ROW()-2,19)+1)</f>
        <v>#N/A</v>
      </c>
      <c r="DL2398" t="str">
        <f>IFERROR(INDEX(Sheet2!$AU$2:$BM$228,QUOTIENT(ROW()-1,19)+1,MOD(ROW()-2,19)+1),NA())</f>
        <v/>
      </c>
      <c r="DM2398" s="4" t="e">
        <f t="shared" si="132"/>
        <v>#N/A</v>
      </c>
      <c r="DN2398" t="e">
        <f t="shared" si="133"/>
        <v>#N/A</v>
      </c>
      <c r="DO2398" t="e">
        <f t="shared" si="134"/>
        <v>#N/A</v>
      </c>
    </row>
    <row r="2399" spans="7:119" x14ac:dyDescent="0.25">
      <c r="G2399"/>
      <c r="DI2399" s="4">
        <f>INDEX(Sheet2!A:A,QUOTIENT(ROW()-1,19)+2)</f>
        <v>41535</v>
      </c>
      <c r="DJ2399" s="4">
        <f>INDEX(Sheet2!C:C,QUOTIENT(ROW()-1,19)+2)</f>
        <v>42369</v>
      </c>
      <c r="DK2399" s="4" t="e">
        <f>INDEX(Sheet2!$AA$2:$AS$228,QUOTIENT(ROW()-1,19)+1,MOD(ROW()-2,19)+1)</f>
        <v>#N/A</v>
      </c>
      <c r="DL2399" t="str">
        <f>IFERROR(INDEX(Sheet2!$AU$2:$BM$228,QUOTIENT(ROW()-1,19)+1,MOD(ROW()-2,19)+1),NA())</f>
        <v/>
      </c>
      <c r="DM2399" s="4" t="e">
        <f t="shared" si="132"/>
        <v>#N/A</v>
      </c>
      <c r="DN2399" t="e">
        <f t="shared" si="133"/>
        <v>#N/A</v>
      </c>
      <c r="DO2399" t="e">
        <f t="shared" si="134"/>
        <v>#N/A</v>
      </c>
    </row>
    <row r="2400" spans="7:119" x14ac:dyDescent="0.25">
      <c r="G2400"/>
      <c r="DI2400" s="4">
        <f>INDEX(Sheet2!A:A,QUOTIENT(ROW()-1,19)+2)</f>
        <v>41535</v>
      </c>
      <c r="DJ2400" s="4">
        <f>INDEX(Sheet2!C:C,QUOTIENT(ROW()-1,19)+2)</f>
        <v>42369</v>
      </c>
      <c r="DK2400" s="4" t="e">
        <f>INDEX(Sheet2!$AA$2:$AS$228,QUOTIENT(ROW()-1,19)+1,MOD(ROW()-2,19)+1)</f>
        <v>#N/A</v>
      </c>
      <c r="DL2400" t="str">
        <f>IFERROR(INDEX(Sheet2!$AU$2:$BM$228,QUOTIENT(ROW()-1,19)+1,MOD(ROW()-2,19)+1),NA())</f>
        <v/>
      </c>
      <c r="DM2400" s="4" t="e">
        <f t="shared" si="132"/>
        <v>#N/A</v>
      </c>
      <c r="DN2400" t="e">
        <f t="shared" si="133"/>
        <v>#N/A</v>
      </c>
      <c r="DO2400" t="e">
        <f t="shared" si="134"/>
        <v>#N/A</v>
      </c>
    </row>
    <row r="2401" spans="7:119" x14ac:dyDescent="0.25">
      <c r="G2401"/>
      <c r="DI2401" s="4">
        <f>INDEX(Sheet2!A:A,QUOTIENT(ROW()-1,19)+2)</f>
        <v>41535</v>
      </c>
      <c r="DJ2401" s="4">
        <f>INDEX(Sheet2!C:C,QUOTIENT(ROW()-1,19)+2)</f>
        <v>42369</v>
      </c>
      <c r="DK2401" s="4" t="e">
        <f>INDEX(Sheet2!$AA$2:$AS$228,QUOTIENT(ROW()-1,19)+1,MOD(ROW()-2,19)+1)</f>
        <v>#N/A</v>
      </c>
      <c r="DL2401" t="str">
        <f>IFERROR(INDEX(Sheet2!$AU$2:$BM$228,QUOTIENT(ROW()-1,19)+1,MOD(ROW()-2,19)+1),NA())</f>
        <v/>
      </c>
      <c r="DM2401" s="4" t="e">
        <f t="shared" si="132"/>
        <v>#N/A</v>
      </c>
      <c r="DN2401" t="e">
        <f t="shared" si="133"/>
        <v>#N/A</v>
      </c>
      <c r="DO2401" t="e">
        <f t="shared" si="134"/>
        <v>#N/A</v>
      </c>
    </row>
    <row r="2402" spans="7:119" x14ac:dyDescent="0.25">
      <c r="G2402"/>
      <c r="DI2402" s="4">
        <f>INDEX(Sheet2!A:A,QUOTIENT(ROW()-1,19)+2)</f>
        <v>41535</v>
      </c>
      <c r="DJ2402" s="4">
        <f>INDEX(Sheet2!C:C,QUOTIENT(ROW()-1,19)+2)</f>
        <v>42369</v>
      </c>
      <c r="DK2402" s="4" t="e">
        <f>INDEX(Sheet2!$AA$2:$AS$228,QUOTIENT(ROW()-1,19)+1,MOD(ROW()-2,19)+1)</f>
        <v>#N/A</v>
      </c>
      <c r="DL2402" t="str">
        <f>IFERROR(INDEX(Sheet2!$AU$2:$BM$228,QUOTIENT(ROW()-1,19)+1,MOD(ROW()-2,19)+1),NA())</f>
        <v/>
      </c>
      <c r="DM2402" s="4" t="e">
        <f t="shared" si="132"/>
        <v>#N/A</v>
      </c>
      <c r="DN2402" t="e">
        <f t="shared" si="133"/>
        <v>#N/A</v>
      </c>
      <c r="DO2402" t="e">
        <f t="shared" si="134"/>
        <v>#N/A</v>
      </c>
    </row>
    <row r="2403" spans="7:119" x14ac:dyDescent="0.25">
      <c r="G2403"/>
      <c r="DI2403" s="4">
        <f>INDEX(Sheet2!A:A,QUOTIENT(ROW()-1,19)+2)</f>
        <v>41535</v>
      </c>
      <c r="DJ2403" s="4">
        <f>INDEX(Sheet2!C:C,QUOTIENT(ROW()-1,19)+2)</f>
        <v>42369</v>
      </c>
      <c r="DK2403" s="4" t="e">
        <f>INDEX(Sheet2!$AA$2:$AS$228,QUOTIENT(ROW()-1,19)+1,MOD(ROW()-2,19)+1)</f>
        <v>#N/A</v>
      </c>
      <c r="DL2403" t="str">
        <f>IFERROR(INDEX(Sheet2!$AU$2:$BM$228,QUOTIENT(ROW()-1,19)+1,MOD(ROW()-2,19)+1),NA())</f>
        <v/>
      </c>
      <c r="DM2403" s="4" t="e">
        <f t="shared" si="132"/>
        <v>#N/A</v>
      </c>
      <c r="DN2403" t="e">
        <f t="shared" si="133"/>
        <v>#N/A</v>
      </c>
      <c r="DO2403" t="e">
        <f t="shared" si="134"/>
        <v>#N/A</v>
      </c>
    </row>
    <row r="2404" spans="7:119" x14ac:dyDescent="0.25">
      <c r="G2404"/>
      <c r="DI2404" s="4">
        <f>INDEX(Sheet2!A:A,QUOTIENT(ROW()-1,19)+2)</f>
        <v>41535</v>
      </c>
      <c r="DJ2404" s="4">
        <f>INDEX(Sheet2!C:C,QUOTIENT(ROW()-1,19)+2)</f>
        <v>42369</v>
      </c>
      <c r="DK2404" s="4" t="e">
        <f>INDEX(Sheet2!$AA$2:$AS$228,QUOTIENT(ROW()-1,19)+1,MOD(ROW()-2,19)+1)</f>
        <v>#N/A</v>
      </c>
      <c r="DL2404" t="str">
        <f>IFERROR(INDEX(Sheet2!$AU$2:$BM$228,QUOTIENT(ROW()-1,19)+1,MOD(ROW()-2,19)+1),NA())</f>
        <v/>
      </c>
      <c r="DM2404" s="4" t="e">
        <f t="shared" si="132"/>
        <v>#N/A</v>
      </c>
      <c r="DN2404" t="e">
        <f t="shared" si="133"/>
        <v>#N/A</v>
      </c>
      <c r="DO2404" t="e">
        <f t="shared" si="134"/>
        <v>#N/A</v>
      </c>
    </row>
    <row r="2405" spans="7:119" x14ac:dyDescent="0.25">
      <c r="G2405"/>
      <c r="DI2405" s="4">
        <f>INDEX(Sheet2!A:A,QUOTIENT(ROW()-1,19)+2)</f>
        <v>41535</v>
      </c>
      <c r="DJ2405" s="4">
        <f>INDEX(Sheet2!C:C,QUOTIENT(ROW()-1,19)+2)</f>
        <v>42369</v>
      </c>
      <c r="DK2405" s="4" t="e">
        <f>INDEX(Sheet2!$AA$2:$AS$228,QUOTIENT(ROW()-1,19)+1,MOD(ROW()-2,19)+1)</f>
        <v>#N/A</v>
      </c>
      <c r="DL2405" t="str">
        <f>IFERROR(INDEX(Sheet2!$AU$2:$BM$228,QUOTIENT(ROW()-1,19)+1,MOD(ROW()-2,19)+1),NA())</f>
        <v/>
      </c>
      <c r="DM2405" s="4" t="e">
        <f t="shared" si="132"/>
        <v>#N/A</v>
      </c>
      <c r="DN2405" t="e">
        <f t="shared" si="133"/>
        <v>#N/A</v>
      </c>
      <c r="DO2405" t="e">
        <f t="shared" si="134"/>
        <v>#N/A</v>
      </c>
    </row>
    <row r="2406" spans="7:119" x14ac:dyDescent="0.25">
      <c r="G2406"/>
      <c r="DI2406" s="4">
        <f>INDEX(Sheet2!A:A,QUOTIENT(ROW()-1,19)+2)</f>
        <v>41535</v>
      </c>
      <c r="DJ2406" s="4">
        <f>INDEX(Sheet2!C:C,QUOTIENT(ROW()-1,19)+2)</f>
        <v>42369</v>
      </c>
      <c r="DK2406" s="4" t="e">
        <f>INDEX(Sheet2!$AA$2:$AS$228,QUOTIENT(ROW()-1,19)+1,MOD(ROW()-2,19)+1)</f>
        <v>#N/A</v>
      </c>
      <c r="DL2406" t="str">
        <f>IFERROR(INDEX(Sheet2!$AU$2:$BM$228,QUOTIENT(ROW()-1,19)+1,MOD(ROW()-2,19)+1),NA())</f>
        <v/>
      </c>
      <c r="DM2406" s="4" t="e">
        <f t="shared" si="132"/>
        <v>#N/A</v>
      </c>
      <c r="DN2406" t="e">
        <f t="shared" si="133"/>
        <v>#N/A</v>
      </c>
      <c r="DO2406" t="e">
        <f t="shared" si="134"/>
        <v>#N/A</v>
      </c>
    </row>
    <row r="2407" spans="7:119" x14ac:dyDescent="0.25">
      <c r="G2407"/>
      <c r="DI2407" s="4">
        <f>INDEX(Sheet2!A:A,QUOTIENT(ROW()-1,19)+2)</f>
        <v>41535</v>
      </c>
      <c r="DJ2407" s="4">
        <f>INDEX(Sheet2!C:C,QUOTIENT(ROW()-1,19)+2)</f>
        <v>42369</v>
      </c>
      <c r="DK2407" s="4" t="e">
        <f>INDEX(Sheet2!$AA$2:$AS$228,QUOTIENT(ROW()-1,19)+1,MOD(ROW()-2,19)+1)</f>
        <v>#N/A</v>
      </c>
      <c r="DL2407" t="str">
        <f>IFERROR(INDEX(Sheet2!$AU$2:$BM$228,QUOTIENT(ROW()-1,19)+1,MOD(ROW()-2,19)+1),NA())</f>
        <v/>
      </c>
      <c r="DM2407" s="4" t="e">
        <f t="shared" si="132"/>
        <v>#N/A</v>
      </c>
      <c r="DN2407" t="e">
        <f t="shared" si="133"/>
        <v>#N/A</v>
      </c>
      <c r="DO2407" t="e">
        <f t="shared" si="134"/>
        <v>#N/A</v>
      </c>
    </row>
    <row r="2408" spans="7:119" x14ac:dyDescent="0.25">
      <c r="G2408"/>
      <c r="DI2408" s="4">
        <f>INDEX(Sheet2!A:A,QUOTIENT(ROW()-1,19)+2)</f>
        <v>41535</v>
      </c>
      <c r="DJ2408" s="4">
        <f>INDEX(Sheet2!C:C,QUOTIENT(ROW()-1,19)+2)</f>
        <v>42369</v>
      </c>
      <c r="DK2408" s="4" t="e">
        <f>INDEX(Sheet2!$AA$2:$AS$228,QUOTIENT(ROW()-1,19)+1,MOD(ROW()-2,19)+1)</f>
        <v>#N/A</v>
      </c>
      <c r="DL2408" t="str">
        <f>IFERROR(INDEX(Sheet2!$AU$2:$BM$228,QUOTIENT(ROW()-1,19)+1,MOD(ROW()-2,19)+1),NA())</f>
        <v/>
      </c>
      <c r="DM2408" s="4" t="e">
        <f t="shared" si="132"/>
        <v>#N/A</v>
      </c>
      <c r="DN2408" t="e">
        <f t="shared" si="133"/>
        <v>#N/A</v>
      </c>
      <c r="DO2408" t="e">
        <f t="shared" si="134"/>
        <v>#N/A</v>
      </c>
    </row>
    <row r="2409" spans="7:119" x14ac:dyDescent="0.25">
      <c r="G2409"/>
      <c r="DI2409" s="4">
        <f>INDEX(Sheet2!A:A,QUOTIENT(ROW()-1,19)+2)</f>
        <v>41535</v>
      </c>
      <c r="DJ2409" s="4">
        <f>INDEX(Sheet2!C:C,QUOTIENT(ROW()-1,19)+2)</f>
        <v>42369</v>
      </c>
      <c r="DK2409" s="4" t="e">
        <f>INDEX(Sheet2!$AA$2:$AS$228,QUOTIENT(ROW()-1,19)+1,MOD(ROW()-2,19)+1)</f>
        <v>#N/A</v>
      </c>
      <c r="DL2409" t="str">
        <f>IFERROR(INDEX(Sheet2!$AU$2:$BM$228,QUOTIENT(ROW()-1,19)+1,MOD(ROW()-2,19)+1),NA())</f>
        <v/>
      </c>
      <c r="DM2409" s="4" t="e">
        <f t="shared" si="132"/>
        <v>#N/A</v>
      </c>
      <c r="DN2409" t="e">
        <f t="shared" si="133"/>
        <v>#N/A</v>
      </c>
      <c r="DO2409" t="e">
        <f t="shared" si="134"/>
        <v>#N/A</v>
      </c>
    </row>
    <row r="2410" spans="7:119" x14ac:dyDescent="0.25">
      <c r="G2410"/>
      <c r="DI2410" s="4">
        <f>INDEX(Sheet2!A:A,QUOTIENT(ROW()-1,19)+2)</f>
        <v>41535</v>
      </c>
      <c r="DJ2410" s="4">
        <f>INDEX(Sheet2!C:C,QUOTIENT(ROW()-1,19)+2)</f>
        <v>42369</v>
      </c>
      <c r="DK2410" s="4" t="e">
        <f>INDEX(Sheet2!$AA$2:$AS$228,QUOTIENT(ROW()-1,19)+1,MOD(ROW()-2,19)+1)</f>
        <v>#N/A</v>
      </c>
      <c r="DL2410" t="str">
        <f>IFERROR(INDEX(Sheet2!$AU$2:$BM$228,QUOTIENT(ROW()-1,19)+1,MOD(ROW()-2,19)+1),NA())</f>
        <v/>
      </c>
      <c r="DM2410" s="4" t="e">
        <f t="shared" si="132"/>
        <v>#N/A</v>
      </c>
      <c r="DN2410" t="e">
        <f t="shared" si="133"/>
        <v>#N/A</v>
      </c>
      <c r="DO2410" t="e">
        <f t="shared" si="134"/>
        <v>#N/A</v>
      </c>
    </row>
    <row r="2411" spans="7:119" x14ac:dyDescent="0.25">
      <c r="G2411"/>
      <c r="DI2411" s="4">
        <f>INDEX(Sheet2!A:A,QUOTIENT(ROW()-1,19)+2)</f>
        <v>41535</v>
      </c>
      <c r="DJ2411" s="4">
        <f>INDEX(Sheet2!C:C,QUOTIENT(ROW()-1,19)+2)</f>
        <v>42369</v>
      </c>
      <c r="DK2411" s="4" t="e">
        <f>INDEX(Sheet2!$AA$2:$AS$228,QUOTIENT(ROW()-1,19)+1,MOD(ROW()-2,19)+1)</f>
        <v>#N/A</v>
      </c>
      <c r="DL2411" t="str">
        <f>IFERROR(INDEX(Sheet2!$AU$2:$BM$228,QUOTIENT(ROW()-1,19)+1,MOD(ROW()-2,19)+1),NA())</f>
        <v/>
      </c>
      <c r="DM2411" s="4" t="e">
        <f t="shared" si="132"/>
        <v>#N/A</v>
      </c>
      <c r="DN2411" t="e">
        <f t="shared" si="133"/>
        <v>#N/A</v>
      </c>
      <c r="DO2411" t="e">
        <f t="shared" si="134"/>
        <v>#N/A</v>
      </c>
    </row>
    <row r="2412" spans="7:119" x14ac:dyDescent="0.25">
      <c r="G2412"/>
      <c r="DI2412" s="4">
        <f>INDEX(Sheet2!A:A,QUOTIENT(ROW()-1,19)+2)</f>
        <v>41535</v>
      </c>
      <c r="DJ2412" s="4">
        <f>INDEX(Sheet2!C:C,QUOTIENT(ROW()-1,19)+2)</f>
        <v>42369</v>
      </c>
      <c r="DK2412" s="4" t="e">
        <f>INDEX(Sheet2!$AA$2:$AS$228,QUOTIENT(ROW()-1,19)+1,MOD(ROW()-2,19)+1)</f>
        <v>#N/A</v>
      </c>
      <c r="DL2412" t="str">
        <f>IFERROR(INDEX(Sheet2!$AU$2:$BM$228,QUOTIENT(ROW()-1,19)+1,MOD(ROW()-2,19)+1),NA())</f>
        <v/>
      </c>
      <c r="DM2412" s="4" t="e">
        <f t="shared" si="132"/>
        <v>#N/A</v>
      </c>
      <c r="DN2412" t="e">
        <f t="shared" si="133"/>
        <v>#N/A</v>
      </c>
      <c r="DO2412" t="e">
        <f t="shared" si="134"/>
        <v>#N/A</v>
      </c>
    </row>
    <row r="2413" spans="7:119" x14ac:dyDescent="0.25">
      <c r="G2413"/>
      <c r="DI2413" s="4">
        <f>INDEX(Sheet2!A:A,QUOTIENT(ROW()-1,19)+2)</f>
        <v>41535</v>
      </c>
      <c r="DJ2413" s="4">
        <f>INDEX(Sheet2!C:C,QUOTIENT(ROW()-1,19)+2)</f>
        <v>42369</v>
      </c>
      <c r="DK2413" s="4" t="e">
        <f>INDEX(Sheet2!$AA$2:$AS$228,QUOTIENT(ROW()-1,19)+1,MOD(ROW()-2,19)+1)</f>
        <v>#N/A</v>
      </c>
      <c r="DL2413" t="str">
        <f>IFERROR(INDEX(Sheet2!$AU$2:$BM$228,QUOTIENT(ROW()-1,19)+1,MOD(ROW()-2,19)+1),NA())</f>
        <v/>
      </c>
      <c r="DM2413" s="4" t="e">
        <f t="shared" si="132"/>
        <v>#N/A</v>
      </c>
      <c r="DN2413" t="e">
        <f t="shared" si="133"/>
        <v>#N/A</v>
      </c>
      <c r="DO2413" t="e">
        <f t="shared" si="134"/>
        <v>#N/A</v>
      </c>
    </row>
    <row r="2414" spans="7:119" x14ac:dyDescent="0.25">
      <c r="G2414"/>
      <c r="DI2414" s="4">
        <f>INDEX(Sheet2!A:A,QUOTIENT(ROW()-1,19)+2)</f>
        <v>41535</v>
      </c>
      <c r="DJ2414" s="4">
        <f>INDEX(Sheet2!C:C,QUOTIENT(ROW()-1,19)+2)</f>
        <v>42369</v>
      </c>
      <c r="DK2414" s="4" t="e">
        <f>INDEX(Sheet2!$AA$2:$AS$228,QUOTIENT(ROW()-1,19)+1,MOD(ROW()-2,19)+1)</f>
        <v>#N/A</v>
      </c>
      <c r="DL2414" t="str">
        <f>IFERROR(INDEX(Sheet2!$AU$2:$BM$228,QUOTIENT(ROW()-1,19)+1,MOD(ROW()-2,19)+1),NA())</f>
        <v/>
      </c>
      <c r="DM2414" s="4" t="e">
        <f t="shared" si="132"/>
        <v>#N/A</v>
      </c>
      <c r="DN2414" t="e">
        <f t="shared" si="133"/>
        <v>#N/A</v>
      </c>
      <c r="DO2414" t="e">
        <f t="shared" si="134"/>
        <v>#N/A</v>
      </c>
    </row>
    <row r="2415" spans="7:119" x14ac:dyDescent="0.25">
      <c r="G2415"/>
      <c r="DI2415" s="4">
        <f>INDEX(Sheet2!A:A,QUOTIENT(ROW()-1,19)+2)</f>
        <v>41535</v>
      </c>
      <c r="DJ2415" s="4">
        <f>INDEX(Sheet2!C:C,QUOTIENT(ROW()-1,19)+2)</f>
        <v>42369</v>
      </c>
      <c r="DK2415" s="4">
        <f>INDEX(Sheet2!$AA$2:$AS$228,QUOTIENT(ROW()-1,19)+1,MOD(ROW()-2,19)+1)</f>
        <v>42358.962500000001</v>
      </c>
      <c r="DL2415">
        <f>IFERROR(INDEX(Sheet2!$AU$2:$BM$228,QUOTIENT(ROW()-1,19)+1,MOD(ROW()-2,19)+1),NA())</f>
        <v>3</v>
      </c>
      <c r="DM2415" s="4" t="e">
        <f t="shared" si="132"/>
        <v>#N/A</v>
      </c>
      <c r="DN2415" t="e">
        <f t="shared" si="133"/>
        <v>#N/A</v>
      </c>
      <c r="DO2415" t="e">
        <f t="shared" si="134"/>
        <v>#N/A</v>
      </c>
    </row>
    <row r="2416" spans="7:119" x14ac:dyDescent="0.25">
      <c r="G2416"/>
      <c r="DI2416" s="4">
        <f>INDEX(Sheet2!A:A,QUOTIENT(ROW()-1,19)+2)</f>
        <v>41535</v>
      </c>
      <c r="DJ2416" s="4">
        <f>INDEX(Sheet2!C:C,QUOTIENT(ROW()-1,19)+2)</f>
        <v>42369</v>
      </c>
      <c r="DK2416" s="4">
        <f>INDEX(Sheet2!$AA$2:$AS$228,QUOTIENT(ROW()-1,19)+1,MOD(ROW()-2,19)+1)</f>
        <v>42379.037500000006</v>
      </c>
      <c r="DL2416">
        <f>IFERROR(INDEX(Sheet2!$AU$2:$BM$228,QUOTIENT(ROW()-1,19)+1,MOD(ROW()-2,19)+1),NA())</f>
        <v>3</v>
      </c>
      <c r="DM2416" s="4" t="e">
        <f t="shared" si="132"/>
        <v>#N/A</v>
      </c>
      <c r="DN2416" t="e">
        <f t="shared" si="133"/>
        <v>#N/A</v>
      </c>
      <c r="DO2416" t="e">
        <f t="shared" si="134"/>
        <v>#N/A</v>
      </c>
    </row>
    <row r="2417" spans="7:119" x14ac:dyDescent="0.25">
      <c r="G2417"/>
      <c r="DI2417" s="4">
        <f>INDEX(Sheet2!A:A,QUOTIENT(ROW()-1,19)+2)</f>
        <v>41535</v>
      </c>
      <c r="DJ2417" s="4">
        <f>INDEX(Sheet2!C:C,QUOTIENT(ROW()-1,19)+2)</f>
        <v>42369</v>
      </c>
      <c r="DK2417" s="4" t="e">
        <f>INDEX(Sheet2!$AA$2:$AS$228,QUOTIENT(ROW()-1,19)+1,MOD(ROW()-2,19)+1)</f>
        <v>#N/A</v>
      </c>
      <c r="DL2417" t="str">
        <f>IFERROR(INDEX(Sheet2!$AU$2:$BM$228,QUOTIENT(ROW()-1,19)+1,MOD(ROW()-2,19)+1),NA())</f>
        <v/>
      </c>
      <c r="DM2417" s="4" t="e">
        <f t="shared" si="132"/>
        <v>#N/A</v>
      </c>
      <c r="DN2417" t="e">
        <f t="shared" si="133"/>
        <v>#N/A</v>
      </c>
      <c r="DO2417" t="e">
        <f t="shared" si="134"/>
        <v>#N/A</v>
      </c>
    </row>
    <row r="2418" spans="7:119" x14ac:dyDescent="0.25">
      <c r="G2418"/>
      <c r="DI2418" s="4">
        <f>INDEX(Sheet2!A:A,QUOTIENT(ROW()-1,19)+2)</f>
        <v>41535</v>
      </c>
      <c r="DJ2418" s="4">
        <f>INDEX(Sheet2!C:C,QUOTIENT(ROW()-1,19)+2)</f>
        <v>42369</v>
      </c>
      <c r="DK2418" s="4" t="e">
        <f>INDEX(Sheet2!$AA$2:$AS$228,QUOTIENT(ROW()-1,19)+1,MOD(ROW()-2,19)+1)</f>
        <v>#N/A</v>
      </c>
      <c r="DL2418" t="str">
        <f>IFERROR(INDEX(Sheet2!$AU$2:$BM$228,QUOTIENT(ROW()-1,19)+1,MOD(ROW()-2,19)+1),NA())</f>
        <v/>
      </c>
      <c r="DM2418" s="4" t="e">
        <f t="shared" si="132"/>
        <v>#N/A</v>
      </c>
      <c r="DN2418" t="e">
        <f t="shared" si="133"/>
        <v>#N/A</v>
      </c>
      <c r="DO2418" t="e">
        <f t="shared" si="134"/>
        <v>#N/A</v>
      </c>
    </row>
    <row r="2419" spans="7:119" x14ac:dyDescent="0.25">
      <c r="G2419"/>
      <c r="DI2419" s="4">
        <f>INDEX(Sheet2!A:A,QUOTIENT(ROW()-1,19)+2)</f>
        <v>41535</v>
      </c>
      <c r="DJ2419" s="4">
        <f>INDEX(Sheet2!C:C,QUOTIENT(ROW()-1,19)+2)</f>
        <v>42369</v>
      </c>
      <c r="DK2419" s="4" t="e">
        <f>INDEX(Sheet2!$AA$2:$AS$228,QUOTIENT(ROW()-1,19)+1,MOD(ROW()-2,19)+1)</f>
        <v>#N/A</v>
      </c>
      <c r="DL2419" t="str">
        <f>IFERROR(INDEX(Sheet2!$AU$2:$BM$228,QUOTIENT(ROW()-1,19)+1,MOD(ROW()-2,19)+1),NA())</f>
        <v/>
      </c>
      <c r="DM2419" s="4" t="e">
        <f t="shared" si="132"/>
        <v>#N/A</v>
      </c>
      <c r="DN2419" t="e">
        <f t="shared" si="133"/>
        <v>#N/A</v>
      </c>
      <c r="DO2419" t="e">
        <f t="shared" si="134"/>
        <v>#N/A</v>
      </c>
    </row>
    <row r="2420" spans="7:119" x14ac:dyDescent="0.25">
      <c r="G2420"/>
      <c r="DI2420" s="4">
        <f>INDEX(Sheet2!A:A,QUOTIENT(ROW()-1,19)+2)</f>
        <v>41535</v>
      </c>
      <c r="DJ2420" s="4">
        <f>INDEX(Sheet2!C:C,QUOTIENT(ROW()-1,19)+2)</f>
        <v>42369</v>
      </c>
      <c r="DK2420" s="4" t="e">
        <f>INDEX(Sheet2!$AA$2:$AS$228,QUOTIENT(ROW()-1,19)+1,MOD(ROW()-2,19)+1)</f>
        <v>#N/A</v>
      </c>
      <c r="DL2420" t="str">
        <f>IFERROR(INDEX(Sheet2!$AU$2:$BM$228,QUOTIENT(ROW()-1,19)+1,MOD(ROW()-2,19)+1),NA())</f>
        <v/>
      </c>
      <c r="DM2420" s="4" t="e">
        <f t="shared" si="132"/>
        <v>#N/A</v>
      </c>
      <c r="DN2420" t="e">
        <f t="shared" si="133"/>
        <v>#N/A</v>
      </c>
      <c r="DO2420" t="e">
        <f t="shared" si="134"/>
        <v>#N/A</v>
      </c>
    </row>
    <row r="2421" spans="7:119" x14ac:dyDescent="0.25">
      <c r="G2421"/>
      <c r="DI2421" s="4">
        <f>INDEX(Sheet2!A:A,QUOTIENT(ROW()-1,19)+2)</f>
        <v>41535</v>
      </c>
      <c r="DJ2421" s="4">
        <f>INDEX(Sheet2!C:C,QUOTIENT(ROW()-1,19)+2)</f>
        <v>42369</v>
      </c>
      <c r="DK2421" s="4" t="e">
        <f>INDEX(Sheet2!$AA$2:$AS$228,QUOTIENT(ROW()-1,19)+1,MOD(ROW()-2,19)+1)</f>
        <v>#N/A</v>
      </c>
      <c r="DL2421" t="str">
        <f>IFERROR(INDEX(Sheet2!$AU$2:$BM$228,QUOTIENT(ROW()-1,19)+1,MOD(ROW()-2,19)+1),NA())</f>
        <v/>
      </c>
      <c r="DM2421" s="4" t="e">
        <f t="shared" si="132"/>
        <v>#N/A</v>
      </c>
      <c r="DN2421" t="e">
        <f t="shared" si="133"/>
        <v>#N/A</v>
      </c>
      <c r="DO2421" t="e">
        <f t="shared" si="134"/>
        <v>#N/A</v>
      </c>
    </row>
    <row r="2422" spans="7:119" x14ac:dyDescent="0.25">
      <c r="G2422"/>
      <c r="DI2422" s="4">
        <f>INDEX(Sheet2!A:A,QUOTIENT(ROW()-1,19)+2)</f>
        <v>41535</v>
      </c>
      <c r="DJ2422" s="4">
        <f>INDEX(Sheet2!C:C,QUOTIENT(ROW()-1,19)+2)</f>
        <v>42369</v>
      </c>
      <c r="DK2422" s="4" t="e">
        <f>INDEX(Sheet2!$AA$2:$AS$228,QUOTIENT(ROW()-1,19)+1,MOD(ROW()-2,19)+1)</f>
        <v>#N/A</v>
      </c>
      <c r="DL2422" t="str">
        <f>IFERROR(INDEX(Sheet2!$AU$2:$BM$228,QUOTIENT(ROW()-1,19)+1,MOD(ROW()-2,19)+1),NA())</f>
        <v/>
      </c>
      <c r="DM2422" s="4" t="e">
        <f t="shared" si="132"/>
        <v>#N/A</v>
      </c>
      <c r="DN2422" t="e">
        <f t="shared" si="133"/>
        <v>#N/A</v>
      </c>
      <c r="DO2422" t="e">
        <f t="shared" si="134"/>
        <v>#N/A</v>
      </c>
    </row>
    <row r="2423" spans="7:119" x14ac:dyDescent="0.25">
      <c r="G2423"/>
      <c r="DI2423" s="4">
        <f>INDEX(Sheet2!A:A,QUOTIENT(ROW()-1,19)+2)</f>
        <v>41535</v>
      </c>
      <c r="DJ2423" s="4">
        <f>INDEX(Sheet2!C:C,QUOTIENT(ROW()-1,19)+2)</f>
        <v>42369</v>
      </c>
      <c r="DK2423" s="4" t="e">
        <f>INDEX(Sheet2!$AA$2:$AS$228,QUOTIENT(ROW()-1,19)+1,MOD(ROW()-2,19)+1)</f>
        <v>#N/A</v>
      </c>
      <c r="DL2423" t="str">
        <f>IFERROR(INDEX(Sheet2!$AU$2:$BM$228,QUOTIENT(ROW()-1,19)+1,MOD(ROW()-2,19)+1),NA())</f>
        <v/>
      </c>
      <c r="DM2423" s="4" t="e">
        <f t="shared" si="132"/>
        <v>#N/A</v>
      </c>
      <c r="DN2423" t="e">
        <f t="shared" si="133"/>
        <v>#N/A</v>
      </c>
      <c r="DO2423" t="e">
        <f t="shared" si="134"/>
        <v>#N/A</v>
      </c>
    </row>
    <row r="2424" spans="7:119" x14ac:dyDescent="0.25">
      <c r="G2424"/>
      <c r="DI2424" s="4">
        <f>INDEX(Sheet2!A:A,QUOTIENT(ROW()-1,19)+2)</f>
        <v>41535</v>
      </c>
      <c r="DJ2424" s="4">
        <f>INDEX(Sheet2!C:C,QUOTIENT(ROW()-1,19)+2)</f>
        <v>42369</v>
      </c>
      <c r="DK2424" s="4" t="e">
        <f>INDEX(Sheet2!$AA$2:$AS$228,QUOTIENT(ROW()-1,19)+1,MOD(ROW()-2,19)+1)</f>
        <v>#N/A</v>
      </c>
      <c r="DL2424" t="str">
        <f>IFERROR(INDEX(Sheet2!$AU$2:$BM$228,QUOTIENT(ROW()-1,19)+1,MOD(ROW()-2,19)+1),NA())</f>
        <v/>
      </c>
      <c r="DM2424" s="4" t="e">
        <f t="shared" si="132"/>
        <v>#N/A</v>
      </c>
      <c r="DN2424" t="e">
        <f t="shared" si="133"/>
        <v>#N/A</v>
      </c>
      <c r="DO2424" t="e">
        <f t="shared" si="134"/>
        <v>#N/A</v>
      </c>
    </row>
    <row r="2425" spans="7:119" x14ac:dyDescent="0.25">
      <c r="G2425"/>
      <c r="DI2425" s="4">
        <f>INDEX(Sheet2!A:A,QUOTIENT(ROW()-1,19)+2)</f>
        <v>41535</v>
      </c>
      <c r="DJ2425" s="4">
        <f>INDEX(Sheet2!C:C,QUOTIENT(ROW()-1,19)+2)</f>
        <v>42369</v>
      </c>
      <c r="DK2425" s="4" t="e">
        <f>INDEX(Sheet2!$AA$2:$AS$228,QUOTIENT(ROW()-1,19)+1,MOD(ROW()-2,19)+1)</f>
        <v>#N/A</v>
      </c>
      <c r="DL2425" t="str">
        <f>IFERROR(INDEX(Sheet2!$AU$2:$BM$228,QUOTIENT(ROW()-1,19)+1,MOD(ROW()-2,19)+1),NA())</f>
        <v/>
      </c>
      <c r="DM2425" s="4" t="e">
        <f t="shared" si="132"/>
        <v>#N/A</v>
      </c>
      <c r="DN2425" t="e">
        <f t="shared" si="133"/>
        <v>#N/A</v>
      </c>
      <c r="DO2425" t="e">
        <f t="shared" si="134"/>
        <v>#N/A</v>
      </c>
    </row>
    <row r="2426" spans="7:119" x14ac:dyDescent="0.25">
      <c r="G2426"/>
      <c r="DI2426" s="4">
        <f>INDEX(Sheet2!A:A,QUOTIENT(ROW()-1,19)+2)</f>
        <v>41535</v>
      </c>
      <c r="DJ2426" s="4">
        <f>INDEX(Sheet2!C:C,QUOTIENT(ROW()-1,19)+2)</f>
        <v>42369</v>
      </c>
      <c r="DK2426" s="4" t="e">
        <f>INDEX(Sheet2!$AA$2:$AS$228,QUOTIENT(ROW()-1,19)+1,MOD(ROW()-2,19)+1)</f>
        <v>#N/A</v>
      </c>
      <c r="DL2426" t="str">
        <f>IFERROR(INDEX(Sheet2!$AU$2:$BM$228,QUOTIENT(ROW()-1,19)+1,MOD(ROW()-2,19)+1),NA())</f>
        <v/>
      </c>
      <c r="DM2426" s="4" t="e">
        <f t="shared" si="132"/>
        <v>#N/A</v>
      </c>
      <c r="DN2426" t="e">
        <f t="shared" si="133"/>
        <v>#N/A</v>
      </c>
      <c r="DO2426" t="e">
        <f t="shared" si="134"/>
        <v>#N/A</v>
      </c>
    </row>
    <row r="2427" spans="7:119" x14ac:dyDescent="0.25">
      <c r="G2427"/>
      <c r="DI2427" s="4">
        <f>INDEX(Sheet2!A:A,QUOTIENT(ROW()-1,19)+2)</f>
        <v>41535</v>
      </c>
      <c r="DJ2427" s="4">
        <f>INDEX(Sheet2!C:C,QUOTIENT(ROW()-1,19)+2)</f>
        <v>42369</v>
      </c>
      <c r="DK2427" s="4" t="e">
        <f>INDEX(Sheet2!$AA$2:$AS$228,QUOTIENT(ROW()-1,19)+1,MOD(ROW()-2,19)+1)</f>
        <v>#N/A</v>
      </c>
      <c r="DL2427" t="str">
        <f>IFERROR(INDEX(Sheet2!$AU$2:$BM$228,QUOTIENT(ROW()-1,19)+1,MOD(ROW()-2,19)+1),NA())</f>
        <v/>
      </c>
      <c r="DM2427" s="4" t="e">
        <f t="shared" si="132"/>
        <v>#N/A</v>
      </c>
      <c r="DN2427" t="e">
        <f t="shared" si="133"/>
        <v>#N/A</v>
      </c>
      <c r="DO2427" t="e">
        <f t="shared" si="134"/>
        <v>#N/A</v>
      </c>
    </row>
    <row r="2428" spans="7:119" x14ac:dyDescent="0.25">
      <c r="G2428"/>
      <c r="DI2428" s="4">
        <f>INDEX(Sheet2!A:A,QUOTIENT(ROW()-1,19)+2)</f>
        <v>41535</v>
      </c>
      <c r="DJ2428" s="4">
        <f>INDEX(Sheet2!C:C,QUOTIENT(ROW()-1,19)+2)</f>
        <v>42369</v>
      </c>
      <c r="DK2428" s="4" t="e">
        <f>INDEX(Sheet2!$AA$2:$AS$228,QUOTIENT(ROW()-1,19)+1,MOD(ROW()-2,19)+1)</f>
        <v>#N/A</v>
      </c>
      <c r="DL2428" t="str">
        <f>IFERROR(INDEX(Sheet2!$AU$2:$BM$228,QUOTIENT(ROW()-1,19)+1,MOD(ROW()-2,19)+1),NA())</f>
        <v/>
      </c>
      <c r="DM2428" s="4" t="e">
        <f t="shared" si="132"/>
        <v>#N/A</v>
      </c>
      <c r="DN2428" t="e">
        <f t="shared" si="133"/>
        <v>#N/A</v>
      </c>
      <c r="DO2428" t="e">
        <f t="shared" si="134"/>
        <v>#N/A</v>
      </c>
    </row>
    <row r="2429" spans="7:119" x14ac:dyDescent="0.25">
      <c r="G2429"/>
      <c r="DI2429" s="4">
        <f>INDEX(Sheet2!A:A,QUOTIENT(ROW()-1,19)+2)</f>
        <v>41535</v>
      </c>
      <c r="DJ2429" s="4">
        <f>INDEX(Sheet2!C:C,QUOTIENT(ROW()-1,19)+2)</f>
        <v>42369</v>
      </c>
      <c r="DK2429" s="4" t="e">
        <f>INDEX(Sheet2!$AA$2:$AS$228,QUOTIENT(ROW()-1,19)+1,MOD(ROW()-2,19)+1)</f>
        <v>#N/A</v>
      </c>
      <c r="DL2429" t="str">
        <f>IFERROR(INDEX(Sheet2!$AU$2:$BM$228,QUOTIENT(ROW()-1,19)+1,MOD(ROW()-2,19)+1),NA())</f>
        <v/>
      </c>
      <c r="DM2429" s="4" t="e">
        <f t="shared" si="132"/>
        <v>#N/A</v>
      </c>
      <c r="DN2429" t="e">
        <f t="shared" si="133"/>
        <v>#N/A</v>
      </c>
      <c r="DO2429" t="e">
        <f t="shared" si="134"/>
        <v>#N/A</v>
      </c>
    </row>
    <row r="2430" spans="7:119" x14ac:dyDescent="0.25">
      <c r="G2430"/>
      <c r="DI2430" s="4">
        <f>INDEX(Sheet2!A:A,QUOTIENT(ROW()-1,19)+2)</f>
        <v>41535</v>
      </c>
      <c r="DJ2430" s="4">
        <f>INDEX(Sheet2!C:C,QUOTIENT(ROW()-1,19)+2)</f>
        <v>42369</v>
      </c>
      <c r="DK2430" s="4" t="e">
        <f>INDEX(Sheet2!$AA$2:$AS$228,QUOTIENT(ROW()-1,19)+1,MOD(ROW()-2,19)+1)</f>
        <v>#N/A</v>
      </c>
      <c r="DL2430" t="str">
        <f>IFERROR(INDEX(Sheet2!$AU$2:$BM$228,QUOTIENT(ROW()-1,19)+1,MOD(ROW()-2,19)+1),NA())</f>
        <v/>
      </c>
      <c r="DM2430" s="4" t="e">
        <f t="shared" si="132"/>
        <v>#N/A</v>
      </c>
      <c r="DN2430" t="e">
        <f t="shared" si="133"/>
        <v>#N/A</v>
      </c>
      <c r="DO2430" t="e">
        <f t="shared" si="134"/>
        <v>#N/A</v>
      </c>
    </row>
    <row r="2431" spans="7:119" x14ac:dyDescent="0.25">
      <c r="G2431"/>
      <c r="DI2431" s="4">
        <f>INDEX(Sheet2!A:A,QUOTIENT(ROW()-1,19)+2)</f>
        <v>41535</v>
      </c>
      <c r="DJ2431" s="4">
        <f>INDEX(Sheet2!C:C,QUOTIENT(ROW()-1,19)+2)</f>
        <v>42369</v>
      </c>
      <c r="DK2431" s="4" t="e">
        <f>INDEX(Sheet2!$AA$2:$AS$228,QUOTIENT(ROW()-1,19)+1,MOD(ROW()-2,19)+1)</f>
        <v>#N/A</v>
      </c>
      <c r="DL2431" t="str">
        <f>IFERROR(INDEX(Sheet2!$AU$2:$BM$228,QUOTIENT(ROW()-1,19)+1,MOD(ROW()-2,19)+1),NA())</f>
        <v/>
      </c>
      <c r="DM2431" s="4" t="e">
        <f t="shared" si="132"/>
        <v>#N/A</v>
      </c>
      <c r="DN2431" t="e">
        <f t="shared" si="133"/>
        <v>#N/A</v>
      </c>
      <c r="DO2431" t="e">
        <f t="shared" si="134"/>
        <v>#N/A</v>
      </c>
    </row>
    <row r="2432" spans="7:119" x14ac:dyDescent="0.25">
      <c r="G2432"/>
      <c r="DI2432" s="4">
        <f>INDEX(Sheet2!A:A,QUOTIENT(ROW()-1,19)+2)</f>
        <v>41535</v>
      </c>
      <c r="DJ2432" s="4">
        <f>INDEX(Sheet2!C:C,QUOTIENT(ROW()-1,19)+2)</f>
        <v>42369</v>
      </c>
      <c r="DK2432" s="4" t="e">
        <f>INDEX(Sheet2!$AA$2:$AS$228,QUOTIENT(ROW()-1,19)+1,MOD(ROW()-2,19)+1)</f>
        <v>#N/A</v>
      </c>
      <c r="DL2432" t="str">
        <f>IFERROR(INDEX(Sheet2!$AU$2:$BM$228,QUOTIENT(ROW()-1,19)+1,MOD(ROW()-2,19)+1),NA())</f>
        <v/>
      </c>
      <c r="DM2432" s="4" t="e">
        <f t="shared" si="132"/>
        <v>#N/A</v>
      </c>
      <c r="DN2432" t="e">
        <f t="shared" si="133"/>
        <v>#N/A</v>
      </c>
      <c r="DO2432" t="e">
        <f t="shared" si="134"/>
        <v>#N/A</v>
      </c>
    </row>
    <row r="2433" spans="7:119" x14ac:dyDescent="0.25">
      <c r="G2433"/>
      <c r="DI2433" s="4">
        <f>INDEX(Sheet2!A:A,QUOTIENT(ROW()-1,19)+2)</f>
        <v>41535</v>
      </c>
      <c r="DJ2433" s="4">
        <f>INDEX(Sheet2!C:C,QUOTIENT(ROW()-1,19)+2)</f>
        <v>42369</v>
      </c>
      <c r="DK2433" s="4" t="e">
        <f>INDEX(Sheet2!$AA$2:$AS$228,QUOTIENT(ROW()-1,19)+1,MOD(ROW()-2,19)+1)</f>
        <v>#N/A</v>
      </c>
      <c r="DL2433" t="str">
        <f>IFERROR(INDEX(Sheet2!$AU$2:$BM$228,QUOTIENT(ROW()-1,19)+1,MOD(ROW()-2,19)+1),NA())</f>
        <v/>
      </c>
      <c r="DM2433" s="4" t="e">
        <f t="shared" si="132"/>
        <v>#N/A</v>
      </c>
      <c r="DN2433" t="e">
        <f t="shared" si="133"/>
        <v>#N/A</v>
      </c>
      <c r="DO2433" t="e">
        <f t="shared" si="134"/>
        <v>#N/A</v>
      </c>
    </row>
    <row r="2434" spans="7:119" x14ac:dyDescent="0.25">
      <c r="G2434"/>
      <c r="DI2434" s="4">
        <f>INDEX(Sheet2!A:A,QUOTIENT(ROW()-1,19)+2)</f>
        <v>41535</v>
      </c>
      <c r="DJ2434" s="4">
        <f>INDEX(Sheet2!C:C,QUOTIENT(ROW()-1,19)+2)</f>
        <v>42369</v>
      </c>
      <c r="DK2434" s="4">
        <f>INDEX(Sheet2!$AA$2:$AS$228,QUOTIENT(ROW()-1,19)+1,MOD(ROW()-2,19)+1)</f>
        <v>42369</v>
      </c>
      <c r="DL2434">
        <f>IFERROR(INDEX(Sheet2!$AU$2:$BM$228,QUOTIENT(ROW()-1,19)+1,MOD(ROW()-2,19)+1),NA())</f>
        <v>3.25</v>
      </c>
      <c r="DM2434" s="4" t="e">
        <f t="shared" ref="DM2434:DM2497" si="135">+IF($C$2=$DI2434,DK2434,NA())</f>
        <v>#N/A</v>
      </c>
      <c r="DN2434" t="e">
        <f t="shared" ref="DN2434:DN2497" si="136">+IF($C$2=$DI2434,DL2434,NA())</f>
        <v>#N/A</v>
      </c>
      <c r="DO2434" t="e">
        <f t="shared" si="134"/>
        <v>#N/A</v>
      </c>
    </row>
    <row r="2435" spans="7:119" x14ac:dyDescent="0.25">
      <c r="G2435"/>
      <c r="DI2435" s="4">
        <f>INDEX(Sheet2!A:A,QUOTIENT(ROW()-1,19)+2)</f>
        <v>41535</v>
      </c>
      <c r="DJ2435" s="4">
        <f>INDEX(Sheet2!C:C,QUOTIENT(ROW()-1,19)+2)</f>
        <v>42369</v>
      </c>
      <c r="DK2435" s="4" t="e">
        <f>INDEX(Sheet2!$AA$2:$AS$228,QUOTIENT(ROW()-1,19)+1,MOD(ROW()-2,19)+1)</f>
        <v>#N/A</v>
      </c>
      <c r="DL2435" t="str">
        <f>IFERROR(INDEX(Sheet2!$AU$2:$BM$228,QUOTIENT(ROW()-1,19)+1,MOD(ROW()-2,19)+1),NA())</f>
        <v/>
      </c>
      <c r="DM2435" s="4" t="e">
        <f t="shared" si="135"/>
        <v>#N/A</v>
      </c>
      <c r="DN2435" t="e">
        <f t="shared" si="136"/>
        <v>#N/A</v>
      </c>
      <c r="DO2435" t="e">
        <f t="shared" ref="DO2435:DO2498" si="137">IF(DN2435="",NA(),DN2435)</f>
        <v>#N/A</v>
      </c>
    </row>
    <row r="2436" spans="7:119" x14ac:dyDescent="0.25">
      <c r="G2436"/>
      <c r="DI2436" s="4">
        <f>INDEX(Sheet2!A:A,QUOTIENT(ROW()-1,19)+2)</f>
        <v>41535</v>
      </c>
      <c r="DJ2436" s="4">
        <f>INDEX(Sheet2!C:C,QUOTIENT(ROW()-1,19)+2)</f>
        <v>42369</v>
      </c>
      <c r="DK2436" s="4" t="e">
        <f>INDEX(Sheet2!$AA$2:$AS$228,QUOTIENT(ROW()-1,19)+1,MOD(ROW()-2,19)+1)</f>
        <v>#N/A</v>
      </c>
      <c r="DL2436" t="str">
        <f>IFERROR(INDEX(Sheet2!$AU$2:$BM$228,QUOTIENT(ROW()-1,19)+1,MOD(ROW()-2,19)+1),NA())</f>
        <v/>
      </c>
      <c r="DM2436" s="4" t="e">
        <f t="shared" si="135"/>
        <v>#N/A</v>
      </c>
      <c r="DN2436" t="e">
        <f t="shared" si="136"/>
        <v>#N/A</v>
      </c>
      <c r="DO2436" t="e">
        <f t="shared" si="137"/>
        <v>#N/A</v>
      </c>
    </row>
    <row r="2437" spans="7:119" x14ac:dyDescent="0.25">
      <c r="G2437"/>
      <c r="DI2437" s="4">
        <f>INDEX(Sheet2!A:A,QUOTIENT(ROW()-1,19)+2)</f>
        <v>41535</v>
      </c>
      <c r="DJ2437" s="4">
        <f>INDEX(Sheet2!C:C,QUOTIENT(ROW()-1,19)+2)</f>
        <v>42369</v>
      </c>
      <c r="DK2437" s="4" t="e">
        <f>INDEX(Sheet2!$AA$2:$AS$228,QUOTIENT(ROW()-1,19)+1,MOD(ROW()-2,19)+1)</f>
        <v>#N/A</v>
      </c>
      <c r="DL2437" t="str">
        <f>IFERROR(INDEX(Sheet2!$AU$2:$BM$228,QUOTIENT(ROW()-1,19)+1,MOD(ROW()-2,19)+1),NA())</f>
        <v/>
      </c>
      <c r="DM2437" s="4" t="e">
        <f t="shared" si="135"/>
        <v>#N/A</v>
      </c>
      <c r="DN2437" t="e">
        <f t="shared" si="136"/>
        <v>#N/A</v>
      </c>
      <c r="DO2437" t="e">
        <f t="shared" si="137"/>
        <v>#N/A</v>
      </c>
    </row>
    <row r="2438" spans="7:119" x14ac:dyDescent="0.25">
      <c r="G2438"/>
      <c r="DI2438" s="4">
        <f>INDEX(Sheet2!A:A,QUOTIENT(ROW()-1,19)+2)</f>
        <v>41535</v>
      </c>
      <c r="DJ2438" s="4">
        <f>INDEX(Sheet2!C:C,QUOTIENT(ROW()-1,19)+2)</f>
        <v>42369</v>
      </c>
      <c r="DK2438" s="4" t="e">
        <f>INDEX(Sheet2!$AA$2:$AS$228,QUOTIENT(ROW()-1,19)+1,MOD(ROW()-2,19)+1)</f>
        <v>#N/A</v>
      </c>
      <c r="DL2438" t="str">
        <f>IFERROR(INDEX(Sheet2!$AU$2:$BM$228,QUOTIENT(ROW()-1,19)+1,MOD(ROW()-2,19)+1),NA())</f>
        <v/>
      </c>
      <c r="DM2438" s="4" t="e">
        <f t="shared" si="135"/>
        <v>#N/A</v>
      </c>
      <c r="DN2438" t="e">
        <f t="shared" si="136"/>
        <v>#N/A</v>
      </c>
      <c r="DO2438" t="e">
        <f t="shared" si="137"/>
        <v>#N/A</v>
      </c>
    </row>
    <row r="2439" spans="7:119" x14ac:dyDescent="0.25">
      <c r="G2439"/>
      <c r="DI2439" s="4">
        <f>INDEX(Sheet2!A:A,QUOTIENT(ROW()-1,19)+2)</f>
        <v>41535</v>
      </c>
      <c r="DJ2439" s="4">
        <f>INDEX(Sheet2!C:C,QUOTIENT(ROW()-1,19)+2)</f>
        <v>42369</v>
      </c>
      <c r="DK2439" s="4" t="e">
        <f>INDEX(Sheet2!$AA$2:$AS$228,QUOTIENT(ROW()-1,19)+1,MOD(ROW()-2,19)+1)</f>
        <v>#N/A</v>
      </c>
      <c r="DL2439" t="str">
        <f>IFERROR(INDEX(Sheet2!$AU$2:$BM$228,QUOTIENT(ROW()-1,19)+1,MOD(ROW()-2,19)+1),NA())</f>
        <v/>
      </c>
      <c r="DM2439" s="4" t="e">
        <f t="shared" si="135"/>
        <v>#N/A</v>
      </c>
      <c r="DN2439" t="e">
        <f t="shared" si="136"/>
        <v>#N/A</v>
      </c>
      <c r="DO2439" t="e">
        <f t="shared" si="137"/>
        <v>#N/A</v>
      </c>
    </row>
    <row r="2440" spans="7:119" x14ac:dyDescent="0.25">
      <c r="G2440"/>
      <c r="DI2440" s="4">
        <f>INDEX(Sheet2!A:A,QUOTIENT(ROW()-1,19)+2)</f>
        <v>41535</v>
      </c>
      <c r="DJ2440" s="4">
        <f>INDEX(Sheet2!C:C,QUOTIENT(ROW()-1,19)+2)</f>
        <v>42369</v>
      </c>
      <c r="DK2440" s="4" t="e">
        <f>INDEX(Sheet2!$AA$2:$AS$228,QUOTIENT(ROW()-1,19)+1,MOD(ROW()-2,19)+1)</f>
        <v>#N/A</v>
      </c>
      <c r="DL2440" t="str">
        <f>IFERROR(INDEX(Sheet2!$AU$2:$BM$228,QUOTIENT(ROW()-1,19)+1,MOD(ROW()-2,19)+1),NA())</f>
        <v/>
      </c>
      <c r="DM2440" s="4" t="e">
        <f t="shared" si="135"/>
        <v>#N/A</v>
      </c>
      <c r="DN2440" t="e">
        <f t="shared" si="136"/>
        <v>#N/A</v>
      </c>
      <c r="DO2440" t="e">
        <f t="shared" si="137"/>
        <v>#N/A</v>
      </c>
    </row>
    <row r="2441" spans="7:119" x14ac:dyDescent="0.25">
      <c r="G2441"/>
      <c r="DI2441" s="4">
        <f>INDEX(Sheet2!A:A,QUOTIENT(ROW()-1,19)+2)</f>
        <v>41535</v>
      </c>
      <c r="DJ2441" s="4">
        <f>INDEX(Sheet2!C:C,QUOTIENT(ROW()-1,19)+2)</f>
        <v>42369</v>
      </c>
      <c r="DK2441" s="4" t="e">
        <f>INDEX(Sheet2!$AA$2:$AS$228,QUOTIENT(ROW()-1,19)+1,MOD(ROW()-2,19)+1)</f>
        <v>#N/A</v>
      </c>
      <c r="DL2441" t="str">
        <f>IFERROR(INDEX(Sheet2!$AU$2:$BM$228,QUOTIENT(ROW()-1,19)+1,MOD(ROW()-2,19)+1),NA())</f>
        <v/>
      </c>
      <c r="DM2441" s="4" t="e">
        <f t="shared" si="135"/>
        <v>#N/A</v>
      </c>
      <c r="DN2441" t="e">
        <f t="shared" si="136"/>
        <v>#N/A</v>
      </c>
      <c r="DO2441" t="e">
        <f t="shared" si="137"/>
        <v>#N/A</v>
      </c>
    </row>
    <row r="2442" spans="7:119" x14ac:dyDescent="0.25">
      <c r="G2442"/>
      <c r="DI2442" s="4">
        <f>INDEX(Sheet2!A:A,QUOTIENT(ROW()-1,19)+2)</f>
        <v>41535</v>
      </c>
      <c r="DJ2442" s="4">
        <f>INDEX(Sheet2!C:C,QUOTIENT(ROW()-1,19)+2)</f>
        <v>42369</v>
      </c>
      <c r="DK2442" s="4" t="e">
        <f>INDEX(Sheet2!$AA$2:$AS$228,QUOTIENT(ROW()-1,19)+1,MOD(ROW()-2,19)+1)</f>
        <v>#N/A</v>
      </c>
      <c r="DL2442" t="str">
        <f>IFERROR(INDEX(Sheet2!$AU$2:$BM$228,QUOTIENT(ROW()-1,19)+1,MOD(ROW()-2,19)+1),NA())</f>
        <v/>
      </c>
      <c r="DM2442" s="4" t="e">
        <f t="shared" si="135"/>
        <v>#N/A</v>
      </c>
      <c r="DN2442" t="e">
        <f t="shared" si="136"/>
        <v>#N/A</v>
      </c>
      <c r="DO2442" t="e">
        <f t="shared" si="137"/>
        <v>#N/A</v>
      </c>
    </row>
    <row r="2443" spans="7:119" x14ac:dyDescent="0.25">
      <c r="G2443"/>
      <c r="DI2443" s="4">
        <f>INDEX(Sheet2!A:A,QUOTIENT(ROW()-1,19)+2)</f>
        <v>41535</v>
      </c>
      <c r="DJ2443" s="4">
        <f>INDEX(Sheet2!C:C,QUOTIENT(ROW()-1,19)+2)</f>
        <v>42369</v>
      </c>
      <c r="DK2443" s="4" t="e">
        <f>INDEX(Sheet2!$AA$2:$AS$228,QUOTIENT(ROW()-1,19)+1,MOD(ROW()-2,19)+1)</f>
        <v>#N/A</v>
      </c>
      <c r="DL2443" t="str">
        <f>IFERROR(INDEX(Sheet2!$AU$2:$BM$228,QUOTIENT(ROW()-1,19)+1,MOD(ROW()-2,19)+1),NA())</f>
        <v/>
      </c>
      <c r="DM2443" s="4" t="e">
        <f t="shared" si="135"/>
        <v>#N/A</v>
      </c>
      <c r="DN2443" t="e">
        <f t="shared" si="136"/>
        <v>#N/A</v>
      </c>
      <c r="DO2443" t="e">
        <f t="shared" si="137"/>
        <v>#N/A</v>
      </c>
    </row>
    <row r="2444" spans="7:119" x14ac:dyDescent="0.25">
      <c r="G2444"/>
      <c r="DI2444" s="4">
        <f>INDEX(Sheet2!A:A,QUOTIENT(ROW()-1,19)+2)</f>
        <v>41535</v>
      </c>
      <c r="DJ2444" s="4">
        <f>INDEX(Sheet2!C:C,QUOTIENT(ROW()-1,19)+2)</f>
        <v>42369</v>
      </c>
      <c r="DK2444" s="4" t="e">
        <f>INDEX(Sheet2!$AA$2:$AS$228,QUOTIENT(ROW()-1,19)+1,MOD(ROW()-2,19)+1)</f>
        <v>#N/A</v>
      </c>
      <c r="DL2444" t="str">
        <f>IFERROR(INDEX(Sheet2!$AU$2:$BM$228,QUOTIENT(ROW()-1,19)+1,MOD(ROW()-2,19)+1),NA())</f>
        <v/>
      </c>
      <c r="DM2444" s="4" t="e">
        <f t="shared" si="135"/>
        <v>#N/A</v>
      </c>
      <c r="DN2444" t="e">
        <f t="shared" si="136"/>
        <v>#N/A</v>
      </c>
      <c r="DO2444" t="e">
        <f t="shared" si="137"/>
        <v>#N/A</v>
      </c>
    </row>
    <row r="2445" spans="7:119" x14ac:dyDescent="0.25">
      <c r="G2445"/>
      <c r="DI2445" s="4">
        <f>INDEX(Sheet2!A:A,QUOTIENT(ROW()-1,19)+2)</f>
        <v>41535</v>
      </c>
      <c r="DJ2445" s="4">
        <f>INDEX(Sheet2!C:C,QUOTIENT(ROW()-1,19)+2)</f>
        <v>42369</v>
      </c>
      <c r="DK2445" s="4" t="e">
        <f>INDEX(Sheet2!$AA$2:$AS$228,QUOTIENT(ROW()-1,19)+1,MOD(ROW()-2,19)+1)</f>
        <v>#N/A</v>
      </c>
      <c r="DL2445" t="str">
        <f>IFERROR(INDEX(Sheet2!$AU$2:$BM$228,QUOTIENT(ROW()-1,19)+1,MOD(ROW()-2,19)+1),NA())</f>
        <v/>
      </c>
      <c r="DM2445" s="4" t="e">
        <f t="shared" si="135"/>
        <v>#N/A</v>
      </c>
      <c r="DN2445" t="e">
        <f t="shared" si="136"/>
        <v>#N/A</v>
      </c>
      <c r="DO2445" t="e">
        <f t="shared" si="137"/>
        <v>#N/A</v>
      </c>
    </row>
    <row r="2446" spans="7:119" x14ac:dyDescent="0.25">
      <c r="G2446"/>
      <c r="DI2446" s="4">
        <f>INDEX(Sheet2!A:A,QUOTIENT(ROW()-1,19)+2)</f>
        <v>41535</v>
      </c>
      <c r="DJ2446" s="4">
        <f>INDEX(Sheet2!C:C,QUOTIENT(ROW()-1,19)+2)</f>
        <v>42369</v>
      </c>
      <c r="DK2446" s="4" t="e">
        <f>INDEX(Sheet2!$AA$2:$AS$228,QUOTIENT(ROW()-1,19)+1,MOD(ROW()-2,19)+1)</f>
        <v>#N/A</v>
      </c>
      <c r="DL2446" t="str">
        <f>IFERROR(INDEX(Sheet2!$AU$2:$BM$228,QUOTIENT(ROW()-1,19)+1,MOD(ROW()-2,19)+1),NA())</f>
        <v/>
      </c>
      <c r="DM2446" s="4" t="e">
        <f t="shared" si="135"/>
        <v>#N/A</v>
      </c>
      <c r="DN2446" t="e">
        <f t="shared" si="136"/>
        <v>#N/A</v>
      </c>
      <c r="DO2446" t="e">
        <f t="shared" si="137"/>
        <v>#N/A</v>
      </c>
    </row>
    <row r="2447" spans="7:119" x14ac:dyDescent="0.25">
      <c r="G2447"/>
      <c r="DI2447" s="4">
        <f>INDEX(Sheet2!A:A,QUOTIENT(ROW()-1,19)+2)</f>
        <v>41535</v>
      </c>
      <c r="DJ2447" s="4">
        <f>INDEX(Sheet2!C:C,QUOTIENT(ROW()-1,19)+2)</f>
        <v>42369</v>
      </c>
      <c r="DK2447" s="4" t="e">
        <f>INDEX(Sheet2!$AA$2:$AS$228,QUOTIENT(ROW()-1,19)+1,MOD(ROW()-2,19)+1)</f>
        <v>#N/A</v>
      </c>
      <c r="DL2447" t="str">
        <f>IFERROR(INDEX(Sheet2!$AU$2:$BM$228,QUOTIENT(ROW()-1,19)+1,MOD(ROW()-2,19)+1),NA())</f>
        <v/>
      </c>
      <c r="DM2447" s="4" t="e">
        <f t="shared" si="135"/>
        <v>#N/A</v>
      </c>
      <c r="DN2447" t="e">
        <f t="shared" si="136"/>
        <v>#N/A</v>
      </c>
      <c r="DO2447" t="e">
        <f t="shared" si="137"/>
        <v>#N/A</v>
      </c>
    </row>
    <row r="2448" spans="7:119" x14ac:dyDescent="0.25">
      <c r="G2448"/>
      <c r="DI2448" s="4">
        <f>INDEX(Sheet2!A:A,QUOTIENT(ROW()-1,19)+2)</f>
        <v>41535</v>
      </c>
      <c r="DJ2448" s="4">
        <f>INDEX(Sheet2!C:C,QUOTIENT(ROW()-1,19)+2)</f>
        <v>42369</v>
      </c>
      <c r="DK2448" s="4" t="e">
        <f>INDEX(Sheet2!$AA$2:$AS$228,QUOTIENT(ROW()-1,19)+1,MOD(ROW()-2,19)+1)</f>
        <v>#N/A</v>
      </c>
      <c r="DL2448" t="str">
        <f>IFERROR(INDEX(Sheet2!$AU$2:$BM$228,QUOTIENT(ROW()-1,19)+1,MOD(ROW()-2,19)+1),NA())</f>
        <v/>
      </c>
      <c r="DM2448" s="4" t="e">
        <f t="shared" si="135"/>
        <v>#N/A</v>
      </c>
      <c r="DN2448" t="e">
        <f t="shared" si="136"/>
        <v>#N/A</v>
      </c>
      <c r="DO2448" t="e">
        <f t="shared" si="137"/>
        <v>#N/A</v>
      </c>
    </row>
    <row r="2449" spans="7:119" x14ac:dyDescent="0.25">
      <c r="G2449"/>
      <c r="DI2449" s="4">
        <f>INDEX(Sheet2!A:A,QUOTIENT(ROW()-1,19)+2)</f>
        <v>41535</v>
      </c>
      <c r="DJ2449" s="4">
        <f>INDEX(Sheet2!C:C,QUOTIENT(ROW()-1,19)+2)</f>
        <v>42369</v>
      </c>
      <c r="DK2449" s="4" t="e">
        <f>INDEX(Sheet2!$AA$2:$AS$228,QUOTIENT(ROW()-1,19)+1,MOD(ROW()-2,19)+1)</f>
        <v>#N/A</v>
      </c>
      <c r="DL2449" t="str">
        <f>IFERROR(INDEX(Sheet2!$AU$2:$BM$228,QUOTIENT(ROW()-1,19)+1,MOD(ROW()-2,19)+1),NA())</f>
        <v/>
      </c>
      <c r="DM2449" s="4" t="e">
        <f t="shared" si="135"/>
        <v>#N/A</v>
      </c>
      <c r="DN2449" t="e">
        <f t="shared" si="136"/>
        <v>#N/A</v>
      </c>
      <c r="DO2449" t="e">
        <f t="shared" si="137"/>
        <v>#N/A</v>
      </c>
    </row>
    <row r="2450" spans="7:119" x14ac:dyDescent="0.25">
      <c r="G2450"/>
      <c r="DI2450" s="4">
        <f>INDEX(Sheet2!A:A,QUOTIENT(ROW()-1,19)+2)</f>
        <v>41535</v>
      </c>
      <c r="DJ2450" s="4">
        <f>INDEX(Sheet2!C:C,QUOTIENT(ROW()-1,19)+2)</f>
        <v>42369</v>
      </c>
      <c r="DK2450" s="4" t="e">
        <f>INDEX(Sheet2!$AA$2:$AS$228,QUOTIENT(ROW()-1,19)+1,MOD(ROW()-2,19)+1)</f>
        <v>#N/A</v>
      </c>
      <c r="DL2450" t="str">
        <f>IFERROR(INDEX(Sheet2!$AU$2:$BM$228,QUOTIENT(ROW()-1,19)+1,MOD(ROW()-2,19)+1),NA())</f>
        <v/>
      </c>
      <c r="DM2450" s="4" t="e">
        <f t="shared" si="135"/>
        <v>#N/A</v>
      </c>
      <c r="DN2450" t="e">
        <f t="shared" si="136"/>
        <v>#N/A</v>
      </c>
      <c r="DO2450" t="e">
        <f t="shared" si="137"/>
        <v>#N/A</v>
      </c>
    </row>
    <row r="2451" spans="7:119" x14ac:dyDescent="0.25">
      <c r="G2451"/>
      <c r="DI2451" s="4">
        <f>INDEX(Sheet2!A:A,QUOTIENT(ROW()-1,19)+2)</f>
        <v>41535</v>
      </c>
      <c r="DJ2451" s="4">
        <f>INDEX(Sheet2!C:C,QUOTIENT(ROW()-1,19)+2)</f>
        <v>42369</v>
      </c>
      <c r="DK2451" s="4" t="e">
        <f>INDEX(Sheet2!$AA$2:$AS$228,QUOTIENT(ROW()-1,19)+1,MOD(ROW()-2,19)+1)</f>
        <v>#N/A</v>
      </c>
      <c r="DL2451" t="str">
        <f>IFERROR(INDEX(Sheet2!$AU$2:$BM$228,QUOTIENT(ROW()-1,19)+1,MOD(ROW()-2,19)+1),NA())</f>
        <v/>
      </c>
      <c r="DM2451" s="4" t="e">
        <f t="shared" si="135"/>
        <v>#N/A</v>
      </c>
      <c r="DN2451" t="e">
        <f t="shared" si="136"/>
        <v>#N/A</v>
      </c>
      <c r="DO2451" t="e">
        <f t="shared" si="137"/>
        <v>#N/A</v>
      </c>
    </row>
    <row r="2452" spans="7:119" x14ac:dyDescent="0.25">
      <c r="G2452"/>
      <c r="DI2452" s="4">
        <f>INDEX(Sheet2!A:A,QUOTIENT(ROW()-1,19)+2)</f>
        <v>41535</v>
      </c>
      <c r="DJ2452" s="4">
        <f>INDEX(Sheet2!C:C,QUOTIENT(ROW()-1,19)+2)</f>
        <v>42735</v>
      </c>
      <c r="DK2452" s="4" t="e">
        <f>INDEX(Sheet2!$AA$2:$AS$228,QUOTIENT(ROW()-1,19)+1,MOD(ROW()-2,19)+1)</f>
        <v>#N/A</v>
      </c>
      <c r="DL2452" t="str">
        <f>IFERROR(INDEX(Sheet2!$AU$2:$BM$228,QUOTIENT(ROW()-1,19)+1,MOD(ROW()-2,19)+1),NA())</f>
        <v/>
      </c>
      <c r="DM2452" s="4" t="e">
        <f t="shared" si="135"/>
        <v>#N/A</v>
      </c>
      <c r="DN2452" t="e">
        <f t="shared" si="136"/>
        <v>#N/A</v>
      </c>
      <c r="DO2452" t="e">
        <f t="shared" si="137"/>
        <v>#N/A</v>
      </c>
    </row>
    <row r="2453" spans="7:119" x14ac:dyDescent="0.25">
      <c r="G2453"/>
      <c r="DI2453" s="4">
        <f>INDEX(Sheet2!A:A,QUOTIENT(ROW()-1,19)+2)</f>
        <v>41535</v>
      </c>
      <c r="DJ2453" s="4">
        <f>INDEX(Sheet2!C:C,QUOTIENT(ROW()-1,19)+2)</f>
        <v>42735</v>
      </c>
      <c r="DK2453" s="4">
        <f>INDEX(Sheet2!$AA$2:$AS$228,QUOTIENT(ROW()-1,19)+1,MOD(ROW()-2,19)+1)</f>
        <v>42735</v>
      </c>
      <c r="DL2453">
        <f>IFERROR(INDEX(Sheet2!$AU$2:$BM$228,QUOTIENT(ROW()-1,19)+1,MOD(ROW()-2,19)+1),NA())</f>
        <v>0.5</v>
      </c>
      <c r="DM2453" s="4" t="e">
        <f t="shared" si="135"/>
        <v>#N/A</v>
      </c>
      <c r="DN2453" t="e">
        <f t="shared" si="136"/>
        <v>#N/A</v>
      </c>
      <c r="DO2453" t="e">
        <f t="shared" si="137"/>
        <v>#N/A</v>
      </c>
    </row>
    <row r="2454" spans="7:119" x14ac:dyDescent="0.25">
      <c r="G2454"/>
      <c r="DI2454" s="4">
        <f>INDEX(Sheet2!A:A,QUOTIENT(ROW()-1,19)+2)</f>
        <v>41535</v>
      </c>
      <c r="DJ2454" s="4">
        <f>INDEX(Sheet2!C:C,QUOTIENT(ROW()-1,19)+2)</f>
        <v>42735</v>
      </c>
      <c r="DK2454" s="4" t="e">
        <f>INDEX(Sheet2!$AA$2:$AS$228,QUOTIENT(ROW()-1,19)+1,MOD(ROW()-2,19)+1)</f>
        <v>#N/A</v>
      </c>
      <c r="DL2454" t="str">
        <f>IFERROR(INDEX(Sheet2!$AU$2:$BM$228,QUOTIENT(ROW()-1,19)+1,MOD(ROW()-2,19)+1),NA())</f>
        <v/>
      </c>
      <c r="DM2454" s="4" t="e">
        <f t="shared" si="135"/>
        <v>#N/A</v>
      </c>
      <c r="DN2454" t="e">
        <f t="shared" si="136"/>
        <v>#N/A</v>
      </c>
      <c r="DO2454" t="e">
        <f t="shared" si="137"/>
        <v>#N/A</v>
      </c>
    </row>
    <row r="2455" spans="7:119" x14ac:dyDescent="0.25">
      <c r="G2455"/>
      <c r="DI2455" s="4">
        <f>INDEX(Sheet2!A:A,QUOTIENT(ROW()-1,19)+2)</f>
        <v>41535</v>
      </c>
      <c r="DJ2455" s="4">
        <f>INDEX(Sheet2!C:C,QUOTIENT(ROW()-1,19)+2)</f>
        <v>42735</v>
      </c>
      <c r="DK2455" s="4" t="e">
        <f>INDEX(Sheet2!$AA$2:$AS$228,QUOTIENT(ROW()-1,19)+1,MOD(ROW()-2,19)+1)</f>
        <v>#N/A</v>
      </c>
      <c r="DL2455" t="str">
        <f>IFERROR(INDEX(Sheet2!$AU$2:$BM$228,QUOTIENT(ROW()-1,19)+1,MOD(ROW()-2,19)+1),NA())</f>
        <v/>
      </c>
      <c r="DM2455" s="4" t="e">
        <f t="shared" si="135"/>
        <v>#N/A</v>
      </c>
      <c r="DN2455" t="e">
        <f t="shared" si="136"/>
        <v>#N/A</v>
      </c>
      <c r="DO2455" t="e">
        <f t="shared" si="137"/>
        <v>#N/A</v>
      </c>
    </row>
    <row r="2456" spans="7:119" x14ac:dyDescent="0.25">
      <c r="G2456"/>
      <c r="DI2456" s="4">
        <f>INDEX(Sheet2!A:A,QUOTIENT(ROW()-1,19)+2)</f>
        <v>41535</v>
      </c>
      <c r="DJ2456" s="4">
        <f>INDEX(Sheet2!C:C,QUOTIENT(ROW()-1,19)+2)</f>
        <v>42735</v>
      </c>
      <c r="DK2456" s="4" t="e">
        <f>INDEX(Sheet2!$AA$2:$AS$228,QUOTIENT(ROW()-1,19)+1,MOD(ROW()-2,19)+1)</f>
        <v>#N/A</v>
      </c>
      <c r="DL2456" t="str">
        <f>IFERROR(INDEX(Sheet2!$AU$2:$BM$228,QUOTIENT(ROW()-1,19)+1,MOD(ROW()-2,19)+1),NA())</f>
        <v/>
      </c>
      <c r="DM2456" s="4" t="e">
        <f t="shared" si="135"/>
        <v>#N/A</v>
      </c>
      <c r="DN2456" t="e">
        <f t="shared" si="136"/>
        <v>#N/A</v>
      </c>
      <c r="DO2456" t="e">
        <f t="shared" si="137"/>
        <v>#N/A</v>
      </c>
    </row>
    <row r="2457" spans="7:119" x14ac:dyDescent="0.25">
      <c r="G2457"/>
      <c r="DI2457" s="4">
        <f>INDEX(Sheet2!A:A,QUOTIENT(ROW()-1,19)+2)</f>
        <v>41535</v>
      </c>
      <c r="DJ2457" s="4">
        <f>INDEX(Sheet2!C:C,QUOTIENT(ROW()-1,19)+2)</f>
        <v>42735</v>
      </c>
      <c r="DK2457" s="4" t="e">
        <f>INDEX(Sheet2!$AA$2:$AS$228,QUOTIENT(ROW()-1,19)+1,MOD(ROW()-2,19)+1)</f>
        <v>#N/A</v>
      </c>
      <c r="DL2457" t="str">
        <f>IFERROR(INDEX(Sheet2!$AU$2:$BM$228,QUOTIENT(ROW()-1,19)+1,MOD(ROW()-2,19)+1),NA())</f>
        <v/>
      </c>
      <c r="DM2457" s="4" t="e">
        <f t="shared" si="135"/>
        <v>#N/A</v>
      </c>
      <c r="DN2457" t="e">
        <f t="shared" si="136"/>
        <v>#N/A</v>
      </c>
      <c r="DO2457" t="e">
        <f t="shared" si="137"/>
        <v>#N/A</v>
      </c>
    </row>
    <row r="2458" spans="7:119" x14ac:dyDescent="0.25">
      <c r="G2458"/>
      <c r="DI2458" s="4">
        <f>INDEX(Sheet2!A:A,QUOTIENT(ROW()-1,19)+2)</f>
        <v>41535</v>
      </c>
      <c r="DJ2458" s="4">
        <f>INDEX(Sheet2!C:C,QUOTIENT(ROW()-1,19)+2)</f>
        <v>42735</v>
      </c>
      <c r="DK2458" s="4" t="e">
        <f>INDEX(Sheet2!$AA$2:$AS$228,QUOTIENT(ROW()-1,19)+1,MOD(ROW()-2,19)+1)</f>
        <v>#N/A</v>
      </c>
      <c r="DL2458" t="str">
        <f>IFERROR(INDEX(Sheet2!$AU$2:$BM$228,QUOTIENT(ROW()-1,19)+1,MOD(ROW()-2,19)+1),NA())</f>
        <v/>
      </c>
      <c r="DM2458" s="4" t="e">
        <f t="shared" si="135"/>
        <v>#N/A</v>
      </c>
      <c r="DN2458" t="e">
        <f t="shared" si="136"/>
        <v>#N/A</v>
      </c>
      <c r="DO2458" t="e">
        <f t="shared" si="137"/>
        <v>#N/A</v>
      </c>
    </row>
    <row r="2459" spans="7:119" x14ac:dyDescent="0.25">
      <c r="G2459"/>
      <c r="DI2459" s="4">
        <f>INDEX(Sheet2!A:A,QUOTIENT(ROW()-1,19)+2)</f>
        <v>41535</v>
      </c>
      <c r="DJ2459" s="4">
        <f>INDEX(Sheet2!C:C,QUOTIENT(ROW()-1,19)+2)</f>
        <v>42735</v>
      </c>
      <c r="DK2459" s="4" t="e">
        <f>INDEX(Sheet2!$AA$2:$AS$228,QUOTIENT(ROW()-1,19)+1,MOD(ROW()-2,19)+1)</f>
        <v>#N/A</v>
      </c>
      <c r="DL2459" t="str">
        <f>IFERROR(INDEX(Sheet2!$AU$2:$BM$228,QUOTIENT(ROW()-1,19)+1,MOD(ROW()-2,19)+1),NA())</f>
        <v/>
      </c>
      <c r="DM2459" s="4" t="e">
        <f t="shared" si="135"/>
        <v>#N/A</v>
      </c>
      <c r="DN2459" t="e">
        <f t="shared" si="136"/>
        <v>#N/A</v>
      </c>
      <c r="DO2459" t="e">
        <f t="shared" si="137"/>
        <v>#N/A</v>
      </c>
    </row>
    <row r="2460" spans="7:119" x14ac:dyDescent="0.25">
      <c r="G2460"/>
      <c r="DI2460" s="4">
        <f>INDEX(Sheet2!A:A,QUOTIENT(ROW()-1,19)+2)</f>
        <v>41535</v>
      </c>
      <c r="DJ2460" s="4">
        <f>INDEX(Sheet2!C:C,QUOTIENT(ROW()-1,19)+2)</f>
        <v>42735</v>
      </c>
      <c r="DK2460" s="4" t="e">
        <f>INDEX(Sheet2!$AA$2:$AS$228,QUOTIENT(ROW()-1,19)+1,MOD(ROW()-2,19)+1)</f>
        <v>#N/A</v>
      </c>
      <c r="DL2460" t="str">
        <f>IFERROR(INDEX(Sheet2!$AU$2:$BM$228,QUOTIENT(ROW()-1,19)+1,MOD(ROW()-2,19)+1),NA())</f>
        <v/>
      </c>
      <c r="DM2460" s="4" t="e">
        <f t="shared" si="135"/>
        <v>#N/A</v>
      </c>
      <c r="DN2460" t="e">
        <f t="shared" si="136"/>
        <v>#N/A</v>
      </c>
      <c r="DO2460" t="e">
        <f t="shared" si="137"/>
        <v>#N/A</v>
      </c>
    </row>
    <row r="2461" spans="7:119" x14ac:dyDescent="0.25">
      <c r="G2461"/>
      <c r="DI2461" s="4">
        <f>INDEX(Sheet2!A:A,QUOTIENT(ROW()-1,19)+2)</f>
        <v>41535</v>
      </c>
      <c r="DJ2461" s="4">
        <f>INDEX(Sheet2!C:C,QUOTIENT(ROW()-1,19)+2)</f>
        <v>42735</v>
      </c>
      <c r="DK2461" s="4" t="e">
        <f>INDEX(Sheet2!$AA$2:$AS$228,QUOTIENT(ROW()-1,19)+1,MOD(ROW()-2,19)+1)</f>
        <v>#N/A</v>
      </c>
      <c r="DL2461" t="str">
        <f>IFERROR(INDEX(Sheet2!$AU$2:$BM$228,QUOTIENT(ROW()-1,19)+1,MOD(ROW()-2,19)+1),NA())</f>
        <v/>
      </c>
      <c r="DM2461" s="4" t="e">
        <f t="shared" si="135"/>
        <v>#N/A</v>
      </c>
      <c r="DN2461" t="e">
        <f t="shared" si="136"/>
        <v>#N/A</v>
      </c>
      <c r="DO2461" t="e">
        <f t="shared" si="137"/>
        <v>#N/A</v>
      </c>
    </row>
    <row r="2462" spans="7:119" x14ac:dyDescent="0.25">
      <c r="G2462"/>
      <c r="DI2462" s="4">
        <f>INDEX(Sheet2!A:A,QUOTIENT(ROW()-1,19)+2)</f>
        <v>41535</v>
      </c>
      <c r="DJ2462" s="4">
        <f>INDEX(Sheet2!C:C,QUOTIENT(ROW()-1,19)+2)</f>
        <v>42735</v>
      </c>
      <c r="DK2462" s="4" t="e">
        <f>INDEX(Sheet2!$AA$2:$AS$228,QUOTIENT(ROW()-1,19)+1,MOD(ROW()-2,19)+1)</f>
        <v>#N/A</v>
      </c>
      <c r="DL2462" t="str">
        <f>IFERROR(INDEX(Sheet2!$AU$2:$BM$228,QUOTIENT(ROW()-1,19)+1,MOD(ROW()-2,19)+1),NA())</f>
        <v/>
      </c>
      <c r="DM2462" s="4" t="e">
        <f t="shared" si="135"/>
        <v>#N/A</v>
      </c>
      <c r="DN2462" t="e">
        <f t="shared" si="136"/>
        <v>#N/A</v>
      </c>
      <c r="DO2462" t="e">
        <f t="shared" si="137"/>
        <v>#N/A</v>
      </c>
    </row>
    <row r="2463" spans="7:119" x14ac:dyDescent="0.25">
      <c r="G2463"/>
      <c r="DI2463" s="4">
        <f>INDEX(Sheet2!A:A,QUOTIENT(ROW()-1,19)+2)</f>
        <v>41535</v>
      </c>
      <c r="DJ2463" s="4">
        <f>INDEX(Sheet2!C:C,QUOTIENT(ROW()-1,19)+2)</f>
        <v>42735</v>
      </c>
      <c r="DK2463" s="4" t="e">
        <f>INDEX(Sheet2!$AA$2:$AS$228,QUOTIENT(ROW()-1,19)+1,MOD(ROW()-2,19)+1)</f>
        <v>#N/A</v>
      </c>
      <c r="DL2463" t="str">
        <f>IFERROR(INDEX(Sheet2!$AU$2:$BM$228,QUOTIENT(ROW()-1,19)+1,MOD(ROW()-2,19)+1),NA())</f>
        <v/>
      </c>
      <c r="DM2463" s="4" t="e">
        <f t="shared" si="135"/>
        <v>#N/A</v>
      </c>
      <c r="DN2463" t="e">
        <f t="shared" si="136"/>
        <v>#N/A</v>
      </c>
      <c r="DO2463" t="e">
        <f t="shared" si="137"/>
        <v>#N/A</v>
      </c>
    </row>
    <row r="2464" spans="7:119" x14ac:dyDescent="0.25">
      <c r="G2464"/>
      <c r="DI2464" s="4">
        <f>INDEX(Sheet2!A:A,QUOTIENT(ROW()-1,19)+2)</f>
        <v>41535</v>
      </c>
      <c r="DJ2464" s="4">
        <f>INDEX(Sheet2!C:C,QUOTIENT(ROW()-1,19)+2)</f>
        <v>42735</v>
      </c>
      <c r="DK2464" s="4" t="e">
        <f>INDEX(Sheet2!$AA$2:$AS$228,QUOTIENT(ROW()-1,19)+1,MOD(ROW()-2,19)+1)</f>
        <v>#N/A</v>
      </c>
      <c r="DL2464" t="str">
        <f>IFERROR(INDEX(Sheet2!$AU$2:$BM$228,QUOTIENT(ROW()-1,19)+1,MOD(ROW()-2,19)+1),NA())</f>
        <v/>
      </c>
      <c r="DM2464" s="4" t="e">
        <f t="shared" si="135"/>
        <v>#N/A</v>
      </c>
      <c r="DN2464" t="e">
        <f t="shared" si="136"/>
        <v>#N/A</v>
      </c>
      <c r="DO2464" t="e">
        <f t="shared" si="137"/>
        <v>#N/A</v>
      </c>
    </row>
    <row r="2465" spans="7:119" x14ac:dyDescent="0.25">
      <c r="G2465"/>
      <c r="DI2465" s="4">
        <f>INDEX(Sheet2!A:A,QUOTIENT(ROW()-1,19)+2)</f>
        <v>41535</v>
      </c>
      <c r="DJ2465" s="4">
        <f>INDEX(Sheet2!C:C,QUOTIENT(ROW()-1,19)+2)</f>
        <v>42735</v>
      </c>
      <c r="DK2465" s="4" t="e">
        <f>INDEX(Sheet2!$AA$2:$AS$228,QUOTIENT(ROW()-1,19)+1,MOD(ROW()-2,19)+1)</f>
        <v>#N/A</v>
      </c>
      <c r="DL2465" t="str">
        <f>IFERROR(INDEX(Sheet2!$AU$2:$BM$228,QUOTIENT(ROW()-1,19)+1,MOD(ROW()-2,19)+1),NA())</f>
        <v/>
      </c>
      <c r="DM2465" s="4" t="e">
        <f t="shared" si="135"/>
        <v>#N/A</v>
      </c>
      <c r="DN2465" t="e">
        <f t="shared" si="136"/>
        <v>#N/A</v>
      </c>
      <c r="DO2465" t="e">
        <f t="shared" si="137"/>
        <v>#N/A</v>
      </c>
    </row>
    <row r="2466" spans="7:119" x14ac:dyDescent="0.25">
      <c r="G2466"/>
      <c r="DI2466" s="4">
        <f>INDEX(Sheet2!A:A,QUOTIENT(ROW()-1,19)+2)</f>
        <v>41535</v>
      </c>
      <c r="DJ2466" s="4">
        <f>INDEX(Sheet2!C:C,QUOTIENT(ROW()-1,19)+2)</f>
        <v>42735</v>
      </c>
      <c r="DK2466" s="4" t="e">
        <f>INDEX(Sheet2!$AA$2:$AS$228,QUOTIENT(ROW()-1,19)+1,MOD(ROW()-2,19)+1)</f>
        <v>#N/A</v>
      </c>
      <c r="DL2466" t="str">
        <f>IFERROR(INDEX(Sheet2!$AU$2:$BM$228,QUOTIENT(ROW()-1,19)+1,MOD(ROW()-2,19)+1),NA())</f>
        <v/>
      </c>
      <c r="DM2466" s="4" t="e">
        <f t="shared" si="135"/>
        <v>#N/A</v>
      </c>
      <c r="DN2466" t="e">
        <f t="shared" si="136"/>
        <v>#N/A</v>
      </c>
      <c r="DO2466" t="e">
        <f t="shared" si="137"/>
        <v>#N/A</v>
      </c>
    </row>
    <row r="2467" spans="7:119" x14ac:dyDescent="0.25">
      <c r="G2467"/>
      <c r="DI2467" s="4">
        <f>INDEX(Sheet2!A:A,QUOTIENT(ROW()-1,19)+2)</f>
        <v>41535</v>
      </c>
      <c r="DJ2467" s="4">
        <f>INDEX(Sheet2!C:C,QUOTIENT(ROW()-1,19)+2)</f>
        <v>42735</v>
      </c>
      <c r="DK2467" s="4" t="e">
        <f>INDEX(Sheet2!$AA$2:$AS$228,QUOTIENT(ROW()-1,19)+1,MOD(ROW()-2,19)+1)</f>
        <v>#N/A</v>
      </c>
      <c r="DL2467" t="str">
        <f>IFERROR(INDEX(Sheet2!$AU$2:$BM$228,QUOTIENT(ROW()-1,19)+1,MOD(ROW()-2,19)+1),NA())</f>
        <v/>
      </c>
      <c r="DM2467" s="4" t="e">
        <f t="shared" si="135"/>
        <v>#N/A</v>
      </c>
      <c r="DN2467" t="e">
        <f t="shared" si="136"/>
        <v>#N/A</v>
      </c>
      <c r="DO2467" t="e">
        <f t="shared" si="137"/>
        <v>#N/A</v>
      </c>
    </row>
    <row r="2468" spans="7:119" x14ac:dyDescent="0.25">
      <c r="G2468"/>
      <c r="DI2468" s="4">
        <f>INDEX(Sheet2!A:A,QUOTIENT(ROW()-1,19)+2)</f>
        <v>41535</v>
      </c>
      <c r="DJ2468" s="4">
        <f>INDEX(Sheet2!C:C,QUOTIENT(ROW()-1,19)+2)</f>
        <v>42735</v>
      </c>
      <c r="DK2468" s="4" t="e">
        <f>INDEX(Sheet2!$AA$2:$AS$228,QUOTIENT(ROW()-1,19)+1,MOD(ROW()-2,19)+1)</f>
        <v>#N/A</v>
      </c>
      <c r="DL2468" t="str">
        <f>IFERROR(INDEX(Sheet2!$AU$2:$BM$228,QUOTIENT(ROW()-1,19)+1,MOD(ROW()-2,19)+1),NA())</f>
        <v/>
      </c>
      <c r="DM2468" s="4" t="e">
        <f t="shared" si="135"/>
        <v>#N/A</v>
      </c>
      <c r="DN2468" t="e">
        <f t="shared" si="136"/>
        <v>#N/A</v>
      </c>
      <c r="DO2468" t="e">
        <f t="shared" si="137"/>
        <v>#N/A</v>
      </c>
    </row>
    <row r="2469" spans="7:119" x14ac:dyDescent="0.25">
      <c r="G2469"/>
      <c r="DI2469" s="4">
        <f>INDEX(Sheet2!A:A,QUOTIENT(ROW()-1,19)+2)</f>
        <v>41535</v>
      </c>
      <c r="DJ2469" s="4">
        <f>INDEX(Sheet2!C:C,QUOTIENT(ROW()-1,19)+2)</f>
        <v>42735</v>
      </c>
      <c r="DK2469" s="4" t="e">
        <f>INDEX(Sheet2!$AA$2:$AS$228,QUOTIENT(ROW()-1,19)+1,MOD(ROW()-2,19)+1)</f>
        <v>#N/A</v>
      </c>
      <c r="DL2469" t="str">
        <f>IFERROR(INDEX(Sheet2!$AU$2:$BM$228,QUOTIENT(ROW()-1,19)+1,MOD(ROW()-2,19)+1),NA())</f>
        <v/>
      </c>
      <c r="DM2469" s="4" t="e">
        <f t="shared" si="135"/>
        <v>#N/A</v>
      </c>
      <c r="DN2469" t="e">
        <f t="shared" si="136"/>
        <v>#N/A</v>
      </c>
      <c r="DO2469" t="e">
        <f t="shared" si="137"/>
        <v>#N/A</v>
      </c>
    </row>
    <row r="2470" spans="7:119" x14ac:dyDescent="0.25">
      <c r="G2470"/>
      <c r="DI2470" s="4">
        <f>INDEX(Sheet2!A:A,QUOTIENT(ROW()-1,19)+2)</f>
        <v>41535</v>
      </c>
      <c r="DJ2470" s="4">
        <f>INDEX(Sheet2!C:C,QUOTIENT(ROW()-1,19)+2)</f>
        <v>42735</v>
      </c>
      <c r="DK2470" s="4" t="e">
        <f>INDEX(Sheet2!$AA$2:$AS$228,QUOTIENT(ROW()-1,19)+1,MOD(ROW()-2,19)+1)</f>
        <v>#N/A</v>
      </c>
      <c r="DL2470" t="str">
        <f>IFERROR(INDEX(Sheet2!$AU$2:$BM$228,QUOTIENT(ROW()-1,19)+1,MOD(ROW()-2,19)+1),NA())</f>
        <v/>
      </c>
      <c r="DM2470" s="4" t="e">
        <f t="shared" si="135"/>
        <v>#N/A</v>
      </c>
      <c r="DN2470" t="e">
        <f t="shared" si="136"/>
        <v>#N/A</v>
      </c>
      <c r="DO2470" t="e">
        <f t="shared" si="137"/>
        <v>#N/A</v>
      </c>
    </row>
    <row r="2471" spans="7:119" x14ac:dyDescent="0.25">
      <c r="G2471"/>
      <c r="DI2471" s="4">
        <f>INDEX(Sheet2!A:A,QUOTIENT(ROW()-1,19)+2)</f>
        <v>41535</v>
      </c>
      <c r="DJ2471" s="4">
        <f>INDEX(Sheet2!C:C,QUOTIENT(ROW()-1,19)+2)</f>
        <v>42735</v>
      </c>
      <c r="DK2471" s="4" t="e">
        <f>INDEX(Sheet2!$AA$2:$AS$228,QUOTIENT(ROW()-1,19)+1,MOD(ROW()-2,19)+1)</f>
        <v>#N/A</v>
      </c>
      <c r="DL2471" t="str">
        <f>IFERROR(INDEX(Sheet2!$AU$2:$BM$228,QUOTIENT(ROW()-1,19)+1,MOD(ROW()-2,19)+1),NA())</f>
        <v/>
      </c>
      <c r="DM2471" s="4" t="e">
        <f t="shared" si="135"/>
        <v>#N/A</v>
      </c>
      <c r="DN2471" t="e">
        <f t="shared" si="136"/>
        <v>#N/A</v>
      </c>
      <c r="DO2471" t="e">
        <f t="shared" si="137"/>
        <v>#N/A</v>
      </c>
    </row>
    <row r="2472" spans="7:119" x14ac:dyDescent="0.25">
      <c r="G2472"/>
      <c r="DI2472" s="4">
        <f>INDEX(Sheet2!A:A,QUOTIENT(ROW()-1,19)+2)</f>
        <v>41535</v>
      </c>
      <c r="DJ2472" s="4">
        <f>INDEX(Sheet2!C:C,QUOTIENT(ROW()-1,19)+2)</f>
        <v>42735</v>
      </c>
      <c r="DK2472" s="4">
        <f>INDEX(Sheet2!$AA$2:$AS$228,QUOTIENT(ROW()-1,19)+1,MOD(ROW()-2,19)+1)</f>
        <v>42735</v>
      </c>
      <c r="DL2472">
        <f>IFERROR(INDEX(Sheet2!$AU$2:$BM$228,QUOTIENT(ROW()-1,19)+1,MOD(ROW()-2,19)+1),NA())</f>
        <v>1</v>
      </c>
      <c r="DM2472" s="4" t="e">
        <f t="shared" si="135"/>
        <v>#N/A</v>
      </c>
      <c r="DN2472" t="e">
        <f t="shared" si="136"/>
        <v>#N/A</v>
      </c>
      <c r="DO2472" t="e">
        <f t="shared" si="137"/>
        <v>#N/A</v>
      </c>
    </row>
    <row r="2473" spans="7:119" x14ac:dyDescent="0.25">
      <c r="G2473"/>
      <c r="DI2473" s="4">
        <f>INDEX(Sheet2!A:A,QUOTIENT(ROW()-1,19)+2)</f>
        <v>41535</v>
      </c>
      <c r="DJ2473" s="4">
        <f>INDEX(Sheet2!C:C,QUOTIENT(ROW()-1,19)+2)</f>
        <v>42735</v>
      </c>
      <c r="DK2473" s="4" t="e">
        <f>INDEX(Sheet2!$AA$2:$AS$228,QUOTIENT(ROW()-1,19)+1,MOD(ROW()-2,19)+1)</f>
        <v>#N/A</v>
      </c>
      <c r="DL2473" t="str">
        <f>IFERROR(INDEX(Sheet2!$AU$2:$BM$228,QUOTIENT(ROW()-1,19)+1,MOD(ROW()-2,19)+1),NA())</f>
        <v/>
      </c>
      <c r="DM2473" s="4" t="e">
        <f t="shared" si="135"/>
        <v>#N/A</v>
      </c>
      <c r="DN2473" t="e">
        <f t="shared" si="136"/>
        <v>#N/A</v>
      </c>
      <c r="DO2473" t="e">
        <f t="shared" si="137"/>
        <v>#N/A</v>
      </c>
    </row>
    <row r="2474" spans="7:119" x14ac:dyDescent="0.25">
      <c r="G2474"/>
      <c r="DI2474" s="4">
        <f>INDEX(Sheet2!A:A,QUOTIENT(ROW()-1,19)+2)</f>
        <v>41535</v>
      </c>
      <c r="DJ2474" s="4">
        <f>INDEX(Sheet2!C:C,QUOTIENT(ROW()-1,19)+2)</f>
        <v>42735</v>
      </c>
      <c r="DK2474" s="4" t="e">
        <f>INDEX(Sheet2!$AA$2:$AS$228,QUOTIENT(ROW()-1,19)+1,MOD(ROW()-2,19)+1)</f>
        <v>#N/A</v>
      </c>
      <c r="DL2474" t="str">
        <f>IFERROR(INDEX(Sheet2!$AU$2:$BM$228,QUOTIENT(ROW()-1,19)+1,MOD(ROW()-2,19)+1),NA())</f>
        <v/>
      </c>
      <c r="DM2474" s="4" t="e">
        <f t="shared" si="135"/>
        <v>#N/A</v>
      </c>
      <c r="DN2474" t="e">
        <f t="shared" si="136"/>
        <v>#N/A</v>
      </c>
      <c r="DO2474" t="e">
        <f t="shared" si="137"/>
        <v>#N/A</v>
      </c>
    </row>
    <row r="2475" spans="7:119" x14ac:dyDescent="0.25">
      <c r="G2475"/>
      <c r="DI2475" s="4">
        <f>INDEX(Sheet2!A:A,QUOTIENT(ROW()-1,19)+2)</f>
        <v>41535</v>
      </c>
      <c r="DJ2475" s="4">
        <f>INDEX(Sheet2!C:C,QUOTIENT(ROW()-1,19)+2)</f>
        <v>42735</v>
      </c>
      <c r="DK2475" s="4" t="e">
        <f>INDEX(Sheet2!$AA$2:$AS$228,QUOTIENT(ROW()-1,19)+1,MOD(ROW()-2,19)+1)</f>
        <v>#N/A</v>
      </c>
      <c r="DL2475" t="str">
        <f>IFERROR(INDEX(Sheet2!$AU$2:$BM$228,QUOTIENT(ROW()-1,19)+1,MOD(ROW()-2,19)+1),NA())</f>
        <v/>
      </c>
      <c r="DM2475" s="4" t="e">
        <f t="shared" si="135"/>
        <v>#N/A</v>
      </c>
      <c r="DN2475" t="e">
        <f t="shared" si="136"/>
        <v>#N/A</v>
      </c>
      <c r="DO2475" t="e">
        <f t="shared" si="137"/>
        <v>#N/A</v>
      </c>
    </row>
    <row r="2476" spans="7:119" x14ac:dyDescent="0.25">
      <c r="G2476"/>
      <c r="DI2476" s="4">
        <f>INDEX(Sheet2!A:A,QUOTIENT(ROW()-1,19)+2)</f>
        <v>41535</v>
      </c>
      <c r="DJ2476" s="4">
        <f>INDEX(Sheet2!C:C,QUOTIENT(ROW()-1,19)+2)</f>
        <v>42735</v>
      </c>
      <c r="DK2476" s="4" t="e">
        <f>INDEX(Sheet2!$AA$2:$AS$228,QUOTIENT(ROW()-1,19)+1,MOD(ROW()-2,19)+1)</f>
        <v>#N/A</v>
      </c>
      <c r="DL2476" t="str">
        <f>IFERROR(INDEX(Sheet2!$AU$2:$BM$228,QUOTIENT(ROW()-1,19)+1,MOD(ROW()-2,19)+1),NA())</f>
        <v/>
      </c>
      <c r="DM2476" s="4" t="e">
        <f t="shared" si="135"/>
        <v>#N/A</v>
      </c>
      <c r="DN2476" t="e">
        <f t="shared" si="136"/>
        <v>#N/A</v>
      </c>
      <c r="DO2476" t="e">
        <f t="shared" si="137"/>
        <v>#N/A</v>
      </c>
    </row>
    <row r="2477" spans="7:119" x14ac:dyDescent="0.25">
      <c r="G2477"/>
      <c r="DI2477" s="4">
        <f>INDEX(Sheet2!A:A,QUOTIENT(ROW()-1,19)+2)</f>
        <v>41535</v>
      </c>
      <c r="DJ2477" s="4">
        <f>INDEX(Sheet2!C:C,QUOTIENT(ROW()-1,19)+2)</f>
        <v>42735</v>
      </c>
      <c r="DK2477" s="4" t="e">
        <f>INDEX(Sheet2!$AA$2:$AS$228,QUOTIENT(ROW()-1,19)+1,MOD(ROW()-2,19)+1)</f>
        <v>#N/A</v>
      </c>
      <c r="DL2477" t="str">
        <f>IFERROR(INDEX(Sheet2!$AU$2:$BM$228,QUOTIENT(ROW()-1,19)+1,MOD(ROW()-2,19)+1),NA())</f>
        <v/>
      </c>
      <c r="DM2477" s="4" t="e">
        <f t="shared" si="135"/>
        <v>#N/A</v>
      </c>
      <c r="DN2477" t="e">
        <f t="shared" si="136"/>
        <v>#N/A</v>
      </c>
      <c r="DO2477" t="e">
        <f t="shared" si="137"/>
        <v>#N/A</v>
      </c>
    </row>
    <row r="2478" spans="7:119" x14ac:dyDescent="0.25">
      <c r="G2478"/>
      <c r="DI2478" s="4">
        <f>INDEX(Sheet2!A:A,QUOTIENT(ROW()-1,19)+2)</f>
        <v>41535</v>
      </c>
      <c r="DJ2478" s="4">
        <f>INDEX(Sheet2!C:C,QUOTIENT(ROW()-1,19)+2)</f>
        <v>42735</v>
      </c>
      <c r="DK2478" s="4" t="e">
        <f>INDEX(Sheet2!$AA$2:$AS$228,QUOTIENT(ROW()-1,19)+1,MOD(ROW()-2,19)+1)</f>
        <v>#N/A</v>
      </c>
      <c r="DL2478" t="str">
        <f>IFERROR(INDEX(Sheet2!$AU$2:$BM$228,QUOTIENT(ROW()-1,19)+1,MOD(ROW()-2,19)+1),NA())</f>
        <v/>
      </c>
      <c r="DM2478" s="4" t="e">
        <f t="shared" si="135"/>
        <v>#N/A</v>
      </c>
      <c r="DN2478" t="e">
        <f t="shared" si="136"/>
        <v>#N/A</v>
      </c>
      <c r="DO2478" t="e">
        <f t="shared" si="137"/>
        <v>#N/A</v>
      </c>
    </row>
    <row r="2479" spans="7:119" x14ac:dyDescent="0.25">
      <c r="G2479"/>
      <c r="DI2479" s="4">
        <f>INDEX(Sheet2!A:A,QUOTIENT(ROW()-1,19)+2)</f>
        <v>41535</v>
      </c>
      <c r="DJ2479" s="4">
        <f>INDEX(Sheet2!C:C,QUOTIENT(ROW()-1,19)+2)</f>
        <v>42735</v>
      </c>
      <c r="DK2479" s="4" t="e">
        <f>INDEX(Sheet2!$AA$2:$AS$228,QUOTIENT(ROW()-1,19)+1,MOD(ROW()-2,19)+1)</f>
        <v>#N/A</v>
      </c>
      <c r="DL2479" t="str">
        <f>IFERROR(INDEX(Sheet2!$AU$2:$BM$228,QUOTIENT(ROW()-1,19)+1,MOD(ROW()-2,19)+1),NA())</f>
        <v/>
      </c>
      <c r="DM2479" s="4" t="e">
        <f t="shared" si="135"/>
        <v>#N/A</v>
      </c>
      <c r="DN2479" t="e">
        <f t="shared" si="136"/>
        <v>#N/A</v>
      </c>
      <c r="DO2479" t="e">
        <f t="shared" si="137"/>
        <v>#N/A</v>
      </c>
    </row>
    <row r="2480" spans="7:119" x14ac:dyDescent="0.25">
      <c r="G2480"/>
      <c r="DI2480" s="4">
        <f>INDEX(Sheet2!A:A,QUOTIENT(ROW()-1,19)+2)</f>
        <v>41535</v>
      </c>
      <c r="DJ2480" s="4">
        <f>INDEX(Sheet2!C:C,QUOTIENT(ROW()-1,19)+2)</f>
        <v>42735</v>
      </c>
      <c r="DK2480" s="4" t="e">
        <f>INDEX(Sheet2!$AA$2:$AS$228,QUOTIENT(ROW()-1,19)+1,MOD(ROW()-2,19)+1)</f>
        <v>#N/A</v>
      </c>
      <c r="DL2480" t="str">
        <f>IFERROR(INDEX(Sheet2!$AU$2:$BM$228,QUOTIENT(ROW()-1,19)+1,MOD(ROW()-2,19)+1),NA())</f>
        <v/>
      </c>
      <c r="DM2480" s="4" t="e">
        <f t="shared" si="135"/>
        <v>#N/A</v>
      </c>
      <c r="DN2480" t="e">
        <f t="shared" si="136"/>
        <v>#N/A</v>
      </c>
      <c r="DO2480" t="e">
        <f t="shared" si="137"/>
        <v>#N/A</v>
      </c>
    </row>
    <row r="2481" spans="7:119" x14ac:dyDescent="0.25">
      <c r="G2481"/>
      <c r="DI2481" s="4">
        <f>INDEX(Sheet2!A:A,QUOTIENT(ROW()-1,19)+2)</f>
        <v>41535</v>
      </c>
      <c r="DJ2481" s="4">
        <f>INDEX(Sheet2!C:C,QUOTIENT(ROW()-1,19)+2)</f>
        <v>42735</v>
      </c>
      <c r="DK2481" s="4" t="e">
        <f>INDEX(Sheet2!$AA$2:$AS$228,QUOTIENT(ROW()-1,19)+1,MOD(ROW()-2,19)+1)</f>
        <v>#N/A</v>
      </c>
      <c r="DL2481" t="str">
        <f>IFERROR(INDEX(Sheet2!$AU$2:$BM$228,QUOTIENT(ROW()-1,19)+1,MOD(ROW()-2,19)+1),NA())</f>
        <v/>
      </c>
      <c r="DM2481" s="4" t="e">
        <f t="shared" si="135"/>
        <v>#N/A</v>
      </c>
      <c r="DN2481" t="e">
        <f t="shared" si="136"/>
        <v>#N/A</v>
      </c>
      <c r="DO2481" t="e">
        <f t="shared" si="137"/>
        <v>#N/A</v>
      </c>
    </row>
    <row r="2482" spans="7:119" x14ac:dyDescent="0.25">
      <c r="G2482"/>
      <c r="DI2482" s="4">
        <f>INDEX(Sheet2!A:A,QUOTIENT(ROW()-1,19)+2)</f>
        <v>41535</v>
      </c>
      <c r="DJ2482" s="4">
        <f>INDEX(Sheet2!C:C,QUOTIENT(ROW()-1,19)+2)</f>
        <v>42735</v>
      </c>
      <c r="DK2482" s="4" t="e">
        <f>INDEX(Sheet2!$AA$2:$AS$228,QUOTIENT(ROW()-1,19)+1,MOD(ROW()-2,19)+1)</f>
        <v>#N/A</v>
      </c>
      <c r="DL2482" t="str">
        <f>IFERROR(INDEX(Sheet2!$AU$2:$BM$228,QUOTIENT(ROW()-1,19)+1,MOD(ROW()-2,19)+1),NA())</f>
        <v/>
      </c>
      <c r="DM2482" s="4" t="e">
        <f t="shared" si="135"/>
        <v>#N/A</v>
      </c>
      <c r="DN2482" t="e">
        <f t="shared" si="136"/>
        <v>#N/A</v>
      </c>
      <c r="DO2482" t="e">
        <f t="shared" si="137"/>
        <v>#N/A</v>
      </c>
    </row>
    <row r="2483" spans="7:119" x14ac:dyDescent="0.25">
      <c r="G2483"/>
      <c r="DI2483" s="4">
        <f>INDEX(Sheet2!A:A,QUOTIENT(ROW()-1,19)+2)</f>
        <v>41535</v>
      </c>
      <c r="DJ2483" s="4">
        <f>INDEX(Sheet2!C:C,QUOTIENT(ROW()-1,19)+2)</f>
        <v>42735</v>
      </c>
      <c r="DK2483" s="4" t="e">
        <f>INDEX(Sheet2!$AA$2:$AS$228,QUOTIENT(ROW()-1,19)+1,MOD(ROW()-2,19)+1)</f>
        <v>#N/A</v>
      </c>
      <c r="DL2483" t="str">
        <f>IFERROR(INDEX(Sheet2!$AU$2:$BM$228,QUOTIENT(ROW()-1,19)+1,MOD(ROW()-2,19)+1),NA())</f>
        <v/>
      </c>
      <c r="DM2483" s="4" t="e">
        <f t="shared" si="135"/>
        <v>#N/A</v>
      </c>
      <c r="DN2483" t="e">
        <f t="shared" si="136"/>
        <v>#N/A</v>
      </c>
      <c r="DO2483" t="e">
        <f t="shared" si="137"/>
        <v>#N/A</v>
      </c>
    </row>
    <row r="2484" spans="7:119" x14ac:dyDescent="0.25">
      <c r="G2484"/>
      <c r="DI2484" s="4">
        <f>INDEX(Sheet2!A:A,QUOTIENT(ROW()-1,19)+2)</f>
        <v>41535</v>
      </c>
      <c r="DJ2484" s="4">
        <f>INDEX(Sheet2!C:C,QUOTIENT(ROW()-1,19)+2)</f>
        <v>42735</v>
      </c>
      <c r="DK2484" s="4" t="e">
        <f>INDEX(Sheet2!$AA$2:$AS$228,QUOTIENT(ROW()-1,19)+1,MOD(ROW()-2,19)+1)</f>
        <v>#N/A</v>
      </c>
      <c r="DL2484" t="str">
        <f>IFERROR(INDEX(Sheet2!$AU$2:$BM$228,QUOTIENT(ROW()-1,19)+1,MOD(ROW()-2,19)+1),NA())</f>
        <v/>
      </c>
      <c r="DM2484" s="4" t="e">
        <f t="shared" si="135"/>
        <v>#N/A</v>
      </c>
      <c r="DN2484" t="e">
        <f t="shared" si="136"/>
        <v>#N/A</v>
      </c>
      <c r="DO2484" t="e">
        <f t="shared" si="137"/>
        <v>#N/A</v>
      </c>
    </row>
    <row r="2485" spans="7:119" x14ac:dyDescent="0.25">
      <c r="G2485"/>
      <c r="DI2485" s="4">
        <f>INDEX(Sheet2!A:A,QUOTIENT(ROW()-1,19)+2)</f>
        <v>41535</v>
      </c>
      <c r="DJ2485" s="4">
        <f>INDEX(Sheet2!C:C,QUOTIENT(ROW()-1,19)+2)</f>
        <v>42735</v>
      </c>
      <c r="DK2485" s="4" t="e">
        <f>INDEX(Sheet2!$AA$2:$AS$228,QUOTIENT(ROW()-1,19)+1,MOD(ROW()-2,19)+1)</f>
        <v>#N/A</v>
      </c>
      <c r="DL2485" t="str">
        <f>IFERROR(INDEX(Sheet2!$AU$2:$BM$228,QUOTIENT(ROW()-1,19)+1,MOD(ROW()-2,19)+1),NA())</f>
        <v/>
      </c>
      <c r="DM2485" s="4" t="e">
        <f t="shared" si="135"/>
        <v>#N/A</v>
      </c>
      <c r="DN2485" t="e">
        <f t="shared" si="136"/>
        <v>#N/A</v>
      </c>
      <c r="DO2485" t="e">
        <f t="shared" si="137"/>
        <v>#N/A</v>
      </c>
    </row>
    <row r="2486" spans="7:119" x14ac:dyDescent="0.25">
      <c r="G2486"/>
      <c r="DI2486" s="4">
        <f>INDEX(Sheet2!A:A,QUOTIENT(ROW()-1,19)+2)</f>
        <v>41535</v>
      </c>
      <c r="DJ2486" s="4">
        <f>INDEX(Sheet2!C:C,QUOTIENT(ROW()-1,19)+2)</f>
        <v>42735</v>
      </c>
      <c r="DK2486" s="4" t="e">
        <f>INDEX(Sheet2!$AA$2:$AS$228,QUOTIENT(ROW()-1,19)+1,MOD(ROW()-2,19)+1)</f>
        <v>#N/A</v>
      </c>
      <c r="DL2486" t="str">
        <f>IFERROR(INDEX(Sheet2!$AU$2:$BM$228,QUOTIENT(ROW()-1,19)+1,MOD(ROW()-2,19)+1),NA())</f>
        <v/>
      </c>
      <c r="DM2486" s="4" t="e">
        <f t="shared" si="135"/>
        <v>#N/A</v>
      </c>
      <c r="DN2486" t="e">
        <f t="shared" si="136"/>
        <v>#N/A</v>
      </c>
      <c r="DO2486" t="e">
        <f t="shared" si="137"/>
        <v>#N/A</v>
      </c>
    </row>
    <row r="2487" spans="7:119" x14ac:dyDescent="0.25">
      <c r="G2487"/>
      <c r="DI2487" s="4">
        <f>INDEX(Sheet2!A:A,QUOTIENT(ROW()-1,19)+2)</f>
        <v>41535</v>
      </c>
      <c r="DJ2487" s="4">
        <f>INDEX(Sheet2!C:C,QUOTIENT(ROW()-1,19)+2)</f>
        <v>42735</v>
      </c>
      <c r="DK2487" s="4" t="e">
        <f>INDEX(Sheet2!$AA$2:$AS$228,QUOTIENT(ROW()-1,19)+1,MOD(ROW()-2,19)+1)</f>
        <v>#N/A</v>
      </c>
      <c r="DL2487" t="str">
        <f>IFERROR(INDEX(Sheet2!$AU$2:$BM$228,QUOTIENT(ROW()-1,19)+1,MOD(ROW()-2,19)+1),NA())</f>
        <v/>
      </c>
      <c r="DM2487" s="4" t="e">
        <f t="shared" si="135"/>
        <v>#N/A</v>
      </c>
      <c r="DN2487" t="e">
        <f t="shared" si="136"/>
        <v>#N/A</v>
      </c>
      <c r="DO2487" t="e">
        <f t="shared" si="137"/>
        <v>#N/A</v>
      </c>
    </row>
    <row r="2488" spans="7:119" x14ac:dyDescent="0.25">
      <c r="G2488"/>
      <c r="DI2488" s="4">
        <f>INDEX(Sheet2!A:A,QUOTIENT(ROW()-1,19)+2)</f>
        <v>41535</v>
      </c>
      <c r="DJ2488" s="4">
        <f>INDEX(Sheet2!C:C,QUOTIENT(ROW()-1,19)+2)</f>
        <v>42735</v>
      </c>
      <c r="DK2488" s="4" t="e">
        <f>INDEX(Sheet2!$AA$2:$AS$228,QUOTIENT(ROW()-1,19)+1,MOD(ROW()-2,19)+1)</f>
        <v>#N/A</v>
      </c>
      <c r="DL2488" t="str">
        <f>IFERROR(INDEX(Sheet2!$AU$2:$BM$228,QUOTIENT(ROW()-1,19)+1,MOD(ROW()-2,19)+1),NA())</f>
        <v/>
      </c>
      <c r="DM2488" s="4" t="e">
        <f t="shared" si="135"/>
        <v>#N/A</v>
      </c>
      <c r="DN2488" t="e">
        <f t="shared" si="136"/>
        <v>#N/A</v>
      </c>
      <c r="DO2488" t="e">
        <f t="shared" si="137"/>
        <v>#N/A</v>
      </c>
    </row>
    <row r="2489" spans="7:119" x14ac:dyDescent="0.25">
      <c r="G2489"/>
      <c r="DI2489" s="4">
        <f>INDEX(Sheet2!A:A,QUOTIENT(ROW()-1,19)+2)</f>
        <v>41535</v>
      </c>
      <c r="DJ2489" s="4">
        <f>INDEX(Sheet2!C:C,QUOTIENT(ROW()-1,19)+2)</f>
        <v>42735</v>
      </c>
      <c r="DK2489" s="4" t="e">
        <f>INDEX(Sheet2!$AA$2:$AS$228,QUOTIENT(ROW()-1,19)+1,MOD(ROW()-2,19)+1)</f>
        <v>#N/A</v>
      </c>
      <c r="DL2489" t="str">
        <f>IFERROR(INDEX(Sheet2!$AU$2:$BM$228,QUOTIENT(ROW()-1,19)+1,MOD(ROW()-2,19)+1),NA())</f>
        <v/>
      </c>
      <c r="DM2489" s="4" t="e">
        <f t="shared" si="135"/>
        <v>#N/A</v>
      </c>
      <c r="DN2489" t="e">
        <f t="shared" si="136"/>
        <v>#N/A</v>
      </c>
      <c r="DO2489" t="e">
        <f t="shared" si="137"/>
        <v>#N/A</v>
      </c>
    </row>
    <row r="2490" spans="7:119" x14ac:dyDescent="0.25">
      <c r="G2490"/>
      <c r="DI2490" s="4">
        <f>INDEX(Sheet2!A:A,QUOTIENT(ROW()-1,19)+2)</f>
        <v>41535</v>
      </c>
      <c r="DJ2490" s="4">
        <f>INDEX(Sheet2!C:C,QUOTIENT(ROW()-1,19)+2)</f>
        <v>42735</v>
      </c>
      <c r="DK2490" s="4" t="e">
        <f>INDEX(Sheet2!$AA$2:$AS$228,QUOTIENT(ROW()-1,19)+1,MOD(ROW()-2,19)+1)</f>
        <v>#N/A</v>
      </c>
      <c r="DL2490" t="str">
        <f>IFERROR(INDEX(Sheet2!$AU$2:$BM$228,QUOTIENT(ROW()-1,19)+1,MOD(ROW()-2,19)+1),NA())</f>
        <v/>
      </c>
      <c r="DM2490" s="4" t="e">
        <f t="shared" si="135"/>
        <v>#N/A</v>
      </c>
      <c r="DN2490" t="e">
        <f t="shared" si="136"/>
        <v>#N/A</v>
      </c>
      <c r="DO2490" t="e">
        <f t="shared" si="137"/>
        <v>#N/A</v>
      </c>
    </row>
    <row r="2491" spans="7:119" x14ac:dyDescent="0.25">
      <c r="G2491"/>
      <c r="DI2491" s="4">
        <f>INDEX(Sheet2!A:A,QUOTIENT(ROW()-1,19)+2)</f>
        <v>41535</v>
      </c>
      <c r="DJ2491" s="4">
        <f>INDEX(Sheet2!C:C,QUOTIENT(ROW()-1,19)+2)</f>
        <v>42735</v>
      </c>
      <c r="DK2491" s="4">
        <f>INDEX(Sheet2!$AA$2:$AS$228,QUOTIENT(ROW()-1,19)+1,MOD(ROW()-2,19)+1)</f>
        <v>42735</v>
      </c>
      <c r="DL2491">
        <f>IFERROR(INDEX(Sheet2!$AU$2:$BM$228,QUOTIENT(ROW()-1,19)+1,MOD(ROW()-2,19)+1),NA())</f>
        <v>1.5</v>
      </c>
      <c r="DM2491" s="4" t="e">
        <f t="shared" si="135"/>
        <v>#N/A</v>
      </c>
      <c r="DN2491" t="e">
        <f t="shared" si="136"/>
        <v>#N/A</v>
      </c>
      <c r="DO2491" t="e">
        <f t="shared" si="137"/>
        <v>#N/A</v>
      </c>
    </row>
    <row r="2492" spans="7:119" x14ac:dyDescent="0.25">
      <c r="G2492"/>
      <c r="DI2492" s="4">
        <f>INDEX(Sheet2!A:A,QUOTIENT(ROW()-1,19)+2)</f>
        <v>41535</v>
      </c>
      <c r="DJ2492" s="4">
        <f>INDEX(Sheet2!C:C,QUOTIENT(ROW()-1,19)+2)</f>
        <v>42735</v>
      </c>
      <c r="DK2492" s="4" t="e">
        <f>INDEX(Sheet2!$AA$2:$AS$228,QUOTIENT(ROW()-1,19)+1,MOD(ROW()-2,19)+1)</f>
        <v>#N/A</v>
      </c>
      <c r="DL2492" t="str">
        <f>IFERROR(INDEX(Sheet2!$AU$2:$BM$228,QUOTIENT(ROW()-1,19)+1,MOD(ROW()-2,19)+1),NA())</f>
        <v/>
      </c>
      <c r="DM2492" s="4" t="e">
        <f t="shared" si="135"/>
        <v>#N/A</v>
      </c>
      <c r="DN2492" t="e">
        <f t="shared" si="136"/>
        <v>#N/A</v>
      </c>
      <c r="DO2492" t="e">
        <f t="shared" si="137"/>
        <v>#N/A</v>
      </c>
    </row>
    <row r="2493" spans="7:119" x14ac:dyDescent="0.25">
      <c r="G2493"/>
      <c r="DI2493" s="4">
        <f>INDEX(Sheet2!A:A,QUOTIENT(ROW()-1,19)+2)</f>
        <v>41535</v>
      </c>
      <c r="DJ2493" s="4">
        <f>INDEX(Sheet2!C:C,QUOTIENT(ROW()-1,19)+2)</f>
        <v>42735</v>
      </c>
      <c r="DK2493" s="4" t="e">
        <f>INDEX(Sheet2!$AA$2:$AS$228,QUOTIENT(ROW()-1,19)+1,MOD(ROW()-2,19)+1)</f>
        <v>#N/A</v>
      </c>
      <c r="DL2493" t="str">
        <f>IFERROR(INDEX(Sheet2!$AU$2:$BM$228,QUOTIENT(ROW()-1,19)+1,MOD(ROW()-2,19)+1),NA())</f>
        <v/>
      </c>
      <c r="DM2493" s="4" t="e">
        <f t="shared" si="135"/>
        <v>#N/A</v>
      </c>
      <c r="DN2493" t="e">
        <f t="shared" si="136"/>
        <v>#N/A</v>
      </c>
      <c r="DO2493" t="e">
        <f t="shared" si="137"/>
        <v>#N/A</v>
      </c>
    </row>
    <row r="2494" spans="7:119" x14ac:dyDescent="0.25">
      <c r="G2494"/>
      <c r="DI2494" s="4">
        <f>INDEX(Sheet2!A:A,QUOTIENT(ROW()-1,19)+2)</f>
        <v>41535</v>
      </c>
      <c r="DJ2494" s="4">
        <f>INDEX(Sheet2!C:C,QUOTIENT(ROW()-1,19)+2)</f>
        <v>42735</v>
      </c>
      <c r="DK2494" s="4" t="e">
        <f>INDEX(Sheet2!$AA$2:$AS$228,QUOTIENT(ROW()-1,19)+1,MOD(ROW()-2,19)+1)</f>
        <v>#N/A</v>
      </c>
      <c r="DL2494" t="str">
        <f>IFERROR(INDEX(Sheet2!$AU$2:$BM$228,QUOTIENT(ROW()-1,19)+1,MOD(ROW()-2,19)+1),NA())</f>
        <v/>
      </c>
      <c r="DM2494" s="4" t="e">
        <f t="shared" si="135"/>
        <v>#N/A</v>
      </c>
      <c r="DN2494" t="e">
        <f t="shared" si="136"/>
        <v>#N/A</v>
      </c>
      <c r="DO2494" t="e">
        <f t="shared" si="137"/>
        <v>#N/A</v>
      </c>
    </row>
    <row r="2495" spans="7:119" x14ac:dyDescent="0.25">
      <c r="G2495"/>
      <c r="DI2495" s="4">
        <f>INDEX(Sheet2!A:A,QUOTIENT(ROW()-1,19)+2)</f>
        <v>41535</v>
      </c>
      <c r="DJ2495" s="4">
        <f>INDEX(Sheet2!C:C,QUOTIENT(ROW()-1,19)+2)</f>
        <v>42735</v>
      </c>
      <c r="DK2495" s="4" t="e">
        <f>INDEX(Sheet2!$AA$2:$AS$228,QUOTIENT(ROW()-1,19)+1,MOD(ROW()-2,19)+1)</f>
        <v>#N/A</v>
      </c>
      <c r="DL2495" t="str">
        <f>IFERROR(INDEX(Sheet2!$AU$2:$BM$228,QUOTIENT(ROW()-1,19)+1,MOD(ROW()-2,19)+1),NA())</f>
        <v/>
      </c>
      <c r="DM2495" s="4" t="e">
        <f t="shared" si="135"/>
        <v>#N/A</v>
      </c>
      <c r="DN2495" t="e">
        <f t="shared" si="136"/>
        <v>#N/A</v>
      </c>
      <c r="DO2495" t="e">
        <f t="shared" si="137"/>
        <v>#N/A</v>
      </c>
    </row>
    <row r="2496" spans="7:119" x14ac:dyDescent="0.25">
      <c r="G2496"/>
      <c r="DI2496" s="4">
        <f>INDEX(Sheet2!A:A,QUOTIENT(ROW()-1,19)+2)</f>
        <v>41535</v>
      </c>
      <c r="DJ2496" s="4">
        <f>INDEX(Sheet2!C:C,QUOTIENT(ROW()-1,19)+2)</f>
        <v>42735</v>
      </c>
      <c r="DK2496" s="4" t="e">
        <f>INDEX(Sheet2!$AA$2:$AS$228,QUOTIENT(ROW()-1,19)+1,MOD(ROW()-2,19)+1)</f>
        <v>#N/A</v>
      </c>
      <c r="DL2496" t="str">
        <f>IFERROR(INDEX(Sheet2!$AU$2:$BM$228,QUOTIENT(ROW()-1,19)+1,MOD(ROW()-2,19)+1),NA())</f>
        <v/>
      </c>
      <c r="DM2496" s="4" t="e">
        <f t="shared" si="135"/>
        <v>#N/A</v>
      </c>
      <c r="DN2496" t="e">
        <f t="shared" si="136"/>
        <v>#N/A</v>
      </c>
      <c r="DO2496" t="e">
        <f t="shared" si="137"/>
        <v>#N/A</v>
      </c>
    </row>
    <row r="2497" spans="7:119" x14ac:dyDescent="0.25">
      <c r="G2497"/>
      <c r="DI2497" s="4">
        <f>INDEX(Sheet2!A:A,QUOTIENT(ROW()-1,19)+2)</f>
        <v>41535</v>
      </c>
      <c r="DJ2497" s="4">
        <f>INDEX(Sheet2!C:C,QUOTIENT(ROW()-1,19)+2)</f>
        <v>42735</v>
      </c>
      <c r="DK2497" s="4" t="e">
        <f>INDEX(Sheet2!$AA$2:$AS$228,QUOTIENT(ROW()-1,19)+1,MOD(ROW()-2,19)+1)</f>
        <v>#N/A</v>
      </c>
      <c r="DL2497" t="str">
        <f>IFERROR(INDEX(Sheet2!$AU$2:$BM$228,QUOTIENT(ROW()-1,19)+1,MOD(ROW()-2,19)+1),NA())</f>
        <v/>
      </c>
      <c r="DM2497" s="4" t="e">
        <f t="shared" si="135"/>
        <v>#N/A</v>
      </c>
      <c r="DN2497" t="e">
        <f t="shared" si="136"/>
        <v>#N/A</v>
      </c>
      <c r="DO2497" t="e">
        <f t="shared" si="137"/>
        <v>#N/A</v>
      </c>
    </row>
    <row r="2498" spans="7:119" x14ac:dyDescent="0.25">
      <c r="G2498"/>
      <c r="DI2498" s="4">
        <f>INDEX(Sheet2!A:A,QUOTIENT(ROW()-1,19)+2)</f>
        <v>41535</v>
      </c>
      <c r="DJ2498" s="4">
        <f>INDEX(Sheet2!C:C,QUOTIENT(ROW()-1,19)+2)</f>
        <v>42735</v>
      </c>
      <c r="DK2498" s="4" t="e">
        <f>INDEX(Sheet2!$AA$2:$AS$228,QUOTIENT(ROW()-1,19)+1,MOD(ROW()-2,19)+1)</f>
        <v>#N/A</v>
      </c>
      <c r="DL2498" t="str">
        <f>IFERROR(INDEX(Sheet2!$AU$2:$BM$228,QUOTIENT(ROW()-1,19)+1,MOD(ROW()-2,19)+1),NA())</f>
        <v/>
      </c>
      <c r="DM2498" s="4" t="e">
        <f t="shared" ref="DM2498:DM2561" si="138">+IF($C$2=$DI2498,DK2498,NA())</f>
        <v>#N/A</v>
      </c>
      <c r="DN2498" t="e">
        <f t="shared" ref="DN2498:DN2561" si="139">+IF($C$2=$DI2498,DL2498,NA())</f>
        <v>#N/A</v>
      </c>
      <c r="DO2498" t="e">
        <f t="shared" si="137"/>
        <v>#N/A</v>
      </c>
    </row>
    <row r="2499" spans="7:119" x14ac:dyDescent="0.25">
      <c r="G2499"/>
      <c r="DI2499" s="4">
        <f>INDEX(Sheet2!A:A,QUOTIENT(ROW()-1,19)+2)</f>
        <v>41535</v>
      </c>
      <c r="DJ2499" s="4">
        <f>INDEX(Sheet2!C:C,QUOTIENT(ROW()-1,19)+2)</f>
        <v>42735</v>
      </c>
      <c r="DK2499" s="4" t="e">
        <f>INDEX(Sheet2!$AA$2:$AS$228,QUOTIENT(ROW()-1,19)+1,MOD(ROW()-2,19)+1)</f>
        <v>#N/A</v>
      </c>
      <c r="DL2499" t="str">
        <f>IFERROR(INDEX(Sheet2!$AU$2:$BM$228,QUOTIENT(ROW()-1,19)+1,MOD(ROW()-2,19)+1),NA())</f>
        <v/>
      </c>
      <c r="DM2499" s="4" t="e">
        <f t="shared" si="138"/>
        <v>#N/A</v>
      </c>
      <c r="DN2499" t="e">
        <f t="shared" si="139"/>
        <v>#N/A</v>
      </c>
      <c r="DO2499" t="e">
        <f t="shared" ref="DO2499:DO2562" si="140">IF(DN2499="",NA(),DN2499)</f>
        <v>#N/A</v>
      </c>
    </row>
    <row r="2500" spans="7:119" x14ac:dyDescent="0.25">
      <c r="G2500"/>
      <c r="DI2500" s="4">
        <f>INDEX(Sheet2!A:A,QUOTIENT(ROW()-1,19)+2)</f>
        <v>41535</v>
      </c>
      <c r="DJ2500" s="4">
        <f>INDEX(Sheet2!C:C,QUOTIENT(ROW()-1,19)+2)</f>
        <v>42735</v>
      </c>
      <c r="DK2500" s="4" t="e">
        <f>INDEX(Sheet2!$AA$2:$AS$228,QUOTIENT(ROW()-1,19)+1,MOD(ROW()-2,19)+1)</f>
        <v>#N/A</v>
      </c>
      <c r="DL2500" t="str">
        <f>IFERROR(INDEX(Sheet2!$AU$2:$BM$228,QUOTIENT(ROW()-1,19)+1,MOD(ROW()-2,19)+1),NA())</f>
        <v/>
      </c>
      <c r="DM2500" s="4" t="e">
        <f t="shared" si="138"/>
        <v>#N/A</v>
      </c>
      <c r="DN2500" t="e">
        <f t="shared" si="139"/>
        <v>#N/A</v>
      </c>
      <c r="DO2500" t="e">
        <f t="shared" si="140"/>
        <v>#N/A</v>
      </c>
    </row>
    <row r="2501" spans="7:119" x14ac:dyDescent="0.25">
      <c r="G2501"/>
      <c r="DI2501" s="4">
        <f>INDEX(Sheet2!A:A,QUOTIENT(ROW()-1,19)+2)</f>
        <v>41535</v>
      </c>
      <c r="DJ2501" s="4">
        <f>INDEX(Sheet2!C:C,QUOTIENT(ROW()-1,19)+2)</f>
        <v>42735</v>
      </c>
      <c r="DK2501" s="4" t="e">
        <f>INDEX(Sheet2!$AA$2:$AS$228,QUOTIENT(ROW()-1,19)+1,MOD(ROW()-2,19)+1)</f>
        <v>#N/A</v>
      </c>
      <c r="DL2501" t="str">
        <f>IFERROR(INDEX(Sheet2!$AU$2:$BM$228,QUOTIENT(ROW()-1,19)+1,MOD(ROW()-2,19)+1),NA())</f>
        <v/>
      </c>
      <c r="DM2501" s="4" t="e">
        <f t="shared" si="138"/>
        <v>#N/A</v>
      </c>
      <c r="DN2501" t="e">
        <f t="shared" si="139"/>
        <v>#N/A</v>
      </c>
      <c r="DO2501" t="e">
        <f t="shared" si="140"/>
        <v>#N/A</v>
      </c>
    </row>
    <row r="2502" spans="7:119" x14ac:dyDescent="0.25">
      <c r="G2502"/>
      <c r="DI2502" s="4">
        <f>INDEX(Sheet2!A:A,QUOTIENT(ROW()-1,19)+2)</f>
        <v>41535</v>
      </c>
      <c r="DJ2502" s="4">
        <f>INDEX(Sheet2!C:C,QUOTIENT(ROW()-1,19)+2)</f>
        <v>42735</v>
      </c>
      <c r="DK2502" s="4" t="e">
        <f>INDEX(Sheet2!$AA$2:$AS$228,QUOTIENT(ROW()-1,19)+1,MOD(ROW()-2,19)+1)</f>
        <v>#N/A</v>
      </c>
      <c r="DL2502" t="str">
        <f>IFERROR(INDEX(Sheet2!$AU$2:$BM$228,QUOTIENT(ROW()-1,19)+1,MOD(ROW()-2,19)+1),NA())</f>
        <v/>
      </c>
      <c r="DM2502" s="4" t="e">
        <f t="shared" si="138"/>
        <v>#N/A</v>
      </c>
      <c r="DN2502" t="e">
        <f t="shared" si="139"/>
        <v>#N/A</v>
      </c>
      <c r="DO2502" t="e">
        <f t="shared" si="140"/>
        <v>#N/A</v>
      </c>
    </row>
    <row r="2503" spans="7:119" x14ac:dyDescent="0.25">
      <c r="G2503"/>
      <c r="DI2503" s="4">
        <f>INDEX(Sheet2!A:A,QUOTIENT(ROW()-1,19)+2)</f>
        <v>41535</v>
      </c>
      <c r="DJ2503" s="4">
        <f>INDEX(Sheet2!C:C,QUOTIENT(ROW()-1,19)+2)</f>
        <v>42735</v>
      </c>
      <c r="DK2503" s="4" t="e">
        <f>INDEX(Sheet2!$AA$2:$AS$228,QUOTIENT(ROW()-1,19)+1,MOD(ROW()-2,19)+1)</f>
        <v>#N/A</v>
      </c>
      <c r="DL2503" t="str">
        <f>IFERROR(INDEX(Sheet2!$AU$2:$BM$228,QUOTIENT(ROW()-1,19)+1,MOD(ROW()-2,19)+1),NA())</f>
        <v/>
      </c>
      <c r="DM2503" s="4" t="e">
        <f t="shared" si="138"/>
        <v>#N/A</v>
      </c>
      <c r="DN2503" t="e">
        <f t="shared" si="139"/>
        <v>#N/A</v>
      </c>
      <c r="DO2503" t="e">
        <f t="shared" si="140"/>
        <v>#N/A</v>
      </c>
    </row>
    <row r="2504" spans="7:119" x14ac:dyDescent="0.25">
      <c r="G2504"/>
      <c r="DI2504" s="4">
        <f>INDEX(Sheet2!A:A,QUOTIENT(ROW()-1,19)+2)</f>
        <v>41535</v>
      </c>
      <c r="DJ2504" s="4">
        <f>INDEX(Sheet2!C:C,QUOTIENT(ROW()-1,19)+2)</f>
        <v>42735</v>
      </c>
      <c r="DK2504" s="4" t="e">
        <f>INDEX(Sheet2!$AA$2:$AS$228,QUOTIENT(ROW()-1,19)+1,MOD(ROW()-2,19)+1)</f>
        <v>#N/A</v>
      </c>
      <c r="DL2504" t="str">
        <f>IFERROR(INDEX(Sheet2!$AU$2:$BM$228,QUOTIENT(ROW()-1,19)+1,MOD(ROW()-2,19)+1),NA())</f>
        <v/>
      </c>
      <c r="DM2504" s="4" t="e">
        <f t="shared" si="138"/>
        <v>#N/A</v>
      </c>
      <c r="DN2504" t="e">
        <f t="shared" si="139"/>
        <v>#N/A</v>
      </c>
      <c r="DO2504" t="e">
        <f t="shared" si="140"/>
        <v>#N/A</v>
      </c>
    </row>
    <row r="2505" spans="7:119" x14ac:dyDescent="0.25">
      <c r="G2505"/>
      <c r="DI2505" s="4">
        <f>INDEX(Sheet2!A:A,QUOTIENT(ROW()-1,19)+2)</f>
        <v>41535</v>
      </c>
      <c r="DJ2505" s="4">
        <f>INDEX(Sheet2!C:C,QUOTIENT(ROW()-1,19)+2)</f>
        <v>42735</v>
      </c>
      <c r="DK2505" s="4" t="e">
        <f>INDEX(Sheet2!$AA$2:$AS$228,QUOTIENT(ROW()-1,19)+1,MOD(ROW()-2,19)+1)</f>
        <v>#N/A</v>
      </c>
      <c r="DL2505" t="str">
        <f>IFERROR(INDEX(Sheet2!$AU$2:$BM$228,QUOTIENT(ROW()-1,19)+1,MOD(ROW()-2,19)+1),NA())</f>
        <v/>
      </c>
      <c r="DM2505" s="4" t="e">
        <f t="shared" si="138"/>
        <v>#N/A</v>
      </c>
      <c r="DN2505" t="e">
        <f t="shared" si="139"/>
        <v>#N/A</v>
      </c>
      <c r="DO2505" t="e">
        <f t="shared" si="140"/>
        <v>#N/A</v>
      </c>
    </row>
    <row r="2506" spans="7:119" x14ac:dyDescent="0.25">
      <c r="G2506"/>
      <c r="DI2506" s="4">
        <f>INDEX(Sheet2!A:A,QUOTIENT(ROW()-1,19)+2)</f>
        <v>41535</v>
      </c>
      <c r="DJ2506" s="4">
        <f>INDEX(Sheet2!C:C,QUOTIENT(ROW()-1,19)+2)</f>
        <v>42735</v>
      </c>
      <c r="DK2506" s="4" t="e">
        <f>INDEX(Sheet2!$AA$2:$AS$228,QUOTIENT(ROW()-1,19)+1,MOD(ROW()-2,19)+1)</f>
        <v>#N/A</v>
      </c>
      <c r="DL2506" t="str">
        <f>IFERROR(INDEX(Sheet2!$AU$2:$BM$228,QUOTIENT(ROW()-1,19)+1,MOD(ROW()-2,19)+1),NA())</f>
        <v/>
      </c>
      <c r="DM2506" s="4" t="e">
        <f t="shared" si="138"/>
        <v>#N/A</v>
      </c>
      <c r="DN2506" t="e">
        <f t="shared" si="139"/>
        <v>#N/A</v>
      </c>
      <c r="DO2506" t="e">
        <f t="shared" si="140"/>
        <v>#N/A</v>
      </c>
    </row>
    <row r="2507" spans="7:119" x14ac:dyDescent="0.25">
      <c r="G2507"/>
      <c r="DI2507" s="4">
        <f>INDEX(Sheet2!A:A,QUOTIENT(ROW()-1,19)+2)</f>
        <v>41535</v>
      </c>
      <c r="DJ2507" s="4">
        <f>INDEX(Sheet2!C:C,QUOTIENT(ROW()-1,19)+2)</f>
        <v>42735</v>
      </c>
      <c r="DK2507" s="4" t="e">
        <f>INDEX(Sheet2!$AA$2:$AS$228,QUOTIENT(ROW()-1,19)+1,MOD(ROW()-2,19)+1)</f>
        <v>#N/A</v>
      </c>
      <c r="DL2507" t="str">
        <f>IFERROR(INDEX(Sheet2!$AU$2:$BM$228,QUOTIENT(ROW()-1,19)+1,MOD(ROW()-2,19)+1),NA())</f>
        <v/>
      </c>
      <c r="DM2507" s="4" t="e">
        <f t="shared" si="138"/>
        <v>#N/A</v>
      </c>
      <c r="DN2507" t="e">
        <f t="shared" si="139"/>
        <v>#N/A</v>
      </c>
      <c r="DO2507" t="e">
        <f t="shared" si="140"/>
        <v>#N/A</v>
      </c>
    </row>
    <row r="2508" spans="7:119" x14ac:dyDescent="0.25">
      <c r="G2508"/>
      <c r="DI2508" s="4">
        <f>INDEX(Sheet2!A:A,QUOTIENT(ROW()-1,19)+2)</f>
        <v>41535</v>
      </c>
      <c r="DJ2508" s="4">
        <f>INDEX(Sheet2!C:C,QUOTIENT(ROW()-1,19)+2)</f>
        <v>42735</v>
      </c>
      <c r="DK2508" s="4" t="e">
        <f>INDEX(Sheet2!$AA$2:$AS$228,QUOTIENT(ROW()-1,19)+1,MOD(ROW()-2,19)+1)</f>
        <v>#N/A</v>
      </c>
      <c r="DL2508" t="str">
        <f>IFERROR(INDEX(Sheet2!$AU$2:$BM$228,QUOTIENT(ROW()-1,19)+1,MOD(ROW()-2,19)+1),NA())</f>
        <v/>
      </c>
      <c r="DM2508" s="4" t="e">
        <f t="shared" si="138"/>
        <v>#N/A</v>
      </c>
      <c r="DN2508" t="e">
        <f t="shared" si="139"/>
        <v>#N/A</v>
      </c>
      <c r="DO2508" t="e">
        <f t="shared" si="140"/>
        <v>#N/A</v>
      </c>
    </row>
    <row r="2509" spans="7:119" x14ac:dyDescent="0.25">
      <c r="G2509"/>
      <c r="DI2509" s="4">
        <f>INDEX(Sheet2!A:A,QUOTIENT(ROW()-1,19)+2)</f>
        <v>41535</v>
      </c>
      <c r="DJ2509" s="4">
        <f>INDEX(Sheet2!C:C,QUOTIENT(ROW()-1,19)+2)</f>
        <v>42735</v>
      </c>
      <c r="DK2509" s="4" t="e">
        <f>INDEX(Sheet2!$AA$2:$AS$228,QUOTIENT(ROW()-1,19)+1,MOD(ROW()-2,19)+1)</f>
        <v>#N/A</v>
      </c>
      <c r="DL2509" t="str">
        <f>IFERROR(INDEX(Sheet2!$AU$2:$BM$228,QUOTIENT(ROW()-1,19)+1,MOD(ROW()-2,19)+1),NA())</f>
        <v/>
      </c>
      <c r="DM2509" s="4" t="e">
        <f t="shared" si="138"/>
        <v>#N/A</v>
      </c>
      <c r="DN2509" t="e">
        <f t="shared" si="139"/>
        <v>#N/A</v>
      </c>
      <c r="DO2509" t="e">
        <f t="shared" si="140"/>
        <v>#N/A</v>
      </c>
    </row>
    <row r="2510" spans="7:119" x14ac:dyDescent="0.25">
      <c r="G2510"/>
      <c r="DI2510" s="4">
        <f>INDEX(Sheet2!A:A,QUOTIENT(ROW()-1,19)+2)</f>
        <v>41535</v>
      </c>
      <c r="DJ2510" s="4">
        <f>INDEX(Sheet2!C:C,QUOTIENT(ROW()-1,19)+2)</f>
        <v>42735</v>
      </c>
      <c r="DK2510" s="4">
        <f>INDEX(Sheet2!$AA$2:$AS$228,QUOTIENT(ROW()-1,19)+1,MOD(ROW()-2,19)+1)</f>
        <v>42694.85</v>
      </c>
      <c r="DL2510">
        <f>IFERROR(INDEX(Sheet2!$AU$2:$BM$228,QUOTIENT(ROW()-1,19)+1,MOD(ROW()-2,19)+1),NA())</f>
        <v>1.75</v>
      </c>
      <c r="DM2510" s="4" t="e">
        <f t="shared" si="138"/>
        <v>#N/A</v>
      </c>
      <c r="DN2510" t="e">
        <f t="shared" si="139"/>
        <v>#N/A</v>
      </c>
      <c r="DO2510" t="e">
        <f t="shared" si="140"/>
        <v>#N/A</v>
      </c>
    </row>
    <row r="2511" spans="7:119" x14ac:dyDescent="0.25">
      <c r="G2511"/>
      <c r="DI2511" s="4">
        <f>INDEX(Sheet2!A:A,QUOTIENT(ROW()-1,19)+2)</f>
        <v>41535</v>
      </c>
      <c r="DJ2511" s="4">
        <f>INDEX(Sheet2!C:C,QUOTIENT(ROW()-1,19)+2)</f>
        <v>42735</v>
      </c>
      <c r="DK2511" s="4">
        <f>INDEX(Sheet2!$AA$2:$AS$228,QUOTIENT(ROW()-1,19)+1,MOD(ROW()-2,19)+1)</f>
        <v>42714.925000000003</v>
      </c>
      <c r="DL2511">
        <f>IFERROR(INDEX(Sheet2!$AU$2:$BM$228,QUOTIENT(ROW()-1,19)+1,MOD(ROW()-2,19)+1),NA())</f>
        <v>1.75</v>
      </c>
      <c r="DM2511" s="4" t="e">
        <f t="shared" si="138"/>
        <v>#N/A</v>
      </c>
      <c r="DN2511" t="e">
        <f t="shared" si="139"/>
        <v>#N/A</v>
      </c>
      <c r="DO2511" t="e">
        <f t="shared" si="140"/>
        <v>#N/A</v>
      </c>
    </row>
    <row r="2512" spans="7:119" x14ac:dyDescent="0.25">
      <c r="G2512"/>
      <c r="DI2512" s="4">
        <f>INDEX(Sheet2!A:A,QUOTIENT(ROW()-1,19)+2)</f>
        <v>41535</v>
      </c>
      <c r="DJ2512" s="4">
        <f>INDEX(Sheet2!C:C,QUOTIENT(ROW()-1,19)+2)</f>
        <v>42735</v>
      </c>
      <c r="DK2512" s="4">
        <f>INDEX(Sheet2!$AA$2:$AS$228,QUOTIENT(ROW()-1,19)+1,MOD(ROW()-2,19)+1)</f>
        <v>42735</v>
      </c>
      <c r="DL2512">
        <f>IFERROR(INDEX(Sheet2!$AU$2:$BM$228,QUOTIENT(ROW()-1,19)+1,MOD(ROW()-2,19)+1),NA())</f>
        <v>1.75</v>
      </c>
      <c r="DM2512" s="4" t="e">
        <f t="shared" si="138"/>
        <v>#N/A</v>
      </c>
      <c r="DN2512" t="e">
        <f t="shared" si="139"/>
        <v>#N/A</v>
      </c>
      <c r="DO2512" t="e">
        <f t="shared" si="140"/>
        <v>#N/A</v>
      </c>
    </row>
    <row r="2513" spans="7:119" x14ac:dyDescent="0.25">
      <c r="G2513"/>
      <c r="DI2513" s="4">
        <f>INDEX(Sheet2!A:A,QUOTIENT(ROW()-1,19)+2)</f>
        <v>41535</v>
      </c>
      <c r="DJ2513" s="4">
        <f>INDEX(Sheet2!C:C,QUOTIENT(ROW()-1,19)+2)</f>
        <v>42735</v>
      </c>
      <c r="DK2513" s="4">
        <f>INDEX(Sheet2!$AA$2:$AS$228,QUOTIENT(ROW()-1,19)+1,MOD(ROW()-2,19)+1)</f>
        <v>42755.075000000004</v>
      </c>
      <c r="DL2513">
        <f>IFERROR(INDEX(Sheet2!$AU$2:$BM$228,QUOTIENT(ROW()-1,19)+1,MOD(ROW()-2,19)+1),NA())</f>
        <v>1.75</v>
      </c>
      <c r="DM2513" s="4" t="e">
        <f t="shared" si="138"/>
        <v>#N/A</v>
      </c>
      <c r="DN2513" t="e">
        <f t="shared" si="139"/>
        <v>#N/A</v>
      </c>
      <c r="DO2513" t="e">
        <f t="shared" si="140"/>
        <v>#N/A</v>
      </c>
    </row>
    <row r="2514" spans="7:119" x14ac:dyDescent="0.25">
      <c r="G2514"/>
      <c r="DI2514" s="4">
        <f>INDEX(Sheet2!A:A,QUOTIENT(ROW()-1,19)+2)</f>
        <v>41535</v>
      </c>
      <c r="DJ2514" s="4">
        <f>INDEX(Sheet2!C:C,QUOTIENT(ROW()-1,19)+2)</f>
        <v>42735</v>
      </c>
      <c r="DK2514" s="4">
        <f>INDEX(Sheet2!$AA$2:$AS$228,QUOTIENT(ROW()-1,19)+1,MOD(ROW()-2,19)+1)</f>
        <v>42775.15</v>
      </c>
      <c r="DL2514">
        <f>IFERROR(INDEX(Sheet2!$AU$2:$BM$228,QUOTIENT(ROW()-1,19)+1,MOD(ROW()-2,19)+1),NA())</f>
        <v>1.75</v>
      </c>
      <c r="DM2514" s="4" t="e">
        <f t="shared" si="138"/>
        <v>#N/A</v>
      </c>
      <c r="DN2514" t="e">
        <f t="shared" si="139"/>
        <v>#N/A</v>
      </c>
      <c r="DO2514" t="e">
        <f t="shared" si="140"/>
        <v>#N/A</v>
      </c>
    </row>
    <row r="2515" spans="7:119" x14ac:dyDescent="0.25">
      <c r="G2515"/>
      <c r="DI2515" s="4">
        <f>INDEX(Sheet2!A:A,QUOTIENT(ROW()-1,19)+2)</f>
        <v>41535</v>
      </c>
      <c r="DJ2515" s="4">
        <f>INDEX(Sheet2!C:C,QUOTIENT(ROW()-1,19)+2)</f>
        <v>42735</v>
      </c>
      <c r="DK2515" s="4" t="e">
        <f>INDEX(Sheet2!$AA$2:$AS$228,QUOTIENT(ROW()-1,19)+1,MOD(ROW()-2,19)+1)</f>
        <v>#N/A</v>
      </c>
      <c r="DL2515" t="str">
        <f>IFERROR(INDEX(Sheet2!$AU$2:$BM$228,QUOTIENT(ROW()-1,19)+1,MOD(ROW()-2,19)+1),NA())</f>
        <v/>
      </c>
      <c r="DM2515" s="4" t="e">
        <f t="shared" si="138"/>
        <v>#N/A</v>
      </c>
      <c r="DN2515" t="e">
        <f t="shared" si="139"/>
        <v>#N/A</v>
      </c>
      <c r="DO2515" t="e">
        <f t="shared" si="140"/>
        <v>#N/A</v>
      </c>
    </row>
    <row r="2516" spans="7:119" x14ac:dyDescent="0.25">
      <c r="G2516"/>
      <c r="DI2516" s="4">
        <f>INDEX(Sheet2!A:A,QUOTIENT(ROW()-1,19)+2)</f>
        <v>41535</v>
      </c>
      <c r="DJ2516" s="4">
        <f>INDEX(Sheet2!C:C,QUOTIENT(ROW()-1,19)+2)</f>
        <v>42735</v>
      </c>
      <c r="DK2516" s="4" t="e">
        <f>INDEX(Sheet2!$AA$2:$AS$228,QUOTIENT(ROW()-1,19)+1,MOD(ROW()-2,19)+1)</f>
        <v>#N/A</v>
      </c>
      <c r="DL2516" t="str">
        <f>IFERROR(INDEX(Sheet2!$AU$2:$BM$228,QUOTIENT(ROW()-1,19)+1,MOD(ROW()-2,19)+1),NA())</f>
        <v/>
      </c>
      <c r="DM2516" s="4" t="e">
        <f t="shared" si="138"/>
        <v>#N/A</v>
      </c>
      <c r="DN2516" t="e">
        <f t="shared" si="139"/>
        <v>#N/A</v>
      </c>
      <c r="DO2516" t="e">
        <f t="shared" si="140"/>
        <v>#N/A</v>
      </c>
    </row>
    <row r="2517" spans="7:119" x14ac:dyDescent="0.25">
      <c r="G2517"/>
      <c r="DI2517" s="4">
        <f>INDEX(Sheet2!A:A,QUOTIENT(ROW()-1,19)+2)</f>
        <v>41535</v>
      </c>
      <c r="DJ2517" s="4">
        <f>INDEX(Sheet2!C:C,QUOTIENT(ROW()-1,19)+2)</f>
        <v>42735</v>
      </c>
      <c r="DK2517" s="4" t="e">
        <f>INDEX(Sheet2!$AA$2:$AS$228,QUOTIENT(ROW()-1,19)+1,MOD(ROW()-2,19)+1)</f>
        <v>#N/A</v>
      </c>
      <c r="DL2517" t="str">
        <f>IFERROR(INDEX(Sheet2!$AU$2:$BM$228,QUOTIENT(ROW()-1,19)+1,MOD(ROW()-2,19)+1),NA())</f>
        <v/>
      </c>
      <c r="DM2517" s="4" t="e">
        <f t="shared" si="138"/>
        <v>#N/A</v>
      </c>
      <c r="DN2517" t="e">
        <f t="shared" si="139"/>
        <v>#N/A</v>
      </c>
      <c r="DO2517" t="e">
        <f t="shared" si="140"/>
        <v>#N/A</v>
      </c>
    </row>
    <row r="2518" spans="7:119" x14ac:dyDescent="0.25">
      <c r="G2518"/>
      <c r="DI2518" s="4">
        <f>INDEX(Sheet2!A:A,QUOTIENT(ROW()-1,19)+2)</f>
        <v>41535</v>
      </c>
      <c r="DJ2518" s="4">
        <f>INDEX(Sheet2!C:C,QUOTIENT(ROW()-1,19)+2)</f>
        <v>42735</v>
      </c>
      <c r="DK2518" s="4" t="e">
        <f>INDEX(Sheet2!$AA$2:$AS$228,QUOTIENT(ROW()-1,19)+1,MOD(ROW()-2,19)+1)</f>
        <v>#N/A</v>
      </c>
      <c r="DL2518" t="str">
        <f>IFERROR(INDEX(Sheet2!$AU$2:$BM$228,QUOTIENT(ROW()-1,19)+1,MOD(ROW()-2,19)+1),NA())</f>
        <v/>
      </c>
      <c r="DM2518" s="4" t="e">
        <f t="shared" si="138"/>
        <v>#N/A</v>
      </c>
      <c r="DN2518" t="e">
        <f t="shared" si="139"/>
        <v>#N/A</v>
      </c>
      <c r="DO2518" t="e">
        <f t="shared" si="140"/>
        <v>#N/A</v>
      </c>
    </row>
    <row r="2519" spans="7:119" x14ac:dyDescent="0.25">
      <c r="G2519"/>
      <c r="DI2519" s="4">
        <f>INDEX(Sheet2!A:A,QUOTIENT(ROW()-1,19)+2)</f>
        <v>41535</v>
      </c>
      <c r="DJ2519" s="4">
        <f>INDEX(Sheet2!C:C,QUOTIENT(ROW()-1,19)+2)</f>
        <v>42735</v>
      </c>
      <c r="DK2519" s="4" t="e">
        <f>INDEX(Sheet2!$AA$2:$AS$228,QUOTIENT(ROW()-1,19)+1,MOD(ROW()-2,19)+1)</f>
        <v>#N/A</v>
      </c>
      <c r="DL2519" t="str">
        <f>IFERROR(INDEX(Sheet2!$AU$2:$BM$228,QUOTIENT(ROW()-1,19)+1,MOD(ROW()-2,19)+1),NA())</f>
        <v/>
      </c>
      <c r="DM2519" s="4" t="e">
        <f t="shared" si="138"/>
        <v>#N/A</v>
      </c>
      <c r="DN2519" t="e">
        <f t="shared" si="139"/>
        <v>#N/A</v>
      </c>
      <c r="DO2519" t="e">
        <f t="shared" si="140"/>
        <v>#N/A</v>
      </c>
    </row>
    <row r="2520" spans="7:119" x14ac:dyDescent="0.25">
      <c r="G2520"/>
      <c r="DI2520" s="4">
        <f>INDEX(Sheet2!A:A,QUOTIENT(ROW()-1,19)+2)</f>
        <v>41535</v>
      </c>
      <c r="DJ2520" s="4">
        <f>INDEX(Sheet2!C:C,QUOTIENT(ROW()-1,19)+2)</f>
        <v>42735</v>
      </c>
      <c r="DK2520" s="4" t="e">
        <f>INDEX(Sheet2!$AA$2:$AS$228,QUOTIENT(ROW()-1,19)+1,MOD(ROW()-2,19)+1)</f>
        <v>#N/A</v>
      </c>
      <c r="DL2520" t="str">
        <f>IFERROR(INDEX(Sheet2!$AU$2:$BM$228,QUOTIENT(ROW()-1,19)+1,MOD(ROW()-2,19)+1),NA())</f>
        <v/>
      </c>
      <c r="DM2520" s="4" t="e">
        <f t="shared" si="138"/>
        <v>#N/A</v>
      </c>
      <c r="DN2520" t="e">
        <f t="shared" si="139"/>
        <v>#N/A</v>
      </c>
      <c r="DO2520" t="e">
        <f t="shared" si="140"/>
        <v>#N/A</v>
      </c>
    </row>
    <row r="2521" spans="7:119" x14ac:dyDescent="0.25">
      <c r="G2521"/>
      <c r="DI2521" s="4">
        <f>INDEX(Sheet2!A:A,QUOTIENT(ROW()-1,19)+2)</f>
        <v>41535</v>
      </c>
      <c r="DJ2521" s="4">
        <f>INDEX(Sheet2!C:C,QUOTIENT(ROW()-1,19)+2)</f>
        <v>42735</v>
      </c>
      <c r="DK2521" s="4" t="e">
        <f>INDEX(Sheet2!$AA$2:$AS$228,QUOTIENT(ROW()-1,19)+1,MOD(ROW()-2,19)+1)</f>
        <v>#N/A</v>
      </c>
      <c r="DL2521" t="str">
        <f>IFERROR(INDEX(Sheet2!$AU$2:$BM$228,QUOTIENT(ROW()-1,19)+1,MOD(ROW()-2,19)+1),NA())</f>
        <v/>
      </c>
      <c r="DM2521" s="4" t="e">
        <f t="shared" si="138"/>
        <v>#N/A</v>
      </c>
      <c r="DN2521" t="e">
        <f t="shared" si="139"/>
        <v>#N/A</v>
      </c>
      <c r="DO2521" t="e">
        <f t="shared" si="140"/>
        <v>#N/A</v>
      </c>
    </row>
    <row r="2522" spans="7:119" x14ac:dyDescent="0.25">
      <c r="G2522"/>
      <c r="DI2522" s="4">
        <f>INDEX(Sheet2!A:A,QUOTIENT(ROW()-1,19)+2)</f>
        <v>41535</v>
      </c>
      <c r="DJ2522" s="4">
        <f>INDEX(Sheet2!C:C,QUOTIENT(ROW()-1,19)+2)</f>
        <v>42735</v>
      </c>
      <c r="DK2522" s="4" t="e">
        <f>INDEX(Sheet2!$AA$2:$AS$228,QUOTIENT(ROW()-1,19)+1,MOD(ROW()-2,19)+1)</f>
        <v>#N/A</v>
      </c>
      <c r="DL2522" t="str">
        <f>IFERROR(INDEX(Sheet2!$AU$2:$BM$228,QUOTIENT(ROW()-1,19)+1,MOD(ROW()-2,19)+1),NA())</f>
        <v/>
      </c>
      <c r="DM2522" s="4" t="e">
        <f t="shared" si="138"/>
        <v>#N/A</v>
      </c>
      <c r="DN2522" t="e">
        <f t="shared" si="139"/>
        <v>#N/A</v>
      </c>
      <c r="DO2522" t="e">
        <f t="shared" si="140"/>
        <v>#N/A</v>
      </c>
    </row>
    <row r="2523" spans="7:119" x14ac:dyDescent="0.25">
      <c r="G2523"/>
      <c r="DI2523" s="4">
        <f>INDEX(Sheet2!A:A,QUOTIENT(ROW()-1,19)+2)</f>
        <v>41535</v>
      </c>
      <c r="DJ2523" s="4">
        <f>INDEX(Sheet2!C:C,QUOTIENT(ROW()-1,19)+2)</f>
        <v>42735</v>
      </c>
      <c r="DK2523" s="4" t="e">
        <f>INDEX(Sheet2!$AA$2:$AS$228,QUOTIENT(ROW()-1,19)+1,MOD(ROW()-2,19)+1)</f>
        <v>#N/A</v>
      </c>
      <c r="DL2523" t="str">
        <f>IFERROR(INDEX(Sheet2!$AU$2:$BM$228,QUOTIENT(ROW()-1,19)+1,MOD(ROW()-2,19)+1),NA())</f>
        <v/>
      </c>
      <c r="DM2523" s="4" t="e">
        <f t="shared" si="138"/>
        <v>#N/A</v>
      </c>
      <c r="DN2523" t="e">
        <f t="shared" si="139"/>
        <v>#N/A</v>
      </c>
      <c r="DO2523" t="e">
        <f t="shared" si="140"/>
        <v>#N/A</v>
      </c>
    </row>
    <row r="2524" spans="7:119" x14ac:dyDescent="0.25">
      <c r="G2524"/>
      <c r="DI2524" s="4">
        <f>INDEX(Sheet2!A:A,QUOTIENT(ROW()-1,19)+2)</f>
        <v>41535</v>
      </c>
      <c r="DJ2524" s="4">
        <f>INDEX(Sheet2!C:C,QUOTIENT(ROW()-1,19)+2)</f>
        <v>42735</v>
      </c>
      <c r="DK2524" s="4" t="e">
        <f>INDEX(Sheet2!$AA$2:$AS$228,QUOTIENT(ROW()-1,19)+1,MOD(ROW()-2,19)+1)</f>
        <v>#N/A</v>
      </c>
      <c r="DL2524" t="str">
        <f>IFERROR(INDEX(Sheet2!$AU$2:$BM$228,QUOTIENT(ROW()-1,19)+1,MOD(ROW()-2,19)+1),NA())</f>
        <v/>
      </c>
      <c r="DM2524" s="4" t="e">
        <f t="shared" si="138"/>
        <v>#N/A</v>
      </c>
      <c r="DN2524" t="e">
        <f t="shared" si="139"/>
        <v>#N/A</v>
      </c>
      <c r="DO2524" t="e">
        <f t="shared" si="140"/>
        <v>#N/A</v>
      </c>
    </row>
    <row r="2525" spans="7:119" x14ac:dyDescent="0.25">
      <c r="G2525"/>
      <c r="DI2525" s="4">
        <f>INDEX(Sheet2!A:A,QUOTIENT(ROW()-1,19)+2)</f>
        <v>41535</v>
      </c>
      <c r="DJ2525" s="4">
        <f>INDEX(Sheet2!C:C,QUOTIENT(ROW()-1,19)+2)</f>
        <v>42735</v>
      </c>
      <c r="DK2525" s="4" t="e">
        <f>INDEX(Sheet2!$AA$2:$AS$228,QUOTIENT(ROW()-1,19)+1,MOD(ROW()-2,19)+1)</f>
        <v>#N/A</v>
      </c>
      <c r="DL2525" t="str">
        <f>IFERROR(INDEX(Sheet2!$AU$2:$BM$228,QUOTIENT(ROW()-1,19)+1,MOD(ROW()-2,19)+1),NA())</f>
        <v/>
      </c>
      <c r="DM2525" s="4" t="e">
        <f t="shared" si="138"/>
        <v>#N/A</v>
      </c>
      <c r="DN2525" t="e">
        <f t="shared" si="139"/>
        <v>#N/A</v>
      </c>
      <c r="DO2525" t="e">
        <f t="shared" si="140"/>
        <v>#N/A</v>
      </c>
    </row>
    <row r="2526" spans="7:119" x14ac:dyDescent="0.25">
      <c r="G2526"/>
      <c r="DI2526" s="4">
        <f>INDEX(Sheet2!A:A,QUOTIENT(ROW()-1,19)+2)</f>
        <v>41535</v>
      </c>
      <c r="DJ2526" s="4">
        <f>INDEX(Sheet2!C:C,QUOTIENT(ROW()-1,19)+2)</f>
        <v>42735</v>
      </c>
      <c r="DK2526" s="4" t="e">
        <f>INDEX(Sheet2!$AA$2:$AS$228,QUOTIENT(ROW()-1,19)+1,MOD(ROW()-2,19)+1)</f>
        <v>#N/A</v>
      </c>
      <c r="DL2526" t="str">
        <f>IFERROR(INDEX(Sheet2!$AU$2:$BM$228,QUOTIENT(ROW()-1,19)+1,MOD(ROW()-2,19)+1),NA())</f>
        <v/>
      </c>
      <c r="DM2526" s="4" t="e">
        <f t="shared" si="138"/>
        <v>#N/A</v>
      </c>
      <c r="DN2526" t="e">
        <f t="shared" si="139"/>
        <v>#N/A</v>
      </c>
      <c r="DO2526" t="e">
        <f t="shared" si="140"/>
        <v>#N/A</v>
      </c>
    </row>
    <row r="2527" spans="7:119" x14ac:dyDescent="0.25">
      <c r="G2527"/>
      <c r="DI2527" s="4">
        <f>INDEX(Sheet2!A:A,QUOTIENT(ROW()-1,19)+2)</f>
        <v>41535</v>
      </c>
      <c r="DJ2527" s="4">
        <f>INDEX(Sheet2!C:C,QUOTIENT(ROW()-1,19)+2)</f>
        <v>42735</v>
      </c>
      <c r="DK2527" s="4" t="e">
        <f>INDEX(Sheet2!$AA$2:$AS$228,QUOTIENT(ROW()-1,19)+1,MOD(ROW()-2,19)+1)</f>
        <v>#N/A</v>
      </c>
      <c r="DL2527" t="str">
        <f>IFERROR(INDEX(Sheet2!$AU$2:$BM$228,QUOTIENT(ROW()-1,19)+1,MOD(ROW()-2,19)+1),NA())</f>
        <v/>
      </c>
      <c r="DM2527" s="4" t="e">
        <f t="shared" si="138"/>
        <v>#N/A</v>
      </c>
      <c r="DN2527" t="e">
        <f t="shared" si="139"/>
        <v>#N/A</v>
      </c>
      <c r="DO2527" t="e">
        <f t="shared" si="140"/>
        <v>#N/A</v>
      </c>
    </row>
    <row r="2528" spans="7:119" x14ac:dyDescent="0.25">
      <c r="G2528"/>
      <c r="DI2528" s="4">
        <f>INDEX(Sheet2!A:A,QUOTIENT(ROW()-1,19)+2)</f>
        <v>41535</v>
      </c>
      <c r="DJ2528" s="4">
        <f>INDEX(Sheet2!C:C,QUOTIENT(ROW()-1,19)+2)</f>
        <v>42735</v>
      </c>
      <c r="DK2528" s="4" t="e">
        <f>INDEX(Sheet2!$AA$2:$AS$228,QUOTIENT(ROW()-1,19)+1,MOD(ROW()-2,19)+1)</f>
        <v>#N/A</v>
      </c>
      <c r="DL2528" t="str">
        <f>IFERROR(INDEX(Sheet2!$AU$2:$BM$228,QUOTIENT(ROW()-1,19)+1,MOD(ROW()-2,19)+1),NA())</f>
        <v/>
      </c>
      <c r="DM2528" s="4" t="e">
        <f t="shared" si="138"/>
        <v>#N/A</v>
      </c>
      <c r="DN2528" t="e">
        <f t="shared" si="139"/>
        <v>#N/A</v>
      </c>
      <c r="DO2528" t="e">
        <f t="shared" si="140"/>
        <v>#N/A</v>
      </c>
    </row>
    <row r="2529" spans="7:119" x14ac:dyDescent="0.25">
      <c r="G2529"/>
      <c r="DI2529" s="4">
        <f>INDEX(Sheet2!A:A,QUOTIENT(ROW()-1,19)+2)</f>
        <v>41535</v>
      </c>
      <c r="DJ2529" s="4">
        <f>INDEX(Sheet2!C:C,QUOTIENT(ROW()-1,19)+2)</f>
        <v>42735</v>
      </c>
      <c r="DK2529" s="4">
        <f>INDEX(Sheet2!$AA$2:$AS$228,QUOTIENT(ROW()-1,19)+1,MOD(ROW()-2,19)+1)</f>
        <v>42724.962500000001</v>
      </c>
      <c r="DL2529">
        <f>IFERROR(INDEX(Sheet2!$AU$2:$BM$228,QUOTIENT(ROW()-1,19)+1,MOD(ROW()-2,19)+1),NA())</f>
        <v>2</v>
      </c>
      <c r="DM2529" s="4" t="e">
        <f t="shared" si="138"/>
        <v>#N/A</v>
      </c>
      <c r="DN2529" t="e">
        <f t="shared" si="139"/>
        <v>#N/A</v>
      </c>
      <c r="DO2529" t="e">
        <f t="shared" si="140"/>
        <v>#N/A</v>
      </c>
    </row>
    <row r="2530" spans="7:119" x14ac:dyDescent="0.25">
      <c r="G2530"/>
      <c r="DI2530" s="4">
        <f>INDEX(Sheet2!A:A,QUOTIENT(ROW()-1,19)+2)</f>
        <v>41535</v>
      </c>
      <c r="DJ2530" s="4">
        <f>INDEX(Sheet2!C:C,QUOTIENT(ROW()-1,19)+2)</f>
        <v>42735</v>
      </c>
      <c r="DK2530" s="4">
        <f>INDEX(Sheet2!$AA$2:$AS$228,QUOTIENT(ROW()-1,19)+1,MOD(ROW()-2,19)+1)</f>
        <v>42745.037500000006</v>
      </c>
      <c r="DL2530">
        <f>IFERROR(INDEX(Sheet2!$AU$2:$BM$228,QUOTIENT(ROW()-1,19)+1,MOD(ROW()-2,19)+1),NA())</f>
        <v>2</v>
      </c>
      <c r="DM2530" s="4" t="e">
        <f t="shared" si="138"/>
        <v>#N/A</v>
      </c>
      <c r="DN2530" t="e">
        <f t="shared" si="139"/>
        <v>#N/A</v>
      </c>
      <c r="DO2530" t="e">
        <f t="shared" si="140"/>
        <v>#N/A</v>
      </c>
    </row>
    <row r="2531" spans="7:119" x14ac:dyDescent="0.25">
      <c r="G2531"/>
      <c r="DI2531" s="4">
        <f>INDEX(Sheet2!A:A,QUOTIENT(ROW()-1,19)+2)</f>
        <v>41535</v>
      </c>
      <c r="DJ2531" s="4">
        <f>INDEX(Sheet2!C:C,QUOTIENT(ROW()-1,19)+2)</f>
        <v>42735</v>
      </c>
      <c r="DK2531" s="4" t="e">
        <f>INDEX(Sheet2!$AA$2:$AS$228,QUOTIENT(ROW()-1,19)+1,MOD(ROW()-2,19)+1)</f>
        <v>#N/A</v>
      </c>
      <c r="DL2531" t="str">
        <f>IFERROR(INDEX(Sheet2!$AU$2:$BM$228,QUOTIENT(ROW()-1,19)+1,MOD(ROW()-2,19)+1),NA())</f>
        <v/>
      </c>
      <c r="DM2531" s="4" t="e">
        <f t="shared" si="138"/>
        <v>#N/A</v>
      </c>
      <c r="DN2531" t="e">
        <f t="shared" si="139"/>
        <v>#N/A</v>
      </c>
      <c r="DO2531" t="e">
        <f t="shared" si="140"/>
        <v>#N/A</v>
      </c>
    </row>
    <row r="2532" spans="7:119" x14ac:dyDescent="0.25">
      <c r="G2532"/>
      <c r="DI2532" s="4">
        <f>INDEX(Sheet2!A:A,QUOTIENT(ROW()-1,19)+2)</f>
        <v>41535</v>
      </c>
      <c r="DJ2532" s="4">
        <f>INDEX(Sheet2!C:C,QUOTIENT(ROW()-1,19)+2)</f>
        <v>42735</v>
      </c>
      <c r="DK2532" s="4" t="e">
        <f>INDEX(Sheet2!$AA$2:$AS$228,QUOTIENT(ROW()-1,19)+1,MOD(ROW()-2,19)+1)</f>
        <v>#N/A</v>
      </c>
      <c r="DL2532" t="str">
        <f>IFERROR(INDEX(Sheet2!$AU$2:$BM$228,QUOTIENT(ROW()-1,19)+1,MOD(ROW()-2,19)+1),NA())</f>
        <v/>
      </c>
      <c r="DM2532" s="4" t="e">
        <f t="shared" si="138"/>
        <v>#N/A</v>
      </c>
      <c r="DN2532" t="e">
        <f t="shared" si="139"/>
        <v>#N/A</v>
      </c>
      <c r="DO2532" t="e">
        <f t="shared" si="140"/>
        <v>#N/A</v>
      </c>
    </row>
    <row r="2533" spans="7:119" x14ac:dyDescent="0.25">
      <c r="G2533"/>
      <c r="DI2533" s="4">
        <f>INDEX(Sheet2!A:A,QUOTIENT(ROW()-1,19)+2)</f>
        <v>41535</v>
      </c>
      <c r="DJ2533" s="4">
        <f>INDEX(Sheet2!C:C,QUOTIENT(ROW()-1,19)+2)</f>
        <v>42735</v>
      </c>
      <c r="DK2533" s="4" t="e">
        <f>INDEX(Sheet2!$AA$2:$AS$228,QUOTIENT(ROW()-1,19)+1,MOD(ROW()-2,19)+1)</f>
        <v>#N/A</v>
      </c>
      <c r="DL2533" t="str">
        <f>IFERROR(INDEX(Sheet2!$AU$2:$BM$228,QUOTIENT(ROW()-1,19)+1,MOD(ROW()-2,19)+1),NA())</f>
        <v/>
      </c>
      <c r="DM2533" s="4" t="e">
        <f t="shared" si="138"/>
        <v>#N/A</v>
      </c>
      <c r="DN2533" t="e">
        <f t="shared" si="139"/>
        <v>#N/A</v>
      </c>
      <c r="DO2533" t="e">
        <f t="shared" si="140"/>
        <v>#N/A</v>
      </c>
    </row>
    <row r="2534" spans="7:119" x14ac:dyDescent="0.25">
      <c r="G2534"/>
      <c r="DI2534" s="4">
        <f>INDEX(Sheet2!A:A,QUOTIENT(ROW()-1,19)+2)</f>
        <v>41535</v>
      </c>
      <c r="DJ2534" s="4">
        <f>INDEX(Sheet2!C:C,QUOTIENT(ROW()-1,19)+2)</f>
        <v>42735</v>
      </c>
      <c r="DK2534" s="4" t="e">
        <f>INDEX(Sheet2!$AA$2:$AS$228,QUOTIENT(ROW()-1,19)+1,MOD(ROW()-2,19)+1)</f>
        <v>#N/A</v>
      </c>
      <c r="DL2534" t="str">
        <f>IFERROR(INDEX(Sheet2!$AU$2:$BM$228,QUOTIENT(ROW()-1,19)+1,MOD(ROW()-2,19)+1),NA())</f>
        <v/>
      </c>
      <c r="DM2534" s="4" t="e">
        <f t="shared" si="138"/>
        <v>#N/A</v>
      </c>
      <c r="DN2534" t="e">
        <f t="shared" si="139"/>
        <v>#N/A</v>
      </c>
      <c r="DO2534" t="e">
        <f t="shared" si="140"/>
        <v>#N/A</v>
      </c>
    </row>
    <row r="2535" spans="7:119" x14ac:dyDescent="0.25">
      <c r="G2535"/>
      <c r="DI2535" s="4">
        <f>INDEX(Sheet2!A:A,QUOTIENT(ROW()-1,19)+2)</f>
        <v>41535</v>
      </c>
      <c r="DJ2535" s="4">
        <f>INDEX(Sheet2!C:C,QUOTIENT(ROW()-1,19)+2)</f>
        <v>42735</v>
      </c>
      <c r="DK2535" s="4" t="e">
        <f>INDEX(Sheet2!$AA$2:$AS$228,QUOTIENT(ROW()-1,19)+1,MOD(ROW()-2,19)+1)</f>
        <v>#N/A</v>
      </c>
      <c r="DL2535" t="str">
        <f>IFERROR(INDEX(Sheet2!$AU$2:$BM$228,QUOTIENT(ROW()-1,19)+1,MOD(ROW()-2,19)+1),NA())</f>
        <v/>
      </c>
      <c r="DM2535" s="4" t="e">
        <f t="shared" si="138"/>
        <v>#N/A</v>
      </c>
      <c r="DN2535" t="e">
        <f t="shared" si="139"/>
        <v>#N/A</v>
      </c>
      <c r="DO2535" t="e">
        <f t="shared" si="140"/>
        <v>#N/A</v>
      </c>
    </row>
    <row r="2536" spans="7:119" x14ac:dyDescent="0.25">
      <c r="G2536"/>
      <c r="DI2536" s="4">
        <f>INDEX(Sheet2!A:A,QUOTIENT(ROW()-1,19)+2)</f>
        <v>41535</v>
      </c>
      <c r="DJ2536" s="4">
        <f>INDEX(Sheet2!C:C,QUOTIENT(ROW()-1,19)+2)</f>
        <v>42735</v>
      </c>
      <c r="DK2536" s="4" t="e">
        <f>INDEX(Sheet2!$AA$2:$AS$228,QUOTIENT(ROW()-1,19)+1,MOD(ROW()-2,19)+1)</f>
        <v>#N/A</v>
      </c>
      <c r="DL2536" t="str">
        <f>IFERROR(INDEX(Sheet2!$AU$2:$BM$228,QUOTIENT(ROW()-1,19)+1,MOD(ROW()-2,19)+1),NA())</f>
        <v/>
      </c>
      <c r="DM2536" s="4" t="e">
        <f t="shared" si="138"/>
        <v>#N/A</v>
      </c>
      <c r="DN2536" t="e">
        <f t="shared" si="139"/>
        <v>#N/A</v>
      </c>
      <c r="DO2536" t="e">
        <f t="shared" si="140"/>
        <v>#N/A</v>
      </c>
    </row>
    <row r="2537" spans="7:119" x14ac:dyDescent="0.25">
      <c r="G2537"/>
      <c r="DI2537" s="4">
        <f>INDEX(Sheet2!A:A,QUOTIENT(ROW()-1,19)+2)</f>
        <v>41535</v>
      </c>
      <c r="DJ2537" s="4">
        <f>INDEX(Sheet2!C:C,QUOTIENT(ROW()-1,19)+2)</f>
        <v>42735</v>
      </c>
      <c r="DK2537" s="4" t="e">
        <f>INDEX(Sheet2!$AA$2:$AS$228,QUOTIENT(ROW()-1,19)+1,MOD(ROW()-2,19)+1)</f>
        <v>#N/A</v>
      </c>
      <c r="DL2537" t="str">
        <f>IFERROR(INDEX(Sheet2!$AU$2:$BM$228,QUOTIENT(ROW()-1,19)+1,MOD(ROW()-2,19)+1),NA())</f>
        <v/>
      </c>
      <c r="DM2537" s="4" t="e">
        <f t="shared" si="138"/>
        <v>#N/A</v>
      </c>
      <c r="DN2537" t="e">
        <f t="shared" si="139"/>
        <v>#N/A</v>
      </c>
      <c r="DO2537" t="e">
        <f t="shared" si="140"/>
        <v>#N/A</v>
      </c>
    </row>
    <row r="2538" spans="7:119" x14ac:dyDescent="0.25">
      <c r="G2538"/>
      <c r="DI2538" s="4">
        <f>INDEX(Sheet2!A:A,QUOTIENT(ROW()-1,19)+2)</f>
        <v>41535</v>
      </c>
      <c r="DJ2538" s="4">
        <f>INDEX(Sheet2!C:C,QUOTIENT(ROW()-1,19)+2)</f>
        <v>42735</v>
      </c>
      <c r="DK2538" s="4" t="e">
        <f>INDEX(Sheet2!$AA$2:$AS$228,QUOTIENT(ROW()-1,19)+1,MOD(ROW()-2,19)+1)</f>
        <v>#N/A</v>
      </c>
      <c r="DL2538" t="str">
        <f>IFERROR(INDEX(Sheet2!$AU$2:$BM$228,QUOTIENT(ROW()-1,19)+1,MOD(ROW()-2,19)+1),NA())</f>
        <v/>
      </c>
      <c r="DM2538" s="4" t="e">
        <f t="shared" si="138"/>
        <v>#N/A</v>
      </c>
      <c r="DN2538" t="e">
        <f t="shared" si="139"/>
        <v>#N/A</v>
      </c>
      <c r="DO2538" t="e">
        <f t="shared" si="140"/>
        <v>#N/A</v>
      </c>
    </row>
    <row r="2539" spans="7:119" x14ac:dyDescent="0.25">
      <c r="G2539"/>
      <c r="DI2539" s="4">
        <f>INDEX(Sheet2!A:A,QUOTIENT(ROW()-1,19)+2)</f>
        <v>41535</v>
      </c>
      <c r="DJ2539" s="4">
        <f>INDEX(Sheet2!C:C,QUOTIENT(ROW()-1,19)+2)</f>
        <v>42735</v>
      </c>
      <c r="DK2539" s="4" t="e">
        <f>INDEX(Sheet2!$AA$2:$AS$228,QUOTIENT(ROW()-1,19)+1,MOD(ROW()-2,19)+1)</f>
        <v>#N/A</v>
      </c>
      <c r="DL2539" t="str">
        <f>IFERROR(INDEX(Sheet2!$AU$2:$BM$228,QUOTIENT(ROW()-1,19)+1,MOD(ROW()-2,19)+1),NA())</f>
        <v/>
      </c>
      <c r="DM2539" s="4" t="e">
        <f t="shared" si="138"/>
        <v>#N/A</v>
      </c>
      <c r="DN2539" t="e">
        <f t="shared" si="139"/>
        <v>#N/A</v>
      </c>
      <c r="DO2539" t="e">
        <f t="shared" si="140"/>
        <v>#N/A</v>
      </c>
    </row>
    <row r="2540" spans="7:119" x14ac:dyDescent="0.25">
      <c r="G2540"/>
      <c r="DI2540" s="4">
        <f>INDEX(Sheet2!A:A,QUOTIENT(ROW()-1,19)+2)</f>
        <v>41535</v>
      </c>
      <c r="DJ2540" s="4">
        <f>INDEX(Sheet2!C:C,QUOTIENT(ROW()-1,19)+2)</f>
        <v>42735</v>
      </c>
      <c r="DK2540" s="4" t="e">
        <f>INDEX(Sheet2!$AA$2:$AS$228,QUOTIENT(ROW()-1,19)+1,MOD(ROW()-2,19)+1)</f>
        <v>#N/A</v>
      </c>
      <c r="DL2540" t="str">
        <f>IFERROR(INDEX(Sheet2!$AU$2:$BM$228,QUOTIENT(ROW()-1,19)+1,MOD(ROW()-2,19)+1),NA())</f>
        <v/>
      </c>
      <c r="DM2540" s="4" t="e">
        <f t="shared" si="138"/>
        <v>#N/A</v>
      </c>
      <c r="DN2540" t="e">
        <f t="shared" si="139"/>
        <v>#N/A</v>
      </c>
      <c r="DO2540" t="e">
        <f t="shared" si="140"/>
        <v>#N/A</v>
      </c>
    </row>
    <row r="2541" spans="7:119" x14ac:dyDescent="0.25">
      <c r="G2541"/>
      <c r="DI2541" s="4">
        <f>INDEX(Sheet2!A:A,QUOTIENT(ROW()-1,19)+2)</f>
        <v>41535</v>
      </c>
      <c r="DJ2541" s="4">
        <f>INDEX(Sheet2!C:C,QUOTIENT(ROW()-1,19)+2)</f>
        <v>42735</v>
      </c>
      <c r="DK2541" s="4" t="e">
        <f>INDEX(Sheet2!$AA$2:$AS$228,QUOTIENT(ROW()-1,19)+1,MOD(ROW()-2,19)+1)</f>
        <v>#N/A</v>
      </c>
      <c r="DL2541" t="str">
        <f>IFERROR(INDEX(Sheet2!$AU$2:$BM$228,QUOTIENT(ROW()-1,19)+1,MOD(ROW()-2,19)+1),NA())</f>
        <v/>
      </c>
      <c r="DM2541" s="4" t="e">
        <f t="shared" si="138"/>
        <v>#N/A</v>
      </c>
      <c r="DN2541" t="e">
        <f t="shared" si="139"/>
        <v>#N/A</v>
      </c>
      <c r="DO2541" t="e">
        <f t="shared" si="140"/>
        <v>#N/A</v>
      </c>
    </row>
    <row r="2542" spans="7:119" x14ac:dyDescent="0.25">
      <c r="G2542"/>
      <c r="DI2542" s="4">
        <f>INDEX(Sheet2!A:A,QUOTIENT(ROW()-1,19)+2)</f>
        <v>41535</v>
      </c>
      <c r="DJ2542" s="4">
        <f>INDEX(Sheet2!C:C,QUOTIENT(ROW()-1,19)+2)</f>
        <v>42735</v>
      </c>
      <c r="DK2542" s="4" t="e">
        <f>INDEX(Sheet2!$AA$2:$AS$228,QUOTIENT(ROW()-1,19)+1,MOD(ROW()-2,19)+1)</f>
        <v>#N/A</v>
      </c>
      <c r="DL2542" t="str">
        <f>IFERROR(INDEX(Sheet2!$AU$2:$BM$228,QUOTIENT(ROW()-1,19)+1,MOD(ROW()-2,19)+1),NA())</f>
        <v/>
      </c>
      <c r="DM2542" s="4" t="e">
        <f t="shared" si="138"/>
        <v>#N/A</v>
      </c>
      <c r="DN2542" t="e">
        <f t="shared" si="139"/>
        <v>#N/A</v>
      </c>
      <c r="DO2542" t="e">
        <f t="shared" si="140"/>
        <v>#N/A</v>
      </c>
    </row>
    <row r="2543" spans="7:119" x14ac:dyDescent="0.25">
      <c r="G2543"/>
      <c r="DI2543" s="4">
        <f>INDEX(Sheet2!A:A,QUOTIENT(ROW()-1,19)+2)</f>
        <v>41535</v>
      </c>
      <c r="DJ2543" s="4">
        <f>INDEX(Sheet2!C:C,QUOTIENT(ROW()-1,19)+2)</f>
        <v>42735</v>
      </c>
      <c r="DK2543" s="4" t="e">
        <f>INDEX(Sheet2!$AA$2:$AS$228,QUOTIENT(ROW()-1,19)+1,MOD(ROW()-2,19)+1)</f>
        <v>#N/A</v>
      </c>
      <c r="DL2543" t="str">
        <f>IFERROR(INDEX(Sheet2!$AU$2:$BM$228,QUOTIENT(ROW()-1,19)+1,MOD(ROW()-2,19)+1),NA())</f>
        <v/>
      </c>
      <c r="DM2543" s="4" t="e">
        <f t="shared" si="138"/>
        <v>#N/A</v>
      </c>
      <c r="DN2543" t="e">
        <f t="shared" si="139"/>
        <v>#N/A</v>
      </c>
      <c r="DO2543" t="e">
        <f t="shared" si="140"/>
        <v>#N/A</v>
      </c>
    </row>
    <row r="2544" spans="7:119" x14ac:dyDescent="0.25">
      <c r="G2544"/>
      <c r="DI2544" s="4">
        <f>INDEX(Sheet2!A:A,QUOTIENT(ROW()-1,19)+2)</f>
        <v>41535</v>
      </c>
      <c r="DJ2544" s="4">
        <f>INDEX(Sheet2!C:C,QUOTIENT(ROW()-1,19)+2)</f>
        <v>42735</v>
      </c>
      <c r="DK2544" s="4" t="e">
        <f>INDEX(Sheet2!$AA$2:$AS$228,QUOTIENT(ROW()-1,19)+1,MOD(ROW()-2,19)+1)</f>
        <v>#N/A</v>
      </c>
      <c r="DL2544" t="str">
        <f>IFERROR(INDEX(Sheet2!$AU$2:$BM$228,QUOTIENT(ROW()-1,19)+1,MOD(ROW()-2,19)+1),NA())</f>
        <v/>
      </c>
      <c r="DM2544" s="4" t="e">
        <f t="shared" si="138"/>
        <v>#N/A</v>
      </c>
      <c r="DN2544" t="e">
        <f t="shared" si="139"/>
        <v>#N/A</v>
      </c>
      <c r="DO2544" t="e">
        <f t="shared" si="140"/>
        <v>#N/A</v>
      </c>
    </row>
    <row r="2545" spans="7:119" x14ac:dyDescent="0.25">
      <c r="G2545"/>
      <c r="DI2545" s="4">
        <f>INDEX(Sheet2!A:A,QUOTIENT(ROW()-1,19)+2)</f>
        <v>41535</v>
      </c>
      <c r="DJ2545" s="4">
        <f>INDEX(Sheet2!C:C,QUOTIENT(ROW()-1,19)+2)</f>
        <v>42735</v>
      </c>
      <c r="DK2545" s="4" t="e">
        <f>INDEX(Sheet2!$AA$2:$AS$228,QUOTIENT(ROW()-1,19)+1,MOD(ROW()-2,19)+1)</f>
        <v>#N/A</v>
      </c>
      <c r="DL2545" t="str">
        <f>IFERROR(INDEX(Sheet2!$AU$2:$BM$228,QUOTIENT(ROW()-1,19)+1,MOD(ROW()-2,19)+1),NA())</f>
        <v/>
      </c>
      <c r="DM2545" s="4" t="e">
        <f t="shared" si="138"/>
        <v>#N/A</v>
      </c>
      <c r="DN2545" t="e">
        <f t="shared" si="139"/>
        <v>#N/A</v>
      </c>
      <c r="DO2545" t="e">
        <f t="shared" si="140"/>
        <v>#N/A</v>
      </c>
    </row>
    <row r="2546" spans="7:119" x14ac:dyDescent="0.25">
      <c r="G2546"/>
      <c r="DI2546" s="4">
        <f>INDEX(Sheet2!A:A,QUOTIENT(ROW()-1,19)+2)</f>
        <v>41535</v>
      </c>
      <c r="DJ2546" s="4">
        <f>INDEX(Sheet2!C:C,QUOTIENT(ROW()-1,19)+2)</f>
        <v>42735</v>
      </c>
      <c r="DK2546" s="4" t="e">
        <f>INDEX(Sheet2!$AA$2:$AS$228,QUOTIENT(ROW()-1,19)+1,MOD(ROW()-2,19)+1)</f>
        <v>#N/A</v>
      </c>
      <c r="DL2546" t="str">
        <f>IFERROR(INDEX(Sheet2!$AU$2:$BM$228,QUOTIENT(ROW()-1,19)+1,MOD(ROW()-2,19)+1),NA())</f>
        <v/>
      </c>
      <c r="DM2546" s="4" t="e">
        <f t="shared" si="138"/>
        <v>#N/A</v>
      </c>
      <c r="DN2546" t="e">
        <f t="shared" si="139"/>
        <v>#N/A</v>
      </c>
      <c r="DO2546" t="e">
        <f t="shared" si="140"/>
        <v>#N/A</v>
      </c>
    </row>
    <row r="2547" spans="7:119" x14ac:dyDescent="0.25">
      <c r="G2547"/>
      <c r="DI2547" s="4">
        <f>INDEX(Sheet2!A:A,QUOTIENT(ROW()-1,19)+2)</f>
        <v>41535</v>
      </c>
      <c r="DJ2547" s="4">
        <f>INDEX(Sheet2!C:C,QUOTIENT(ROW()-1,19)+2)</f>
        <v>42735</v>
      </c>
      <c r="DK2547" s="4" t="e">
        <f>INDEX(Sheet2!$AA$2:$AS$228,QUOTIENT(ROW()-1,19)+1,MOD(ROW()-2,19)+1)</f>
        <v>#N/A</v>
      </c>
      <c r="DL2547" t="str">
        <f>IFERROR(INDEX(Sheet2!$AU$2:$BM$228,QUOTIENT(ROW()-1,19)+1,MOD(ROW()-2,19)+1),NA())</f>
        <v/>
      </c>
      <c r="DM2547" s="4" t="e">
        <f t="shared" si="138"/>
        <v>#N/A</v>
      </c>
      <c r="DN2547" t="e">
        <f t="shared" si="139"/>
        <v>#N/A</v>
      </c>
      <c r="DO2547" t="e">
        <f t="shared" si="140"/>
        <v>#N/A</v>
      </c>
    </row>
    <row r="2548" spans="7:119" x14ac:dyDescent="0.25">
      <c r="G2548"/>
      <c r="DI2548" s="4">
        <f>INDEX(Sheet2!A:A,QUOTIENT(ROW()-1,19)+2)</f>
        <v>41535</v>
      </c>
      <c r="DJ2548" s="4">
        <f>INDEX(Sheet2!C:C,QUOTIENT(ROW()-1,19)+2)</f>
        <v>42735</v>
      </c>
      <c r="DK2548" s="4">
        <f>INDEX(Sheet2!$AA$2:$AS$228,QUOTIENT(ROW()-1,19)+1,MOD(ROW()-2,19)+1)</f>
        <v>42724.962500000001</v>
      </c>
      <c r="DL2548">
        <f>IFERROR(INDEX(Sheet2!$AU$2:$BM$228,QUOTIENT(ROW()-1,19)+1,MOD(ROW()-2,19)+1),NA())</f>
        <v>2.5</v>
      </c>
      <c r="DM2548" s="4" t="e">
        <f t="shared" si="138"/>
        <v>#N/A</v>
      </c>
      <c r="DN2548" t="e">
        <f t="shared" si="139"/>
        <v>#N/A</v>
      </c>
      <c r="DO2548" t="e">
        <f t="shared" si="140"/>
        <v>#N/A</v>
      </c>
    </row>
    <row r="2549" spans="7:119" x14ac:dyDescent="0.25">
      <c r="G2549"/>
      <c r="DI2549" s="4">
        <f>INDEX(Sheet2!A:A,QUOTIENT(ROW()-1,19)+2)</f>
        <v>41535</v>
      </c>
      <c r="DJ2549" s="4">
        <f>INDEX(Sheet2!C:C,QUOTIENT(ROW()-1,19)+2)</f>
        <v>42735</v>
      </c>
      <c r="DK2549" s="4">
        <f>INDEX(Sheet2!$AA$2:$AS$228,QUOTIENT(ROW()-1,19)+1,MOD(ROW()-2,19)+1)</f>
        <v>42745.037500000006</v>
      </c>
      <c r="DL2549">
        <f>IFERROR(INDEX(Sheet2!$AU$2:$BM$228,QUOTIENT(ROW()-1,19)+1,MOD(ROW()-2,19)+1),NA())</f>
        <v>2.5</v>
      </c>
      <c r="DM2549" s="4" t="e">
        <f t="shared" si="138"/>
        <v>#N/A</v>
      </c>
      <c r="DN2549" t="e">
        <f t="shared" si="139"/>
        <v>#N/A</v>
      </c>
      <c r="DO2549" t="e">
        <f t="shared" si="140"/>
        <v>#N/A</v>
      </c>
    </row>
    <row r="2550" spans="7:119" x14ac:dyDescent="0.25">
      <c r="G2550"/>
      <c r="DI2550" s="4">
        <f>INDEX(Sheet2!A:A,QUOTIENT(ROW()-1,19)+2)</f>
        <v>41535</v>
      </c>
      <c r="DJ2550" s="4">
        <f>INDEX(Sheet2!C:C,QUOTIENT(ROW()-1,19)+2)</f>
        <v>42735</v>
      </c>
      <c r="DK2550" s="4" t="e">
        <f>INDEX(Sheet2!$AA$2:$AS$228,QUOTIENT(ROW()-1,19)+1,MOD(ROW()-2,19)+1)</f>
        <v>#N/A</v>
      </c>
      <c r="DL2550" t="str">
        <f>IFERROR(INDEX(Sheet2!$AU$2:$BM$228,QUOTIENT(ROW()-1,19)+1,MOD(ROW()-2,19)+1),NA())</f>
        <v/>
      </c>
      <c r="DM2550" s="4" t="e">
        <f t="shared" si="138"/>
        <v>#N/A</v>
      </c>
      <c r="DN2550" t="e">
        <f t="shared" si="139"/>
        <v>#N/A</v>
      </c>
      <c r="DO2550" t="e">
        <f t="shared" si="140"/>
        <v>#N/A</v>
      </c>
    </row>
    <row r="2551" spans="7:119" x14ac:dyDescent="0.25">
      <c r="G2551"/>
      <c r="DI2551" s="4">
        <f>INDEX(Sheet2!A:A,QUOTIENT(ROW()-1,19)+2)</f>
        <v>41535</v>
      </c>
      <c r="DJ2551" s="4">
        <f>INDEX(Sheet2!C:C,QUOTIENT(ROW()-1,19)+2)</f>
        <v>42735</v>
      </c>
      <c r="DK2551" s="4" t="e">
        <f>INDEX(Sheet2!$AA$2:$AS$228,QUOTIENT(ROW()-1,19)+1,MOD(ROW()-2,19)+1)</f>
        <v>#N/A</v>
      </c>
      <c r="DL2551" t="str">
        <f>IFERROR(INDEX(Sheet2!$AU$2:$BM$228,QUOTIENT(ROW()-1,19)+1,MOD(ROW()-2,19)+1),NA())</f>
        <v/>
      </c>
      <c r="DM2551" s="4" t="e">
        <f t="shared" si="138"/>
        <v>#N/A</v>
      </c>
      <c r="DN2551" t="e">
        <f t="shared" si="139"/>
        <v>#N/A</v>
      </c>
      <c r="DO2551" t="e">
        <f t="shared" si="140"/>
        <v>#N/A</v>
      </c>
    </row>
    <row r="2552" spans="7:119" x14ac:dyDescent="0.25">
      <c r="G2552"/>
      <c r="DI2552" s="4">
        <f>INDEX(Sheet2!A:A,QUOTIENT(ROW()-1,19)+2)</f>
        <v>41535</v>
      </c>
      <c r="DJ2552" s="4">
        <f>INDEX(Sheet2!C:C,QUOTIENT(ROW()-1,19)+2)</f>
        <v>42735</v>
      </c>
      <c r="DK2552" s="4" t="e">
        <f>INDEX(Sheet2!$AA$2:$AS$228,QUOTIENT(ROW()-1,19)+1,MOD(ROW()-2,19)+1)</f>
        <v>#N/A</v>
      </c>
      <c r="DL2552" t="str">
        <f>IFERROR(INDEX(Sheet2!$AU$2:$BM$228,QUOTIENT(ROW()-1,19)+1,MOD(ROW()-2,19)+1),NA())</f>
        <v/>
      </c>
      <c r="DM2552" s="4" t="e">
        <f t="shared" si="138"/>
        <v>#N/A</v>
      </c>
      <c r="DN2552" t="e">
        <f t="shared" si="139"/>
        <v>#N/A</v>
      </c>
      <c r="DO2552" t="e">
        <f t="shared" si="140"/>
        <v>#N/A</v>
      </c>
    </row>
    <row r="2553" spans="7:119" x14ac:dyDescent="0.25">
      <c r="G2553"/>
      <c r="DI2553" s="4">
        <f>INDEX(Sheet2!A:A,QUOTIENT(ROW()-1,19)+2)</f>
        <v>41535</v>
      </c>
      <c r="DJ2553" s="4">
        <f>INDEX(Sheet2!C:C,QUOTIENT(ROW()-1,19)+2)</f>
        <v>42735</v>
      </c>
      <c r="DK2553" s="4" t="e">
        <f>INDEX(Sheet2!$AA$2:$AS$228,QUOTIENT(ROW()-1,19)+1,MOD(ROW()-2,19)+1)</f>
        <v>#N/A</v>
      </c>
      <c r="DL2553" t="str">
        <f>IFERROR(INDEX(Sheet2!$AU$2:$BM$228,QUOTIENT(ROW()-1,19)+1,MOD(ROW()-2,19)+1),NA())</f>
        <v/>
      </c>
      <c r="DM2553" s="4" t="e">
        <f t="shared" si="138"/>
        <v>#N/A</v>
      </c>
      <c r="DN2553" t="e">
        <f t="shared" si="139"/>
        <v>#N/A</v>
      </c>
      <c r="DO2553" t="e">
        <f t="shared" si="140"/>
        <v>#N/A</v>
      </c>
    </row>
    <row r="2554" spans="7:119" x14ac:dyDescent="0.25">
      <c r="G2554"/>
      <c r="DI2554" s="4">
        <f>INDEX(Sheet2!A:A,QUOTIENT(ROW()-1,19)+2)</f>
        <v>41535</v>
      </c>
      <c r="DJ2554" s="4">
        <f>INDEX(Sheet2!C:C,QUOTIENT(ROW()-1,19)+2)</f>
        <v>42735</v>
      </c>
      <c r="DK2554" s="4" t="e">
        <f>INDEX(Sheet2!$AA$2:$AS$228,QUOTIENT(ROW()-1,19)+1,MOD(ROW()-2,19)+1)</f>
        <v>#N/A</v>
      </c>
      <c r="DL2554" t="str">
        <f>IFERROR(INDEX(Sheet2!$AU$2:$BM$228,QUOTIENT(ROW()-1,19)+1,MOD(ROW()-2,19)+1),NA())</f>
        <v/>
      </c>
      <c r="DM2554" s="4" t="e">
        <f t="shared" si="138"/>
        <v>#N/A</v>
      </c>
      <c r="DN2554" t="e">
        <f t="shared" si="139"/>
        <v>#N/A</v>
      </c>
      <c r="DO2554" t="e">
        <f t="shared" si="140"/>
        <v>#N/A</v>
      </c>
    </row>
    <row r="2555" spans="7:119" x14ac:dyDescent="0.25">
      <c r="G2555"/>
      <c r="DI2555" s="4">
        <f>INDEX(Sheet2!A:A,QUOTIENT(ROW()-1,19)+2)</f>
        <v>41535</v>
      </c>
      <c r="DJ2555" s="4">
        <f>INDEX(Sheet2!C:C,QUOTIENT(ROW()-1,19)+2)</f>
        <v>42735</v>
      </c>
      <c r="DK2555" s="4" t="e">
        <f>INDEX(Sheet2!$AA$2:$AS$228,QUOTIENT(ROW()-1,19)+1,MOD(ROW()-2,19)+1)</f>
        <v>#N/A</v>
      </c>
      <c r="DL2555" t="str">
        <f>IFERROR(INDEX(Sheet2!$AU$2:$BM$228,QUOTIENT(ROW()-1,19)+1,MOD(ROW()-2,19)+1),NA())</f>
        <v/>
      </c>
      <c r="DM2555" s="4" t="e">
        <f t="shared" si="138"/>
        <v>#N/A</v>
      </c>
      <c r="DN2555" t="e">
        <f t="shared" si="139"/>
        <v>#N/A</v>
      </c>
      <c r="DO2555" t="e">
        <f t="shared" si="140"/>
        <v>#N/A</v>
      </c>
    </row>
    <row r="2556" spans="7:119" x14ac:dyDescent="0.25">
      <c r="G2556"/>
      <c r="DI2556" s="4">
        <f>INDEX(Sheet2!A:A,QUOTIENT(ROW()-1,19)+2)</f>
        <v>41535</v>
      </c>
      <c r="DJ2556" s="4">
        <f>INDEX(Sheet2!C:C,QUOTIENT(ROW()-1,19)+2)</f>
        <v>42735</v>
      </c>
      <c r="DK2556" s="4" t="e">
        <f>INDEX(Sheet2!$AA$2:$AS$228,QUOTIENT(ROW()-1,19)+1,MOD(ROW()-2,19)+1)</f>
        <v>#N/A</v>
      </c>
      <c r="DL2556" t="str">
        <f>IFERROR(INDEX(Sheet2!$AU$2:$BM$228,QUOTIENT(ROW()-1,19)+1,MOD(ROW()-2,19)+1),NA())</f>
        <v/>
      </c>
      <c r="DM2556" s="4" t="e">
        <f t="shared" si="138"/>
        <v>#N/A</v>
      </c>
      <c r="DN2556" t="e">
        <f t="shared" si="139"/>
        <v>#N/A</v>
      </c>
      <c r="DO2556" t="e">
        <f t="shared" si="140"/>
        <v>#N/A</v>
      </c>
    </row>
    <row r="2557" spans="7:119" x14ac:dyDescent="0.25">
      <c r="G2557"/>
      <c r="DI2557" s="4">
        <f>INDEX(Sheet2!A:A,QUOTIENT(ROW()-1,19)+2)</f>
        <v>41535</v>
      </c>
      <c r="DJ2557" s="4">
        <f>INDEX(Sheet2!C:C,QUOTIENT(ROW()-1,19)+2)</f>
        <v>42735</v>
      </c>
      <c r="DK2557" s="4" t="e">
        <f>INDEX(Sheet2!$AA$2:$AS$228,QUOTIENT(ROW()-1,19)+1,MOD(ROW()-2,19)+1)</f>
        <v>#N/A</v>
      </c>
      <c r="DL2557" t="str">
        <f>IFERROR(INDEX(Sheet2!$AU$2:$BM$228,QUOTIENT(ROW()-1,19)+1,MOD(ROW()-2,19)+1),NA())</f>
        <v/>
      </c>
      <c r="DM2557" s="4" t="e">
        <f t="shared" si="138"/>
        <v>#N/A</v>
      </c>
      <c r="DN2557" t="e">
        <f t="shared" si="139"/>
        <v>#N/A</v>
      </c>
      <c r="DO2557" t="e">
        <f t="shared" si="140"/>
        <v>#N/A</v>
      </c>
    </row>
    <row r="2558" spans="7:119" x14ac:dyDescent="0.25">
      <c r="G2558"/>
      <c r="DI2558" s="4">
        <f>INDEX(Sheet2!A:A,QUOTIENT(ROW()-1,19)+2)</f>
        <v>41535</v>
      </c>
      <c r="DJ2558" s="4">
        <f>INDEX(Sheet2!C:C,QUOTIENT(ROW()-1,19)+2)</f>
        <v>42735</v>
      </c>
      <c r="DK2558" s="4" t="e">
        <f>INDEX(Sheet2!$AA$2:$AS$228,QUOTIENT(ROW()-1,19)+1,MOD(ROW()-2,19)+1)</f>
        <v>#N/A</v>
      </c>
      <c r="DL2558" t="str">
        <f>IFERROR(INDEX(Sheet2!$AU$2:$BM$228,QUOTIENT(ROW()-1,19)+1,MOD(ROW()-2,19)+1),NA())</f>
        <v/>
      </c>
      <c r="DM2558" s="4" t="e">
        <f t="shared" si="138"/>
        <v>#N/A</v>
      </c>
      <c r="DN2558" t="e">
        <f t="shared" si="139"/>
        <v>#N/A</v>
      </c>
      <c r="DO2558" t="e">
        <f t="shared" si="140"/>
        <v>#N/A</v>
      </c>
    </row>
    <row r="2559" spans="7:119" x14ac:dyDescent="0.25">
      <c r="G2559"/>
      <c r="DI2559" s="4">
        <f>INDEX(Sheet2!A:A,QUOTIENT(ROW()-1,19)+2)</f>
        <v>41535</v>
      </c>
      <c r="DJ2559" s="4">
        <f>INDEX(Sheet2!C:C,QUOTIENT(ROW()-1,19)+2)</f>
        <v>42735</v>
      </c>
      <c r="DK2559" s="4" t="e">
        <f>INDEX(Sheet2!$AA$2:$AS$228,QUOTIENT(ROW()-1,19)+1,MOD(ROW()-2,19)+1)</f>
        <v>#N/A</v>
      </c>
      <c r="DL2559" t="str">
        <f>IFERROR(INDEX(Sheet2!$AU$2:$BM$228,QUOTIENT(ROW()-1,19)+1,MOD(ROW()-2,19)+1),NA())</f>
        <v/>
      </c>
      <c r="DM2559" s="4" t="e">
        <f t="shared" si="138"/>
        <v>#N/A</v>
      </c>
      <c r="DN2559" t="e">
        <f t="shared" si="139"/>
        <v>#N/A</v>
      </c>
      <c r="DO2559" t="e">
        <f t="shared" si="140"/>
        <v>#N/A</v>
      </c>
    </row>
    <row r="2560" spans="7:119" x14ac:dyDescent="0.25">
      <c r="G2560"/>
      <c r="DI2560" s="4">
        <f>INDEX(Sheet2!A:A,QUOTIENT(ROW()-1,19)+2)</f>
        <v>41535</v>
      </c>
      <c r="DJ2560" s="4">
        <f>INDEX(Sheet2!C:C,QUOTIENT(ROW()-1,19)+2)</f>
        <v>42735</v>
      </c>
      <c r="DK2560" s="4" t="e">
        <f>INDEX(Sheet2!$AA$2:$AS$228,QUOTIENT(ROW()-1,19)+1,MOD(ROW()-2,19)+1)</f>
        <v>#N/A</v>
      </c>
      <c r="DL2560" t="str">
        <f>IFERROR(INDEX(Sheet2!$AU$2:$BM$228,QUOTIENT(ROW()-1,19)+1,MOD(ROW()-2,19)+1),NA())</f>
        <v/>
      </c>
      <c r="DM2560" s="4" t="e">
        <f t="shared" si="138"/>
        <v>#N/A</v>
      </c>
      <c r="DN2560" t="e">
        <f t="shared" si="139"/>
        <v>#N/A</v>
      </c>
      <c r="DO2560" t="e">
        <f t="shared" si="140"/>
        <v>#N/A</v>
      </c>
    </row>
    <row r="2561" spans="7:119" x14ac:dyDescent="0.25">
      <c r="G2561"/>
      <c r="DI2561" s="4">
        <f>INDEX(Sheet2!A:A,QUOTIENT(ROW()-1,19)+2)</f>
        <v>41535</v>
      </c>
      <c r="DJ2561" s="4">
        <f>INDEX(Sheet2!C:C,QUOTIENT(ROW()-1,19)+2)</f>
        <v>42735</v>
      </c>
      <c r="DK2561" s="4" t="e">
        <f>INDEX(Sheet2!$AA$2:$AS$228,QUOTIENT(ROW()-1,19)+1,MOD(ROW()-2,19)+1)</f>
        <v>#N/A</v>
      </c>
      <c r="DL2561" t="str">
        <f>IFERROR(INDEX(Sheet2!$AU$2:$BM$228,QUOTIENT(ROW()-1,19)+1,MOD(ROW()-2,19)+1),NA())</f>
        <v/>
      </c>
      <c r="DM2561" s="4" t="e">
        <f t="shared" si="138"/>
        <v>#N/A</v>
      </c>
      <c r="DN2561" t="e">
        <f t="shared" si="139"/>
        <v>#N/A</v>
      </c>
      <c r="DO2561" t="e">
        <f t="shared" si="140"/>
        <v>#N/A</v>
      </c>
    </row>
    <row r="2562" spans="7:119" x14ac:dyDescent="0.25">
      <c r="G2562"/>
      <c r="DI2562" s="4">
        <f>INDEX(Sheet2!A:A,QUOTIENT(ROW()-1,19)+2)</f>
        <v>41535</v>
      </c>
      <c r="DJ2562" s="4">
        <f>INDEX(Sheet2!C:C,QUOTIENT(ROW()-1,19)+2)</f>
        <v>42735</v>
      </c>
      <c r="DK2562" s="4" t="e">
        <f>INDEX(Sheet2!$AA$2:$AS$228,QUOTIENT(ROW()-1,19)+1,MOD(ROW()-2,19)+1)</f>
        <v>#N/A</v>
      </c>
      <c r="DL2562" t="str">
        <f>IFERROR(INDEX(Sheet2!$AU$2:$BM$228,QUOTIENT(ROW()-1,19)+1,MOD(ROW()-2,19)+1),NA())</f>
        <v/>
      </c>
      <c r="DM2562" s="4" t="e">
        <f t="shared" ref="DM2562:DM2625" si="141">+IF($C$2=$DI2562,DK2562,NA())</f>
        <v>#N/A</v>
      </c>
      <c r="DN2562" t="e">
        <f t="shared" ref="DN2562:DN2625" si="142">+IF($C$2=$DI2562,DL2562,NA())</f>
        <v>#N/A</v>
      </c>
      <c r="DO2562" t="e">
        <f t="shared" si="140"/>
        <v>#N/A</v>
      </c>
    </row>
    <row r="2563" spans="7:119" x14ac:dyDescent="0.25">
      <c r="G2563"/>
      <c r="DI2563" s="4">
        <f>INDEX(Sheet2!A:A,QUOTIENT(ROW()-1,19)+2)</f>
        <v>41535</v>
      </c>
      <c r="DJ2563" s="4">
        <f>INDEX(Sheet2!C:C,QUOTIENT(ROW()-1,19)+2)</f>
        <v>42735</v>
      </c>
      <c r="DK2563" s="4" t="e">
        <f>INDEX(Sheet2!$AA$2:$AS$228,QUOTIENT(ROW()-1,19)+1,MOD(ROW()-2,19)+1)</f>
        <v>#N/A</v>
      </c>
      <c r="DL2563" t="str">
        <f>IFERROR(INDEX(Sheet2!$AU$2:$BM$228,QUOTIENT(ROW()-1,19)+1,MOD(ROW()-2,19)+1),NA())</f>
        <v/>
      </c>
      <c r="DM2563" s="4" t="e">
        <f t="shared" si="141"/>
        <v>#N/A</v>
      </c>
      <c r="DN2563" t="e">
        <f t="shared" si="142"/>
        <v>#N/A</v>
      </c>
      <c r="DO2563" t="e">
        <f t="shared" ref="DO2563:DO2626" si="143">IF(DN2563="",NA(),DN2563)</f>
        <v>#N/A</v>
      </c>
    </row>
    <row r="2564" spans="7:119" x14ac:dyDescent="0.25">
      <c r="G2564"/>
      <c r="DI2564" s="4">
        <f>INDEX(Sheet2!A:A,QUOTIENT(ROW()-1,19)+2)</f>
        <v>41535</v>
      </c>
      <c r="DJ2564" s="4">
        <f>INDEX(Sheet2!C:C,QUOTIENT(ROW()-1,19)+2)</f>
        <v>42735</v>
      </c>
      <c r="DK2564" s="4" t="e">
        <f>INDEX(Sheet2!$AA$2:$AS$228,QUOTIENT(ROW()-1,19)+1,MOD(ROW()-2,19)+1)</f>
        <v>#N/A</v>
      </c>
      <c r="DL2564" t="str">
        <f>IFERROR(INDEX(Sheet2!$AU$2:$BM$228,QUOTIENT(ROW()-1,19)+1,MOD(ROW()-2,19)+1),NA())</f>
        <v/>
      </c>
      <c r="DM2564" s="4" t="e">
        <f t="shared" si="141"/>
        <v>#N/A</v>
      </c>
      <c r="DN2564" t="e">
        <f t="shared" si="142"/>
        <v>#N/A</v>
      </c>
      <c r="DO2564" t="e">
        <f t="shared" si="143"/>
        <v>#N/A</v>
      </c>
    </row>
    <row r="2565" spans="7:119" x14ac:dyDescent="0.25">
      <c r="G2565"/>
      <c r="DI2565" s="4">
        <f>INDEX(Sheet2!A:A,QUOTIENT(ROW()-1,19)+2)</f>
        <v>41535</v>
      </c>
      <c r="DJ2565" s="4">
        <f>INDEX(Sheet2!C:C,QUOTIENT(ROW()-1,19)+2)</f>
        <v>42735</v>
      </c>
      <c r="DK2565" s="4" t="e">
        <f>INDEX(Sheet2!$AA$2:$AS$228,QUOTIENT(ROW()-1,19)+1,MOD(ROW()-2,19)+1)</f>
        <v>#N/A</v>
      </c>
      <c r="DL2565" t="str">
        <f>IFERROR(INDEX(Sheet2!$AU$2:$BM$228,QUOTIENT(ROW()-1,19)+1,MOD(ROW()-2,19)+1),NA())</f>
        <v/>
      </c>
      <c r="DM2565" s="4" t="e">
        <f t="shared" si="141"/>
        <v>#N/A</v>
      </c>
      <c r="DN2565" t="e">
        <f t="shared" si="142"/>
        <v>#N/A</v>
      </c>
      <c r="DO2565" t="e">
        <f t="shared" si="143"/>
        <v>#N/A</v>
      </c>
    </row>
    <row r="2566" spans="7:119" x14ac:dyDescent="0.25">
      <c r="G2566"/>
      <c r="DI2566" s="4">
        <f>INDEX(Sheet2!A:A,QUOTIENT(ROW()-1,19)+2)</f>
        <v>41535</v>
      </c>
      <c r="DJ2566" s="4">
        <f>INDEX(Sheet2!C:C,QUOTIENT(ROW()-1,19)+2)</f>
        <v>42735</v>
      </c>
      <c r="DK2566" s="4" t="e">
        <f>INDEX(Sheet2!$AA$2:$AS$228,QUOTIENT(ROW()-1,19)+1,MOD(ROW()-2,19)+1)</f>
        <v>#N/A</v>
      </c>
      <c r="DL2566" t="str">
        <f>IFERROR(INDEX(Sheet2!$AU$2:$BM$228,QUOTIENT(ROW()-1,19)+1,MOD(ROW()-2,19)+1),NA())</f>
        <v/>
      </c>
      <c r="DM2566" s="4" t="e">
        <f t="shared" si="141"/>
        <v>#N/A</v>
      </c>
      <c r="DN2566" t="e">
        <f t="shared" si="142"/>
        <v>#N/A</v>
      </c>
      <c r="DO2566" t="e">
        <f t="shared" si="143"/>
        <v>#N/A</v>
      </c>
    </row>
    <row r="2567" spans="7:119" x14ac:dyDescent="0.25">
      <c r="G2567"/>
      <c r="DI2567" s="4">
        <f>INDEX(Sheet2!A:A,QUOTIENT(ROW()-1,19)+2)</f>
        <v>41535</v>
      </c>
      <c r="DJ2567" s="4">
        <f>INDEX(Sheet2!C:C,QUOTIENT(ROW()-1,19)+2)</f>
        <v>42735</v>
      </c>
      <c r="DK2567" s="4">
        <f>INDEX(Sheet2!$AA$2:$AS$228,QUOTIENT(ROW()-1,19)+1,MOD(ROW()-2,19)+1)</f>
        <v>42724.962500000001</v>
      </c>
      <c r="DL2567">
        <f>IFERROR(INDEX(Sheet2!$AU$2:$BM$228,QUOTIENT(ROW()-1,19)+1,MOD(ROW()-2,19)+1),NA())</f>
        <v>2.75</v>
      </c>
      <c r="DM2567" s="4" t="e">
        <f t="shared" si="141"/>
        <v>#N/A</v>
      </c>
      <c r="DN2567" t="e">
        <f t="shared" si="142"/>
        <v>#N/A</v>
      </c>
      <c r="DO2567" t="e">
        <f t="shared" si="143"/>
        <v>#N/A</v>
      </c>
    </row>
    <row r="2568" spans="7:119" x14ac:dyDescent="0.25">
      <c r="G2568"/>
      <c r="DI2568" s="4">
        <f>INDEX(Sheet2!A:A,QUOTIENT(ROW()-1,19)+2)</f>
        <v>41535</v>
      </c>
      <c r="DJ2568" s="4">
        <f>INDEX(Sheet2!C:C,QUOTIENT(ROW()-1,19)+2)</f>
        <v>42735</v>
      </c>
      <c r="DK2568" s="4">
        <f>INDEX(Sheet2!$AA$2:$AS$228,QUOTIENT(ROW()-1,19)+1,MOD(ROW()-2,19)+1)</f>
        <v>42745.037500000006</v>
      </c>
      <c r="DL2568">
        <f>IFERROR(INDEX(Sheet2!$AU$2:$BM$228,QUOTIENT(ROW()-1,19)+1,MOD(ROW()-2,19)+1),NA())</f>
        <v>2.75</v>
      </c>
      <c r="DM2568" s="4" t="e">
        <f t="shared" si="141"/>
        <v>#N/A</v>
      </c>
      <c r="DN2568" t="e">
        <f t="shared" si="142"/>
        <v>#N/A</v>
      </c>
      <c r="DO2568" t="e">
        <f t="shared" si="143"/>
        <v>#N/A</v>
      </c>
    </row>
    <row r="2569" spans="7:119" x14ac:dyDescent="0.25">
      <c r="G2569"/>
      <c r="DI2569" s="4">
        <f>INDEX(Sheet2!A:A,QUOTIENT(ROW()-1,19)+2)</f>
        <v>41535</v>
      </c>
      <c r="DJ2569" s="4">
        <f>INDEX(Sheet2!C:C,QUOTIENT(ROW()-1,19)+2)</f>
        <v>42735</v>
      </c>
      <c r="DK2569" s="4" t="e">
        <f>INDEX(Sheet2!$AA$2:$AS$228,QUOTIENT(ROW()-1,19)+1,MOD(ROW()-2,19)+1)</f>
        <v>#N/A</v>
      </c>
      <c r="DL2569" t="str">
        <f>IFERROR(INDEX(Sheet2!$AU$2:$BM$228,QUOTIENT(ROW()-1,19)+1,MOD(ROW()-2,19)+1),NA())</f>
        <v/>
      </c>
      <c r="DM2569" s="4" t="e">
        <f t="shared" si="141"/>
        <v>#N/A</v>
      </c>
      <c r="DN2569" t="e">
        <f t="shared" si="142"/>
        <v>#N/A</v>
      </c>
      <c r="DO2569" t="e">
        <f t="shared" si="143"/>
        <v>#N/A</v>
      </c>
    </row>
    <row r="2570" spans="7:119" x14ac:dyDescent="0.25">
      <c r="G2570"/>
      <c r="DI2570" s="4">
        <f>INDEX(Sheet2!A:A,QUOTIENT(ROW()-1,19)+2)</f>
        <v>41535</v>
      </c>
      <c r="DJ2570" s="4">
        <f>INDEX(Sheet2!C:C,QUOTIENT(ROW()-1,19)+2)</f>
        <v>42735</v>
      </c>
      <c r="DK2570" s="4" t="e">
        <f>INDEX(Sheet2!$AA$2:$AS$228,QUOTIENT(ROW()-1,19)+1,MOD(ROW()-2,19)+1)</f>
        <v>#N/A</v>
      </c>
      <c r="DL2570" t="str">
        <f>IFERROR(INDEX(Sheet2!$AU$2:$BM$228,QUOTIENT(ROW()-1,19)+1,MOD(ROW()-2,19)+1),NA())</f>
        <v/>
      </c>
      <c r="DM2570" s="4" t="e">
        <f t="shared" si="141"/>
        <v>#N/A</v>
      </c>
      <c r="DN2570" t="e">
        <f t="shared" si="142"/>
        <v>#N/A</v>
      </c>
      <c r="DO2570" t="e">
        <f t="shared" si="143"/>
        <v>#N/A</v>
      </c>
    </row>
    <row r="2571" spans="7:119" x14ac:dyDescent="0.25">
      <c r="G2571"/>
      <c r="DI2571" s="4">
        <f>INDEX(Sheet2!A:A,QUOTIENT(ROW()-1,19)+2)</f>
        <v>41535</v>
      </c>
      <c r="DJ2571" s="4">
        <f>INDEX(Sheet2!C:C,QUOTIENT(ROW()-1,19)+2)</f>
        <v>42735</v>
      </c>
      <c r="DK2571" s="4" t="e">
        <f>INDEX(Sheet2!$AA$2:$AS$228,QUOTIENT(ROW()-1,19)+1,MOD(ROW()-2,19)+1)</f>
        <v>#N/A</v>
      </c>
      <c r="DL2571" t="str">
        <f>IFERROR(INDEX(Sheet2!$AU$2:$BM$228,QUOTIENT(ROW()-1,19)+1,MOD(ROW()-2,19)+1),NA())</f>
        <v/>
      </c>
      <c r="DM2571" s="4" t="e">
        <f t="shared" si="141"/>
        <v>#N/A</v>
      </c>
      <c r="DN2571" t="e">
        <f t="shared" si="142"/>
        <v>#N/A</v>
      </c>
      <c r="DO2571" t="e">
        <f t="shared" si="143"/>
        <v>#N/A</v>
      </c>
    </row>
    <row r="2572" spans="7:119" x14ac:dyDescent="0.25">
      <c r="G2572"/>
      <c r="DI2572" s="4">
        <f>INDEX(Sheet2!A:A,QUOTIENT(ROW()-1,19)+2)</f>
        <v>41535</v>
      </c>
      <c r="DJ2572" s="4">
        <f>INDEX(Sheet2!C:C,QUOTIENT(ROW()-1,19)+2)</f>
        <v>42735</v>
      </c>
      <c r="DK2572" s="4" t="e">
        <f>INDEX(Sheet2!$AA$2:$AS$228,QUOTIENT(ROW()-1,19)+1,MOD(ROW()-2,19)+1)</f>
        <v>#N/A</v>
      </c>
      <c r="DL2572" t="str">
        <f>IFERROR(INDEX(Sheet2!$AU$2:$BM$228,QUOTIENT(ROW()-1,19)+1,MOD(ROW()-2,19)+1),NA())</f>
        <v/>
      </c>
      <c r="DM2572" s="4" t="e">
        <f t="shared" si="141"/>
        <v>#N/A</v>
      </c>
      <c r="DN2572" t="e">
        <f t="shared" si="142"/>
        <v>#N/A</v>
      </c>
      <c r="DO2572" t="e">
        <f t="shared" si="143"/>
        <v>#N/A</v>
      </c>
    </row>
    <row r="2573" spans="7:119" x14ac:dyDescent="0.25">
      <c r="G2573"/>
      <c r="DI2573" s="4">
        <f>INDEX(Sheet2!A:A,QUOTIENT(ROW()-1,19)+2)</f>
        <v>41535</v>
      </c>
      <c r="DJ2573" s="4">
        <f>INDEX(Sheet2!C:C,QUOTIENT(ROW()-1,19)+2)</f>
        <v>42735</v>
      </c>
      <c r="DK2573" s="4" t="e">
        <f>INDEX(Sheet2!$AA$2:$AS$228,QUOTIENT(ROW()-1,19)+1,MOD(ROW()-2,19)+1)</f>
        <v>#N/A</v>
      </c>
      <c r="DL2573" t="str">
        <f>IFERROR(INDEX(Sheet2!$AU$2:$BM$228,QUOTIENT(ROW()-1,19)+1,MOD(ROW()-2,19)+1),NA())</f>
        <v/>
      </c>
      <c r="DM2573" s="4" t="e">
        <f t="shared" si="141"/>
        <v>#N/A</v>
      </c>
      <c r="DN2573" t="e">
        <f t="shared" si="142"/>
        <v>#N/A</v>
      </c>
      <c r="DO2573" t="e">
        <f t="shared" si="143"/>
        <v>#N/A</v>
      </c>
    </row>
    <row r="2574" spans="7:119" x14ac:dyDescent="0.25">
      <c r="G2574"/>
      <c r="DI2574" s="4">
        <f>INDEX(Sheet2!A:A,QUOTIENT(ROW()-1,19)+2)</f>
        <v>41535</v>
      </c>
      <c r="DJ2574" s="4">
        <f>INDEX(Sheet2!C:C,QUOTIENT(ROW()-1,19)+2)</f>
        <v>42735</v>
      </c>
      <c r="DK2574" s="4" t="e">
        <f>INDEX(Sheet2!$AA$2:$AS$228,QUOTIENT(ROW()-1,19)+1,MOD(ROW()-2,19)+1)</f>
        <v>#N/A</v>
      </c>
      <c r="DL2574" t="str">
        <f>IFERROR(INDEX(Sheet2!$AU$2:$BM$228,QUOTIENT(ROW()-1,19)+1,MOD(ROW()-2,19)+1),NA())</f>
        <v/>
      </c>
      <c r="DM2574" s="4" t="e">
        <f t="shared" si="141"/>
        <v>#N/A</v>
      </c>
      <c r="DN2574" t="e">
        <f t="shared" si="142"/>
        <v>#N/A</v>
      </c>
      <c r="DO2574" t="e">
        <f t="shared" si="143"/>
        <v>#N/A</v>
      </c>
    </row>
    <row r="2575" spans="7:119" x14ac:dyDescent="0.25">
      <c r="G2575"/>
      <c r="DI2575" s="4">
        <f>INDEX(Sheet2!A:A,QUOTIENT(ROW()-1,19)+2)</f>
        <v>41535</v>
      </c>
      <c r="DJ2575" s="4">
        <f>INDEX(Sheet2!C:C,QUOTIENT(ROW()-1,19)+2)</f>
        <v>42735</v>
      </c>
      <c r="DK2575" s="4" t="e">
        <f>INDEX(Sheet2!$AA$2:$AS$228,QUOTIENT(ROW()-1,19)+1,MOD(ROW()-2,19)+1)</f>
        <v>#N/A</v>
      </c>
      <c r="DL2575" t="str">
        <f>IFERROR(INDEX(Sheet2!$AU$2:$BM$228,QUOTIENT(ROW()-1,19)+1,MOD(ROW()-2,19)+1),NA())</f>
        <v/>
      </c>
      <c r="DM2575" s="4" t="e">
        <f t="shared" si="141"/>
        <v>#N/A</v>
      </c>
      <c r="DN2575" t="e">
        <f t="shared" si="142"/>
        <v>#N/A</v>
      </c>
      <c r="DO2575" t="e">
        <f t="shared" si="143"/>
        <v>#N/A</v>
      </c>
    </row>
    <row r="2576" spans="7:119" x14ac:dyDescent="0.25">
      <c r="G2576"/>
      <c r="DI2576" s="4">
        <f>INDEX(Sheet2!A:A,QUOTIENT(ROW()-1,19)+2)</f>
        <v>41535</v>
      </c>
      <c r="DJ2576" s="4">
        <f>INDEX(Sheet2!C:C,QUOTIENT(ROW()-1,19)+2)</f>
        <v>42735</v>
      </c>
      <c r="DK2576" s="4" t="e">
        <f>INDEX(Sheet2!$AA$2:$AS$228,QUOTIENT(ROW()-1,19)+1,MOD(ROW()-2,19)+1)</f>
        <v>#N/A</v>
      </c>
      <c r="DL2576" t="str">
        <f>IFERROR(INDEX(Sheet2!$AU$2:$BM$228,QUOTIENT(ROW()-1,19)+1,MOD(ROW()-2,19)+1),NA())</f>
        <v/>
      </c>
      <c r="DM2576" s="4" t="e">
        <f t="shared" si="141"/>
        <v>#N/A</v>
      </c>
      <c r="DN2576" t="e">
        <f t="shared" si="142"/>
        <v>#N/A</v>
      </c>
      <c r="DO2576" t="e">
        <f t="shared" si="143"/>
        <v>#N/A</v>
      </c>
    </row>
    <row r="2577" spans="7:119" x14ac:dyDescent="0.25">
      <c r="G2577"/>
      <c r="DI2577" s="4">
        <f>INDEX(Sheet2!A:A,QUOTIENT(ROW()-1,19)+2)</f>
        <v>41535</v>
      </c>
      <c r="DJ2577" s="4">
        <f>INDEX(Sheet2!C:C,QUOTIENT(ROW()-1,19)+2)</f>
        <v>42735</v>
      </c>
      <c r="DK2577" s="4" t="e">
        <f>INDEX(Sheet2!$AA$2:$AS$228,QUOTIENT(ROW()-1,19)+1,MOD(ROW()-2,19)+1)</f>
        <v>#N/A</v>
      </c>
      <c r="DL2577" t="str">
        <f>IFERROR(INDEX(Sheet2!$AU$2:$BM$228,QUOTIENT(ROW()-1,19)+1,MOD(ROW()-2,19)+1),NA())</f>
        <v/>
      </c>
      <c r="DM2577" s="4" t="e">
        <f t="shared" si="141"/>
        <v>#N/A</v>
      </c>
      <c r="DN2577" t="e">
        <f t="shared" si="142"/>
        <v>#N/A</v>
      </c>
      <c r="DO2577" t="e">
        <f t="shared" si="143"/>
        <v>#N/A</v>
      </c>
    </row>
    <row r="2578" spans="7:119" x14ac:dyDescent="0.25">
      <c r="G2578"/>
      <c r="DI2578" s="4">
        <f>INDEX(Sheet2!A:A,QUOTIENT(ROW()-1,19)+2)</f>
        <v>41535</v>
      </c>
      <c r="DJ2578" s="4">
        <f>INDEX(Sheet2!C:C,QUOTIENT(ROW()-1,19)+2)</f>
        <v>42735</v>
      </c>
      <c r="DK2578" s="4" t="e">
        <f>INDEX(Sheet2!$AA$2:$AS$228,QUOTIENT(ROW()-1,19)+1,MOD(ROW()-2,19)+1)</f>
        <v>#N/A</v>
      </c>
      <c r="DL2578" t="str">
        <f>IFERROR(INDEX(Sheet2!$AU$2:$BM$228,QUOTIENT(ROW()-1,19)+1,MOD(ROW()-2,19)+1),NA())</f>
        <v/>
      </c>
      <c r="DM2578" s="4" t="e">
        <f t="shared" si="141"/>
        <v>#N/A</v>
      </c>
      <c r="DN2578" t="e">
        <f t="shared" si="142"/>
        <v>#N/A</v>
      </c>
      <c r="DO2578" t="e">
        <f t="shared" si="143"/>
        <v>#N/A</v>
      </c>
    </row>
    <row r="2579" spans="7:119" x14ac:dyDescent="0.25">
      <c r="G2579"/>
      <c r="DI2579" s="4">
        <f>INDEX(Sheet2!A:A,QUOTIENT(ROW()-1,19)+2)</f>
        <v>41535</v>
      </c>
      <c r="DJ2579" s="4">
        <f>INDEX(Sheet2!C:C,QUOTIENT(ROW()-1,19)+2)</f>
        <v>42735</v>
      </c>
      <c r="DK2579" s="4" t="e">
        <f>INDEX(Sheet2!$AA$2:$AS$228,QUOTIENT(ROW()-1,19)+1,MOD(ROW()-2,19)+1)</f>
        <v>#N/A</v>
      </c>
      <c r="DL2579" t="str">
        <f>IFERROR(INDEX(Sheet2!$AU$2:$BM$228,QUOTIENT(ROW()-1,19)+1,MOD(ROW()-2,19)+1),NA())</f>
        <v/>
      </c>
      <c r="DM2579" s="4" t="e">
        <f t="shared" si="141"/>
        <v>#N/A</v>
      </c>
      <c r="DN2579" t="e">
        <f t="shared" si="142"/>
        <v>#N/A</v>
      </c>
      <c r="DO2579" t="e">
        <f t="shared" si="143"/>
        <v>#N/A</v>
      </c>
    </row>
    <row r="2580" spans="7:119" x14ac:dyDescent="0.25">
      <c r="G2580"/>
      <c r="DI2580" s="4">
        <f>INDEX(Sheet2!A:A,QUOTIENT(ROW()-1,19)+2)</f>
        <v>41535</v>
      </c>
      <c r="DJ2580" s="4">
        <f>INDEX(Sheet2!C:C,QUOTIENT(ROW()-1,19)+2)</f>
        <v>42735</v>
      </c>
      <c r="DK2580" s="4" t="e">
        <f>INDEX(Sheet2!$AA$2:$AS$228,QUOTIENT(ROW()-1,19)+1,MOD(ROW()-2,19)+1)</f>
        <v>#N/A</v>
      </c>
      <c r="DL2580" t="str">
        <f>IFERROR(INDEX(Sheet2!$AU$2:$BM$228,QUOTIENT(ROW()-1,19)+1,MOD(ROW()-2,19)+1),NA())</f>
        <v/>
      </c>
      <c r="DM2580" s="4" t="e">
        <f t="shared" si="141"/>
        <v>#N/A</v>
      </c>
      <c r="DN2580" t="e">
        <f t="shared" si="142"/>
        <v>#N/A</v>
      </c>
      <c r="DO2580" t="e">
        <f t="shared" si="143"/>
        <v>#N/A</v>
      </c>
    </row>
    <row r="2581" spans="7:119" x14ac:dyDescent="0.25">
      <c r="G2581"/>
      <c r="DI2581" s="4">
        <f>INDEX(Sheet2!A:A,QUOTIENT(ROW()-1,19)+2)</f>
        <v>41535</v>
      </c>
      <c r="DJ2581" s="4">
        <f>INDEX(Sheet2!C:C,QUOTIENT(ROW()-1,19)+2)</f>
        <v>42735</v>
      </c>
      <c r="DK2581" s="4" t="e">
        <f>INDEX(Sheet2!$AA$2:$AS$228,QUOTIENT(ROW()-1,19)+1,MOD(ROW()-2,19)+1)</f>
        <v>#N/A</v>
      </c>
      <c r="DL2581" t="str">
        <f>IFERROR(INDEX(Sheet2!$AU$2:$BM$228,QUOTIENT(ROW()-1,19)+1,MOD(ROW()-2,19)+1),NA())</f>
        <v/>
      </c>
      <c r="DM2581" s="4" t="e">
        <f t="shared" si="141"/>
        <v>#N/A</v>
      </c>
      <c r="DN2581" t="e">
        <f t="shared" si="142"/>
        <v>#N/A</v>
      </c>
      <c r="DO2581" t="e">
        <f t="shared" si="143"/>
        <v>#N/A</v>
      </c>
    </row>
    <row r="2582" spans="7:119" x14ac:dyDescent="0.25">
      <c r="G2582"/>
      <c r="DI2582" s="4">
        <f>INDEX(Sheet2!A:A,QUOTIENT(ROW()-1,19)+2)</f>
        <v>41535</v>
      </c>
      <c r="DJ2582" s="4">
        <f>INDEX(Sheet2!C:C,QUOTIENT(ROW()-1,19)+2)</f>
        <v>42735</v>
      </c>
      <c r="DK2582" s="4" t="e">
        <f>INDEX(Sheet2!$AA$2:$AS$228,QUOTIENT(ROW()-1,19)+1,MOD(ROW()-2,19)+1)</f>
        <v>#N/A</v>
      </c>
      <c r="DL2582" t="str">
        <f>IFERROR(INDEX(Sheet2!$AU$2:$BM$228,QUOTIENT(ROW()-1,19)+1,MOD(ROW()-2,19)+1),NA())</f>
        <v/>
      </c>
      <c r="DM2582" s="4" t="e">
        <f t="shared" si="141"/>
        <v>#N/A</v>
      </c>
      <c r="DN2582" t="e">
        <f t="shared" si="142"/>
        <v>#N/A</v>
      </c>
      <c r="DO2582" t="e">
        <f t="shared" si="143"/>
        <v>#N/A</v>
      </c>
    </row>
    <row r="2583" spans="7:119" x14ac:dyDescent="0.25">
      <c r="G2583"/>
      <c r="DI2583" s="4">
        <f>INDEX(Sheet2!A:A,QUOTIENT(ROW()-1,19)+2)</f>
        <v>41535</v>
      </c>
      <c r="DJ2583" s="4">
        <f>INDEX(Sheet2!C:C,QUOTIENT(ROW()-1,19)+2)</f>
        <v>42735</v>
      </c>
      <c r="DK2583" s="4" t="e">
        <f>INDEX(Sheet2!$AA$2:$AS$228,QUOTIENT(ROW()-1,19)+1,MOD(ROW()-2,19)+1)</f>
        <v>#N/A</v>
      </c>
      <c r="DL2583" t="str">
        <f>IFERROR(INDEX(Sheet2!$AU$2:$BM$228,QUOTIENT(ROW()-1,19)+1,MOD(ROW()-2,19)+1),NA())</f>
        <v/>
      </c>
      <c r="DM2583" s="4" t="e">
        <f t="shared" si="141"/>
        <v>#N/A</v>
      </c>
      <c r="DN2583" t="e">
        <f t="shared" si="142"/>
        <v>#N/A</v>
      </c>
      <c r="DO2583" t="e">
        <f t="shared" si="143"/>
        <v>#N/A</v>
      </c>
    </row>
    <row r="2584" spans="7:119" x14ac:dyDescent="0.25">
      <c r="G2584"/>
      <c r="DI2584" s="4">
        <f>INDEX(Sheet2!A:A,QUOTIENT(ROW()-1,19)+2)</f>
        <v>41535</v>
      </c>
      <c r="DJ2584" s="4">
        <f>INDEX(Sheet2!C:C,QUOTIENT(ROW()-1,19)+2)</f>
        <v>42735</v>
      </c>
      <c r="DK2584" s="4" t="e">
        <f>INDEX(Sheet2!$AA$2:$AS$228,QUOTIENT(ROW()-1,19)+1,MOD(ROW()-2,19)+1)</f>
        <v>#N/A</v>
      </c>
      <c r="DL2584" t="str">
        <f>IFERROR(INDEX(Sheet2!$AU$2:$BM$228,QUOTIENT(ROW()-1,19)+1,MOD(ROW()-2,19)+1),NA())</f>
        <v/>
      </c>
      <c r="DM2584" s="4" t="e">
        <f t="shared" si="141"/>
        <v>#N/A</v>
      </c>
      <c r="DN2584" t="e">
        <f t="shared" si="142"/>
        <v>#N/A</v>
      </c>
      <c r="DO2584" t="e">
        <f t="shared" si="143"/>
        <v>#N/A</v>
      </c>
    </row>
    <row r="2585" spans="7:119" x14ac:dyDescent="0.25">
      <c r="G2585"/>
      <c r="DI2585" s="4">
        <f>INDEX(Sheet2!A:A,QUOTIENT(ROW()-1,19)+2)</f>
        <v>41535</v>
      </c>
      <c r="DJ2585" s="4">
        <f>INDEX(Sheet2!C:C,QUOTIENT(ROW()-1,19)+2)</f>
        <v>42735</v>
      </c>
      <c r="DK2585" s="4" t="e">
        <f>INDEX(Sheet2!$AA$2:$AS$228,QUOTIENT(ROW()-1,19)+1,MOD(ROW()-2,19)+1)</f>
        <v>#N/A</v>
      </c>
      <c r="DL2585" t="str">
        <f>IFERROR(INDEX(Sheet2!$AU$2:$BM$228,QUOTIENT(ROW()-1,19)+1,MOD(ROW()-2,19)+1),NA())</f>
        <v/>
      </c>
      <c r="DM2585" s="4" t="e">
        <f t="shared" si="141"/>
        <v>#N/A</v>
      </c>
      <c r="DN2585" t="e">
        <f t="shared" si="142"/>
        <v>#N/A</v>
      </c>
      <c r="DO2585" t="e">
        <f t="shared" si="143"/>
        <v>#N/A</v>
      </c>
    </row>
    <row r="2586" spans="7:119" x14ac:dyDescent="0.25">
      <c r="G2586"/>
      <c r="DI2586" s="4">
        <f>INDEX(Sheet2!A:A,QUOTIENT(ROW()-1,19)+2)</f>
        <v>41535</v>
      </c>
      <c r="DJ2586" s="4">
        <f>INDEX(Sheet2!C:C,QUOTIENT(ROW()-1,19)+2)</f>
        <v>42735</v>
      </c>
      <c r="DK2586" s="4">
        <f>INDEX(Sheet2!$AA$2:$AS$228,QUOTIENT(ROW()-1,19)+1,MOD(ROW()-2,19)+1)</f>
        <v>42724.962500000001</v>
      </c>
      <c r="DL2586">
        <f>IFERROR(INDEX(Sheet2!$AU$2:$BM$228,QUOTIENT(ROW()-1,19)+1,MOD(ROW()-2,19)+1),NA())</f>
        <v>4</v>
      </c>
      <c r="DM2586" s="4" t="e">
        <f t="shared" si="141"/>
        <v>#N/A</v>
      </c>
      <c r="DN2586" t="e">
        <f t="shared" si="142"/>
        <v>#N/A</v>
      </c>
      <c r="DO2586" t="e">
        <f t="shared" si="143"/>
        <v>#N/A</v>
      </c>
    </row>
    <row r="2587" spans="7:119" x14ac:dyDescent="0.25">
      <c r="G2587"/>
      <c r="DI2587" s="4">
        <f>INDEX(Sheet2!A:A,QUOTIENT(ROW()-1,19)+2)</f>
        <v>41535</v>
      </c>
      <c r="DJ2587" s="4">
        <f>INDEX(Sheet2!C:C,QUOTIENT(ROW()-1,19)+2)</f>
        <v>42735</v>
      </c>
      <c r="DK2587" s="4">
        <f>INDEX(Sheet2!$AA$2:$AS$228,QUOTIENT(ROW()-1,19)+1,MOD(ROW()-2,19)+1)</f>
        <v>42745.037500000006</v>
      </c>
      <c r="DL2587">
        <f>IFERROR(INDEX(Sheet2!$AU$2:$BM$228,QUOTIENT(ROW()-1,19)+1,MOD(ROW()-2,19)+1),NA())</f>
        <v>4</v>
      </c>
      <c r="DM2587" s="4" t="e">
        <f t="shared" si="141"/>
        <v>#N/A</v>
      </c>
      <c r="DN2587" t="e">
        <f t="shared" si="142"/>
        <v>#N/A</v>
      </c>
      <c r="DO2587" t="e">
        <f t="shared" si="143"/>
        <v>#N/A</v>
      </c>
    </row>
    <row r="2588" spans="7:119" x14ac:dyDescent="0.25">
      <c r="G2588"/>
      <c r="DI2588" s="4">
        <f>INDEX(Sheet2!A:A,QUOTIENT(ROW()-1,19)+2)</f>
        <v>41535</v>
      </c>
      <c r="DJ2588" s="4">
        <f>INDEX(Sheet2!C:C,QUOTIENT(ROW()-1,19)+2)</f>
        <v>42735</v>
      </c>
      <c r="DK2588" s="4" t="e">
        <f>INDEX(Sheet2!$AA$2:$AS$228,QUOTIENT(ROW()-1,19)+1,MOD(ROW()-2,19)+1)</f>
        <v>#N/A</v>
      </c>
      <c r="DL2588" t="str">
        <f>IFERROR(INDEX(Sheet2!$AU$2:$BM$228,QUOTIENT(ROW()-1,19)+1,MOD(ROW()-2,19)+1),NA())</f>
        <v/>
      </c>
      <c r="DM2588" s="4" t="e">
        <f t="shared" si="141"/>
        <v>#N/A</v>
      </c>
      <c r="DN2588" t="e">
        <f t="shared" si="142"/>
        <v>#N/A</v>
      </c>
      <c r="DO2588" t="e">
        <f t="shared" si="143"/>
        <v>#N/A</v>
      </c>
    </row>
    <row r="2589" spans="7:119" x14ac:dyDescent="0.25">
      <c r="G2589"/>
      <c r="DI2589" s="4">
        <f>INDEX(Sheet2!A:A,QUOTIENT(ROW()-1,19)+2)</f>
        <v>41535</v>
      </c>
      <c r="DJ2589" s="4">
        <f>INDEX(Sheet2!C:C,QUOTIENT(ROW()-1,19)+2)</f>
        <v>42735</v>
      </c>
      <c r="DK2589" s="4" t="e">
        <f>INDEX(Sheet2!$AA$2:$AS$228,QUOTIENT(ROW()-1,19)+1,MOD(ROW()-2,19)+1)</f>
        <v>#N/A</v>
      </c>
      <c r="DL2589" t="str">
        <f>IFERROR(INDEX(Sheet2!$AU$2:$BM$228,QUOTIENT(ROW()-1,19)+1,MOD(ROW()-2,19)+1),NA())</f>
        <v/>
      </c>
      <c r="DM2589" s="4" t="e">
        <f t="shared" si="141"/>
        <v>#N/A</v>
      </c>
      <c r="DN2589" t="e">
        <f t="shared" si="142"/>
        <v>#N/A</v>
      </c>
      <c r="DO2589" t="e">
        <f t="shared" si="143"/>
        <v>#N/A</v>
      </c>
    </row>
    <row r="2590" spans="7:119" x14ac:dyDescent="0.25">
      <c r="G2590"/>
      <c r="DI2590" s="4">
        <f>INDEX(Sheet2!A:A,QUOTIENT(ROW()-1,19)+2)</f>
        <v>41535</v>
      </c>
      <c r="DJ2590" s="4">
        <f>INDEX(Sheet2!C:C,QUOTIENT(ROW()-1,19)+2)</f>
        <v>42735</v>
      </c>
      <c r="DK2590" s="4" t="e">
        <f>INDEX(Sheet2!$AA$2:$AS$228,QUOTIENT(ROW()-1,19)+1,MOD(ROW()-2,19)+1)</f>
        <v>#N/A</v>
      </c>
      <c r="DL2590" t="str">
        <f>IFERROR(INDEX(Sheet2!$AU$2:$BM$228,QUOTIENT(ROW()-1,19)+1,MOD(ROW()-2,19)+1),NA())</f>
        <v/>
      </c>
      <c r="DM2590" s="4" t="e">
        <f t="shared" si="141"/>
        <v>#N/A</v>
      </c>
      <c r="DN2590" t="e">
        <f t="shared" si="142"/>
        <v>#N/A</v>
      </c>
      <c r="DO2590" t="e">
        <f t="shared" si="143"/>
        <v>#N/A</v>
      </c>
    </row>
    <row r="2591" spans="7:119" x14ac:dyDescent="0.25">
      <c r="G2591"/>
      <c r="DI2591" s="4">
        <f>INDEX(Sheet2!A:A,QUOTIENT(ROW()-1,19)+2)</f>
        <v>41535</v>
      </c>
      <c r="DJ2591" s="4">
        <f>INDEX(Sheet2!C:C,QUOTIENT(ROW()-1,19)+2)</f>
        <v>42735</v>
      </c>
      <c r="DK2591" s="4" t="e">
        <f>INDEX(Sheet2!$AA$2:$AS$228,QUOTIENT(ROW()-1,19)+1,MOD(ROW()-2,19)+1)</f>
        <v>#N/A</v>
      </c>
      <c r="DL2591" t="str">
        <f>IFERROR(INDEX(Sheet2!$AU$2:$BM$228,QUOTIENT(ROW()-1,19)+1,MOD(ROW()-2,19)+1),NA())</f>
        <v/>
      </c>
      <c r="DM2591" s="4" t="e">
        <f t="shared" si="141"/>
        <v>#N/A</v>
      </c>
      <c r="DN2591" t="e">
        <f t="shared" si="142"/>
        <v>#N/A</v>
      </c>
      <c r="DO2591" t="e">
        <f t="shared" si="143"/>
        <v>#N/A</v>
      </c>
    </row>
    <row r="2592" spans="7:119" x14ac:dyDescent="0.25">
      <c r="G2592"/>
      <c r="DI2592" s="4">
        <f>INDEX(Sheet2!A:A,QUOTIENT(ROW()-1,19)+2)</f>
        <v>41535</v>
      </c>
      <c r="DJ2592" s="4">
        <f>INDEX(Sheet2!C:C,QUOTIENT(ROW()-1,19)+2)</f>
        <v>42735</v>
      </c>
      <c r="DK2592" s="4" t="e">
        <f>INDEX(Sheet2!$AA$2:$AS$228,QUOTIENT(ROW()-1,19)+1,MOD(ROW()-2,19)+1)</f>
        <v>#N/A</v>
      </c>
      <c r="DL2592" t="str">
        <f>IFERROR(INDEX(Sheet2!$AU$2:$BM$228,QUOTIENT(ROW()-1,19)+1,MOD(ROW()-2,19)+1),NA())</f>
        <v/>
      </c>
      <c r="DM2592" s="4" t="e">
        <f t="shared" si="141"/>
        <v>#N/A</v>
      </c>
      <c r="DN2592" t="e">
        <f t="shared" si="142"/>
        <v>#N/A</v>
      </c>
      <c r="DO2592" t="e">
        <f t="shared" si="143"/>
        <v>#N/A</v>
      </c>
    </row>
    <row r="2593" spans="7:119" x14ac:dyDescent="0.25">
      <c r="G2593"/>
      <c r="DI2593" s="4">
        <f>INDEX(Sheet2!A:A,QUOTIENT(ROW()-1,19)+2)</f>
        <v>41535</v>
      </c>
      <c r="DJ2593" s="4">
        <f>INDEX(Sheet2!C:C,QUOTIENT(ROW()-1,19)+2)</f>
        <v>42735</v>
      </c>
      <c r="DK2593" s="4" t="e">
        <f>INDEX(Sheet2!$AA$2:$AS$228,QUOTIENT(ROW()-1,19)+1,MOD(ROW()-2,19)+1)</f>
        <v>#N/A</v>
      </c>
      <c r="DL2593" t="str">
        <f>IFERROR(INDEX(Sheet2!$AU$2:$BM$228,QUOTIENT(ROW()-1,19)+1,MOD(ROW()-2,19)+1),NA())</f>
        <v/>
      </c>
      <c r="DM2593" s="4" t="e">
        <f t="shared" si="141"/>
        <v>#N/A</v>
      </c>
      <c r="DN2593" t="e">
        <f t="shared" si="142"/>
        <v>#N/A</v>
      </c>
      <c r="DO2593" t="e">
        <f t="shared" si="143"/>
        <v>#N/A</v>
      </c>
    </row>
    <row r="2594" spans="7:119" x14ac:dyDescent="0.25">
      <c r="G2594"/>
      <c r="DI2594" s="4">
        <f>INDEX(Sheet2!A:A,QUOTIENT(ROW()-1,19)+2)</f>
        <v>41535</v>
      </c>
      <c r="DJ2594" s="4">
        <f>INDEX(Sheet2!C:C,QUOTIENT(ROW()-1,19)+2)</f>
        <v>42735</v>
      </c>
      <c r="DK2594" s="4" t="e">
        <f>INDEX(Sheet2!$AA$2:$AS$228,QUOTIENT(ROW()-1,19)+1,MOD(ROW()-2,19)+1)</f>
        <v>#N/A</v>
      </c>
      <c r="DL2594" t="str">
        <f>IFERROR(INDEX(Sheet2!$AU$2:$BM$228,QUOTIENT(ROW()-1,19)+1,MOD(ROW()-2,19)+1),NA())</f>
        <v/>
      </c>
      <c r="DM2594" s="4" t="e">
        <f t="shared" si="141"/>
        <v>#N/A</v>
      </c>
      <c r="DN2594" t="e">
        <f t="shared" si="142"/>
        <v>#N/A</v>
      </c>
      <c r="DO2594" t="e">
        <f t="shared" si="143"/>
        <v>#N/A</v>
      </c>
    </row>
    <row r="2595" spans="7:119" x14ac:dyDescent="0.25">
      <c r="G2595"/>
      <c r="DI2595" s="4">
        <f>INDEX(Sheet2!A:A,QUOTIENT(ROW()-1,19)+2)</f>
        <v>41535</v>
      </c>
      <c r="DJ2595" s="4">
        <f>INDEX(Sheet2!C:C,QUOTIENT(ROW()-1,19)+2)</f>
        <v>42735</v>
      </c>
      <c r="DK2595" s="4" t="e">
        <f>INDEX(Sheet2!$AA$2:$AS$228,QUOTIENT(ROW()-1,19)+1,MOD(ROW()-2,19)+1)</f>
        <v>#N/A</v>
      </c>
      <c r="DL2595" t="str">
        <f>IFERROR(INDEX(Sheet2!$AU$2:$BM$228,QUOTIENT(ROW()-1,19)+1,MOD(ROW()-2,19)+1),NA())</f>
        <v/>
      </c>
      <c r="DM2595" s="4" t="e">
        <f t="shared" si="141"/>
        <v>#N/A</v>
      </c>
      <c r="DN2595" t="e">
        <f t="shared" si="142"/>
        <v>#N/A</v>
      </c>
      <c r="DO2595" t="e">
        <f t="shared" si="143"/>
        <v>#N/A</v>
      </c>
    </row>
    <row r="2596" spans="7:119" x14ac:dyDescent="0.25">
      <c r="G2596"/>
      <c r="DI2596" s="4">
        <f>INDEX(Sheet2!A:A,QUOTIENT(ROW()-1,19)+2)</f>
        <v>41535</v>
      </c>
      <c r="DJ2596" s="4">
        <f>INDEX(Sheet2!C:C,QUOTIENT(ROW()-1,19)+2)</f>
        <v>42735</v>
      </c>
      <c r="DK2596" s="4" t="e">
        <f>INDEX(Sheet2!$AA$2:$AS$228,QUOTIENT(ROW()-1,19)+1,MOD(ROW()-2,19)+1)</f>
        <v>#N/A</v>
      </c>
      <c r="DL2596" t="str">
        <f>IFERROR(INDEX(Sheet2!$AU$2:$BM$228,QUOTIENT(ROW()-1,19)+1,MOD(ROW()-2,19)+1),NA())</f>
        <v/>
      </c>
      <c r="DM2596" s="4" t="e">
        <f t="shared" si="141"/>
        <v>#N/A</v>
      </c>
      <c r="DN2596" t="e">
        <f t="shared" si="142"/>
        <v>#N/A</v>
      </c>
      <c r="DO2596" t="e">
        <f t="shared" si="143"/>
        <v>#N/A</v>
      </c>
    </row>
    <row r="2597" spans="7:119" x14ac:dyDescent="0.25">
      <c r="G2597"/>
      <c r="DI2597" s="4">
        <f>INDEX(Sheet2!A:A,QUOTIENT(ROW()-1,19)+2)</f>
        <v>41535</v>
      </c>
      <c r="DJ2597" s="4">
        <f>INDEX(Sheet2!C:C,QUOTIENT(ROW()-1,19)+2)</f>
        <v>42735</v>
      </c>
      <c r="DK2597" s="4" t="e">
        <f>INDEX(Sheet2!$AA$2:$AS$228,QUOTIENT(ROW()-1,19)+1,MOD(ROW()-2,19)+1)</f>
        <v>#N/A</v>
      </c>
      <c r="DL2597" t="str">
        <f>IFERROR(INDEX(Sheet2!$AU$2:$BM$228,QUOTIENT(ROW()-1,19)+1,MOD(ROW()-2,19)+1),NA())</f>
        <v/>
      </c>
      <c r="DM2597" s="4" t="e">
        <f t="shared" si="141"/>
        <v>#N/A</v>
      </c>
      <c r="DN2597" t="e">
        <f t="shared" si="142"/>
        <v>#N/A</v>
      </c>
      <c r="DO2597" t="e">
        <f t="shared" si="143"/>
        <v>#N/A</v>
      </c>
    </row>
    <row r="2598" spans="7:119" x14ac:dyDescent="0.25">
      <c r="G2598"/>
      <c r="DI2598" s="4">
        <f>INDEX(Sheet2!A:A,QUOTIENT(ROW()-1,19)+2)</f>
        <v>41535</v>
      </c>
      <c r="DJ2598" s="4">
        <f>INDEX(Sheet2!C:C,QUOTIENT(ROW()-1,19)+2)</f>
        <v>42735</v>
      </c>
      <c r="DK2598" s="4" t="e">
        <f>INDEX(Sheet2!$AA$2:$AS$228,QUOTIENT(ROW()-1,19)+1,MOD(ROW()-2,19)+1)</f>
        <v>#N/A</v>
      </c>
      <c r="DL2598" t="str">
        <f>IFERROR(INDEX(Sheet2!$AU$2:$BM$228,QUOTIENT(ROW()-1,19)+1,MOD(ROW()-2,19)+1),NA())</f>
        <v/>
      </c>
      <c r="DM2598" s="4" t="e">
        <f t="shared" si="141"/>
        <v>#N/A</v>
      </c>
      <c r="DN2598" t="e">
        <f t="shared" si="142"/>
        <v>#N/A</v>
      </c>
      <c r="DO2598" t="e">
        <f t="shared" si="143"/>
        <v>#N/A</v>
      </c>
    </row>
    <row r="2599" spans="7:119" x14ac:dyDescent="0.25">
      <c r="G2599"/>
      <c r="DI2599" s="4">
        <f>INDEX(Sheet2!A:A,QUOTIENT(ROW()-1,19)+2)</f>
        <v>41535</v>
      </c>
      <c r="DJ2599" s="4">
        <f>INDEX(Sheet2!C:C,QUOTIENT(ROW()-1,19)+2)</f>
        <v>42735</v>
      </c>
      <c r="DK2599" s="4" t="e">
        <f>INDEX(Sheet2!$AA$2:$AS$228,QUOTIENT(ROW()-1,19)+1,MOD(ROW()-2,19)+1)</f>
        <v>#N/A</v>
      </c>
      <c r="DL2599" t="str">
        <f>IFERROR(INDEX(Sheet2!$AU$2:$BM$228,QUOTIENT(ROW()-1,19)+1,MOD(ROW()-2,19)+1),NA())</f>
        <v/>
      </c>
      <c r="DM2599" s="4" t="e">
        <f t="shared" si="141"/>
        <v>#N/A</v>
      </c>
      <c r="DN2599" t="e">
        <f t="shared" si="142"/>
        <v>#N/A</v>
      </c>
      <c r="DO2599" t="e">
        <f t="shared" si="143"/>
        <v>#N/A</v>
      </c>
    </row>
    <row r="2600" spans="7:119" x14ac:dyDescent="0.25">
      <c r="G2600"/>
      <c r="DI2600" s="4">
        <f>INDEX(Sheet2!A:A,QUOTIENT(ROW()-1,19)+2)</f>
        <v>41535</v>
      </c>
      <c r="DJ2600" s="4">
        <f>INDEX(Sheet2!C:C,QUOTIENT(ROW()-1,19)+2)</f>
        <v>42735</v>
      </c>
      <c r="DK2600" s="4" t="e">
        <f>INDEX(Sheet2!$AA$2:$AS$228,QUOTIENT(ROW()-1,19)+1,MOD(ROW()-2,19)+1)</f>
        <v>#N/A</v>
      </c>
      <c r="DL2600" t="str">
        <f>IFERROR(INDEX(Sheet2!$AU$2:$BM$228,QUOTIENT(ROW()-1,19)+1,MOD(ROW()-2,19)+1),NA())</f>
        <v/>
      </c>
      <c r="DM2600" s="4" t="e">
        <f t="shared" si="141"/>
        <v>#N/A</v>
      </c>
      <c r="DN2600" t="e">
        <f t="shared" si="142"/>
        <v>#N/A</v>
      </c>
      <c r="DO2600" t="e">
        <f t="shared" si="143"/>
        <v>#N/A</v>
      </c>
    </row>
    <row r="2601" spans="7:119" x14ac:dyDescent="0.25">
      <c r="G2601"/>
      <c r="DI2601" s="4">
        <f>INDEX(Sheet2!A:A,QUOTIENT(ROW()-1,19)+2)</f>
        <v>41535</v>
      </c>
      <c r="DJ2601" s="4">
        <f>INDEX(Sheet2!C:C,QUOTIENT(ROW()-1,19)+2)</f>
        <v>42735</v>
      </c>
      <c r="DK2601" s="4" t="e">
        <f>INDEX(Sheet2!$AA$2:$AS$228,QUOTIENT(ROW()-1,19)+1,MOD(ROW()-2,19)+1)</f>
        <v>#N/A</v>
      </c>
      <c r="DL2601" t="str">
        <f>IFERROR(INDEX(Sheet2!$AU$2:$BM$228,QUOTIENT(ROW()-1,19)+1,MOD(ROW()-2,19)+1),NA())</f>
        <v/>
      </c>
      <c r="DM2601" s="4" t="e">
        <f t="shared" si="141"/>
        <v>#N/A</v>
      </c>
      <c r="DN2601" t="e">
        <f t="shared" si="142"/>
        <v>#N/A</v>
      </c>
      <c r="DO2601" t="e">
        <f t="shared" si="143"/>
        <v>#N/A</v>
      </c>
    </row>
    <row r="2602" spans="7:119" x14ac:dyDescent="0.25">
      <c r="G2602"/>
      <c r="DI2602" s="4">
        <f>INDEX(Sheet2!A:A,QUOTIENT(ROW()-1,19)+2)</f>
        <v>41535</v>
      </c>
      <c r="DJ2602" s="4">
        <f>INDEX(Sheet2!C:C,QUOTIENT(ROW()-1,19)+2)</f>
        <v>42735</v>
      </c>
      <c r="DK2602" s="4" t="e">
        <f>INDEX(Sheet2!$AA$2:$AS$228,QUOTIENT(ROW()-1,19)+1,MOD(ROW()-2,19)+1)</f>
        <v>#N/A</v>
      </c>
      <c r="DL2602" t="str">
        <f>IFERROR(INDEX(Sheet2!$AU$2:$BM$228,QUOTIENT(ROW()-1,19)+1,MOD(ROW()-2,19)+1),NA())</f>
        <v/>
      </c>
      <c r="DM2602" s="4" t="e">
        <f t="shared" si="141"/>
        <v>#N/A</v>
      </c>
      <c r="DN2602" t="e">
        <f t="shared" si="142"/>
        <v>#N/A</v>
      </c>
      <c r="DO2602" t="e">
        <f t="shared" si="143"/>
        <v>#N/A</v>
      </c>
    </row>
    <row r="2603" spans="7:119" x14ac:dyDescent="0.25">
      <c r="G2603"/>
      <c r="DI2603" s="4">
        <f>INDEX(Sheet2!A:A,QUOTIENT(ROW()-1,19)+2)</f>
        <v>41535</v>
      </c>
      <c r="DJ2603" s="4">
        <f>INDEX(Sheet2!C:C,QUOTIENT(ROW()-1,19)+2)</f>
        <v>42735</v>
      </c>
      <c r="DK2603" s="4" t="e">
        <f>INDEX(Sheet2!$AA$2:$AS$228,QUOTIENT(ROW()-1,19)+1,MOD(ROW()-2,19)+1)</f>
        <v>#N/A</v>
      </c>
      <c r="DL2603" t="str">
        <f>IFERROR(INDEX(Sheet2!$AU$2:$BM$228,QUOTIENT(ROW()-1,19)+1,MOD(ROW()-2,19)+1),NA())</f>
        <v/>
      </c>
      <c r="DM2603" s="4" t="e">
        <f t="shared" si="141"/>
        <v>#N/A</v>
      </c>
      <c r="DN2603" t="e">
        <f t="shared" si="142"/>
        <v>#N/A</v>
      </c>
      <c r="DO2603" t="e">
        <f t="shared" si="143"/>
        <v>#N/A</v>
      </c>
    </row>
    <row r="2604" spans="7:119" x14ac:dyDescent="0.25">
      <c r="G2604"/>
      <c r="DI2604" s="4">
        <f>INDEX(Sheet2!A:A,QUOTIENT(ROW()-1,19)+2)</f>
        <v>41535</v>
      </c>
      <c r="DJ2604" s="4">
        <f>INDEX(Sheet2!C:C,QUOTIENT(ROW()-1,19)+2)</f>
        <v>42735</v>
      </c>
      <c r="DK2604" s="4" t="e">
        <f>INDEX(Sheet2!$AA$2:$AS$228,QUOTIENT(ROW()-1,19)+1,MOD(ROW()-2,19)+1)</f>
        <v>#N/A</v>
      </c>
      <c r="DL2604" t="str">
        <f>IFERROR(INDEX(Sheet2!$AU$2:$BM$228,QUOTIENT(ROW()-1,19)+1,MOD(ROW()-2,19)+1),NA())</f>
        <v/>
      </c>
      <c r="DM2604" s="4" t="e">
        <f t="shared" si="141"/>
        <v>#N/A</v>
      </c>
      <c r="DN2604" t="e">
        <f t="shared" si="142"/>
        <v>#N/A</v>
      </c>
      <c r="DO2604" t="e">
        <f t="shared" si="143"/>
        <v>#N/A</v>
      </c>
    </row>
    <row r="2605" spans="7:119" x14ac:dyDescent="0.25">
      <c r="G2605"/>
      <c r="DI2605" s="4">
        <f>INDEX(Sheet2!A:A,QUOTIENT(ROW()-1,19)+2)</f>
        <v>41535</v>
      </c>
      <c r="DJ2605" s="4">
        <f>INDEX(Sheet2!C:C,QUOTIENT(ROW()-1,19)+2)</f>
        <v>42735</v>
      </c>
      <c r="DK2605" s="4">
        <f>INDEX(Sheet2!$AA$2:$AS$228,QUOTIENT(ROW()-1,19)+1,MOD(ROW()-2,19)+1)</f>
        <v>42735</v>
      </c>
      <c r="DL2605">
        <f>IFERROR(INDEX(Sheet2!$AU$2:$BM$228,QUOTIENT(ROW()-1,19)+1,MOD(ROW()-2,19)+1),NA())</f>
        <v>4.25</v>
      </c>
      <c r="DM2605" s="4" t="e">
        <f t="shared" si="141"/>
        <v>#N/A</v>
      </c>
      <c r="DN2605" t="e">
        <f t="shared" si="142"/>
        <v>#N/A</v>
      </c>
      <c r="DO2605" t="e">
        <f t="shared" si="143"/>
        <v>#N/A</v>
      </c>
    </row>
    <row r="2606" spans="7:119" x14ac:dyDescent="0.25">
      <c r="G2606"/>
      <c r="DI2606" s="4">
        <f>INDEX(Sheet2!A:A,QUOTIENT(ROW()-1,19)+2)</f>
        <v>41535</v>
      </c>
      <c r="DJ2606" s="4">
        <f>INDEX(Sheet2!C:C,QUOTIENT(ROW()-1,19)+2)</f>
        <v>42735</v>
      </c>
      <c r="DK2606" s="4" t="e">
        <f>INDEX(Sheet2!$AA$2:$AS$228,QUOTIENT(ROW()-1,19)+1,MOD(ROW()-2,19)+1)</f>
        <v>#N/A</v>
      </c>
      <c r="DL2606" t="str">
        <f>IFERROR(INDEX(Sheet2!$AU$2:$BM$228,QUOTIENT(ROW()-1,19)+1,MOD(ROW()-2,19)+1),NA())</f>
        <v/>
      </c>
      <c r="DM2606" s="4" t="e">
        <f t="shared" si="141"/>
        <v>#N/A</v>
      </c>
      <c r="DN2606" t="e">
        <f t="shared" si="142"/>
        <v>#N/A</v>
      </c>
      <c r="DO2606" t="e">
        <f t="shared" si="143"/>
        <v>#N/A</v>
      </c>
    </row>
    <row r="2607" spans="7:119" x14ac:dyDescent="0.25">
      <c r="G2607"/>
      <c r="DI2607" s="4">
        <f>INDEX(Sheet2!A:A,QUOTIENT(ROW()-1,19)+2)</f>
        <v>41535</v>
      </c>
      <c r="DJ2607" s="4">
        <f>INDEX(Sheet2!C:C,QUOTIENT(ROW()-1,19)+2)</f>
        <v>42735</v>
      </c>
      <c r="DK2607" s="4" t="e">
        <f>INDEX(Sheet2!$AA$2:$AS$228,QUOTIENT(ROW()-1,19)+1,MOD(ROW()-2,19)+1)</f>
        <v>#N/A</v>
      </c>
      <c r="DL2607" t="str">
        <f>IFERROR(INDEX(Sheet2!$AU$2:$BM$228,QUOTIENT(ROW()-1,19)+1,MOD(ROW()-2,19)+1),NA())</f>
        <v/>
      </c>
      <c r="DM2607" s="4" t="e">
        <f t="shared" si="141"/>
        <v>#N/A</v>
      </c>
      <c r="DN2607" t="e">
        <f t="shared" si="142"/>
        <v>#N/A</v>
      </c>
      <c r="DO2607" t="e">
        <f t="shared" si="143"/>
        <v>#N/A</v>
      </c>
    </row>
    <row r="2608" spans="7:119" x14ac:dyDescent="0.25">
      <c r="G2608"/>
      <c r="DI2608" s="4">
        <f>INDEX(Sheet2!A:A,QUOTIENT(ROW()-1,19)+2)</f>
        <v>41535</v>
      </c>
      <c r="DJ2608" s="4">
        <f>INDEX(Sheet2!C:C,QUOTIENT(ROW()-1,19)+2)</f>
        <v>42735</v>
      </c>
      <c r="DK2608" s="4" t="e">
        <f>INDEX(Sheet2!$AA$2:$AS$228,QUOTIENT(ROW()-1,19)+1,MOD(ROW()-2,19)+1)</f>
        <v>#N/A</v>
      </c>
      <c r="DL2608" t="str">
        <f>IFERROR(INDEX(Sheet2!$AU$2:$BM$228,QUOTIENT(ROW()-1,19)+1,MOD(ROW()-2,19)+1),NA())</f>
        <v/>
      </c>
      <c r="DM2608" s="4" t="e">
        <f t="shared" si="141"/>
        <v>#N/A</v>
      </c>
      <c r="DN2608" t="e">
        <f t="shared" si="142"/>
        <v>#N/A</v>
      </c>
      <c r="DO2608" t="e">
        <f t="shared" si="143"/>
        <v>#N/A</v>
      </c>
    </row>
    <row r="2609" spans="7:119" x14ac:dyDescent="0.25">
      <c r="G2609"/>
      <c r="DI2609" s="4">
        <f>INDEX(Sheet2!A:A,QUOTIENT(ROW()-1,19)+2)</f>
        <v>41535</v>
      </c>
      <c r="DJ2609" s="4">
        <f>INDEX(Sheet2!C:C,QUOTIENT(ROW()-1,19)+2)</f>
        <v>42735</v>
      </c>
      <c r="DK2609" s="4" t="e">
        <f>INDEX(Sheet2!$AA$2:$AS$228,QUOTIENT(ROW()-1,19)+1,MOD(ROW()-2,19)+1)</f>
        <v>#N/A</v>
      </c>
      <c r="DL2609" t="str">
        <f>IFERROR(INDEX(Sheet2!$AU$2:$BM$228,QUOTIENT(ROW()-1,19)+1,MOD(ROW()-2,19)+1),NA())</f>
        <v/>
      </c>
      <c r="DM2609" s="4" t="e">
        <f t="shared" si="141"/>
        <v>#N/A</v>
      </c>
      <c r="DN2609" t="e">
        <f t="shared" si="142"/>
        <v>#N/A</v>
      </c>
      <c r="DO2609" t="e">
        <f t="shared" si="143"/>
        <v>#N/A</v>
      </c>
    </row>
    <row r="2610" spans="7:119" x14ac:dyDescent="0.25">
      <c r="G2610"/>
      <c r="DI2610" s="4">
        <f>INDEX(Sheet2!A:A,QUOTIENT(ROW()-1,19)+2)</f>
        <v>41535</v>
      </c>
      <c r="DJ2610" s="4">
        <f>INDEX(Sheet2!C:C,QUOTIENT(ROW()-1,19)+2)</f>
        <v>42735</v>
      </c>
      <c r="DK2610" s="4" t="e">
        <f>INDEX(Sheet2!$AA$2:$AS$228,QUOTIENT(ROW()-1,19)+1,MOD(ROW()-2,19)+1)</f>
        <v>#N/A</v>
      </c>
      <c r="DL2610" t="str">
        <f>IFERROR(INDEX(Sheet2!$AU$2:$BM$228,QUOTIENT(ROW()-1,19)+1,MOD(ROW()-2,19)+1),NA())</f>
        <v/>
      </c>
      <c r="DM2610" s="4" t="e">
        <f t="shared" si="141"/>
        <v>#N/A</v>
      </c>
      <c r="DN2610" t="e">
        <f t="shared" si="142"/>
        <v>#N/A</v>
      </c>
      <c r="DO2610" t="e">
        <f t="shared" si="143"/>
        <v>#N/A</v>
      </c>
    </row>
    <row r="2611" spans="7:119" x14ac:dyDescent="0.25">
      <c r="G2611"/>
      <c r="DI2611" s="4">
        <f>INDEX(Sheet2!A:A,QUOTIENT(ROW()-1,19)+2)</f>
        <v>41535</v>
      </c>
      <c r="DJ2611" s="4">
        <f>INDEX(Sheet2!C:C,QUOTIENT(ROW()-1,19)+2)</f>
        <v>42735</v>
      </c>
      <c r="DK2611" s="4" t="e">
        <f>INDEX(Sheet2!$AA$2:$AS$228,QUOTIENT(ROW()-1,19)+1,MOD(ROW()-2,19)+1)</f>
        <v>#N/A</v>
      </c>
      <c r="DL2611" t="str">
        <f>IFERROR(INDEX(Sheet2!$AU$2:$BM$228,QUOTIENT(ROW()-1,19)+1,MOD(ROW()-2,19)+1),NA())</f>
        <v/>
      </c>
      <c r="DM2611" s="4" t="e">
        <f t="shared" si="141"/>
        <v>#N/A</v>
      </c>
      <c r="DN2611" t="e">
        <f t="shared" si="142"/>
        <v>#N/A</v>
      </c>
      <c r="DO2611" t="e">
        <f t="shared" si="143"/>
        <v>#N/A</v>
      </c>
    </row>
    <row r="2612" spans="7:119" x14ac:dyDescent="0.25">
      <c r="G2612"/>
      <c r="DI2612" s="4">
        <f>INDEX(Sheet2!A:A,QUOTIENT(ROW()-1,19)+2)</f>
        <v>41535</v>
      </c>
      <c r="DJ2612" s="4">
        <f>INDEX(Sheet2!C:C,QUOTIENT(ROW()-1,19)+2)</f>
        <v>42735</v>
      </c>
      <c r="DK2612" s="4" t="e">
        <f>INDEX(Sheet2!$AA$2:$AS$228,QUOTIENT(ROW()-1,19)+1,MOD(ROW()-2,19)+1)</f>
        <v>#N/A</v>
      </c>
      <c r="DL2612" t="str">
        <f>IFERROR(INDEX(Sheet2!$AU$2:$BM$228,QUOTIENT(ROW()-1,19)+1,MOD(ROW()-2,19)+1),NA())</f>
        <v/>
      </c>
      <c r="DM2612" s="4" t="e">
        <f t="shared" si="141"/>
        <v>#N/A</v>
      </c>
      <c r="DN2612" t="e">
        <f t="shared" si="142"/>
        <v>#N/A</v>
      </c>
      <c r="DO2612" t="e">
        <f t="shared" si="143"/>
        <v>#N/A</v>
      </c>
    </row>
    <row r="2613" spans="7:119" x14ac:dyDescent="0.25">
      <c r="G2613"/>
      <c r="DI2613" s="4">
        <f>INDEX(Sheet2!A:A,QUOTIENT(ROW()-1,19)+2)</f>
        <v>41535</v>
      </c>
      <c r="DJ2613" s="4">
        <f>INDEX(Sheet2!C:C,QUOTIENT(ROW()-1,19)+2)</f>
        <v>42735</v>
      </c>
      <c r="DK2613" s="4" t="e">
        <f>INDEX(Sheet2!$AA$2:$AS$228,QUOTIENT(ROW()-1,19)+1,MOD(ROW()-2,19)+1)</f>
        <v>#N/A</v>
      </c>
      <c r="DL2613" t="str">
        <f>IFERROR(INDEX(Sheet2!$AU$2:$BM$228,QUOTIENT(ROW()-1,19)+1,MOD(ROW()-2,19)+1),NA())</f>
        <v/>
      </c>
      <c r="DM2613" s="4" t="e">
        <f t="shared" si="141"/>
        <v>#N/A</v>
      </c>
      <c r="DN2613" t="e">
        <f t="shared" si="142"/>
        <v>#N/A</v>
      </c>
      <c r="DO2613" t="e">
        <f t="shared" si="143"/>
        <v>#N/A</v>
      </c>
    </row>
    <row r="2614" spans="7:119" x14ac:dyDescent="0.25">
      <c r="G2614"/>
      <c r="DI2614" s="4">
        <f>INDEX(Sheet2!A:A,QUOTIENT(ROW()-1,19)+2)</f>
        <v>41535</v>
      </c>
      <c r="DJ2614" s="4">
        <f>INDEX(Sheet2!C:C,QUOTIENT(ROW()-1,19)+2)</f>
        <v>42735</v>
      </c>
      <c r="DK2614" s="4" t="e">
        <f>INDEX(Sheet2!$AA$2:$AS$228,QUOTIENT(ROW()-1,19)+1,MOD(ROW()-2,19)+1)</f>
        <v>#N/A</v>
      </c>
      <c r="DL2614" t="str">
        <f>IFERROR(INDEX(Sheet2!$AU$2:$BM$228,QUOTIENT(ROW()-1,19)+1,MOD(ROW()-2,19)+1),NA())</f>
        <v/>
      </c>
      <c r="DM2614" s="4" t="e">
        <f t="shared" si="141"/>
        <v>#N/A</v>
      </c>
      <c r="DN2614" t="e">
        <f t="shared" si="142"/>
        <v>#N/A</v>
      </c>
      <c r="DO2614" t="e">
        <f t="shared" si="143"/>
        <v>#N/A</v>
      </c>
    </row>
    <row r="2615" spans="7:119" x14ac:dyDescent="0.25">
      <c r="G2615"/>
      <c r="DI2615" s="4">
        <f>INDEX(Sheet2!A:A,QUOTIENT(ROW()-1,19)+2)</f>
        <v>41535</v>
      </c>
      <c r="DJ2615" s="4">
        <f>INDEX(Sheet2!C:C,QUOTIENT(ROW()-1,19)+2)</f>
        <v>42735</v>
      </c>
      <c r="DK2615" s="4" t="e">
        <f>INDEX(Sheet2!$AA$2:$AS$228,QUOTIENT(ROW()-1,19)+1,MOD(ROW()-2,19)+1)</f>
        <v>#N/A</v>
      </c>
      <c r="DL2615" t="str">
        <f>IFERROR(INDEX(Sheet2!$AU$2:$BM$228,QUOTIENT(ROW()-1,19)+1,MOD(ROW()-2,19)+1),NA())</f>
        <v/>
      </c>
      <c r="DM2615" s="4" t="e">
        <f t="shared" si="141"/>
        <v>#N/A</v>
      </c>
      <c r="DN2615" t="e">
        <f t="shared" si="142"/>
        <v>#N/A</v>
      </c>
      <c r="DO2615" t="e">
        <f t="shared" si="143"/>
        <v>#N/A</v>
      </c>
    </row>
    <row r="2616" spans="7:119" x14ac:dyDescent="0.25">
      <c r="G2616"/>
      <c r="DI2616" s="4">
        <f>INDEX(Sheet2!A:A,QUOTIENT(ROW()-1,19)+2)</f>
        <v>41535</v>
      </c>
      <c r="DJ2616" s="4">
        <f>INDEX(Sheet2!C:C,QUOTIENT(ROW()-1,19)+2)</f>
        <v>42735</v>
      </c>
      <c r="DK2616" s="4" t="e">
        <f>INDEX(Sheet2!$AA$2:$AS$228,QUOTIENT(ROW()-1,19)+1,MOD(ROW()-2,19)+1)</f>
        <v>#N/A</v>
      </c>
      <c r="DL2616" t="str">
        <f>IFERROR(INDEX(Sheet2!$AU$2:$BM$228,QUOTIENT(ROW()-1,19)+1,MOD(ROW()-2,19)+1),NA())</f>
        <v/>
      </c>
      <c r="DM2616" s="4" t="e">
        <f t="shared" si="141"/>
        <v>#N/A</v>
      </c>
      <c r="DN2616" t="e">
        <f t="shared" si="142"/>
        <v>#N/A</v>
      </c>
      <c r="DO2616" t="e">
        <f t="shared" si="143"/>
        <v>#N/A</v>
      </c>
    </row>
    <row r="2617" spans="7:119" x14ac:dyDescent="0.25">
      <c r="G2617"/>
      <c r="DI2617" s="4">
        <f>INDEX(Sheet2!A:A,QUOTIENT(ROW()-1,19)+2)</f>
        <v>41535</v>
      </c>
      <c r="DJ2617" s="4">
        <f>INDEX(Sheet2!C:C,QUOTIENT(ROW()-1,19)+2)</f>
        <v>42735</v>
      </c>
      <c r="DK2617" s="4" t="e">
        <f>INDEX(Sheet2!$AA$2:$AS$228,QUOTIENT(ROW()-1,19)+1,MOD(ROW()-2,19)+1)</f>
        <v>#N/A</v>
      </c>
      <c r="DL2617" t="str">
        <f>IFERROR(INDEX(Sheet2!$AU$2:$BM$228,QUOTIENT(ROW()-1,19)+1,MOD(ROW()-2,19)+1),NA())</f>
        <v/>
      </c>
      <c r="DM2617" s="4" t="e">
        <f t="shared" si="141"/>
        <v>#N/A</v>
      </c>
      <c r="DN2617" t="e">
        <f t="shared" si="142"/>
        <v>#N/A</v>
      </c>
      <c r="DO2617" t="e">
        <f t="shared" si="143"/>
        <v>#N/A</v>
      </c>
    </row>
    <row r="2618" spans="7:119" x14ac:dyDescent="0.25">
      <c r="G2618"/>
      <c r="DI2618" s="4">
        <f>INDEX(Sheet2!A:A,QUOTIENT(ROW()-1,19)+2)</f>
        <v>41535</v>
      </c>
      <c r="DJ2618" s="4">
        <f>INDEX(Sheet2!C:C,QUOTIENT(ROW()-1,19)+2)</f>
        <v>42735</v>
      </c>
      <c r="DK2618" s="4" t="e">
        <f>INDEX(Sheet2!$AA$2:$AS$228,QUOTIENT(ROW()-1,19)+1,MOD(ROW()-2,19)+1)</f>
        <v>#N/A</v>
      </c>
      <c r="DL2618" t="str">
        <f>IFERROR(INDEX(Sheet2!$AU$2:$BM$228,QUOTIENT(ROW()-1,19)+1,MOD(ROW()-2,19)+1),NA())</f>
        <v/>
      </c>
      <c r="DM2618" s="4" t="e">
        <f t="shared" si="141"/>
        <v>#N/A</v>
      </c>
      <c r="DN2618" t="e">
        <f t="shared" si="142"/>
        <v>#N/A</v>
      </c>
      <c r="DO2618" t="e">
        <f t="shared" si="143"/>
        <v>#N/A</v>
      </c>
    </row>
    <row r="2619" spans="7:119" x14ac:dyDescent="0.25">
      <c r="G2619"/>
      <c r="DI2619" s="4">
        <f>INDEX(Sheet2!A:A,QUOTIENT(ROW()-1,19)+2)</f>
        <v>41535</v>
      </c>
      <c r="DJ2619" s="4">
        <f>INDEX(Sheet2!C:C,QUOTIENT(ROW()-1,19)+2)</f>
        <v>42735</v>
      </c>
      <c r="DK2619" s="4" t="e">
        <f>INDEX(Sheet2!$AA$2:$AS$228,QUOTIENT(ROW()-1,19)+1,MOD(ROW()-2,19)+1)</f>
        <v>#N/A</v>
      </c>
      <c r="DL2619" t="str">
        <f>IFERROR(INDEX(Sheet2!$AU$2:$BM$228,QUOTIENT(ROW()-1,19)+1,MOD(ROW()-2,19)+1),NA())</f>
        <v/>
      </c>
      <c r="DM2619" s="4" t="e">
        <f t="shared" si="141"/>
        <v>#N/A</v>
      </c>
      <c r="DN2619" t="e">
        <f t="shared" si="142"/>
        <v>#N/A</v>
      </c>
      <c r="DO2619" t="e">
        <f t="shared" si="143"/>
        <v>#N/A</v>
      </c>
    </row>
    <row r="2620" spans="7:119" x14ac:dyDescent="0.25">
      <c r="G2620"/>
      <c r="DI2620" s="4">
        <f>INDEX(Sheet2!A:A,QUOTIENT(ROW()-1,19)+2)</f>
        <v>41535</v>
      </c>
      <c r="DJ2620" s="4">
        <f>INDEX(Sheet2!C:C,QUOTIENT(ROW()-1,19)+2)</f>
        <v>42735</v>
      </c>
      <c r="DK2620" s="4" t="e">
        <f>INDEX(Sheet2!$AA$2:$AS$228,QUOTIENT(ROW()-1,19)+1,MOD(ROW()-2,19)+1)</f>
        <v>#N/A</v>
      </c>
      <c r="DL2620" t="str">
        <f>IFERROR(INDEX(Sheet2!$AU$2:$BM$228,QUOTIENT(ROW()-1,19)+1,MOD(ROW()-2,19)+1),NA())</f>
        <v/>
      </c>
      <c r="DM2620" s="4" t="e">
        <f t="shared" si="141"/>
        <v>#N/A</v>
      </c>
      <c r="DN2620" t="e">
        <f t="shared" si="142"/>
        <v>#N/A</v>
      </c>
      <c r="DO2620" t="e">
        <f t="shared" si="143"/>
        <v>#N/A</v>
      </c>
    </row>
    <row r="2621" spans="7:119" x14ac:dyDescent="0.25">
      <c r="G2621"/>
      <c r="DI2621" s="4">
        <f>INDEX(Sheet2!A:A,QUOTIENT(ROW()-1,19)+2)</f>
        <v>41535</v>
      </c>
      <c r="DJ2621" s="4">
        <f>INDEX(Sheet2!C:C,QUOTIENT(ROW()-1,19)+2)</f>
        <v>42735</v>
      </c>
      <c r="DK2621" s="4" t="e">
        <f>INDEX(Sheet2!$AA$2:$AS$228,QUOTIENT(ROW()-1,19)+1,MOD(ROW()-2,19)+1)</f>
        <v>#N/A</v>
      </c>
      <c r="DL2621" t="str">
        <f>IFERROR(INDEX(Sheet2!$AU$2:$BM$228,QUOTIENT(ROW()-1,19)+1,MOD(ROW()-2,19)+1),NA())</f>
        <v/>
      </c>
      <c r="DM2621" s="4" t="e">
        <f t="shared" si="141"/>
        <v>#N/A</v>
      </c>
      <c r="DN2621" t="e">
        <f t="shared" si="142"/>
        <v>#N/A</v>
      </c>
      <c r="DO2621" t="e">
        <f t="shared" si="143"/>
        <v>#N/A</v>
      </c>
    </row>
    <row r="2622" spans="7:119" x14ac:dyDescent="0.25">
      <c r="G2622"/>
      <c r="DI2622" s="4">
        <f>INDEX(Sheet2!A:A,QUOTIENT(ROW()-1,19)+2)</f>
        <v>41535</v>
      </c>
      <c r="DJ2622" s="4">
        <f>INDEX(Sheet2!C:C,QUOTIENT(ROW()-1,19)+2)</f>
        <v>42735</v>
      </c>
      <c r="DK2622" s="4" t="e">
        <f>INDEX(Sheet2!$AA$2:$AS$228,QUOTIENT(ROW()-1,19)+1,MOD(ROW()-2,19)+1)</f>
        <v>#N/A</v>
      </c>
      <c r="DL2622" t="str">
        <f>IFERROR(INDEX(Sheet2!$AU$2:$BM$228,QUOTIENT(ROW()-1,19)+1,MOD(ROW()-2,19)+1),NA())</f>
        <v/>
      </c>
      <c r="DM2622" s="4" t="e">
        <f t="shared" si="141"/>
        <v>#N/A</v>
      </c>
      <c r="DN2622" t="e">
        <f t="shared" si="142"/>
        <v>#N/A</v>
      </c>
      <c r="DO2622" t="e">
        <f t="shared" si="143"/>
        <v>#N/A</v>
      </c>
    </row>
    <row r="2623" spans="7:119" x14ac:dyDescent="0.25">
      <c r="G2623"/>
      <c r="DI2623" s="4">
        <f>INDEX(Sheet2!A:A,QUOTIENT(ROW()-1,19)+2)</f>
        <v>41535</v>
      </c>
      <c r="DJ2623" s="4">
        <f>INDEX(Sheet2!C:C,QUOTIENT(ROW()-1,19)+2)</f>
        <v>43100</v>
      </c>
      <c r="DK2623" s="4" t="e">
        <f>INDEX(Sheet2!$AA$2:$AS$228,QUOTIENT(ROW()-1,19)+1,MOD(ROW()-2,19)+1)</f>
        <v>#N/A</v>
      </c>
      <c r="DL2623" t="str">
        <f>IFERROR(INDEX(Sheet2!$AU$2:$BM$228,QUOTIENT(ROW()-1,19)+1,MOD(ROW()-2,19)+1),NA())</f>
        <v/>
      </c>
      <c r="DM2623" s="4" t="e">
        <f t="shared" si="141"/>
        <v>#N/A</v>
      </c>
      <c r="DN2623" t="e">
        <f t="shared" si="142"/>
        <v>#N/A</v>
      </c>
      <c r="DO2623" t="e">
        <f t="shared" si="143"/>
        <v>#N/A</v>
      </c>
    </row>
    <row r="2624" spans="7:119" x14ac:dyDescent="0.25">
      <c r="G2624"/>
      <c r="DI2624" s="4">
        <f>INDEX(Sheet2!A:A,QUOTIENT(ROW()-1,19)+2)</f>
        <v>41535</v>
      </c>
      <c r="DJ2624" s="4">
        <f>INDEX(Sheet2!C:C,QUOTIENT(ROW()-1,19)+2)</f>
        <v>43100</v>
      </c>
      <c r="DK2624" s="4">
        <f>INDEX(Sheet2!$AA$2:$AS$228,QUOTIENT(ROW()-1,19)+1,MOD(ROW()-2,19)+1)</f>
        <v>43100</v>
      </c>
      <c r="DL2624">
        <f>IFERROR(INDEX(Sheet2!$AU$2:$BM$228,QUOTIENT(ROW()-1,19)+1,MOD(ROW()-2,19)+1),NA())</f>
        <v>3.25</v>
      </c>
      <c r="DM2624" s="4" t="e">
        <f t="shared" si="141"/>
        <v>#N/A</v>
      </c>
      <c r="DN2624" t="e">
        <f t="shared" si="142"/>
        <v>#N/A</v>
      </c>
      <c r="DO2624" t="e">
        <f t="shared" si="143"/>
        <v>#N/A</v>
      </c>
    </row>
    <row r="2625" spans="7:119" x14ac:dyDescent="0.25">
      <c r="G2625"/>
      <c r="DI2625" s="4">
        <f>INDEX(Sheet2!A:A,QUOTIENT(ROW()-1,19)+2)</f>
        <v>41535</v>
      </c>
      <c r="DJ2625" s="4">
        <f>INDEX(Sheet2!C:C,QUOTIENT(ROW()-1,19)+2)</f>
        <v>43100</v>
      </c>
      <c r="DK2625" s="4" t="e">
        <f>INDEX(Sheet2!$AA$2:$AS$228,QUOTIENT(ROW()-1,19)+1,MOD(ROW()-2,19)+1)</f>
        <v>#N/A</v>
      </c>
      <c r="DL2625" t="str">
        <f>IFERROR(INDEX(Sheet2!$AU$2:$BM$228,QUOTIENT(ROW()-1,19)+1,MOD(ROW()-2,19)+1),NA())</f>
        <v/>
      </c>
      <c r="DM2625" s="4" t="e">
        <f t="shared" si="141"/>
        <v>#N/A</v>
      </c>
      <c r="DN2625" t="e">
        <f t="shared" si="142"/>
        <v>#N/A</v>
      </c>
      <c r="DO2625" t="e">
        <f t="shared" si="143"/>
        <v>#N/A</v>
      </c>
    </row>
    <row r="2626" spans="7:119" x14ac:dyDescent="0.25">
      <c r="G2626"/>
      <c r="DI2626" s="4">
        <f>INDEX(Sheet2!A:A,QUOTIENT(ROW()-1,19)+2)</f>
        <v>41535</v>
      </c>
      <c r="DJ2626" s="4">
        <f>INDEX(Sheet2!C:C,QUOTIENT(ROW()-1,19)+2)</f>
        <v>43100</v>
      </c>
      <c r="DK2626" s="4" t="e">
        <f>INDEX(Sheet2!$AA$2:$AS$228,QUOTIENT(ROW()-1,19)+1,MOD(ROW()-2,19)+1)</f>
        <v>#N/A</v>
      </c>
      <c r="DL2626" t="str">
        <f>IFERROR(INDEX(Sheet2!$AU$2:$BM$228,QUOTIENT(ROW()-1,19)+1,MOD(ROW()-2,19)+1),NA())</f>
        <v/>
      </c>
      <c r="DM2626" s="4" t="e">
        <f t="shared" ref="DM2626:DM2689" si="144">+IF($C$2=$DI2626,DK2626,NA())</f>
        <v>#N/A</v>
      </c>
      <c r="DN2626" t="e">
        <f t="shared" ref="DN2626:DN2689" si="145">+IF($C$2=$DI2626,DL2626,NA())</f>
        <v>#N/A</v>
      </c>
      <c r="DO2626" t="e">
        <f t="shared" si="143"/>
        <v>#N/A</v>
      </c>
    </row>
    <row r="2627" spans="7:119" x14ac:dyDescent="0.25">
      <c r="G2627"/>
      <c r="DI2627" s="4">
        <f>INDEX(Sheet2!A:A,QUOTIENT(ROW()-1,19)+2)</f>
        <v>41535</v>
      </c>
      <c r="DJ2627" s="4">
        <f>INDEX(Sheet2!C:C,QUOTIENT(ROW()-1,19)+2)</f>
        <v>43100</v>
      </c>
      <c r="DK2627" s="4" t="e">
        <f>INDEX(Sheet2!$AA$2:$AS$228,QUOTIENT(ROW()-1,19)+1,MOD(ROW()-2,19)+1)</f>
        <v>#N/A</v>
      </c>
      <c r="DL2627" t="str">
        <f>IFERROR(INDEX(Sheet2!$AU$2:$BM$228,QUOTIENT(ROW()-1,19)+1,MOD(ROW()-2,19)+1),NA())</f>
        <v/>
      </c>
      <c r="DM2627" s="4" t="e">
        <f t="shared" si="144"/>
        <v>#N/A</v>
      </c>
      <c r="DN2627" t="e">
        <f t="shared" si="145"/>
        <v>#N/A</v>
      </c>
      <c r="DO2627" t="e">
        <f t="shared" ref="DO2627:DO2690" si="146">IF(DN2627="",NA(),DN2627)</f>
        <v>#N/A</v>
      </c>
    </row>
    <row r="2628" spans="7:119" x14ac:dyDescent="0.25">
      <c r="G2628"/>
      <c r="DI2628" s="4">
        <f>INDEX(Sheet2!A:A,QUOTIENT(ROW()-1,19)+2)</f>
        <v>41535</v>
      </c>
      <c r="DJ2628" s="4">
        <f>INDEX(Sheet2!C:C,QUOTIENT(ROW()-1,19)+2)</f>
        <v>43100</v>
      </c>
      <c r="DK2628" s="4" t="e">
        <f>INDEX(Sheet2!$AA$2:$AS$228,QUOTIENT(ROW()-1,19)+1,MOD(ROW()-2,19)+1)</f>
        <v>#N/A</v>
      </c>
      <c r="DL2628" t="str">
        <f>IFERROR(INDEX(Sheet2!$AU$2:$BM$228,QUOTIENT(ROW()-1,19)+1,MOD(ROW()-2,19)+1),NA())</f>
        <v/>
      </c>
      <c r="DM2628" s="4" t="e">
        <f t="shared" si="144"/>
        <v>#N/A</v>
      </c>
      <c r="DN2628" t="e">
        <f t="shared" si="145"/>
        <v>#N/A</v>
      </c>
      <c r="DO2628" t="e">
        <f t="shared" si="146"/>
        <v>#N/A</v>
      </c>
    </row>
    <row r="2629" spans="7:119" x14ac:dyDescent="0.25">
      <c r="G2629"/>
      <c r="DI2629" s="4">
        <f>INDEX(Sheet2!A:A,QUOTIENT(ROW()-1,19)+2)</f>
        <v>41535</v>
      </c>
      <c r="DJ2629" s="4">
        <f>INDEX(Sheet2!C:C,QUOTIENT(ROW()-1,19)+2)</f>
        <v>43100</v>
      </c>
      <c r="DK2629" s="4" t="e">
        <f>INDEX(Sheet2!$AA$2:$AS$228,QUOTIENT(ROW()-1,19)+1,MOD(ROW()-2,19)+1)</f>
        <v>#N/A</v>
      </c>
      <c r="DL2629" t="str">
        <f>IFERROR(INDEX(Sheet2!$AU$2:$BM$228,QUOTIENT(ROW()-1,19)+1,MOD(ROW()-2,19)+1),NA())</f>
        <v/>
      </c>
      <c r="DM2629" s="4" t="e">
        <f t="shared" si="144"/>
        <v>#N/A</v>
      </c>
      <c r="DN2629" t="e">
        <f t="shared" si="145"/>
        <v>#N/A</v>
      </c>
      <c r="DO2629" t="e">
        <f t="shared" si="146"/>
        <v>#N/A</v>
      </c>
    </row>
    <row r="2630" spans="7:119" x14ac:dyDescent="0.25">
      <c r="G2630"/>
      <c r="DI2630" s="4">
        <f>INDEX(Sheet2!A:A,QUOTIENT(ROW()-1,19)+2)</f>
        <v>41535</v>
      </c>
      <c r="DJ2630" s="4">
        <f>INDEX(Sheet2!C:C,QUOTIENT(ROW()-1,19)+2)</f>
        <v>43100</v>
      </c>
      <c r="DK2630" s="4" t="e">
        <f>INDEX(Sheet2!$AA$2:$AS$228,QUOTIENT(ROW()-1,19)+1,MOD(ROW()-2,19)+1)</f>
        <v>#N/A</v>
      </c>
      <c r="DL2630" t="str">
        <f>IFERROR(INDEX(Sheet2!$AU$2:$BM$228,QUOTIENT(ROW()-1,19)+1,MOD(ROW()-2,19)+1),NA())</f>
        <v/>
      </c>
      <c r="DM2630" s="4" t="e">
        <f t="shared" si="144"/>
        <v>#N/A</v>
      </c>
      <c r="DN2630" t="e">
        <f t="shared" si="145"/>
        <v>#N/A</v>
      </c>
      <c r="DO2630" t="e">
        <f t="shared" si="146"/>
        <v>#N/A</v>
      </c>
    </row>
    <row r="2631" spans="7:119" x14ac:dyDescent="0.25">
      <c r="G2631"/>
      <c r="DI2631" s="4">
        <f>INDEX(Sheet2!A:A,QUOTIENT(ROW()-1,19)+2)</f>
        <v>41535</v>
      </c>
      <c r="DJ2631" s="4">
        <f>INDEX(Sheet2!C:C,QUOTIENT(ROW()-1,19)+2)</f>
        <v>43100</v>
      </c>
      <c r="DK2631" s="4" t="e">
        <f>INDEX(Sheet2!$AA$2:$AS$228,QUOTIENT(ROW()-1,19)+1,MOD(ROW()-2,19)+1)</f>
        <v>#N/A</v>
      </c>
      <c r="DL2631" t="str">
        <f>IFERROR(INDEX(Sheet2!$AU$2:$BM$228,QUOTIENT(ROW()-1,19)+1,MOD(ROW()-2,19)+1),NA())</f>
        <v/>
      </c>
      <c r="DM2631" s="4" t="e">
        <f t="shared" si="144"/>
        <v>#N/A</v>
      </c>
      <c r="DN2631" t="e">
        <f t="shared" si="145"/>
        <v>#N/A</v>
      </c>
      <c r="DO2631" t="e">
        <f t="shared" si="146"/>
        <v>#N/A</v>
      </c>
    </row>
    <row r="2632" spans="7:119" x14ac:dyDescent="0.25">
      <c r="G2632"/>
      <c r="DI2632" s="4">
        <f>INDEX(Sheet2!A:A,QUOTIENT(ROW()-1,19)+2)</f>
        <v>41535</v>
      </c>
      <c r="DJ2632" s="4">
        <f>INDEX(Sheet2!C:C,QUOTIENT(ROW()-1,19)+2)</f>
        <v>43100</v>
      </c>
      <c r="DK2632" s="4" t="e">
        <f>INDEX(Sheet2!$AA$2:$AS$228,QUOTIENT(ROW()-1,19)+1,MOD(ROW()-2,19)+1)</f>
        <v>#N/A</v>
      </c>
      <c r="DL2632" t="str">
        <f>IFERROR(INDEX(Sheet2!$AU$2:$BM$228,QUOTIENT(ROW()-1,19)+1,MOD(ROW()-2,19)+1),NA())</f>
        <v/>
      </c>
      <c r="DM2632" s="4" t="e">
        <f t="shared" si="144"/>
        <v>#N/A</v>
      </c>
      <c r="DN2632" t="e">
        <f t="shared" si="145"/>
        <v>#N/A</v>
      </c>
      <c r="DO2632" t="e">
        <f t="shared" si="146"/>
        <v>#N/A</v>
      </c>
    </row>
    <row r="2633" spans="7:119" x14ac:dyDescent="0.25">
      <c r="G2633"/>
      <c r="DI2633" s="4">
        <f>INDEX(Sheet2!A:A,QUOTIENT(ROW()-1,19)+2)</f>
        <v>41535</v>
      </c>
      <c r="DJ2633" s="4">
        <f>INDEX(Sheet2!C:C,QUOTIENT(ROW()-1,19)+2)</f>
        <v>43100</v>
      </c>
      <c r="DK2633" s="4" t="e">
        <f>INDEX(Sheet2!$AA$2:$AS$228,QUOTIENT(ROW()-1,19)+1,MOD(ROW()-2,19)+1)</f>
        <v>#N/A</v>
      </c>
      <c r="DL2633" t="str">
        <f>IFERROR(INDEX(Sheet2!$AU$2:$BM$228,QUOTIENT(ROW()-1,19)+1,MOD(ROW()-2,19)+1),NA())</f>
        <v/>
      </c>
      <c r="DM2633" s="4" t="e">
        <f t="shared" si="144"/>
        <v>#N/A</v>
      </c>
      <c r="DN2633" t="e">
        <f t="shared" si="145"/>
        <v>#N/A</v>
      </c>
      <c r="DO2633" t="e">
        <f t="shared" si="146"/>
        <v>#N/A</v>
      </c>
    </row>
    <row r="2634" spans="7:119" x14ac:dyDescent="0.25">
      <c r="G2634"/>
      <c r="DI2634" s="4">
        <f>INDEX(Sheet2!A:A,QUOTIENT(ROW()-1,19)+2)</f>
        <v>41535</v>
      </c>
      <c r="DJ2634" s="4">
        <f>INDEX(Sheet2!C:C,QUOTIENT(ROW()-1,19)+2)</f>
        <v>43100</v>
      </c>
      <c r="DK2634" s="4" t="e">
        <f>INDEX(Sheet2!$AA$2:$AS$228,QUOTIENT(ROW()-1,19)+1,MOD(ROW()-2,19)+1)</f>
        <v>#N/A</v>
      </c>
      <c r="DL2634" t="str">
        <f>IFERROR(INDEX(Sheet2!$AU$2:$BM$228,QUOTIENT(ROW()-1,19)+1,MOD(ROW()-2,19)+1),NA())</f>
        <v/>
      </c>
      <c r="DM2634" s="4" t="e">
        <f t="shared" si="144"/>
        <v>#N/A</v>
      </c>
      <c r="DN2634" t="e">
        <f t="shared" si="145"/>
        <v>#N/A</v>
      </c>
      <c r="DO2634" t="e">
        <f t="shared" si="146"/>
        <v>#N/A</v>
      </c>
    </row>
    <row r="2635" spans="7:119" x14ac:dyDescent="0.25">
      <c r="G2635"/>
      <c r="DI2635" s="4">
        <f>INDEX(Sheet2!A:A,QUOTIENT(ROW()-1,19)+2)</f>
        <v>41535</v>
      </c>
      <c r="DJ2635" s="4">
        <f>INDEX(Sheet2!C:C,QUOTIENT(ROW()-1,19)+2)</f>
        <v>43100</v>
      </c>
      <c r="DK2635" s="4" t="e">
        <f>INDEX(Sheet2!$AA$2:$AS$228,QUOTIENT(ROW()-1,19)+1,MOD(ROW()-2,19)+1)</f>
        <v>#N/A</v>
      </c>
      <c r="DL2635" t="str">
        <f>IFERROR(INDEX(Sheet2!$AU$2:$BM$228,QUOTIENT(ROW()-1,19)+1,MOD(ROW()-2,19)+1),NA())</f>
        <v/>
      </c>
      <c r="DM2635" s="4" t="e">
        <f t="shared" si="144"/>
        <v>#N/A</v>
      </c>
      <c r="DN2635" t="e">
        <f t="shared" si="145"/>
        <v>#N/A</v>
      </c>
      <c r="DO2635" t="e">
        <f t="shared" si="146"/>
        <v>#N/A</v>
      </c>
    </row>
    <row r="2636" spans="7:119" x14ac:dyDescent="0.25">
      <c r="G2636"/>
      <c r="DI2636" s="4">
        <f>INDEX(Sheet2!A:A,QUOTIENT(ROW()-1,19)+2)</f>
        <v>41535</v>
      </c>
      <c r="DJ2636" s="4">
        <f>INDEX(Sheet2!C:C,QUOTIENT(ROW()-1,19)+2)</f>
        <v>43100</v>
      </c>
      <c r="DK2636" s="4" t="e">
        <f>INDEX(Sheet2!$AA$2:$AS$228,QUOTIENT(ROW()-1,19)+1,MOD(ROW()-2,19)+1)</f>
        <v>#N/A</v>
      </c>
      <c r="DL2636" t="str">
        <f>IFERROR(INDEX(Sheet2!$AU$2:$BM$228,QUOTIENT(ROW()-1,19)+1,MOD(ROW()-2,19)+1),NA())</f>
        <v/>
      </c>
      <c r="DM2636" s="4" t="e">
        <f t="shared" si="144"/>
        <v>#N/A</v>
      </c>
      <c r="DN2636" t="e">
        <f t="shared" si="145"/>
        <v>#N/A</v>
      </c>
      <c r="DO2636" t="e">
        <f t="shared" si="146"/>
        <v>#N/A</v>
      </c>
    </row>
    <row r="2637" spans="7:119" x14ac:dyDescent="0.25">
      <c r="G2637"/>
      <c r="DI2637" s="4">
        <f>INDEX(Sheet2!A:A,QUOTIENT(ROW()-1,19)+2)</f>
        <v>41535</v>
      </c>
      <c r="DJ2637" s="4">
        <f>INDEX(Sheet2!C:C,QUOTIENT(ROW()-1,19)+2)</f>
        <v>43100</v>
      </c>
      <c r="DK2637" s="4" t="e">
        <f>INDEX(Sheet2!$AA$2:$AS$228,QUOTIENT(ROW()-1,19)+1,MOD(ROW()-2,19)+1)</f>
        <v>#N/A</v>
      </c>
      <c r="DL2637" t="str">
        <f>IFERROR(INDEX(Sheet2!$AU$2:$BM$228,QUOTIENT(ROW()-1,19)+1,MOD(ROW()-2,19)+1),NA())</f>
        <v/>
      </c>
      <c r="DM2637" s="4" t="e">
        <f t="shared" si="144"/>
        <v>#N/A</v>
      </c>
      <c r="DN2637" t="e">
        <f t="shared" si="145"/>
        <v>#N/A</v>
      </c>
      <c r="DO2637" t="e">
        <f t="shared" si="146"/>
        <v>#N/A</v>
      </c>
    </row>
    <row r="2638" spans="7:119" x14ac:dyDescent="0.25">
      <c r="G2638"/>
      <c r="DI2638" s="4">
        <f>INDEX(Sheet2!A:A,QUOTIENT(ROW()-1,19)+2)</f>
        <v>41535</v>
      </c>
      <c r="DJ2638" s="4">
        <f>INDEX(Sheet2!C:C,QUOTIENT(ROW()-1,19)+2)</f>
        <v>43100</v>
      </c>
      <c r="DK2638" s="4" t="e">
        <f>INDEX(Sheet2!$AA$2:$AS$228,QUOTIENT(ROW()-1,19)+1,MOD(ROW()-2,19)+1)</f>
        <v>#N/A</v>
      </c>
      <c r="DL2638" t="str">
        <f>IFERROR(INDEX(Sheet2!$AU$2:$BM$228,QUOTIENT(ROW()-1,19)+1,MOD(ROW()-2,19)+1),NA())</f>
        <v/>
      </c>
      <c r="DM2638" s="4" t="e">
        <f t="shared" si="144"/>
        <v>#N/A</v>
      </c>
      <c r="DN2638" t="e">
        <f t="shared" si="145"/>
        <v>#N/A</v>
      </c>
      <c r="DO2638" t="e">
        <f t="shared" si="146"/>
        <v>#N/A</v>
      </c>
    </row>
    <row r="2639" spans="7:119" x14ac:dyDescent="0.25">
      <c r="G2639"/>
      <c r="DI2639" s="4">
        <f>INDEX(Sheet2!A:A,QUOTIENT(ROW()-1,19)+2)</f>
        <v>41535</v>
      </c>
      <c r="DJ2639" s="4">
        <f>INDEX(Sheet2!C:C,QUOTIENT(ROW()-1,19)+2)</f>
        <v>43100</v>
      </c>
      <c r="DK2639" s="4" t="e">
        <f>INDEX(Sheet2!$AA$2:$AS$228,QUOTIENT(ROW()-1,19)+1,MOD(ROW()-2,19)+1)</f>
        <v>#N/A</v>
      </c>
      <c r="DL2639" t="str">
        <f>IFERROR(INDEX(Sheet2!$AU$2:$BM$228,QUOTIENT(ROW()-1,19)+1,MOD(ROW()-2,19)+1),NA())</f>
        <v/>
      </c>
      <c r="DM2639" s="4" t="e">
        <f t="shared" si="144"/>
        <v>#N/A</v>
      </c>
      <c r="DN2639" t="e">
        <f t="shared" si="145"/>
        <v>#N/A</v>
      </c>
      <c r="DO2639" t="e">
        <f t="shared" si="146"/>
        <v>#N/A</v>
      </c>
    </row>
    <row r="2640" spans="7:119" x14ac:dyDescent="0.25">
      <c r="G2640"/>
      <c r="DI2640" s="4">
        <f>INDEX(Sheet2!A:A,QUOTIENT(ROW()-1,19)+2)</f>
        <v>41535</v>
      </c>
      <c r="DJ2640" s="4">
        <f>INDEX(Sheet2!C:C,QUOTIENT(ROW()-1,19)+2)</f>
        <v>43100</v>
      </c>
      <c r="DK2640" s="4" t="e">
        <f>INDEX(Sheet2!$AA$2:$AS$228,QUOTIENT(ROW()-1,19)+1,MOD(ROW()-2,19)+1)</f>
        <v>#N/A</v>
      </c>
      <c r="DL2640" t="str">
        <f>IFERROR(INDEX(Sheet2!$AU$2:$BM$228,QUOTIENT(ROW()-1,19)+1,MOD(ROW()-2,19)+1),NA())</f>
        <v/>
      </c>
      <c r="DM2640" s="4" t="e">
        <f t="shared" si="144"/>
        <v>#N/A</v>
      </c>
      <c r="DN2640" t="e">
        <f t="shared" si="145"/>
        <v>#N/A</v>
      </c>
      <c r="DO2640" t="e">
        <f t="shared" si="146"/>
        <v>#N/A</v>
      </c>
    </row>
    <row r="2641" spans="7:119" x14ac:dyDescent="0.25">
      <c r="G2641"/>
      <c r="DI2641" s="4">
        <f>INDEX(Sheet2!A:A,QUOTIENT(ROW()-1,19)+2)</f>
        <v>41535</v>
      </c>
      <c r="DJ2641" s="4">
        <f>INDEX(Sheet2!C:C,QUOTIENT(ROW()-1,19)+2)</f>
        <v>43100</v>
      </c>
      <c r="DK2641" s="4" t="e">
        <f>INDEX(Sheet2!$AA$2:$AS$228,QUOTIENT(ROW()-1,19)+1,MOD(ROW()-2,19)+1)</f>
        <v>#N/A</v>
      </c>
      <c r="DL2641" t="str">
        <f>IFERROR(INDEX(Sheet2!$AU$2:$BM$228,QUOTIENT(ROW()-1,19)+1,MOD(ROW()-2,19)+1),NA())</f>
        <v/>
      </c>
      <c r="DM2641" s="4" t="e">
        <f t="shared" si="144"/>
        <v>#N/A</v>
      </c>
      <c r="DN2641" t="e">
        <f t="shared" si="145"/>
        <v>#N/A</v>
      </c>
      <c r="DO2641" t="e">
        <f t="shared" si="146"/>
        <v>#N/A</v>
      </c>
    </row>
    <row r="2642" spans="7:119" x14ac:dyDescent="0.25">
      <c r="G2642"/>
      <c r="DI2642" s="4">
        <f>INDEX(Sheet2!A:A,QUOTIENT(ROW()-1,19)+2)</f>
        <v>41535</v>
      </c>
      <c r="DJ2642" s="4">
        <f>INDEX(Sheet2!C:C,QUOTIENT(ROW()-1,19)+2)</f>
        <v>43100</v>
      </c>
      <c r="DK2642" s="4" t="e">
        <f>INDEX(Sheet2!$AA$2:$AS$228,QUOTIENT(ROW()-1,19)+1,MOD(ROW()-2,19)+1)</f>
        <v>#N/A</v>
      </c>
      <c r="DL2642" t="str">
        <f>IFERROR(INDEX(Sheet2!$AU$2:$BM$228,QUOTIENT(ROW()-1,19)+1,MOD(ROW()-2,19)+1),NA())</f>
        <v/>
      </c>
      <c r="DM2642" s="4" t="e">
        <f t="shared" si="144"/>
        <v>#N/A</v>
      </c>
      <c r="DN2642" t="e">
        <f t="shared" si="145"/>
        <v>#N/A</v>
      </c>
      <c r="DO2642" t="e">
        <f t="shared" si="146"/>
        <v>#N/A</v>
      </c>
    </row>
    <row r="2643" spans="7:119" x14ac:dyDescent="0.25">
      <c r="G2643"/>
      <c r="DI2643" s="4">
        <f>INDEX(Sheet2!A:A,QUOTIENT(ROW()-1,19)+2)</f>
        <v>41535</v>
      </c>
      <c r="DJ2643" s="4">
        <f>INDEX(Sheet2!C:C,QUOTIENT(ROW()-1,19)+2)</f>
        <v>43100</v>
      </c>
      <c r="DK2643" s="4">
        <f>INDEX(Sheet2!$AA$2:$AS$228,QUOTIENT(ROW()-1,19)+1,MOD(ROW()-2,19)+1)</f>
        <v>43089.962500000001</v>
      </c>
      <c r="DL2643">
        <f>IFERROR(INDEX(Sheet2!$AU$2:$BM$228,QUOTIENT(ROW()-1,19)+1,MOD(ROW()-2,19)+1),NA())</f>
        <v>3.5</v>
      </c>
      <c r="DM2643" s="4" t="e">
        <f t="shared" si="144"/>
        <v>#N/A</v>
      </c>
      <c r="DN2643" t="e">
        <f t="shared" si="145"/>
        <v>#N/A</v>
      </c>
      <c r="DO2643" t="e">
        <f t="shared" si="146"/>
        <v>#N/A</v>
      </c>
    </row>
    <row r="2644" spans="7:119" x14ac:dyDescent="0.25">
      <c r="G2644"/>
      <c r="DI2644" s="4">
        <f>INDEX(Sheet2!A:A,QUOTIENT(ROW()-1,19)+2)</f>
        <v>41535</v>
      </c>
      <c r="DJ2644" s="4">
        <f>INDEX(Sheet2!C:C,QUOTIENT(ROW()-1,19)+2)</f>
        <v>43100</v>
      </c>
      <c r="DK2644" s="4">
        <f>INDEX(Sheet2!$AA$2:$AS$228,QUOTIENT(ROW()-1,19)+1,MOD(ROW()-2,19)+1)</f>
        <v>43110.037500000006</v>
      </c>
      <c r="DL2644">
        <f>IFERROR(INDEX(Sheet2!$AU$2:$BM$228,QUOTIENT(ROW()-1,19)+1,MOD(ROW()-2,19)+1),NA())</f>
        <v>3.5</v>
      </c>
      <c r="DM2644" s="4" t="e">
        <f t="shared" si="144"/>
        <v>#N/A</v>
      </c>
      <c r="DN2644" t="e">
        <f t="shared" si="145"/>
        <v>#N/A</v>
      </c>
      <c r="DO2644" t="e">
        <f t="shared" si="146"/>
        <v>#N/A</v>
      </c>
    </row>
    <row r="2645" spans="7:119" x14ac:dyDescent="0.25">
      <c r="G2645"/>
      <c r="DI2645" s="4">
        <f>INDEX(Sheet2!A:A,QUOTIENT(ROW()-1,19)+2)</f>
        <v>41535</v>
      </c>
      <c r="DJ2645" s="4">
        <f>INDEX(Sheet2!C:C,QUOTIENT(ROW()-1,19)+2)</f>
        <v>43100</v>
      </c>
      <c r="DK2645" s="4" t="e">
        <f>INDEX(Sheet2!$AA$2:$AS$228,QUOTIENT(ROW()-1,19)+1,MOD(ROW()-2,19)+1)</f>
        <v>#N/A</v>
      </c>
      <c r="DL2645" t="str">
        <f>IFERROR(INDEX(Sheet2!$AU$2:$BM$228,QUOTIENT(ROW()-1,19)+1,MOD(ROW()-2,19)+1),NA())</f>
        <v/>
      </c>
      <c r="DM2645" s="4" t="e">
        <f t="shared" si="144"/>
        <v>#N/A</v>
      </c>
      <c r="DN2645" t="e">
        <f t="shared" si="145"/>
        <v>#N/A</v>
      </c>
      <c r="DO2645" t="e">
        <f t="shared" si="146"/>
        <v>#N/A</v>
      </c>
    </row>
    <row r="2646" spans="7:119" x14ac:dyDescent="0.25">
      <c r="G2646"/>
      <c r="DI2646" s="4">
        <f>INDEX(Sheet2!A:A,QUOTIENT(ROW()-1,19)+2)</f>
        <v>41535</v>
      </c>
      <c r="DJ2646" s="4">
        <f>INDEX(Sheet2!C:C,QUOTIENT(ROW()-1,19)+2)</f>
        <v>43100</v>
      </c>
      <c r="DK2646" s="4" t="e">
        <f>INDEX(Sheet2!$AA$2:$AS$228,QUOTIENT(ROW()-1,19)+1,MOD(ROW()-2,19)+1)</f>
        <v>#N/A</v>
      </c>
      <c r="DL2646" t="str">
        <f>IFERROR(INDEX(Sheet2!$AU$2:$BM$228,QUOTIENT(ROW()-1,19)+1,MOD(ROW()-2,19)+1),NA())</f>
        <v/>
      </c>
      <c r="DM2646" s="4" t="e">
        <f t="shared" si="144"/>
        <v>#N/A</v>
      </c>
      <c r="DN2646" t="e">
        <f t="shared" si="145"/>
        <v>#N/A</v>
      </c>
      <c r="DO2646" t="e">
        <f t="shared" si="146"/>
        <v>#N/A</v>
      </c>
    </row>
    <row r="2647" spans="7:119" x14ac:dyDescent="0.25">
      <c r="G2647"/>
      <c r="DI2647" s="4">
        <f>INDEX(Sheet2!A:A,QUOTIENT(ROW()-1,19)+2)</f>
        <v>41535</v>
      </c>
      <c r="DJ2647" s="4">
        <f>INDEX(Sheet2!C:C,QUOTIENT(ROW()-1,19)+2)</f>
        <v>43100</v>
      </c>
      <c r="DK2647" s="4" t="e">
        <f>INDEX(Sheet2!$AA$2:$AS$228,QUOTIENT(ROW()-1,19)+1,MOD(ROW()-2,19)+1)</f>
        <v>#N/A</v>
      </c>
      <c r="DL2647" t="str">
        <f>IFERROR(INDEX(Sheet2!$AU$2:$BM$228,QUOTIENT(ROW()-1,19)+1,MOD(ROW()-2,19)+1),NA())</f>
        <v/>
      </c>
      <c r="DM2647" s="4" t="e">
        <f t="shared" si="144"/>
        <v>#N/A</v>
      </c>
      <c r="DN2647" t="e">
        <f t="shared" si="145"/>
        <v>#N/A</v>
      </c>
      <c r="DO2647" t="e">
        <f t="shared" si="146"/>
        <v>#N/A</v>
      </c>
    </row>
    <row r="2648" spans="7:119" x14ac:dyDescent="0.25">
      <c r="G2648"/>
      <c r="DI2648" s="4">
        <f>INDEX(Sheet2!A:A,QUOTIENT(ROW()-1,19)+2)</f>
        <v>41535</v>
      </c>
      <c r="DJ2648" s="4">
        <f>INDEX(Sheet2!C:C,QUOTIENT(ROW()-1,19)+2)</f>
        <v>43100</v>
      </c>
      <c r="DK2648" s="4" t="e">
        <f>INDEX(Sheet2!$AA$2:$AS$228,QUOTIENT(ROW()-1,19)+1,MOD(ROW()-2,19)+1)</f>
        <v>#N/A</v>
      </c>
      <c r="DL2648" t="str">
        <f>IFERROR(INDEX(Sheet2!$AU$2:$BM$228,QUOTIENT(ROW()-1,19)+1,MOD(ROW()-2,19)+1),NA())</f>
        <v/>
      </c>
      <c r="DM2648" s="4" t="e">
        <f t="shared" si="144"/>
        <v>#N/A</v>
      </c>
      <c r="DN2648" t="e">
        <f t="shared" si="145"/>
        <v>#N/A</v>
      </c>
      <c r="DO2648" t="e">
        <f t="shared" si="146"/>
        <v>#N/A</v>
      </c>
    </row>
    <row r="2649" spans="7:119" x14ac:dyDescent="0.25">
      <c r="G2649"/>
      <c r="DI2649" s="4">
        <f>INDEX(Sheet2!A:A,QUOTIENT(ROW()-1,19)+2)</f>
        <v>41535</v>
      </c>
      <c r="DJ2649" s="4">
        <f>INDEX(Sheet2!C:C,QUOTIENT(ROW()-1,19)+2)</f>
        <v>43100</v>
      </c>
      <c r="DK2649" s="4" t="e">
        <f>INDEX(Sheet2!$AA$2:$AS$228,QUOTIENT(ROW()-1,19)+1,MOD(ROW()-2,19)+1)</f>
        <v>#N/A</v>
      </c>
      <c r="DL2649" t="str">
        <f>IFERROR(INDEX(Sheet2!$AU$2:$BM$228,QUOTIENT(ROW()-1,19)+1,MOD(ROW()-2,19)+1),NA())</f>
        <v/>
      </c>
      <c r="DM2649" s="4" t="e">
        <f t="shared" si="144"/>
        <v>#N/A</v>
      </c>
      <c r="DN2649" t="e">
        <f t="shared" si="145"/>
        <v>#N/A</v>
      </c>
      <c r="DO2649" t="e">
        <f t="shared" si="146"/>
        <v>#N/A</v>
      </c>
    </row>
    <row r="2650" spans="7:119" x14ac:dyDescent="0.25">
      <c r="G2650"/>
      <c r="DI2650" s="4">
        <f>INDEX(Sheet2!A:A,QUOTIENT(ROW()-1,19)+2)</f>
        <v>41535</v>
      </c>
      <c r="DJ2650" s="4">
        <f>INDEX(Sheet2!C:C,QUOTIENT(ROW()-1,19)+2)</f>
        <v>43100</v>
      </c>
      <c r="DK2650" s="4" t="e">
        <f>INDEX(Sheet2!$AA$2:$AS$228,QUOTIENT(ROW()-1,19)+1,MOD(ROW()-2,19)+1)</f>
        <v>#N/A</v>
      </c>
      <c r="DL2650" t="str">
        <f>IFERROR(INDEX(Sheet2!$AU$2:$BM$228,QUOTIENT(ROW()-1,19)+1,MOD(ROW()-2,19)+1),NA())</f>
        <v/>
      </c>
      <c r="DM2650" s="4" t="e">
        <f t="shared" si="144"/>
        <v>#N/A</v>
      </c>
      <c r="DN2650" t="e">
        <f t="shared" si="145"/>
        <v>#N/A</v>
      </c>
      <c r="DO2650" t="e">
        <f t="shared" si="146"/>
        <v>#N/A</v>
      </c>
    </row>
    <row r="2651" spans="7:119" x14ac:dyDescent="0.25">
      <c r="G2651"/>
      <c r="DI2651" s="4">
        <f>INDEX(Sheet2!A:A,QUOTIENT(ROW()-1,19)+2)</f>
        <v>41535</v>
      </c>
      <c r="DJ2651" s="4">
        <f>INDEX(Sheet2!C:C,QUOTIENT(ROW()-1,19)+2)</f>
        <v>43100</v>
      </c>
      <c r="DK2651" s="4" t="e">
        <f>INDEX(Sheet2!$AA$2:$AS$228,QUOTIENT(ROW()-1,19)+1,MOD(ROW()-2,19)+1)</f>
        <v>#N/A</v>
      </c>
      <c r="DL2651" t="str">
        <f>IFERROR(INDEX(Sheet2!$AU$2:$BM$228,QUOTIENT(ROW()-1,19)+1,MOD(ROW()-2,19)+1),NA())</f>
        <v/>
      </c>
      <c r="DM2651" s="4" t="e">
        <f t="shared" si="144"/>
        <v>#N/A</v>
      </c>
      <c r="DN2651" t="e">
        <f t="shared" si="145"/>
        <v>#N/A</v>
      </c>
      <c r="DO2651" t="e">
        <f t="shared" si="146"/>
        <v>#N/A</v>
      </c>
    </row>
    <row r="2652" spans="7:119" x14ac:dyDescent="0.25">
      <c r="G2652"/>
      <c r="DI2652" s="4">
        <f>INDEX(Sheet2!A:A,QUOTIENT(ROW()-1,19)+2)</f>
        <v>41535</v>
      </c>
      <c r="DJ2652" s="4">
        <f>INDEX(Sheet2!C:C,QUOTIENT(ROW()-1,19)+2)</f>
        <v>43100</v>
      </c>
      <c r="DK2652" s="4" t="e">
        <f>INDEX(Sheet2!$AA$2:$AS$228,QUOTIENT(ROW()-1,19)+1,MOD(ROW()-2,19)+1)</f>
        <v>#N/A</v>
      </c>
      <c r="DL2652" t="str">
        <f>IFERROR(INDEX(Sheet2!$AU$2:$BM$228,QUOTIENT(ROW()-1,19)+1,MOD(ROW()-2,19)+1),NA())</f>
        <v/>
      </c>
      <c r="DM2652" s="4" t="e">
        <f t="shared" si="144"/>
        <v>#N/A</v>
      </c>
      <c r="DN2652" t="e">
        <f t="shared" si="145"/>
        <v>#N/A</v>
      </c>
      <c r="DO2652" t="e">
        <f t="shared" si="146"/>
        <v>#N/A</v>
      </c>
    </row>
    <row r="2653" spans="7:119" x14ac:dyDescent="0.25">
      <c r="G2653"/>
      <c r="DI2653" s="4">
        <f>INDEX(Sheet2!A:A,QUOTIENT(ROW()-1,19)+2)</f>
        <v>41535</v>
      </c>
      <c r="DJ2653" s="4">
        <f>INDEX(Sheet2!C:C,QUOTIENT(ROW()-1,19)+2)</f>
        <v>43100</v>
      </c>
      <c r="DK2653" s="4" t="e">
        <f>INDEX(Sheet2!$AA$2:$AS$228,QUOTIENT(ROW()-1,19)+1,MOD(ROW()-2,19)+1)</f>
        <v>#N/A</v>
      </c>
      <c r="DL2653" t="str">
        <f>IFERROR(INDEX(Sheet2!$AU$2:$BM$228,QUOTIENT(ROW()-1,19)+1,MOD(ROW()-2,19)+1),NA())</f>
        <v/>
      </c>
      <c r="DM2653" s="4" t="e">
        <f t="shared" si="144"/>
        <v>#N/A</v>
      </c>
      <c r="DN2653" t="e">
        <f t="shared" si="145"/>
        <v>#N/A</v>
      </c>
      <c r="DO2653" t="e">
        <f t="shared" si="146"/>
        <v>#N/A</v>
      </c>
    </row>
    <row r="2654" spans="7:119" x14ac:dyDescent="0.25">
      <c r="G2654"/>
      <c r="DI2654" s="4">
        <f>INDEX(Sheet2!A:A,QUOTIENT(ROW()-1,19)+2)</f>
        <v>41535</v>
      </c>
      <c r="DJ2654" s="4">
        <f>INDEX(Sheet2!C:C,QUOTIENT(ROW()-1,19)+2)</f>
        <v>43100</v>
      </c>
      <c r="DK2654" s="4" t="e">
        <f>INDEX(Sheet2!$AA$2:$AS$228,QUOTIENT(ROW()-1,19)+1,MOD(ROW()-2,19)+1)</f>
        <v>#N/A</v>
      </c>
      <c r="DL2654" t="str">
        <f>IFERROR(INDEX(Sheet2!$AU$2:$BM$228,QUOTIENT(ROW()-1,19)+1,MOD(ROW()-2,19)+1),NA())</f>
        <v/>
      </c>
      <c r="DM2654" s="4" t="e">
        <f t="shared" si="144"/>
        <v>#N/A</v>
      </c>
      <c r="DN2654" t="e">
        <f t="shared" si="145"/>
        <v>#N/A</v>
      </c>
      <c r="DO2654" t="e">
        <f t="shared" si="146"/>
        <v>#N/A</v>
      </c>
    </row>
    <row r="2655" spans="7:119" x14ac:dyDescent="0.25">
      <c r="G2655"/>
      <c r="DI2655" s="4">
        <f>INDEX(Sheet2!A:A,QUOTIENT(ROW()-1,19)+2)</f>
        <v>41535</v>
      </c>
      <c r="DJ2655" s="4">
        <f>INDEX(Sheet2!C:C,QUOTIENT(ROW()-1,19)+2)</f>
        <v>43100</v>
      </c>
      <c r="DK2655" s="4" t="e">
        <f>INDEX(Sheet2!$AA$2:$AS$228,QUOTIENT(ROW()-1,19)+1,MOD(ROW()-2,19)+1)</f>
        <v>#N/A</v>
      </c>
      <c r="DL2655" t="str">
        <f>IFERROR(INDEX(Sheet2!$AU$2:$BM$228,QUOTIENT(ROW()-1,19)+1,MOD(ROW()-2,19)+1),NA())</f>
        <v/>
      </c>
      <c r="DM2655" s="4" t="e">
        <f t="shared" si="144"/>
        <v>#N/A</v>
      </c>
      <c r="DN2655" t="e">
        <f t="shared" si="145"/>
        <v>#N/A</v>
      </c>
      <c r="DO2655" t="e">
        <f t="shared" si="146"/>
        <v>#N/A</v>
      </c>
    </row>
    <row r="2656" spans="7:119" x14ac:dyDescent="0.25">
      <c r="G2656"/>
      <c r="DI2656" s="4">
        <f>INDEX(Sheet2!A:A,QUOTIENT(ROW()-1,19)+2)</f>
        <v>41535</v>
      </c>
      <c r="DJ2656" s="4">
        <f>INDEX(Sheet2!C:C,QUOTIENT(ROW()-1,19)+2)</f>
        <v>43100</v>
      </c>
      <c r="DK2656" s="4" t="e">
        <f>INDEX(Sheet2!$AA$2:$AS$228,QUOTIENT(ROW()-1,19)+1,MOD(ROW()-2,19)+1)</f>
        <v>#N/A</v>
      </c>
      <c r="DL2656" t="str">
        <f>IFERROR(INDEX(Sheet2!$AU$2:$BM$228,QUOTIENT(ROW()-1,19)+1,MOD(ROW()-2,19)+1),NA())</f>
        <v/>
      </c>
      <c r="DM2656" s="4" t="e">
        <f t="shared" si="144"/>
        <v>#N/A</v>
      </c>
      <c r="DN2656" t="e">
        <f t="shared" si="145"/>
        <v>#N/A</v>
      </c>
      <c r="DO2656" t="e">
        <f t="shared" si="146"/>
        <v>#N/A</v>
      </c>
    </row>
    <row r="2657" spans="7:119" x14ac:dyDescent="0.25">
      <c r="G2657"/>
      <c r="DI2657" s="4">
        <f>INDEX(Sheet2!A:A,QUOTIENT(ROW()-1,19)+2)</f>
        <v>41535</v>
      </c>
      <c r="DJ2657" s="4">
        <f>INDEX(Sheet2!C:C,QUOTIENT(ROW()-1,19)+2)</f>
        <v>43100</v>
      </c>
      <c r="DK2657" s="4" t="e">
        <f>INDEX(Sheet2!$AA$2:$AS$228,QUOTIENT(ROW()-1,19)+1,MOD(ROW()-2,19)+1)</f>
        <v>#N/A</v>
      </c>
      <c r="DL2657" t="str">
        <f>IFERROR(INDEX(Sheet2!$AU$2:$BM$228,QUOTIENT(ROW()-1,19)+1,MOD(ROW()-2,19)+1),NA())</f>
        <v/>
      </c>
      <c r="DM2657" s="4" t="e">
        <f t="shared" si="144"/>
        <v>#N/A</v>
      </c>
      <c r="DN2657" t="e">
        <f t="shared" si="145"/>
        <v>#N/A</v>
      </c>
      <c r="DO2657" t="e">
        <f t="shared" si="146"/>
        <v>#N/A</v>
      </c>
    </row>
    <row r="2658" spans="7:119" x14ac:dyDescent="0.25">
      <c r="G2658"/>
      <c r="DI2658" s="4">
        <f>INDEX(Sheet2!A:A,QUOTIENT(ROW()-1,19)+2)</f>
        <v>41535</v>
      </c>
      <c r="DJ2658" s="4">
        <f>INDEX(Sheet2!C:C,QUOTIENT(ROW()-1,19)+2)</f>
        <v>43100</v>
      </c>
      <c r="DK2658" s="4" t="e">
        <f>INDEX(Sheet2!$AA$2:$AS$228,QUOTIENT(ROW()-1,19)+1,MOD(ROW()-2,19)+1)</f>
        <v>#N/A</v>
      </c>
      <c r="DL2658" t="str">
        <f>IFERROR(INDEX(Sheet2!$AU$2:$BM$228,QUOTIENT(ROW()-1,19)+1,MOD(ROW()-2,19)+1),NA())</f>
        <v/>
      </c>
      <c r="DM2658" s="4" t="e">
        <f t="shared" si="144"/>
        <v>#N/A</v>
      </c>
      <c r="DN2658" t="e">
        <f t="shared" si="145"/>
        <v>#N/A</v>
      </c>
      <c r="DO2658" t="e">
        <f t="shared" si="146"/>
        <v>#N/A</v>
      </c>
    </row>
    <row r="2659" spans="7:119" x14ac:dyDescent="0.25">
      <c r="G2659"/>
      <c r="DI2659" s="4">
        <f>INDEX(Sheet2!A:A,QUOTIENT(ROW()-1,19)+2)</f>
        <v>41535</v>
      </c>
      <c r="DJ2659" s="4">
        <f>INDEX(Sheet2!C:C,QUOTIENT(ROW()-1,19)+2)</f>
        <v>43100</v>
      </c>
      <c r="DK2659" s="4" t="e">
        <f>INDEX(Sheet2!$AA$2:$AS$228,QUOTIENT(ROW()-1,19)+1,MOD(ROW()-2,19)+1)</f>
        <v>#N/A</v>
      </c>
      <c r="DL2659" t="str">
        <f>IFERROR(INDEX(Sheet2!$AU$2:$BM$228,QUOTIENT(ROW()-1,19)+1,MOD(ROW()-2,19)+1),NA())</f>
        <v/>
      </c>
      <c r="DM2659" s="4" t="e">
        <f t="shared" si="144"/>
        <v>#N/A</v>
      </c>
      <c r="DN2659" t="e">
        <f t="shared" si="145"/>
        <v>#N/A</v>
      </c>
      <c r="DO2659" t="e">
        <f t="shared" si="146"/>
        <v>#N/A</v>
      </c>
    </row>
    <row r="2660" spans="7:119" x14ac:dyDescent="0.25">
      <c r="G2660"/>
      <c r="DI2660" s="4">
        <f>INDEX(Sheet2!A:A,QUOTIENT(ROW()-1,19)+2)</f>
        <v>41535</v>
      </c>
      <c r="DJ2660" s="4">
        <f>INDEX(Sheet2!C:C,QUOTIENT(ROW()-1,19)+2)</f>
        <v>43100</v>
      </c>
      <c r="DK2660" s="4" t="e">
        <f>INDEX(Sheet2!$AA$2:$AS$228,QUOTIENT(ROW()-1,19)+1,MOD(ROW()-2,19)+1)</f>
        <v>#N/A</v>
      </c>
      <c r="DL2660" t="str">
        <f>IFERROR(INDEX(Sheet2!$AU$2:$BM$228,QUOTIENT(ROW()-1,19)+1,MOD(ROW()-2,19)+1),NA())</f>
        <v/>
      </c>
      <c r="DM2660" s="4" t="e">
        <f t="shared" si="144"/>
        <v>#N/A</v>
      </c>
      <c r="DN2660" t="e">
        <f t="shared" si="145"/>
        <v>#N/A</v>
      </c>
      <c r="DO2660" t="e">
        <f t="shared" si="146"/>
        <v>#N/A</v>
      </c>
    </row>
    <row r="2661" spans="7:119" x14ac:dyDescent="0.25">
      <c r="G2661"/>
      <c r="DI2661" s="4">
        <f>INDEX(Sheet2!A:A,QUOTIENT(ROW()-1,19)+2)</f>
        <v>41535</v>
      </c>
      <c r="DJ2661" s="4">
        <f>INDEX(Sheet2!C:C,QUOTIENT(ROW()-1,19)+2)</f>
        <v>43100</v>
      </c>
      <c r="DK2661" s="4" t="e">
        <f>INDEX(Sheet2!$AA$2:$AS$228,QUOTIENT(ROW()-1,19)+1,MOD(ROW()-2,19)+1)</f>
        <v>#N/A</v>
      </c>
      <c r="DL2661" t="str">
        <f>IFERROR(INDEX(Sheet2!$AU$2:$BM$228,QUOTIENT(ROW()-1,19)+1,MOD(ROW()-2,19)+1),NA())</f>
        <v/>
      </c>
      <c r="DM2661" s="4" t="e">
        <f t="shared" si="144"/>
        <v>#N/A</v>
      </c>
      <c r="DN2661" t="e">
        <f t="shared" si="145"/>
        <v>#N/A</v>
      </c>
      <c r="DO2661" t="e">
        <f t="shared" si="146"/>
        <v>#N/A</v>
      </c>
    </row>
    <row r="2662" spans="7:119" x14ac:dyDescent="0.25">
      <c r="G2662"/>
      <c r="DI2662" s="4">
        <f>INDEX(Sheet2!A:A,QUOTIENT(ROW()-1,19)+2)</f>
        <v>41535</v>
      </c>
      <c r="DJ2662" s="4">
        <f>INDEX(Sheet2!C:C,QUOTIENT(ROW()-1,19)+2)</f>
        <v>43100</v>
      </c>
      <c r="DK2662" s="4">
        <f>INDEX(Sheet2!$AA$2:$AS$228,QUOTIENT(ROW()-1,19)+1,MOD(ROW()-2,19)+1)</f>
        <v>43100</v>
      </c>
      <c r="DL2662">
        <f>IFERROR(INDEX(Sheet2!$AU$2:$BM$228,QUOTIENT(ROW()-1,19)+1,MOD(ROW()-2,19)+1),NA())</f>
        <v>3.75</v>
      </c>
      <c r="DM2662" s="4" t="e">
        <f t="shared" si="144"/>
        <v>#N/A</v>
      </c>
      <c r="DN2662" t="e">
        <f t="shared" si="145"/>
        <v>#N/A</v>
      </c>
      <c r="DO2662" t="e">
        <f t="shared" si="146"/>
        <v>#N/A</v>
      </c>
    </row>
    <row r="2663" spans="7:119" x14ac:dyDescent="0.25">
      <c r="G2663"/>
      <c r="DI2663" s="4">
        <f>INDEX(Sheet2!A:A,QUOTIENT(ROW()-1,19)+2)</f>
        <v>41535</v>
      </c>
      <c r="DJ2663" s="4">
        <f>INDEX(Sheet2!C:C,QUOTIENT(ROW()-1,19)+2)</f>
        <v>43100</v>
      </c>
      <c r="DK2663" s="4" t="e">
        <f>INDEX(Sheet2!$AA$2:$AS$228,QUOTIENT(ROW()-1,19)+1,MOD(ROW()-2,19)+1)</f>
        <v>#N/A</v>
      </c>
      <c r="DL2663" t="str">
        <f>IFERROR(INDEX(Sheet2!$AU$2:$BM$228,QUOTIENT(ROW()-1,19)+1,MOD(ROW()-2,19)+1),NA())</f>
        <v/>
      </c>
      <c r="DM2663" s="4" t="e">
        <f t="shared" si="144"/>
        <v>#N/A</v>
      </c>
      <c r="DN2663" t="e">
        <f t="shared" si="145"/>
        <v>#N/A</v>
      </c>
      <c r="DO2663" t="e">
        <f t="shared" si="146"/>
        <v>#N/A</v>
      </c>
    </row>
    <row r="2664" spans="7:119" x14ac:dyDescent="0.25">
      <c r="G2664"/>
      <c r="DI2664" s="4">
        <f>INDEX(Sheet2!A:A,QUOTIENT(ROW()-1,19)+2)</f>
        <v>41535</v>
      </c>
      <c r="DJ2664" s="4">
        <f>INDEX(Sheet2!C:C,QUOTIENT(ROW()-1,19)+2)</f>
        <v>43100</v>
      </c>
      <c r="DK2664" s="4" t="e">
        <f>INDEX(Sheet2!$AA$2:$AS$228,QUOTIENT(ROW()-1,19)+1,MOD(ROW()-2,19)+1)</f>
        <v>#N/A</v>
      </c>
      <c r="DL2664" t="str">
        <f>IFERROR(INDEX(Sheet2!$AU$2:$BM$228,QUOTIENT(ROW()-1,19)+1,MOD(ROW()-2,19)+1),NA())</f>
        <v/>
      </c>
      <c r="DM2664" s="4" t="e">
        <f t="shared" si="144"/>
        <v>#N/A</v>
      </c>
      <c r="DN2664" t="e">
        <f t="shared" si="145"/>
        <v>#N/A</v>
      </c>
      <c r="DO2664" t="e">
        <f t="shared" si="146"/>
        <v>#N/A</v>
      </c>
    </row>
    <row r="2665" spans="7:119" x14ac:dyDescent="0.25">
      <c r="G2665"/>
      <c r="DI2665" s="4">
        <f>INDEX(Sheet2!A:A,QUOTIENT(ROW()-1,19)+2)</f>
        <v>41535</v>
      </c>
      <c r="DJ2665" s="4">
        <f>INDEX(Sheet2!C:C,QUOTIENT(ROW()-1,19)+2)</f>
        <v>43100</v>
      </c>
      <c r="DK2665" s="4" t="e">
        <f>INDEX(Sheet2!$AA$2:$AS$228,QUOTIENT(ROW()-1,19)+1,MOD(ROW()-2,19)+1)</f>
        <v>#N/A</v>
      </c>
      <c r="DL2665" t="str">
        <f>IFERROR(INDEX(Sheet2!$AU$2:$BM$228,QUOTIENT(ROW()-1,19)+1,MOD(ROW()-2,19)+1),NA())</f>
        <v/>
      </c>
      <c r="DM2665" s="4" t="e">
        <f t="shared" si="144"/>
        <v>#N/A</v>
      </c>
      <c r="DN2665" t="e">
        <f t="shared" si="145"/>
        <v>#N/A</v>
      </c>
      <c r="DO2665" t="e">
        <f t="shared" si="146"/>
        <v>#N/A</v>
      </c>
    </row>
    <row r="2666" spans="7:119" x14ac:dyDescent="0.25">
      <c r="G2666"/>
      <c r="DI2666" s="4">
        <f>INDEX(Sheet2!A:A,QUOTIENT(ROW()-1,19)+2)</f>
        <v>41535</v>
      </c>
      <c r="DJ2666" s="4">
        <f>INDEX(Sheet2!C:C,QUOTIENT(ROW()-1,19)+2)</f>
        <v>43100</v>
      </c>
      <c r="DK2666" s="4" t="e">
        <f>INDEX(Sheet2!$AA$2:$AS$228,QUOTIENT(ROW()-1,19)+1,MOD(ROW()-2,19)+1)</f>
        <v>#N/A</v>
      </c>
      <c r="DL2666" t="str">
        <f>IFERROR(INDEX(Sheet2!$AU$2:$BM$228,QUOTIENT(ROW()-1,19)+1,MOD(ROW()-2,19)+1),NA())</f>
        <v/>
      </c>
      <c r="DM2666" s="4" t="e">
        <f t="shared" si="144"/>
        <v>#N/A</v>
      </c>
      <c r="DN2666" t="e">
        <f t="shared" si="145"/>
        <v>#N/A</v>
      </c>
      <c r="DO2666" t="e">
        <f t="shared" si="146"/>
        <v>#N/A</v>
      </c>
    </row>
    <row r="2667" spans="7:119" x14ac:dyDescent="0.25">
      <c r="G2667"/>
      <c r="DI2667" s="4">
        <f>INDEX(Sheet2!A:A,QUOTIENT(ROW()-1,19)+2)</f>
        <v>41535</v>
      </c>
      <c r="DJ2667" s="4">
        <f>INDEX(Sheet2!C:C,QUOTIENT(ROW()-1,19)+2)</f>
        <v>43100</v>
      </c>
      <c r="DK2667" s="4" t="e">
        <f>INDEX(Sheet2!$AA$2:$AS$228,QUOTIENT(ROW()-1,19)+1,MOD(ROW()-2,19)+1)</f>
        <v>#N/A</v>
      </c>
      <c r="DL2667" t="str">
        <f>IFERROR(INDEX(Sheet2!$AU$2:$BM$228,QUOTIENT(ROW()-1,19)+1,MOD(ROW()-2,19)+1),NA())</f>
        <v/>
      </c>
      <c r="DM2667" s="4" t="e">
        <f t="shared" si="144"/>
        <v>#N/A</v>
      </c>
      <c r="DN2667" t="e">
        <f t="shared" si="145"/>
        <v>#N/A</v>
      </c>
      <c r="DO2667" t="e">
        <f t="shared" si="146"/>
        <v>#N/A</v>
      </c>
    </row>
    <row r="2668" spans="7:119" x14ac:dyDescent="0.25">
      <c r="G2668"/>
      <c r="DI2668" s="4">
        <f>INDEX(Sheet2!A:A,QUOTIENT(ROW()-1,19)+2)</f>
        <v>41535</v>
      </c>
      <c r="DJ2668" s="4">
        <f>INDEX(Sheet2!C:C,QUOTIENT(ROW()-1,19)+2)</f>
        <v>43100</v>
      </c>
      <c r="DK2668" s="4" t="e">
        <f>INDEX(Sheet2!$AA$2:$AS$228,QUOTIENT(ROW()-1,19)+1,MOD(ROW()-2,19)+1)</f>
        <v>#N/A</v>
      </c>
      <c r="DL2668" t="str">
        <f>IFERROR(INDEX(Sheet2!$AU$2:$BM$228,QUOTIENT(ROW()-1,19)+1,MOD(ROW()-2,19)+1),NA())</f>
        <v/>
      </c>
      <c r="DM2668" s="4" t="e">
        <f t="shared" si="144"/>
        <v>#N/A</v>
      </c>
      <c r="DN2668" t="e">
        <f t="shared" si="145"/>
        <v>#N/A</v>
      </c>
      <c r="DO2668" t="e">
        <f t="shared" si="146"/>
        <v>#N/A</v>
      </c>
    </row>
    <row r="2669" spans="7:119" x14ac:dyDescent="0.25">
      <c r="G2669"/>
      <c r="DI2669" s="4">
        <f>INDEX(Sheet2!A:A,QUOTIENT(ROW()-1,19)+2)</f>
        <v>41535</v>
      </c>
      <c r="DJ2669" s="4">
        <f>INDEX(Sheet2!C:C,QUOTIENT(ROW()-1,19)+2)</f>
        <v>43100</v>
      </c>
      <c r="DK2669" s="4" t="e">
        <f>INDEX(Sheet2!$AA$2:$AS$228,QUOTIENT(ROW()-1,19)+1,MOD(ROW()-2,19)+1)</f>
        <v>#N/A</v>
      </c>
      <c r="DL2669" t="str">
        <f>IFERROR(INDEX(Sheet2!$AU$2:$BM$228,QUOTIENT(ROW()-1,19)+1,MOD(ROW()-2,19)+1),NA())</f>
        <v/>
      </c>
      <c r="DM2669" s="4" t="e">
        <f t="shared" si="144"/>
        <v>#N/A</v>
      </c>
      <c r="DN2669" t="e">
        <f t="shared" si="145"/>
        <v>#N/A</v>
      </c>
      <c r="DO2669" t="e">
        <f t="shared" si="146"/>
        <v>#N/A</v>
      </c>
    </row>
    <row r="2670" spans="7:119" x14ac:dyDescent="0.25">
      <c r="G2670"/>
      <c r="DI2670" s="4">
        <f>INDEX(Sheet2!A:A,QUOTIENT(ROW()-1,19)+2)</f>
        <v>41535</v>
      </c>
      <c r="DJ2670" s="4">
        <f>INDEX(Sheet2!C:C,QUOTIENT(ROW()-1,19)+2)</f>
        <v>43100</v>
      </c>
      <c r="DK2670" s="4" t="e">
        <f>INDEX(Sheet2!$AA$2:$AS$228,QUOTIENT(ROW()-1,19)+1,MOD(ROW()-2,19)+1)</f>
        <v>#N/A</v>
      </c>
      <c r="DL2670" t="str">
        <f>IFERROR(INDEX(Sheet2!$AU$2:$BM$228,QUOTIENT(ROW()-1,19)+1,MOD(ROW()-2,19)+1),NA())</f>
        <v/>
      </c>
      <c r="DM2670" s="4" t="e">
        <f t="shared" si="144"/>
        <v>#N/A</v>
      </c>
      <c r="DN2670" t="e">
        <f t="shared" si="145"/>
        <v>#N/A</v>
      </c>
      <c r="DO2670" t="e">
        <f t="shared" si="146"/>
        <v>#N/A</v>
      </c>
    </row>
    <row r="2671" spans="7:119" x14ac:dyDescent="0.25">
      <c r="G2671"/>
      <c r="DI2671" s="4">
        <f>INDEX(Sheet2!A:A,QUOTIENT(ROW()-1,19)+2)</f>
        <v>41535</v>
      </c>
      <c r="DJ2671" s="4">
        <f>INDEX(Sheet2!C:C,QUOTIENT(ROW()-1,19)+2)</f>
        <v>43100</v>
      </c>
      <c r="DK2671" s="4" t="e">
        <f>INDEX(Sheet2!$AA$2:$AS$228,QUOTIENT(ROW()-1,19)+1,MOD(ROW()-2,19)+1)</f>
        <v>#N/A</v>
      </c>
      <c r="DL2671" t="str">
        <f>IFERROR(INDEX(Sheet2!$AU$2:$BM$228,QUOTIENT(ROW()-1,19)+1,MOD(ROW()-2,19)+1),NA())</f>
        <v/>
      </c>
      <c r="DM2671" s="4" t="e">
        <f t="shared" si="144"/>
        <v>#N/A</v>
      </c>
      <c r="DN2671" t="e">
        <f t="shared" si="145"/>
        <v>#N/A</v>
      </c>
      <c r="DO2671" t="e">
        <f t="shared" si="146"/>
        <v>#N/A</v>
      </c>
    </row>
    <row r="2672" spans="7:119" x14ac:dyDescent="0.25">
      <c r="G2672"/>
      <c r="DI2672" s="4">
        <f>INDEX(Sheet2!A:A,QUOTIENT(ROW()-1,19)+2)</f>
        <v>41535</v>
      </c>
      <c r="DJ2672" s="4">
        <f>INDEX(Sheet2!C:C,QUOTIENT(ROW()-1,19)+2)</f>
        <v>43100</v>
      </c>
      <c r="DK2672" s="4" t="e">
        <f>INDEX(Sheet2!$AA$2:$AS$228,QUOTIENT(ROW()-1,19)+1,MOD(ROW()-2,19)+1)</f>
        <v>#N/A</v>
      </c>
      <c r="DL2672" t="str">
        <f>IFERROR(INDEX(Sheet2!$AU$2:$BM$228,QUOTIENT(ROW()-1,19)+1,MOD(ROW()-2,19)+1),NA())</f>
        <v/>
      </c>
      <c r="DM2672" s="4" t="e">
        <f t="shared" si="144"/>
        <v>#N/A</v>
      </c>
      <c r="DN2672" t="e">
        <f t="shared" si="145"/>
        <v>#N/A</v>
      </c>
      <c r="DO2672" t="e">
        <f t="shared" si="146"/>
        <v>#N/A</v>
      </c>
    </row>
    <row r="2673" spans="7:119" x14ac:dyDescent="0.25">
      <c r="G2673"/>
      <c r="DI2673" s="4">
        <f>INDEX(Sheet2!A:A,QUOTIENT(ROW()-1,19)+2)</f>
        <v>41535</v>
      </c>
      <c r="DJ2673" s="4">
        <f>INDEX(Sheet2!C:C,QUOTIENT(ROW()-1,19)+2)</f>
        <v>43100</v>
      </c>
      <c r="DK2673" s="4" t="e">
        <f>INDEX(Sheet2!$AA$2:$AS$228,QUOTIENT(ROW()-1,19)+1,MOD(ROW()-2,19)+1)</f>
        <v>#N/A</v>
      </c>
      <c r="DL2673" t="str">
        <f>IFERROR(INDEX(Sheet2!$AU$2:$BM$228,QUOTIENT(ROW()-1,19)+1,MOD(ROW()-2,19)+1),NA())</f>
        <v/>
      </c>
      <c r="DM2673" s="4" t="e">
        <f t="shared" si="144"/>
        <v>#N/A</v>
      </c>
      <c r="DN2673" t="e">
        <f t="shared" si="145"/>
        <v>#N/A</v>
      </c>
      <c r="DO2673" t="e">
        <f t="shared" si="146"/>
        <v>#N/A</v>
      </c>
    </row>
    <row r="2674" spans="7:119" x14ac:dyDescent="0.25">
      <c r="G2674"/>
      <c r="DI2674" s="4">
        <f>INDEX(Sheet2!A:A,QUOTIENT(ROW()-1,19)+2)</f>
        <v>41535</v>
      </c>
      <c r="DJ2674" s="4">
        <f>INDEX(Sheet2!C:C,QUOTIENT(ROW()-1,19)+2)</f>
        <v>43100</v>
      </c>
      <c r="DK2674" s="4" t="e">
        <f>INDEX(Sheet2!$AA$2:$AS$228,QUOTIENT(ROW()-1,19)+1,MOD(ROW()-2,19)+1)</f>
        <v>#N/A</v>
      </c>
      <c r="DL2674" t="str">
        <f>IFERROR(INDEX(Sheet2!$AU$2:$BM$228,QUOTIENT(ROW()-1,19)+1,MOD(ROW()-2,19)+1),NA())</f>
        <v/>
      </c>
      <c r="DM2674" s="4" t="e">
        <f t="shared" si="144"/>
        <v>#N/A</v>
      </c>
      <c r="DN2674" t="e">
        <f t="shared" si="145"/>
        <v>#N/A</v>
      </c>
      <c r="DO2674" t="e">
        <f t="shared" si="146"/>
        <v>#N/A</v>
      </c>
    </row>
    <row r="2675" spans="7:119" x14ac:dyDescent="0.25">
      <c r="G2675"/>
      <c r="DI2675" s="4">
        <f>INDEX(Sheet2!A:A,QUOTIENT(ROW()-1,19)+2)</f>
        <v>41535</v>
      </c>
      <c r="DJ2675" s="4">
        <f>INDEX(Sheet2!C:C,QUOTIENT(ROW()-1,19)+2)</f>
        <v>43100</v>
      </c>
      <c r="DK2675" s="4" t="e">
        <f>INDEX(Sheet2!$AA$2:$AS$228,QUOTIENT(ROW()-1,19)+1,MOD(ROW()-2,19)+1)</f>
        <v>#N/A</v>
      </c>
      <c r="DL2675" t="str">
        <f>IFERROR(INDEX(Sheet2!$AU$2:$BM$228,QUOTIENT(ROW()-1,19)+1,MOD(ROW()-2,19)+1),NA())</f>
        <v/>
      </c>
      <c r="DM2675" s="4" t="e">
        <f t="shared" si="144"/>
        <v>#N/A</v>
      </c>
      <c r="DN2675" t="e">
        <f t="shared" si="145"/>
        <v>#N/A</v>
      </c>
      <c r="DO2675" t="e">
        <f t="shared" si="146"/>
        <v>#N/A</v>
      </c>
    </row>
    <row r="2676" spans="7:119" x14ac:dyDescent="0.25">
      <c r="G2676"/>
      <c r="DI2676" s="4">
        <f>INDEX(Sheet2!A:A,QUOTIENT(ROW()-1,19)+2)</f>
        <v>41535</v>
      </c>
      <c r="DJ2676" s="4">
        <f>INDEX(Sheet2!C:C,QUOTIENT(ROW()-1,19)+2)</f>
        <v>43100</v>
      </c>
      <c r="DK2676" s="4" t="e">
        <f>INDEX(Sheet2!$AA$2:$AS$228,QUOTIENT(ROW()-1,19)+1,MOD(ROW()-2,19)+1)</f>
        <v>#N/A</v>
      </c>
      <c r="DL2676" t="str">
        <f>IFERROR(INDEX(Sheet2!$AU$2:$BM$228,QUOTIENT(ROW()-1,19)+1,MOD(ROW()-2,19)+1),NA())</f>
        <v/>
      </c>
      <c r="DM2676" s="4" t="e">
        <f t="shared" si="144"/>
        <v>#N/A</v>
      </c>
      <c r="DN2676" t="e">
        <f t="shared" si="145"/>
        <v>#N/A</v>
      </c>
      <c r="DO2676" t="e">
        <f t="shared" si="146"/>
        <v>#N/A</v>
      </c>
    </row>
    <row r="2677" spans="7:119" x14ac:dyDescent="0.25">
      <c r="G2677"/>
      <c r="DI2677" s="4">
        <f>INDEX(Sheet2!A:A,QUOTIENT(ROW()-1,19)+2)</f>
        <v>41535</v>
      </c>
      <c r="DJ2677" s="4">
        <f>INDEX(Sheet2!C:C,QUOTIENT(ROW()-1,19)+2)</f>
        <v>43100</v>
      </c>
      <c r="DK2677" s="4" t="e">
        <f>INDEX(Sheet2!$AA$2:$AS$228,QUOTIENT(ROW()-1,19)+1,MOD(ROW()-2,19)+1)</f>
        <v>#N/A</v>
      </c>
      <c r="DL2677" t="str">
        <f>IFERROR(INDEX(Sheet2!$AU$2:$BM$228,QUOTIENT(ROW()-1,19)+1,MOD(ROW()-2,19)+1),NA())</f>
        <v/>
      </c>
      <c r="DM2677" s="4" t="e">
        <f t="shared" si="144"/>
        <v>#N/A</v>
      </c>
      <c r="DN2677" t="e">
        <f t="shared" si="145"/>
        <v>#N/A</v>
      </c>
      <c r="DO2677" t="e">
        <f t="shared" si="146"/>
        <v>#N/A</v>
      </c>
    </row>
    <row r="2678" spans="7:119" x14ac:dyDescent="0.25">
      <c r="G2678"/>
      <c r="DI2678" s="4">
        <f>INDEX(Sheet2!A:A,QUOTIENT(ROW()-1,19)+2)</f>
        <v>41535</v>
      </c>
      <c r="DJ2678" s="4">
        <f>INDEX(Sheet2!C:C,QUOTIENT(ROW()-1,19)+2)</f>
        <v>43100</v>
      </c>
      <c r="DK2678" s="4" t="e">
        <f>INDEX(Sheet2!$AA$2:$AS$228,QUOTIENT(ROW()-1,19)+1,MOD(ROW()-2,19)+1)</f>
        <v>#N/A</v>
      </c>
      <c r="DL2678" t="str">
        <f>IFERROR(INDEX(Sheet2!$AU$2:$BM$228,QUOTIENT(ROW()-1,19)+1,MOD(ROW()-2,19)+1),NA())</f>
        <v/>
      </c>
      <c r="DM2678" s="4" t="e">
        <f t="shared" si="144"/>
        <v>#N/A</v>
      </c>
      <c r="DN2678" t="e">
        <f t="shared" si="145"/>
        <v>#N/A</v>
      </c>
      <c r="DO2678" t="e">
        <f t="shared" si="146"/>
        <v>#N/A</v>
      </c>
    </row>
    <row r="2679" spans="7:119" x14ac:dyDescent="0.25">
      <c r="G2679"/>
      <c r="DI2679" s="4">
        <f>INDEX(Sheet2!A:A,QUOTIENT(ROW()-1,19)+2)</f>
        <v>41535</v>
      </c>
      <c r="DJ2679" s="4">
        <f>INDEX(Sheet2!C:C,QUOTIENT(ROW()-1,19)+2)</f>
        <v>43100</v>
      </c>
      <c r="DK2679" s="4" t="e">
        <f>INDEX(Sheet2!$AA$2:$AS$228,QUOTIENT(ROW()-1,19)+1,MOD(ROW()-2,19)+1)</f>
        <v>#N/A</v>
      </c>
      <c r="DL2679" t="str">
        <f>IFERROR(INDEX(Sheet2!$AU$2:$BM$228,QUOTIENT(ROW()-1,19)+1,MOD(ROW()-2,19)+1),NA())</f>
        <v/>
      </c>
      <c r="DM2679" s="4" t="e">
        <f t="shared" si="144"/>
        <v>#N/A</v>
      </c>
      <c r="DN2679" t="e">
        <f t="shared" si="145"/>
        <v>#N/A</v>
      </c>
      <c r="DO2679" t="e">
        <f t="shared" si="146"/>
        <v>#N/A</v>
      </c>
    </row>
    <row r="2680" spans="7:119" x14ac:dyDescent="0.25">
      <c r="G2680"/>
      <c r="DI2680" s="4">
        <f>INDEX(Sheet2!A:A,QUOTIENT(ROW()-1,19)+2)</f>
        <v>41535</v>
      </c>
      <c r="DJ2680" s="4">
        <f>INDEX(Sheet2!C:C,QUOTIENT(ROW()-1,19)+2)</f>
        <v>43100</v>
      </c>
      <c r="DK2680" s="4" t="e">
        <f>INDEX(Sheet2!$AA$2:$AS$228,QUOTIENT(ROW()-1,19)+1,MOD(ROW()-2,19)+1)</f>
        <v>#N/A</v>
      </c>
      <c r="DL2680" t="str">
        <f>IFERROR(INDEX(Sheet2!$AU$2:$BM$228,QUOTIENT(ROW()-1,19)+1,MOD(ROW()-2,19)+1),NA())</f>
        <v/>
      </c>
      <c r="DM2680" s="4" t="e">
        <f t="shared" si="144"/>
        <v>#N/A</v>
      </c>
      <c r="DN2680" t="e">
        <f t="shared" si="145"/>
        <v>#N/A</v>
      </c>
      <c r="DO2680" t="e">
        <f t="shared" si="146"/>
        <v>#N/A</v>
      </c>
    </row>
    <row r="2681" spans="7:119" x14ac:dyDescent="0.25">
      <c r="G2681"/>
      <c r="DI2681" s="4">
        <f>INDEX(Sheet2!A:A,QUOTIENT(ROW()-1,19)+2)</f>
        <v>41535</v>
      </c>
      <c r="DJ2681" s="4">
        <f>INDEX(Sheet2!C:C,QUOTIENT(ROW()-1,19)+2)</f>
        <v>43100</v>
      </c>
      <c r="DK2681" s="4">
        <f>INDEX(Sheet2!$AA$2:$AS$228,QUOTIENT(ROW()-1,19)+1,MOD(ROW()-2,19)+1)</f>
        <v>43009.662499999999</v>
      </c>
      <c r="DL2681">
        <f>IFERROR(INDEX(Sheet2!$AU$2:$BM$228,QUOTIENT(ROW()-1,19)+1,MOD(ROW()-2,19)+1),NA())</f>
        <v>4</v>
      </c>
      <c r="DM2681" s="4" t="e">
        <f t="shared" si="144"/>
        <v>#N/A</v>
      </c>
      <c r="DN2681" t="e">
        <f t="shared" si="145"/>
        <v>#N/A</v>
      </c>
      <c r="DO2681" t="e">
        <f t="shared" si="146"/>
        <v>#N/A</v>
      </c>
    </row>
    <row r="2682" spans="7:119" x14ac:dyDescent="0.25">
      <c r="G2682"/>
      <c r="DI2682" s="4">
        <f>INDEX(Sheet2!A:A,QUOTIENT(ROW()-1,19)+2)</f>
        <v>41535</v>
      </c>
      <c r="DJ2682" s="4">
        <f>INDEX(Sheet2!C:C,QUOTIENT(ROW()-1,19)+2)</f>
        <v>43100</v>
      </c>
      <c r="DK2682" s="4">
        <f>INDEX(Sheet2!$AA$2:$AS$228,QUOTIENT(ROW()-1,19)+1,MOD(ROW()-2,19)+1)</f>
        <v>43029.737500000003</v>
      </c>
      <c r="DL2682">
        <f>IFERROR(INDEX(Sheet2!$AU$2:$BM$228,QUOTIENT(ROW()-1,19)+1,MOD(ROW()-2,19)+1),NA())</f>
        <v>4</v>
      </c>
      <c r="DM2682" s="4" t="e">
        <f t="shared" si="144"/>
        <v>#N/A</v>
      </c>
      <c r="DN2682" t="e">
        <f t="shared" si="145"/>
        <v>#N/A</v>
      </c>
      <c r="DO2682" t="e">
        <f t="shared" si="146"/>
        <v>#N/A</v>
      </c>
    </row>
    <row r="2683" spans="7:119" x14ac:dyDescent="0.25">
      <c r="G2683"/>
      <c r="DI2683" s="4">
        <f>INDEX(Sheet2!A:A,QUOTIENT(ROW()-1,19)+2)</f>
        <v>41535</v>
      </c>
      <c r="DJ2683" s="4">
        <f>INDEX(Sheet2!C:C,QUOTIENT(ROW()-1,19)+2)</f>
        <v>43100</v>
      </c>
      <c r="DK2683" s="4">
        <f>INDEX(Sheet2!$AA$2:$AS$228,QUOTIENT(ROW()-1,19)+1,MOD(ROW()-2,19)+1)</f>
        <v>43049.8125</v>
      </c>
      <c r="DL2683">
        <f>IFERROR(INDEX(Sheet2!$AU$2:$BM$228,QUOTIENT(ROW()-1,19)+1,MOD(ROW()-2,19)+1),NA())</f>
        <v>4</v>
      </c>
      <c r="DM2683" s="4" t="e">
        <f t="shared" si="144"/>
        <v>#N/A</v>
      </c>
      <c r="DN2683" t="e">
        <f t="shared" si="145"/>
        <v>#N/A</v>
      </c>
      <c r="DO2683" t="e">
        <f t="shared" si="146"/>
        <v>#N/A</v>
      </c>
    </row>
    <row r="2684" spans="7:119" x14ac:dyDescent="0.25">
      <c r="G2684"/>
      <c r="DI2684" s="4">
        <f>INDEX(Sheet2!A:A,QUOTIENT(ROW()-1,19)+2)</f>
        <v>41535</v>
      </c>
      <c r="DJ2684" s="4">
        <f>INDEX(Sheet2!C:C,QUOTIENT(ROW()-1,19)+2)</f>
        <v>43100</v>
      </c>
      <c r="DK2684" s="4">
        <f>INDEX(Sheet2!$AA$2:$AS$228,QUOTIENT(ROW()-1,19)+1,MOD(ROW()-2,19)+1)</f>
        <v>43069.887500000004</v>
      </c>
      <c r="DL2684">
        <f>IFERROR(INDEX(Sheet2!$AU$2:$BM$228,QUOTIENT(ROW()-1,19)+1,MOD(ROW()-2,19)+1),NA())</f>
        <v>4</v>
      </c>
      <c r="DM2684" s="4" t="e">
        <f t="shared" si="144"/>
        <v>#N/A</v>
      </c>
      <c r="DN2684" t="e">
        <f t="shared" si="145"/>
        <v>#N/A</v>
      </c>
      <c r="DO2684" t="e">
        <f t="shared" si="146"/>
        <v>#N/A</v>
      </c>
    </row>
    <row r="2685" spans="7:119" x14ac:dyDescent="0.25">
      <c r="G2685"/>
      <c r="DI2685" s="4">
        <f>INDEX(Sheet2!A:A,QUOTIENT(ROW()-1,19)+2)</f>
        <v>41535</v>
      </c>
      <c r="DJ2685" s="4">
        <f>INDEX(Sheet2!C:C,QUOTIENT(ROW()-1,19)+2)</f>
        <v>43100</v>
      </c>
      <c r="DK2685" s="4">
        <f>INDEX(Sheet2!$AA$2:$AS$228,QUOTIENT(ROW()-1,19)+1,MOD(ROW()-2,19)+1)</f>
        <v>43089.962500000001</v>
      </c>
      <c r="DL2685">
        <f>IFERROR(INDEX(Sheet2!$AU$2:$BM$228,QUOTIENT(ROW()-1,19)+1,MOD(ROW()-2,19)+1),NA())</f>
        <v>4</v>
      </c>
      <c r="DM2685" s="4" t="e">
        <f t="shared" si="144"/>
        <v>#N/A</v>
      </c>
      <c r="DN2685" t="e">
        <f t="shared" si="145"/>
        <v>#N/A</v>
      </c>
      <c r="DO2685" t="e">
        <f t="shared" si="146"/>
        <v>#N/A</v>
      </c>
    </row>
    <row r="2686" spans="7:119" x14ac:dyDescent="0.25">
      <c r="G2686"/>
      <c r="DI2686" s="4">
        <f>INDEX(Sheet2!A:A,QUOTIENT(ROW()-1,19)+2)</f>
        <v>41535</v>
      </c>
      <c r="DJ2686" s="4">
        <f>INDEX(Sheet2!C:C,QUOTIENT(ROW()-1,19)+2)</f>
        <v>43100</v>
      </c>
      <c r="DK2686" s="4">
        <f>INDEX(Sheet2!$AA$2:$AS$228,QUOTIENT(ROW()-1,19)+1,MOD(ROW()-2,19)+1)</f>
        <v>43110.037499999999</v>
      </c>
      <c r="DL2686">
        <f>IFERROR(INDEX(Sheet2!$AU$2:$BM$228,QUOTIENT(ROW()-1,19)+1,MOD(ROW()-2,19)+1),NA())</f>
        <v>4</v>
      </c>
      <c r="DM2686" s="4" t="e">
        <f t="shared" si="144"/>
        <v>#N/A</v>
      </c>
      <c r="DN2686" t="e">
        <f t="shared" si="145"/>
        <v>#N/A</v>
      </c>
      <c r="DO2686" t="e">
        <f t="shared" si="146"/>
        <v>#N/A</v>
      </c>
    </row>
    <row r="2687" spans="7:119" x14ac:dyDescent="0.25">
      <c r="G2687"/>
      <c r="DI2687" s="4">
        <f>INDEX(Sheet2!A:A,QUOTIENT(ROW()-1,19)+2)</f>
        <v>41535</v>
      </c>
      <c r="DJ2687" s="4">
        <f>INDEX(Sheet2!C:C,QUOTIENT(ROW()-1,19)+2)</f>
        <v>43100</v>
      </c>
      <c r="DK2687" s="4">
        <f>INDEX(Sheet2!$AA$2:$AS$228,QUOTIENT(ROW()-1,19)+1,MOD(ROW()-2,19)+1)</f>
        <v>43130.112500000003</v>
      </c>
      <c r="DL2687">
        <f>IFERROR(INDEX(Sheet2!$AU$2:$BM$228,QUOTIENT(ROW()-1,19)+1,MOD(ROW()-2,19)+1),NA())</f>
        <v>4</v>
      </c>
      <c r="DM2687" s="4" t="e">
        <f t="shared" si="144"/>
        <v>#N/A</v>
      </c>
      <c r="DN2687" t="e">
        <f t="shared" si="145"/>
        <v>#N/A</v>
      </c>
      <c r="DO2687" t="e">
        <f t="shared" si="146"/>
        <v>#N/A</v>
      </c>
    </row>
    <row r="2688" spans="7:119" x14ac:dyDescent="0.25">
      <c r="G2688"/>
      <c r="DI2688" s="4">
        <f>INDEX(Sheet2!A:A,QUOTIENT(ROW()-1,19)+2)</f>
        <v>41535</v>
      </c>
      <c r="DJ2688" s="4">
        <f>INDEX(Sheet2!C:C,QUOTIENT(ROW()-1,19)+2)</f>
        <v>43100</v>
      </c>
      <c r="DK2688" s="4">
        <f>INDEX(Sheet2!$AA$2:$AS$228,QUOTIENT(ROW()-1,19)+1,MOD(ROW()-2,19)+1)</f>
        <v>43150.1875</v>
      </c>
      <c r="DL2688">
        <f>IFERROR(INDEX(Sheet2!$AU$2:$BM$228,QUOTIENT(ROW()-1,19)+1,MOD(ROW()-2,19)+1),NA())</f>
        <v>4</v>
      </c>
      <c r="DM2688" s="4" t="e">
        <f t="shared" si="144"/>
        <v>#N/A</v>
      </c>
      <c r="DN2688" t="e">
        <f t="shared" si="145"/>
        <v>#N/A</v>
      </c>
      <c r="DO2688" t="e">
        <f t="shared" si="146"/>
        <v>#N/A</v>
      </c>
    </row>
    <row r="2689" spans="7:119" x14ac:dyDescent="0.25">
      <c r="G2689"/>
      <c r="DI2689" s="4">
        <f>INDEX(Sheet2!A:A,QUOTIENT(ROW()-1,19)+2)</f>
        <v>41535</v>
      </c>
      <c r="DJ2689" s="4">
        <f>INDEX(Sheet2!C:C,QUOTIENT(ROW()-1,19)+2)</f>
        <v>43100</v>
      </c>
      <c r="DK2689" s="4">
        <f>INDEX(Sheet2!$AA$2:$AS$228,QUOTIENT(ROW()-1,19)+1,MOD(ROW()-2,19)+1)</f>
        <v>43170.262500000004</v>
      </c>
      <c r="DL2689">
        <f>IFERROR(INDEX(Sheet2!$AU$2:$BM$228,QUOTIENT(ROW()-1,19)+1,MOD(ROW()-2,19)+1),NA())</f>
        <v>4</v>
      </c>
      <c r="DM2689" s="4" t="e">
        <f t="shared" si="144"/>
        <v>#N/A</v>
      </c>
      <c r="DN2689" t="e">
        <f t="shared" si="145"/>
        <v>#N/A</v>
      </c>
      <c r="DO2689" t="e">
        <f t="shared" si="146"/>
        <v>#N/A</v>
      </c>
    </row>
    <row r="2690" spans="7:119" x14ac:dyDescent="0.25">
      <c r="G2690"/>
      <c r="DI2690" s="4">
        <f>INDEX(Sheet2!A:A,QUOTIENT(ROW()-1,19)+2)</f>
        <v>41535</v>
      </c>
      <c r="DJ2690" s="4">
        <f>INDEX(Sheet2!C:C,QUOTIENT(ROW()-1,19)+2)</f>
        <v>43100</v>
      </c>
      <c r="DK2690" s="4">
        <f>INDEX(Sheet2!$AA$2:$AS$228,QUOTIENT(ROW()-1,19)+1,MOD(ROW()-2,19)+1)</f>
        <v>43190.337500000001</v>
      </c>
      <c r="DL2690">
        <f>IFERROR(INDEX(Sheet2!$AU$2:$BM$228,QUOTIENT(ROW()-1,19)+1,MOD(ROW()-2,19)+1),NA())</f>
        <v>4</v>
      </c>
      <c r="DM2690" s="4" t="e">
        <f t="shared" ref="DM2690:DM2753" si="147">+IF($C$2=$DI2690,DK2690,NA())</f>
        <v>#N/A</v>
      </c>
      <c r="DN2690" t="e">
        <f t="shared" ref="DN2690:DN2753" si="148">+IF($C$2=$DI2690,DL2690,NA())</f>
        <v>#N/A</v>
      </c>
      <c r="DO2690" t="e">
        <f t="shared" si="146"/>
        <v>#N/A</v>
      </c>
    </row>
    <row r="2691" spans="7:119" x14ac:dyDescent="0.25">
      <c r="G2691"/>
      <c r="DI2691" s="4">
        <f>INDEX(Sheet2!A:A,QUOTIENT(ROW()-1,19)+2)</f>
        <v>41535</v>
      </c>
      <c r="DJ2691" s="4">
        <f>INDEX(Sheet2!C:C,QUOTIENT(ROW()-1,19)+2)</f>
        <v>43100</v>
      </c>
      <c r="DK2691" s="4" t="e">
        <f>INDEX(Sheet2!$AA$2:$AS$228,QUOTIENT(ROW()-1,19)+1,MOD(ROW()-2,19)+1)</f>
        <v>#N/A</v>
      </c>
      <c r="DL2691" t="str">
        <f>IFERROR(INDEX(Sheet2!$AU$2:$BM$228,QUOTIENT(ROW()-1,19)+1,MOD(ROW()-2,19)+1),NA())</f>
        <v/>
      </c>
      <c r="DM2691" s="4" t="e">
        <f t="shared" si="147"/>
        <v>#N/A</v>
      </c>
      <c r="DN2691" t="e">
        <f t="shared" si="148"/>
        <v>#N/A</v>
      </c>
      <c r="DO2691" t="e">
        <f t="shared" ref="DO2691:DO2754" si="149">IF(DN2691="",NA(),DN2691)</f>
        <v>#N/A</v>
      </c>
    </row>
    <row r="2692" spans="7:119" x14ac:dyDescent="0.25">
      <c r="G2692"/>
      <c r="DI2692" s="4">
        <f>INDEX(Sheet2!A:A,QUOTIENT(ROW()-1,19)+2)</f>
        <v>41535</v>
      </c>
      <c r="DJ2692" s="4">
        <f>INDEX(Sheet2!C:C,QUOTIENT(ROW()-1,19)+2)</f>
        <v>43100</v>
      </c>
      <c r="DK2692" s="4" t="e">
        <f>INDEX(Sheet2!$AA$2:$AS$228,QUOTIENT(ROW()-1,19)+1,MOD(ROW()-2,19)+1)</f>
        <v>#N/A</v>
      </c>
      <c r="DL2692" t="str">
        <f>IFERROR(INDEX(Sheet2!$AU$2:$BM$228,QUOTIENT(ROW()-1,19)+1,MOD(ROW()-2,19)+1),NA())</f>
        <v/>
      </c>
      <c r="DM2692" s="4" t="e">
        <f t="shared" si="147"/>
        <v>#N/A</v>
      </c>
      <c r="DN2692" t="e">
        <f t="shared" si="148"/>
        <v>#N/A</v>
      </c>
      <c r="DO2692" t="e">
        <f t="shared" si="149"/>
        <v>#N/A</v>
      </c>
    </row>
    <row r="2693" spans="7:119" x14ac:dyDescent="0.25">
      <c r="G2693"/>
      <c r="DI2693" s="4">
        <f>INDEX(Sheet2!A:A,QUOTIENT(ROW()-1,19)+2)</f>
        <v>41535</v>
      </c>
      <c r="DJ2693" s="4">
        <f>INDEX(Sheet2!C:C,QUOTIENT(ROW()-1,19)+2)</f>
        <v>43100</v>
      </c>
      <c r="DK2693" s="4" t="e">
        <f>INDEX(Sheet2!$AA$2:$AS$228,QUOTIENT(ROW()-1,19)+1,MOD(ROW()-2,19)+1)</f>
        <v>#N/A</v>
      </c>
      <c r="DL2693" t="str">
        <f>IFERROR(INDEX(Sheet2!$AU$2:$BM$228,QUOTIENT(ROW()-1,19)+1,MOD(ROW()-2,19)+1),NA())</f>
        <v/>
      </c>
      <c r="DM2693" s="4" t="e">
        <f t="shared" si="147"/>
        <v>#N/A</v>
      </c>
      <c r="DN2693" t="e">
        <f t="shared" si="148"/>
        <v>#N/A</v>
      </c>
      <c r="DO2693" t="e">
        <f t="shared" si="149"/>
        <v>#N/A</v>
      </c>
    </row>
    <row r="2694" spans="7:119" x14ac:dyDescent="0.25">
      <c r="G2694"/>
      <c r="DI2694" s="4">
        <f>INDEX(Sheet2!A:A,QUOTIENT(ROW()-1,19)+2)</f>
        <v>41535</v>
      </c>
      <c r="DJ2694" s="4">
        <f>INDEX(Sheet2!C:C,QUOTIENT(ROW()-1,19)+2)</f>
        <v>43100</v>
      </c>
      <c r="DK2694" s="4" t="e">
        <f>INDEX(Sheet2!$AA$2:$AS$228,QUOTIENT(ROW()-1,19)+1,MOD(ROW()-2,19)+1)</f>
        <v>#N/A</v>
      </c>
      <c r="DL2694" t="str">
        <f>IFERROR(INDEX(Sheet2!$AU$2:$BM$228,QUOTIENT(ROW()-1,19)+1,MOD(ROW()-2,19)+1),NA())</f>
        <v/>
      </c>
      <c r="DM2694" s="4" t="e">
        <f t="shared" si="147"/>
        <v>#N/A</v>
      </c>
      <c r="DN2694" t="e">
        <f t="shared" si="148"/>
        <v>#N/A</v>
      </c>
      <c r="DO2694" t="e">
        <f t="shared" si="149"/>
        <v>#N/A</v>
      </c>
    </row>
    <row r="2695" spans="7:119" x14ac:dyDescent="0.25">
      <c r="G2695"/>
      <c r="DI2695" s="4">
        <f>INDEX(Sheet2!A:A,QUOTIENT(ROW()-1,19)+2)</f>
        <v>41535</v>
      </c>
      <c r="DJ2695" s="4">
        <f>INDEX(Sheet2!C:C,QUOTIENT(ROW()-1,19)+2)</f>
        <v>43100</v>
      </c>
      <c r="DK2695" s="4" t="e">
        <f>INDEX(Sheet2!$AA$2:$AS$228,QUOTIENT(ROW()-1,19)+1,MOD(ROW()-2,19)+1)</f>
        <v>#N/A</v>
      </c>
      <c r="DL2695" t="str">
        <f>IFERROR(INDEX(Sheet2!$AU$2:$BM$228,QUOTIENT(ROW()-1,19)+1,MOD(ROW()-2,19)+1),NA())</f>
        <v/>
      </c>
      <c r="DM2695" s="4" t="e">
        <f t="shared" si="147"/>
        <v>#N/A</v>
      </c>
      <c r="DN2695" t="e">
        <f t="shared" si="148"/>
        <v>#N/A</v>
      </c>
      <c r="DO2695" t="e">
        <f t="shared" si="149"/>
        <v>#N/A</v>
      </c>
    </row>
    <row r="2696" spans="7:119" x14ac:dyDescent="0.25">
      <c r="G2696"/>
      <c r="DI2696" s="4">
        <f>INDEX(Sheet2!A:A,QUOTIENT(ROW()-1,19)+2)</f>
        <v>41535</v>
      </c>
      <c r="DJ2696" s="4">
        <f>INDEX(Sheet2!C:C,QUOTIENT(ROW()-1,19)+2)</f>
        <v>43100</v>
      </c>
      <c r="DK2696" s="4" t="e">
        <f>INDEX(Sheet2!$AA$2:$AS$228,QUOTIENT(ROW()-1,19)+1,MOD(ROW()-2,19)+1)</f>
        <v>#N/A</v>
      </c>
      <c r="DL2696" t="str">
        <f>IFERROR(INDEX(Sheet2!$AU$2:$BM$228,QUOTIENT(ROW()-1,19)+1,MOD(ROW()-2,19)+1),NA())</f>
        <v/>
      </c>
      <c r="DM2696" s="4" t="e">
        <f t="shared" si="147"/>
        <v>#N/A</v>
      </c>
      <c r="DN2696" t="e">
        <f t="shared" si="148"/>
        <v>#N/A</v>
      </c>
      <c r="DO2696" t="e">
        <f t="shared" si="149"/>
        <v>#N/A</v>
      </c>
    </row>
    <row r="2697" spans="7:119" x14ac:dyDescent="0.25">
      <c r="G2697"/>
      <c r="DI2697" s="4">
        <f>INDEX(Sheet2!A:A,QUOTIENT(ROW()-1,19)+2)</f>
        <v>41535</v>
      </c>
      <c r="DJ2697" s="4">
        <f>INDEX(Sheet2!C:C,QUOTIENT(ROW()-1,19)+2)</f>
        <v>43100</v>
      </c>
      <c r="DK2697" s="4" t="e">
        <f>INDEX(Sheet2!$AA$2:$AS$228,QUOTIENT(ROW()-1,19)+1,MOD(ROW()-2,19)+1)</f>
        <v>#N/A</v>
      </c>
      <c r="DL2697" t="str">
        <f>IFERROR(INDEX(Sheet2!$AU$2:$BM$228,QUOTIENT(ROW()-1,19)+1,MOD(ROW()-2,19)+1),NA())</f>
        <v/>
      </c>
      <c r="DM2697" s="4" t="e">
        <f t="shared" si="147"/>
        <v>#N/A</v>
      </c>
      <c r="DN2697" t="e">
        <f t="shared" si="148"/>
        <v>#N/A</v>
      </c>
      <c r="DO2697" t="e">
        <f t="shared" si="149"/>
        <v>#N/A</v>
      </c>
    </row>
    <row r="2698" spans="7:119" x14ac:dyDescent="0.25">
      <c r="G2698"/>
      <c r="DI2698" s="4">
        <f>INDEX(Sheet2!A:A,QUOTIENT(ROW()-1,19)+2)</f>
        <v>41535</v>
      </c>
      <c r="DJ2698" s="4">
        <f>INDEX(Sheet2!C:C,QUOTIENT(ROW()-1,19)+2)</f>
        <v>43100</v>
      </c>
      <c r="DK2698" s="4" t="e">
        <f>INDEX(Sheet2!$AA$2:$AS$228,QUOTIENT(ROW()-1,19)+1,MOD(ROW()-2,19)+1)</f>
        <v>#N/A</v>
      </c>
      <c r="DL2698" t="str">
        <f>IFERROR(INDEX(Sheet2!$AU$2:$BM$228,QUOTIENT(ROW()-1,19)+1,MOD(ROW()-2,19)+1),NA())</f>
        <v/>
      </c>
      <c r="DM2698" s="4" t="e">
        <f t="shared" si="147"/>
        <v>#N/A</v>
      </c>
      <c r="DN2698" t="e">
        <f t="shared" si="148"/>
        <v>#N/A</v>
      </c>
      <c r="DO2698" t="e">
        <f t="shared" si="149"/>
        <v>#N/A</v>
      </c>
    </row>
    <row r="2699" spans="7:119" x14ac:dyDescent="0.25">
      <c r="G2699"/>
      <c r="DI2699" s="4">
        <f>INDEX(Sheet2!A:A,QUOTIENT(ROW()-1,19)+2)</f>
        <v>41535</v>
      </c>
      <c r="DJ2699" s="4">
        <f>INDEX(Sheet2!C:C,QUOTIENT(ROW()-1,19)+2)</f>
        <v>43100</v>
      </c>
      <c r="DK2699" s="4" t="e">
        <f>INDEX(Sheet2!$AA$2:$AS$228,QUOTIENT(ROW()-1,19)+1,MOD(ROW()-2,19)+1)</f>
        <v>#N/A</v>
      </c>
      <c r="DL2699" t="str">
        <f>IFERROR(INDEX(Sheet2!$AU$2:$BM$228,QUOTIENT(ROW()-1,19)+1,MOD(ROW()-2,19)+1),NA())</f>
        <v/>
      </c>
      <c r="DM2699" s="4" t="e">
        <f t="shared" si="147"/>
        <v>#N/A</v>
      </c>
      <c r="DN2699" t="e">
        <f t="shared" si="148"/>
        <v>#N/A</v>
      </c>
      <c r="DO2699" t="e">
        <f t="shared" si="149"/>
        <v>#N/A</v>
      </c>
    </row>
    <row r="2700" spans="7:119" x14ac:dyDescent="0.25">
      <c r="G2700"/>
      <c r="DI2700" s="4">
        <f>INDEX(Sheet2!A:A,QUOTIENT(ROW()-1,19)+2)</f>
        <v>41535</v>
      </c>
      <c r="DJ2700" s="4">
        <f>INDEX(Sheet2!C:C,QUOTIENT(ROW()-1,19)+2)</f>
        <v>43100</v>
      </c>
      <c r="DK2700" s="4">
        <f>INDEX(Sheet2!$AA$2:$AS$228,QUOTIENT(ROW()-1,19)+1,MOD(ROW()-2,19)+1)</f>
        <v>43079.924999999996</v>
      </c>
      <c r="DL2700">
        <f>IFERROR(INDEX(Sheet2!$AU$2:$BM$228,QUOTIENT(ROW()-1,19)+1,MOD(ROW()-2,19)+1),NA())</f>
        <v>4.25</v>
      </c>
      <c r="DM2700" s="4" t="e">
        <f t="shared" si="147"/>
        <v>#N/A</v>
      </c>
      <c r="DN2700" t="e">
        <f t="shared" si="148"/>
        <v>#N/A</v>
      </c>
      <c r="DO2700" t="e">
        <f t="shared" si="149"/>
        <v>#N/A</v>
      </c>
    </row>
    <row r="2701" spans="7:119" x14ac:dyDescent="0.25">
      <c r="G2701"/>
      <c r="DI2701" s="4">
        <f>INDEX(Sheet2!A:A,QUOTIENT(ROW()-1,19)+2)</f>
        <v>41535</v>
      </c>
      <c r="DJ2701" s="4">
        <f>INDEX(Sheet2!C:C,QUOTIENT(ROW()-1,19)+2)</f>
        <v>43100</v>
      </c>
      <c r="DK2701" s="4">
        <f>INDEX(Sheet2!$AA$2:$AS$228,QUOTIENT(ROW()-1,19)+1,MOD(ROW()-2,19)+1)</f>
        <v>43100</v>
      </c>
      <c r="DL2701">
        <f>IFERROR(INDEX(Sheet2!$AU$2:$BM$228,QUOTIENT(ROW()-1,19)+1,MOD(ROW()-2,19)+1),NA())</f>
        <v>4.25</v>
      </c>
      <c r="DM2701" s="4" t="e">
        <f t="shared" si="147"/>
        <v>#N/A</v>
      </c>
      <c r="DN2701" t="e">
        <f t="shared" si="148"/>
        <v>#N/A</v>
      </c>
      <c r="DO2701" t="e">
        <f t="shared" si="149"/>
        <v>#N/A</v>
      </c>
    </row>
    <row r="2702" spans="7:119" x14ac:dyDescent="0.25">
      <c r="G2702"/>
      <c r="DI2702" s="4">
        <f>INDEX(Sheet2!A:A,QUOTIENT(ROW()-1,19)+2)</f>
        <v>41535</v>
      </c>
      <c r="DJ2702" s="4">
        <f>INDEX(Sheet2!C:C,QUOTIENT(ROW()-1,19)+2)</f>
        <v>43100</v>
      </c>
      <c r="DK2702" s="4">
        <f>INDEX(Sheet2!$AA$2:$AS$228,QUOTIENT(ROW()-1,19)+1,MOD(ROW()-2,19)+1)</f>
        <v>43120.074999999997</v>
      </c>
      <c r="DL2702">
        <f>IFERROR(INDEX(Sheet2!$AU$2:$BM$228,QUOTIENT(ROW()-1,19)+1,MOD(ROW()-2,19)+1),NA())</f>
        <v>4.25</v>
      </c>
      <c r="DM2702" s="4" t="e">
        <f t="shared" si="147"/>
        <v>#N/A</v>
      </c>
      <c r="DN2702" t="e">
        <f t="shared" si="148"/>
        <v>#N/A</v>
      </c>
      <c r="DO2702" t="e">
        <f t="shared" si="149"/>
        <v>#N/A</v>
      </c>
    </row>
    <row r="2703" spans="7:119" x14ac:dyDescent="0.25">
      <c r="G2703"/>
      <c r="DI2703" s="4">
        <f>INDEX(Sheet2!A:A,QUOTIENT(ROW()-1,19)+2)</f>
        <v>41535</v>
      </c>
      <c r="DJ2703" s="4">
        <f>INDEX(Sheet2!C:C,QUOTIENT(ROW()-1,19)+2)</f>
        <v>43100</v>
      </c>
      <c r="DK2703" s="4" t="e">
        <f>INDEX(Sheet2!$AA$2:$AS$228,QUOTIENT(ROW()-1,19)+1,MOD(ROW()-2,19)+1)</f>
        <v>#N/A</v>
      </c>
      <c r="DL2703" t="str">
        <f>IFERROR(INDEX(Sheet2!$AU$2:$BM$228,QUOTIENT(ROW()-1,19)+1,MOD(ROW()-2,19)+1),NA())</f>
        <v/>
      </c>
      <c r="DM2703" s="4" t="e">
        <f t="shared" si="147"/>
        <v>#N/A</v>
      </c>
      <c r="DN2703" t="e">
        <f t="shared" si="148"/>
        <v>#N/A</v>
      </c>
      <c r="DO2703" t="e">
        <f t="shared" si="149"/>
        <v>#N/A</v>
      </c>
    </row>
    <row r="2704" spans="7:119" x14ac:dyDescent="0.25">
      <c r="G2704"/>
      <c r="DI2704" s="4">
        <f>INDEX(Sheet2!A:A,QUOTIENT(ROW()-1,19)+2)</f>
        <v>41535</v>
      </c>
      <c r="DJ2704" s="4">
        <f>INDEX(Sheet2!C:C,QUOTIENT(ROW()-1,19)+2)</f>
        <v>43100</v>
      </c>
      <c r="DK2704" s="4" t="e">
        <f>INDEX(Sheet2!$AA$2:$AS$228,QUOTIENT(ROW()-1,19)+1,MOD(ROW()-2,19)+1)</f>
        <v>#N/A</v>
      </c>
      <c r="DL2704" t="str">
        <f>IFERROR(INDEX(Sheet2!$AU$2:$BM$228,QUOTIENT(ROW()-1,19)+1,MOD(ROW()-2,19)+1),NA())</f>
        <v/>
      </c>
      <c r="DM2704" s="4" t="e">
        <f t="shared" si="147"/>
        <v>#N/A</v>
      </c>
      <c r="DN2704" t="e">
        <f t="shared" si="148"/>
        <v>#N/A</v>
      </c>
      <c r="DO2704" t="e">
        <f t="shared" si="149"/>
        <v>#N/A</v>
      </c>
    </row>
    <row r="2705" spans="7:119" x14ac:dyDescent="0.25">
      <c r="G2705"/>
      <c r="DI2705" s="4">
        <f>INDEX(Sheet2!A:A,QUOTIENT(ROW()-1,19)+2)</f>
        <v>41535</v>
      </c>
      <c r="DJ2705" s="4">
        <f>INDEX(Sheet2!C:C,QUOTIENT(ROW()-1,19)+2)</f>
        <v>43100</v>
      </c>
      <c r="DK2705" s="4" t="e">
        <f>INDEX(Sheet2!$AA$2:$AS$228,QUOTIENT(ROW()-1,19)+1,MOD(ROW()-2,19)+1)</f>
        <v>#N/A</v>
      </c>
      <c r="DL2705" t="str">
        <f>IFERROR(INDEX(Sheet2!$AU$2:$BM$228,QUOTIENT(ROW()-1,19)+1,MOD(ROW()-2,19)+1),NA())</f>
        <v/>
      </c>
      <c r="DM2705" s="4" t="e">
        <f t="shared" si="147"/>
        <v>#N/A</v>
      </c>
      <c r="DN2705" t="e">
        <f t="shared" si="148"/>
        <v>#N/A</v>
      </c>
      <c r="DO2705" t="e">
        <f t="shared" si="149"/>
        <v>#N/A</v>
      </c>
    </row>
    <row r="2706" spans="7:119" x14ac:dyDescent="0.25">
      <c r="G2706"/>
      <c r="DI2706" s="4">
        <f>INDEX(Sheet2!A:A,QUOTIENT(ROW()-1,19)+2)</f>
        <v>41535</v>
      </c>
      <c r="DJ2706" s="4">
        <f>INDEX(Sheet2!C:C,QUOTIENT(ROW()-1,19)+2)</f>
        <v>43100</v>
      </c>
      <c r="DK2706" s="4" t="e">
        <f>INDEX(Sheet2!$AA$2:$AS$228,QUOTIENT(ROW()-1,19)+1,MOD(ROW()-2,19)+1)</f>
        <v>#N/A</v>
      </c>
      <c r="DL2706" t="str">
        <f>IFERROR(INDEX(Sheet2!$AU$2:$BM$228,QUOTIENT(ROW()-1,19)+1,MOD(ROW()-2,19)+1),NA())</f>
        <v/>
      </c>
      <c r="DM2706" s="4" t="e">
        <f t="shared" si="147"/>
        <v>#N/A</v>
      </c>
      <c r="DN2706" t="e">
        <f t="shared" si="148"/>
        <v>#N/A</v>
      </c>
      <c r="DO2706" t="e">
        <f t="shared" si="149"/>
        <v>#N/A</v>
      </c>
    </row>
    <row r="2707" spans="7:119" x14ac:dyDescent="0.25">
      <c r="G2707"/>
      <c r="DI2707" s="4">
        <f>INDEX(Sheet2!A:A,QUOTIENT(ROW()-1,19)+2)</f>
        <v>41535</v>
      </c>
      <c r="DJ2707" s="4">
        <f>INDEX(Sheet2!C:C,QUOTIENT(ROW()-1,19)+2)</f>
        <v>43100</v>
      </c>
      <c r="DK2707" s="4" t="e">
        <f>INDEX(Sheet2!$AA$2:$AS$228,QUOTIENT(ROW()-1,19)+1,MOD(ROW()-2,19)+1)</f>
        <v>#N/A</v>
      </c>
      <c r="DL2707" t="str">
        <f>IFERROR(INDEX(Sheet2!$AU$2:$BM$228,QUOTIENT(ROW()-1,19)+1,MOD(ROW()-2,19)+1),NA())</f>
        <v/>
      </c>
      <c r="DM2707" s="4" t="e">
        <f t="shared" si="147"/>
        <v>#N/A</v>
      </c>
      <c r="DN2707" t="e">
        <f t="shared" si="148"/>
        <v>#N/A</v>
      </c>
      <c r="DO2707" t="e">
        <f t="shared" si="149"/>
        <v>#N/A</v>
      </c>
    </row>
    <row r="2708" spans="7:119" x14ac:dyDescent="0.25">
      <c r="G2708"/>
      <c r="DI2708" s="4">
        <f>INDEX(Sheet2!A:A,QUOTIENT(ROW()-1,19)+2)</f>
        <v>41535</v>
      </c>
      <c r="DJ2708" s="4">
        <f>INDEX(Sheet2!C:C,QUOTIENT(ROW()-1,19)+2)</f>
        <v>43100</v>
      </c>
      <c r="DK2708" s="4" t="e">
        <f>INDEX(Sheet2!$AA$2:$AS$228,QUOTIENT(ROW()-1,19)+1,MOD(ROW()-2,19)+1)</f>
        <v>#N/A</v>
      </c>
      <c r="DL2708" t="str">
        <f>IFERROR(INDEX(Sheet2!$AU$2:$BM$228,QUOTIENT(ROW()-1,19)+1,MOD(ROW()-2,19)+1),NA())</f>
        <v/>
      </c>
      <c r="DM2708" s="4" t="e">
        <f t="shared" si="147"/>
        <v>#N/A</v>
      </c>
      <c r="DN2708" t="e">
        <f t="shared" si="148"/>
        <v>#N/A</v>
      </c>
      <c r="DO2708" t="e">
        <f t="shared" si="149"/>
        <v>#N/A</v>
      </c>
    </row>
    <row r="2709" spans="7:119" x14ac:dyDescent="0.25">
      <c r="G2709"/>
      <c r="DI2709" s="4">
        <f>INDEX(Sheet2!A:A,QUOTIENT(ROW()-1,19)+2)</f>
        <v>41535</v>
      </c>
      <c r="DJ2709" s="4">
        <f>INDEX(Sheet2!C:C,QUOTIENT(ROW()-1,19)+2)</f>
        <v>43100</v>
      </c>
      <c r="DK2709" s="4" t="e">
        <f>INDEX(Sheet2!$AA$2:$AS$228,QUOTIENT(ROW()-1,19)+1,MOD(ROW()-2,19)+1)</f>
        <v>#N/A</v>
      </c>
      <c r="DL2709" t="str">
        <f>IFERROR(INDEX(Sheet2!$AU$2:$BM$228,QUOTIENT(ROW()-1,19)+1,MOD(ROW()-2,19)+1),NA())</f>
        <v/>
      </c>
      <c r="DM2709" s="4" t="e">
        <f t="shared" si="147"/>
        <v>#N/A</v>
      </c>
      <c r="DN2709" t="e">
        <f t="shared" si="148"/>
        <v>#N/A</v>
      </c>
      <c r="DO2709" t="e">
        <f t="shared" si="149"/>
        <v>#N/A</v>
      </c>
    </row>
    <row r="2710" spans="7:119" x14ac:dyDescent="0.25">
      <c r="G2710"/>
      <c r="DI2710" s="4">
        <f>INDEX(Sheet2!A:A,QUOTIENT(ROW()-1,19)+2)</f>
        <v>41535</v>
      </c>
      <c r="DJ2710" s="4">
        <f>INDEX(Sheet2!C:C,QUOTIENT(ROW()-1,19)+2)</f>
        <v>43100</v>
      </c>
      <c r="DK2710" s="4" t="e">
        <f>INDEX(Sheet2!$AA$2:$AS$228,QUOTIENT(ROW()-1,19)+1,MOD(ROW()-2,19)+1)</f>
        <v>#N/A</v>
      </c>
      <c r="DL2710" t="str">
        <f>IFERROR(INDEX(Sheet2!$AU$2:$BM$228,QUOTIENT(ROW()-1,19)+1,MOD(ROW()-2,19)+1),NA())</f>
        <v/>
      </c>
      <c r="DM2710" s="4" t="e">
        <f t="shared" si="147"/>
        <v>#N/A</v>
      </c>
      <c r="DN2710" t="e">
        <f t="shared" si="148"/>
        <v>#N/A</v>
      </c>
      <c r="DO2710" t="e">
        <f t="shared" si="149"/>
        <v>#N/A</v>
      </c>
    </row>
    <row r="2711" spans="7:119" x14ac:dyDescent="0.25">
      <c r="G2711"/>
      <c r="DI2711" s="4">
        <f>INDEX(Sheet2!A:A,QUOTIENT(ROW()-1,19)+2)</f>
        <v>41535</v>
      </c>
      <c r="DJ2711" s="4">
        <f>INDEX(Sheet2!C:C,QUOTIENT(ROW()-1,19)+2)</f>
        <v>43100</v>
      </c>
      <c r="DK2711" s="4" t="e">
        <f>INDEX(Sheet2!$AA$2:$AS$228,QUOTIENT(ROW()-1,19)+1,MOD(ROW()-2,19)+1)</f>
        <v>#N/A</v>
      </c>
      <c r="DL2711" t="str">
        <f>IFERROR(INDEX(Sheet2!$AU$2:$BM$228,QUOTIENT(ROW()-1,19)+1,MOD(ROW()-2,19)+1),NA())</f>
        <v/>
      </c>
      <c r="DM2711" s="4" t="e">
        <f t="shared" si="147"/>
        <v>#N/A</v>
      </c>
      <c r="DN2711" t="e">
        <f t="shared" si="148"/>
        <v>#N/A</v>
      </c>
      <c r="DO2711" t="e">
        <f t="shared" si="149"/>
        <v>#N/A</v>
      </c>
    </row>
    <row r="2712" spans="7:119" x14ac:dyDescent="0.25">
      <c r="G2712"/>
      <c r="DI2712" s="4">
        <f>INDEX(Sheet2!A:A,QUOTIENT(ROW()-1,19)+2)</f>
        <v>41535</v>
      </c>
      <c r="DJ2712" s="4">
        <f>INDEX(Sheet2!C:C,QUOTIENT(ROW()-1,19)+2)</f>
        <v>43100</v>
      </c>
      <c r="DK2712" s="4" t="e">
        <f>INDEX(Sheet2!$AA$2:$AS$228,QUOTIENT(ROW()-1,19)+1,MOD(ROW()-2,19)+1)</f>
        <v>#N/A</v>
      </c>
      <c r="DL2712" t="str">
        <f>IFERROR(INDEX(Sheet2!$AU$2:$BM$228,QUOTIENT(ROW()-1,19)+1,MOD(ROW()-2,19)+1),NA())</f>
        <v/>
      </c>
      <c r="DM2712" s="4" t="e">
        <f t="shared" si="147"/>
        <v>#N/A</v>
      </c>
      <c r="DN2712" t="e">
        <f t="shared" si="148"/>
        <v>#N/A</v>
      </c>
      <c r="DO2712" t="e">
        <f t="shared" si="149"/>
        <v>#N/A</v>
      </c>
    </row>
    <row r="2713" spans="7:119" x14ac:dyDescent="0.25">
      <c r="G2713"/>
      <c r="DI2713" s="4">
        <f>INDEX(Sheet2!A:A,QUOTIENT(ROW()-1,19)+2)</f>
        <v>41535</v>
      </c>
      <c r="DJ2713" s="4">
        <f>INDEX(Sheet2!C:C,QUOTIENT(ROW()-1,19)+2)</f>
        <v>43100</v>
      </c>
      <c r="DK2713" s="4" t="e">
        <f>INDEX(Sheet2!$AA$2:$AS$228,QUOTIENT(ROW()-1,19)+1,MOD(ROW()-2,19)+1)</f>
        <v>#N/A</v>
      </c>
      <c r="DL2713" t="str">
        <f>IFERROR(INDEX(Sheet2!$AU$2:$BM$228,QUOTIENT(ROW()-1,19)+1,MOD(ROW()-2,19)+1),NA())</f>
        <v/>
      </c>
      <c r="DM2713" s="4" t="e">
        <f t="shared" si="147"/>
        <v>#N/A</v>
      </c>
      <c r="DN2713" t="e">
        <f t="shared" si="148"/>
        <v>#N/A</v>
      </c>
      <c r="DO2713" t="e">
        <f t="shared" si="149"/>
        <v>#N/A</v>
      </c>
    </row>
    <row r="2714" spans="7:119" x14ac:dyDescent="0.25">
      <c r="G2714"/>
      <c r="DI2714" s="4">
        <f>INDEX(Sheet2!A:A,QUOTIENT(ROW()-1,19)+2)</f>
        <v>41535</v>
      </c>
      <c r="DJ2714" s="4">
        <f>INDEX(Sheet2!C:C,QUOTIENT(ROW()-1,19)+2)</f>
        <v>43100</v>
      </c>
      <c r="DK2714" s="4" t="e">
        <f>INDEX(Sheet2!$AA$2:$AS$228,QUOTIENT(ROW()-1,19)+1,MOD(ROW()-2,19)+1)</f>
        <v>#N/A</v>
      </c>
      <c r="DL2714" t="str">
        <f>IFERROR(INDEX(Sheet2!$AU$2:$BM$228,QUOTIENT(ROW()-1,19)+1,MOD(ROW()-2,19)+1),NA())</f>
        <v/>
      </c>
      <c r="DM2714" s="4" t="e">
        <f t="shared" si="147"/>
        <v>#N/A</v>
      </c>
      <c r="DN2714" t="e">
        <f t="shared" si="148"/>
        <v>#N/A</v>
      </c>
      <c r="DO2714" t="e">
        <f t="shared" si="149"/>
        <v>#N/A</v>
      </c>
    </row>
    <row r="2715" spans="7:119" x14ac:dyDescent="0.25">
      <c r="G2715"/>
      <c r="DI2715" s="4">
        <f>INDEX(Sheet2!A:A,QUOTIENT(ROW()-1,19)+2)</f>
        <v>41535</v>
      </c>
      <c r="DJ2715" s="4">
        <f>INDEX(Sheet2!C:C,QUOTIENT(ROW()-1,19)+2)</f>
        <v>43100</v>
      </c>
      <c r="DK2715" s="4" t="e">
        <f>INDEX(Sheet2!$AA$2:$AS$228,QUOTIENT(ROW()-1,19)+1,MOD(ROW()-2,19)+1)</f>
        <v>#N/A</v>
      </c>
      <c r="DL2715" t="str">
        <f>IFERROR(INDEX(Sheet2!$AU$2:$BM$228,QUOTIENT(ROW()-1,19)+1,MOD(ROW()-2,19)+1),NA())</f>
        <v/>
      </c>
      <c r="DM2715" s="4" t="e">
        <f t="shared" si="147"/>
        <v>#N/A</v>
      </c>
      <c r="DN2715" t="e">
        <f t="shared" si="148"/>
        <v>#N/A</v>
      </c>
      <c r="DO2715" t="e">
        <f t="shared" si="149"/>
        <v>#N/A</v>
      </c>
    </row>
    <row r="2716" spans="7:119" x14ac:dyDescent="0.25">
      <c r="G2716"/>
      <c r="DI2716" s="4">
        <f>INDEX(Sheet2!A:A,QUOTIENT(ROW()-1,19)+2)</f>
        <v>41535</v>
      </c>
      <c r="DJ2716" s="4">
        <f>INDEX(Sheet2!C:C,QUOTIENT(ROW()-1,19)+2)</f>
        <v>43100</v>
      </c>
      <c r="DK2716" s="4" t="e">
        <f>INDEX(Sheet2!$AA$2:$AS$228,QUOTIENT(ROW()-1,19)+1,MOD(ROW()-2,19)+1)</f>
        <v>#N/A</v>
      </c>
      <c r="DL2716" t="str">
        <f>IFERROR(INDEX(Sheet2!$AU$2:$BM$228,QUOTIENT(ROW()-1,19)+1,MOD(ROW()-2,19)+1),NA())</f>
        <v/>
      </c>
      <c r="DM2716" s="4" t="e">
        <f t="shared" si="147"/>
        <v>#N/A</v>
      </c>
      <c r="DN2716" t="e">
        <f t="shared" si="148"/>
        <v>#N/A</v>
      </c>
      <c r="DO2716" t="e">
        <f t="shared" si="149"/>
        <v>#N/A</v>
      </c>
    </row>
    <row r="2717" spans="7:119" x14ac:dyDescent="0.25">
      <c r="G2717"/>
      <c r="DI2717" s="4">
        <f>INDEX(Sheet2!A:A,QUOTIENT(ROW()-1,19)+2)</f>
        <v>41535</v>
      </c>
      <c r="DJ2717" s="4">
        <f>INDEX(Sheet2!C:C,QUOTIENT(ROW()-1,19)+2)</f>
        <v>43100</v>
      </c>
      <c r="DK2717" s="4" t="e">
        <f>INDEX(Sheet2!$AA$2:$AS$228,QUOTIENT(ROW()-1,19)+1,MOD(ROW()-2,19)+1)</f>
        <v>#N/A</v>
      </c>
      <c r="DL2717" t="str">
        <f>IFERROR(INDEX(Sheet2!$AU$2:$BM$228,QUOTIENT(ROW()-1,19)+1,MOD(ROW()-2,19)+1),NA())</f>
        <v/>
      </c>
      <c r="DM2717" s="4" t="e">
        <f t="shared" si="147"/>
        <v>#N/A</v>
      </c>
      <c r="DN2717" t="e">
        <f t="shared" si="148"/>
        <v>#N/A</v>
      </c>
      <c r="DO2717" t="e">
        <f t="shared" si="149"/>
        <v>#N/A</v>
      </c>
    </row>
    <row r="2718" spans="7:119" x14ac:dyDescent="0.25">
      <c r="G2718"/>
      <c r="DI2718" s="4">
        <f>INDEX(Sheet2!A:A,QUOTIENT(ROW()-1,19)+2)</f>
        <v>41626</v>
      </c>
      <c r="DJ2718" s="4">
        <f>INDEX(Sheet2!C:C,QUOTIENT(ROW()-1,19)+2)</f>
        <v>41639</v>
      </c>
      <c r="DK2718" s="4" t="e">
        <f>INDEX(Sheet2!$AA$2:$AS$228,QUOTIENT(ROW()-1,19)+1,MOD(ROW()-2,19)+1)</f>
        <v>#N/A</v>
      </c>
      <c r="DL2718" t="str">
        <f>IFERROR(INDEX(Sheet2!$AU$2:$BM$228,QUOTIENT(ROW()-1,19)+1,MOD(ROW()-2,19)+1),NA())</f>
        <v/>
      </c>
      <c r="DM2718" s="4" t="e">
        <f t="shared" si="147"/>
        <v>#N/A</v>
      </c>
      <c r="DN2718" t="e">
        <f t="shared" si="148"/>
        <v>#N/A</v>
      </c>
      <c r="DO2718" t="e">
        <f t="shared" si="149"/>
        <v>#N/A</v>
      </c>
    </row>
    <row r="2719" spans="7:119" x14ac:dyDescent="0.25">
      <c r="G2719"/>
      <c r="DI2719" s="4">
        <f>INDEX(Sheet2!A:A,QUOTIENT(ROW()-1,19)+2)</f>
        <v>41626</v>
      </c>
      <c r="DJ2719" s="4">
        <f>INDEX(Sheet2!C:C,QUOTIENT(ROW()-1,19)+2)</f>
        <v>41639</v>
      </c>
      <c r="DK2719" s="4">
        <f>INDEX(Sheet2!$AA$2:$AS$228,QUOTIENT(ROW()-1,19)+1,MOD(ROW()-2,19)+1)</f>
        <v>41478.400000000001</v>
      </c>
      <c r="DL2719">
        <f>IFERROR(INDEX(Sheet2!$AU$2:$BM$228,QUOTIENT(ROW()-1,19)+1,MOD(ROW()-2,19)+1),NA())</f>
        <v>0.25</v>
      </c>
      <c r="DM2719" s="4" t="e">
        <f t="shared" si="147"/>
        <v>#N/A</v>
      </c>
      <c r="DN2719" t="e">
        <f t="shared" si="148"/>
        <v>#N/A</v>
      </c>
      <c r="DO2719" t="e">
        <f t="shared" si="149"/>
        <v>#N/A</v>
      </c>
    </row>
    <row r="2720" spans="7:119" x14ac:dyDescent="0.25">
      <c r="G2720"/>
      <c r="DI2720" s="4">
        <f>INDEX(Sheet2!A:A,QUOTIENT(ROW()-1,19)+2)</f>
        <v>41626</v>
      </c>
      <c r="DJ2720" s="4">
        <f>INDEX(Sheet2!C:C,QUOTIENT(ROW()-1,19)+2)</f>
        <v>41639</v>
      </c>
      <c r="DK2720" s="4">
        <f>INDEX(Sheet2!$AA$2:$AS$228,QUOTIENT(ROW()-1,19)+1,MOD(ROW()-2,19)+1)</f>
        <v>41498.475000000006</v>
      </c>
      <c r="DL2720">
        <f>IFERROR(INDEX(Sheet2!$AU$2:$BM$228,QUOTIENT(ROW()-1,19)+1,MOD(ROW()-2,19)+1),NA())</f>
        <v>0.25</v>
      </c>
      <c r="DM2720" s="4" t="e">
        <f t="shared" si="147"/>
        <v>#N/A</v>
      </c>
      <c r="DN2720" t="e">
        <f t="shared" si="148"/>
        <v>#N/A</v>
      </c>
      <c r="DO2720" t="e">
        <f t="shared" si="149"/>
        <v>#N/A</v>
      </c>
    </row>
    <row r="2721" spans="7:119" x14ac:dyDescent="0.25">
      <c r="G2721"/>
      <c r="DI2721" s="4">
        <f>INDEX(Sheet2!A:A,QUOTIENT(ROW()-1,19)+2)</f>
        <v>41626</v>
      </c>
      <c r="DJ2721" s="4">
        <f>INDEX(Sheet2!C:C,QUOTIENT(ROW()-1,19)+2)</f>
        <v>41639</v>
      </c>
      <c r="DK2721" s="4">
        <f>INDEX(Sheet2!$AA$2:$AS$228,QUOTIENT(ROW()-1,19)+1,MOD(ROW()-2,19)+1)</f>
        <v>41518.550000000003</v>
      </c>
      <c r="DL2721">
        <f>IFERROR(INDEX(Sheet2!$AU$2:$BM$228,QUOTIENT(ROW()-1,19)+1,MOD(ROW()-2,19)+1),NA())</f>
        <v>0.25</v>
      </c>
      <c r="DM2721" s="4" t="e">
        <f t="shared" si="147"/>
        <v>#N/A</v>
      </c>
      <c r="DN2721" t="e">
        <f t="shared" si="148"/>
        <v>#N/A</v>
      </c>
      <c r="DO2721" t="e">
        <f t="shared" si="149"/>
        <v>#N/A</v>
      </c>
    </row>
    <row r="2722" spans="7:119" x14ac:dyDescent="0.25">
      <c r="G2722"/>
      <c r="DI2722" s="4">
        <f>INDEX(Sheet2!A:A,QUOTIENT(ROW()-1,19)+2)</f>
        <v>41626</v>
      </c>
      <c r="DJ2722" s="4">
        <f>INDEX(Sheet2!C:C,QUOTIENT(ROW()-1,19)+2)</f>
        <v>41639</v>
      </c>
      <c r="DK2722" s="4">
        <f>INDEX(Sheet2!$AA$2:$AS$228,QUOTIENT(ROW()-1,19)+1,MOD(ROW()-2,19)+1)</f>
        <v>41538.625000000007</v>
      </c>
      <c r="DL2722">
        <f>IFERROR(INDEX(Sheet2!$AU$2:$BM$228,QUOTIENT(ROW()-1,19)+1,MOD(ROW()-2,19)+1),NA())</f>
        <v>0.25</v>
      </c>
      <c r="DM2722" s="4" t="e">
        <f t="shared" si="147"/>
        <v>#N/A</v>
      </c>
      <c r="DN2722" t="e">
        <f t="shared" si="148"/>
        <v>#N/A</v>
      </c>
      <c r="DO2722" t="e">
        <f t="shared" si="149"/>
        <v>#N/A</v>
      </c>
    </row>
    <row r="2723" spans="7:119" x14ac:dyDescent="0.25">
      <c r="G2723"/>
      <c r="DI2723" s="4">
        <f>INDEX(Sheet2!A:A,QUOTIENT(ROW()-1,19)+2)</f>
        <v>41626</v>
      </c>
      <c r="DJ2723" s="4">
        <f>INDEX(Sheet2!C:C,QUOTIENT(ROW()-1,19)+2)</f>
        <v>41639</v>
      </c>
      <c r="DK2723" s="4">
        <f>INDEX(Sheet2!$AA$2:$AS$228,QUOTIENT(ROW()-1,19)+1,MOD(ROW()-2,19)+1)</f>
        <v>41558.700000000004</v>
      </c>
      <c r="DL2723">
        <f>IFERROR(INDEX(Sheet2!$AU$2:$BM$228,QUOTIENT(ROW()-1,19)+1,MOD(ROW()-2,19)+1),NA())</f>
        <v>0.25</v>
      </c>
      <c r="DM2723" s="4" t="e">
        <f t="shared" si="147"/>
        <v>#N/A</v>
      </c>
      <c r="DN2723" t="e">
        <f t="shared" si="148"/>
        <v>#N/A</v>
      </c>
      <c r="DO2723" t="e">
        <f t="shared" si="149"/>
        <v>#N/A</v>
      </c>
    </row>
    <row r="2724" spans="7:119" x14ac:dyDescent="0.25">
      <c r="G2724"/>
      <c r="DI2724" s="4">
        <f>INDEX(Sheet2!A:A,QUOTIENT(ROW()-1,19)+2)</f>
        <v>41626</v>
      </c>
      <c r="DJ2724" s="4">
        <f>INDEX(Sheet2!C:C,QUOTIENT(ROW()-1,19)+2)</f>
        <v>41639</v>
      </c>
      <c r="DK2724" s="4">
        <f>INDEX(Sheet2!$AA$2:$AS$228,QUOTIENT(ROW()-1,19)+1,MOD(ROW()-2,19)+1)</f>
        <v>41578.775000000001</v>
      </c>
      <c r="DL2724">
        <f>IFERROR(INDEX(Sheet2!$AU$2:$BM$228,QUOTIENT(ROW()-1,19)+1,MOD(ROW()-2,19)+1),NA())</f>
        <v>0.25</v>
      </c>
      <c r="DM2724" s="4" t="e">
        <f t="shared" si="147"/>
        <v>#N/A</v>
      </c>
      <c r="DN2724" t="e">
        <f t="shared" si="148"/>
        <v>#N/A</v>
      </c>
      <c r="DO2724" t="e">
        <f t="shared" si="149"/>
        <v>#N/A</v>
      </c>
    </row>
    <row r="2725" spans="7:119" x14ac:dyDescent="0.25">
      <c r="G2725"/>
      <c r="DI2725" s="4">
        <f>INDEX(Sheet2!A:A,QUOTIENT(ROW()-1,19)+2)</f>
        <v>41626</v>
      </c>
      <c r="DJ2725" s="4">
        <f>INDEX(Sheet2!C:C,QUOTIENT(ROW()-1,19)+2)</f>
        <v>41639</v>
      </c>
      <c r="DK2725" s="4">
        <f>INDEX(Sheet2!$AA$2:$AS$228,QUOTIENT(ROW()-1,19)+1,MOD(ROW()-2,19)+1)</f>
        <v>41598.850000000006</v>
      </c>
      <c r="DL2725">
        <f>IFERROR(INDEX(Sheet2!$AU$2:$BM$228,QUOTIENT(ROW()-1,19)+1,MOD(ROW()-2,19)+1),NA())</f>
        <v>0.25</v>
      </c>
      <c r="DM2725" s="4" t="e">
        <f t="shared" si="147"/>
        <v>#N/A</v>
      </c>
      <c r="DN2725" t="e">
        <f t="shared" si="148"/>
        <v>#N/A</v>
      </c>
      <c r="DO2725" t="e">
        <f t="shared" si="149"/>
        <v>#N/A</v>
      </c>
    </row>
    <row r="2726" spans="7:119" x14ac:dyDescent="0.25">
      <c r="G2726"/>
      <c r="DI2726" s="4">
        <f>INDEX(Sheet2!A:A,QUOTIENT(ROW()-1,19)+2)</f>
        <v>41626</v>
      </c>
      <c r="DJ2726" s="4">
        <f>INDEX(Sheet2!C:C,QUOTIENT(ROW()-1,19)+2)</f>
        <v>41639</v>
      </c>
      <c r="DK2726" s="4">
        <f>INDEX(Sheet2!$AA$2:$AS$228,QUOTIENT(ROW()-1,19)+1,MOD(ROW()-2,19)+1)</f>
        <v>41618.925000000003</v>
      </c>
      <c r="DL2726">
        <f>IFERROR(INDEX(Sheet2!$AU$2:$BM$228,QUOTIENT(ROW()-1,19)+1,MOD(ROW()-2,19)+1),NA())</f>
        <v>0.25</v>
      </c>
      <c r="DM2726" s="4" t="e">
        <f t="shared" si="147"/>
        <v>#N/A</v>
      </c>
      <c r="DN2726" t="e">
        <f t="shared" si="148"/>
        <v>#N/A</v>
      </c>
      <c r="DO2726" t="e">
        <f t="shared" si="149"/>
        <v>#N/A</v>
      </c>
    </row>
    <row r="2727" spans="7:119" x14ac:dyDescent="0.25">
      <c r="G2727"/>
      <c r="DI2727" s="4">
        <f>INDEX(Sheet2!A:A,QUOTIENT(ROW()-1,19)+2)</f>
        <v>41626</v>
      </c>
      <c r="DJ2727" s="4">
        <f>INDEX(Sheet2!C:C,QUOTIENT(ROW()-1,19)+2)</f>
        <v>41639</v>
      </c>
      <c r="DK2727" s="4">
        <f>INDEX(Sheet2!$AA$2:$AS$228,QUOTIENT(ROW()-1,19)+1,MOD(ROW()-2,19)+1)</f>
        <v>41639.000000000007</v>
      </c>
      <c r="DL2727">
        <f>IFERROR(INDEX(Sheet2!$AU$2:$BM$228,QUOTIENT(ROW()-1,19)+1,MOD(ROW()-2,19)+1),NA())</f>
        <v>0.25</v>
      </c>
      <c r="DM2727" s="4" t="e">
        <f t="shared" si="147"/>
        <v>#N/A</v>
      </c>
      <c r="DN2727" t="e">
        <f t="shared" si="148"/>
        <v>#N/A</v>
      </c>
      <c r="DO2727" t="e">
        <f t="shared" si="149"/>
        <v>#N/A</v>
      </c>
    </row>
    <row r="2728" spans="7:119" x14ac:dyDescent="0.25">
      <c r="G2728"/>
      <c r="DI2728" s="4">
        <f>INDEX(Sheet2!A:A,QUOTIENT(ROW()-1,19)+2)</f>
        <v>41626</v>
      </c>
      <c r="DJ2728" s="4">
        <f>INDEX(Sheet2!C:C,QUOTIENT(ROW()-1,19)+2)</f>
        <v>41639</v>
      </c>
      <c r="DK2728" s="4">
        <f>INDEX(Sheet2!$AA$2:$AS$228,QUOTIENT(ROW()-1,19)+1,MOD(ROW()-2,19)+1)</f>
        <v>41659.075000000004</v>
      </c>
      <c r="DL2728">
        <f>IFERROR(INDEX(Sheet2!$AU$2:$BM$228,QUOTIENT(ROW()-1,19)+1,MOD(ROW()-2,19)+1),NA())</f>
        <v>0.25</v>
      </c>
      <c r="DM2728" s="4" t="e">
        <f t="shared" si="147"/>
        <v>#N/A</v>
      </c>
      <c r="DN2728" t="e">
        <f t="shared" si="148"/>
        <v>#N/A</v>
      </c>
      <c r="DO2728" t="e">
        <f t="shared" si="149"/>
        <v>#N/A</v>
      </c>
    </row>
    <row r="2729" spans="7:119" x14ac:dyDescent="0.25">
      <c r="G2729"/>
      <c r="DI2729" s="4">
        <f>INDEX(Sheet2!A:A,QUOTIENT(ROW()-1,19)+2)</f>
        <v>41626</v>
      </c>
      <c r="DJ2729" s="4">
        <f>INDEX(Sheet2!C:C,QUOTIENT(ROW()-1,19)+2)</f>
        <v>41639</v>
      </c>
      <c r="DK2729" s="4">
        <f>INDEX(Sheet2!$AA$2:$AS$228,QUOTIENT(ROW()-1,19)+1,MOD(ROW()-2,19)+1)</f>
        <v>41679.15</v>
      </c>
      <c r="DL2729">
        <f>IFERROR(INDEX(Sheet2!$AU$2:$BM$228,QUOTIENT(ROW()-1,19)+1,MOD(ROW()-2,19)+1),NA())</f>
        <v>0.25</v>
      </c>
      <c r="DM2729" s="4" t="e">
        <f t="shared" si="147"/>
        <v>#N/A</v>
      </c>
      <c r="DN2729" t="e">
        <f t="shared" si="148"/>
        <v>#N/A</v>
      </c>
      <c r="DO2729" t="e">
        <f t="shared" si="149"/>
        <v>#N/A</v>
      </c>
    </row>
    <row r="2730" spans="7:119" x14ac:dyDescent="0.25">
      <c r="G2730"/>
      <c r="DI2730" s="4">
        <f>INDEX(Sheet2!A:A,QUOTIENT(ROW()-1,19)+2)</f>
        <v>41626</v>
      </c>
      <c r="DJ2730" s="4">
        <f>INDEX(Sheet2!C:C,QUOTIENT(ROW()-1,19)+2)</f>
        <v>41639</v>
      </c>
      <c r="DK2730" s="4">
        <f>INDEX(Sheet2!$AA$2:$AS$228,QUOTIENT(ROW()-1,19)+1,MOD(ROW()-2,19)+1)</f>
        <v>41699.225000000006</v>
      </c>
      <c r="DL2730">
        <f>IFERROR(INDEX(Sheet2!$AU$2:$BM$228,QUOTIENT(ROW()-1,19)+1,MOD(ROW()-2,19)+1),NA())</f>
        <v>0.25</v>
      </c>
      <c r="DM2730" s="4" t="e">
        <f t="shared" si="147"/>
        <v>#N/A</v>
      </c>
      <c r="DN2730" t="e">
        <f t="shared" si="148"/>
        <v>#N/A</v>
      </c>
      <c r="DO2730" t="e">
        <f t="shared" si="149"/>
        <v>#N/A</v>
      </c>
    </row>
    <row r="2731" spans="7:119" x14ac:dyDescent="0.25">
      <c r="G2731"/>
      <c r="DI2731" s="4">
        <f>INDEX(Sheet2!A:A,QUOTIENT(ROW()-1,19)+2)</f>
        <v>41626</v>
      </c>
      <c r="DJ2731" s="4">
        <f>INDEX(Sheet2!C:C,QUOTIENT(ROW()-1,19)+2)</f>
        <v>41639</v>
      </c>
      <c r="DK2731" s="4">
        <f>INDEX(Sheet2!$AA$2:$AS$228,QUOTIENT(ROW()-1,19)+1,MOD(ROW()-2,19)+1)</f>
        <v>41719.300000000003</v>
      </c>
      <c r="DL2731">
        <f>IFERROR(INDEX(Sheet2!$AU$2:$BM$228,QUOTIENT(ROW()-1,19)+1,MOD(ROW()-2,19)+1),NA())</f>
        <v>0.25</v>
      </c>
      <c r="DM2731" s="4" t="e">
        <f t="shared" si="147"/>
        <v>#N/A</v>
      </c>
      <c r="DN2731" t="e">
        <f t="shared" si="148"/>
        <v>#N/A</v>
      </c>
      <c r="DO2731" t="e">
        <f t="shared" si="149"/>
        <v>#N/A</v>
      </c>
    </row>
    <row r="2732" spans="7:119" x14ac:dyDescent="0.25">
      <c r="G2732"/>
      <c r="DI2732" s="4">
        <f>INDEX(Sheet2!A:A,QUOTIENT(ROW()-1,19)+2)</f>
        <v>41626</v>
      </c>
      <c r="DJ2732" s="4">
        <f>INDEX(Sheet2!C:C,QUOTIENT(ROW()-1,19)+2)</f>
        <v>41639</v>
      </c>
      <c r="DK2732" s="4">
        <f>INDEX(Sheet2!$AA$2:$AS$228,QUOTIENT(ROW()-1,19)+1,MOD(ROW()-2,19)+1)</f>
        <v>41739.375000000007</v>
      </c>
      <c r="DL2732">
        <f>IFERROR(INDEX(Sheet2!$AU$2:$BM$228,QUOTIENT(ROW()-1,19)+1,MOD(ROW()-2,19)+1),NA())</f>
        <v>0.25</v>
      </c>
      <c r="DM2732" s="4" t="e">
        <f t="shared" si="147"/>
        <v>#N/A</v>
      </c>
      <c r="DN2732" t="e">
        <f t="shared" si="148"/>
        <v>#N/A</v>
      </c>
      <c r="DO2732" t="e">
        <f t="shared" si="149"/>
        <v>#N/A</v>
      </c>
    </row>
    <row r="2733" spans="7:119" x14ac:dyDescent="0.25">
      <c r="G2733"/>
      <c r="DI2733" s="4">
        <f>INDEX(Sheet2!A:A,QUOTIENT(ROW()-1,19)+2)</f>
        <v>41626</v>
      </c>
      <c r="DJ2733" s="4">
        <f>INDEX(Sheet2!C:C,QUOTIENT(ROW()-1,19)+2)</f>
        <v>41639</v>
      </c>
      <c r="DK2733" s="4">
        <f>INDEX(Sheet2!$AA$2:$AS$228,QUOTIENT(ROW()-1,19)+1,MOD(ROW()-2,19)+1)</f>
        <v>41759.450000000004</v>
      </c>
      <c r="DL2733">
        <f>IFERROR(INDEX(Sheet2!$AU$2:$BM$228,QUOTIENT(ROW()-1,19)+1,MOD(ROW()-2,19)+1),NA())</f>
        <v>0.25</v>
      </c>
      <c r="DM2733" s="4" t="e">
        <f t="shared" si="147"/>
        <v>#N/A</v>
      </c>
      <c r="DN2733" t="e">
        <f t="shared" si="148"/>
        <v>#N/A</v>
      </c>
      <c r="DO2733" t="e">
        <f t="shared" si="149"/>
        <v>#N/A</v>
      </c>
    </row>
    <row r="2734" spans="7:119" x14ac:dyDescent="0.25">
      <c r="G2734"/>
      <c r="DI2734" s="4">
        <f>INDEX(Sheet2!A:A,QUOTIENT(ROW()-1,19)+2)</f>
        <v>41626</v>
      </c>
      <c r="DJ2734" s="4">
        <f>INDEX(Sheet2!C:C,QUOTIENT(ROW()-1,19)+2)</f>
        <v>41639</v>
      </c>
      <c r="DK2734" s="4">
        <f>INDEX(Sheet2!$AA$2:$AS$228,QUOTIENT(ROW()-1,19)+1,MOD(ROW()-2,19)+1)</f>
        <v>41779.525000000001</v>
      </c>
      <c r="DL2734">
        <f>IFERROR(INDEX(Sheet2!$AU$2:$BM$228,QUOTIENT(ROW()-1,19)+1,MOD(ROW()-2,19)+1),NA())</f>
        <v>0.25</v>
      </c>
      <c r="DM2734" s="4" t="e">
        <f t="shared" si="147"/>
        <v>#N/A</v>
      </c>
      <c r="DN2734" t="e">
        <f t="shared" si="148"/>
        <v>#N/A</v>
      </c>
      <c r="DO2734" t="e">
        <f t="shared" si="149"/>
        <v>#N/A</v>
      </c>
    </row>
    <row r="2735" spans="7:119" x14ac:dyDescent="0.25">
      <c r="G2735"/>
      <c r="DI2735" s="4">
        <f>INDEX(Sheet2!A:A,QUOTIENT(ROW()-1,19)+2)</f>
        <v>41626</v>
      </c>
      <c r="DJ2735" s="4">
        <f>INDEX(Sheet2!C:C,QUOTIENT(ROW()-1,19)+2)</f>
        <v>41639</v>
      </c>
      <c r="DK2735" s="4">
        <f>INDEX(Sheet2!$AA$2:$AS$228,QUOTIENT(ROW()-1,19)+1,MOD(ROW()-2,19)+1)</f>
        <v>41799.600000000006</v>
      </c>
      <c r="DL2735">
        <f>IFERROR(INDEX(Sheet2!$AU$2:$BM$228,QUOTIENT(ROW()-1,19)+1,MOD(ROW()-2,19)+1),NA())</f>
        <v>0.25</v>
      </c>
      <c r="DM2735" s="4" t="e">
        <f t="shared" si="147"/>
        <v>#N/A</v>
      </c>
      <c r="DN2735" t="e">
        <f t="shared" si="148"/>
        <v>#N/A</v>
      </c>
      <c r="DO2735" t="e">
        <f t="shared" si="149"/>
        <v>#N/A</v>
      </c>
    </row>
    <row r="2736" spans="7:119" x14ac:dyDescent="0.25">
      <c r="G2736"/>
      <c r="DI2736" s="4">
        <f>INDEX(Sheet2!A:A,QUOTIENT(ROW()-1,19)+2)</f>
        <v>41626</v>
      </c>
      <c r="DJ2736" s="4">
        <f>INDEX(Sheet2!C:C,QUOTIENT(ROW()-1,19)+2)</f>
        <v>41639</v>
      </c>
      <c r="DK2736" s="4" t="e">
        <f>INDEX(Sheet2!$AA$2:$AS$228,QUOTIENT(ROW()-1,19)+1,MOD(ROW()-2,19)+1)</f>
        <v>#N/A</v>
      </c>
      <c r="DL2736" t="str">
        <f>IFERROR(INDEX(Sheet2!$AU$2:$BM$228,QUOTIENT(ROW()-1,19)+1,MOD(ROW()-2,19)+1),NA())</f>
        <v/>
      </c>
      <c r="DM2736" s="4" t="e">
        <f t="shared" si="147"/>
        <v>#N/A</v>
      </c>
      <c r="DN2736" t="e">
        <f t="shared" si="148"/>
        <v>#N/A</v>
      </c>
      <c r="DO2736" t="e">
        <f t="shared" si="149"/>
        <v>#N/A</v>
      </c>
    </row>
    <row r="2737" spans="7:119" x14ac:dyDescent="0.25">
      <c r="G2737"/>
      <c r="DI2737" s="4">
        <f>INDEX(Sheet2!A:A,QUOTIENT(ROW()-1,19)+2)</f>
        <v>41626</v>
      </c>
      <c r="DJ2737" s="4">
        <f>INDEX(Sheet2!C:C,QUOTIENT(ROW()-1,19)+2)</f>
        <v>42004</v>
      </c>
      <c r="DK2737" s="4" t="e">
        <f>INDEX(Sheet2!$AA$2:$AS$228,QUOTIENT(ROW()-1,19)+1,MOD(ROW()-2,19)+1)</f>
        <v>#N/A</v>
      </c>
      <c r="DL2737" t="str">
        <f>IFERROR(INDEX(Sheet2!$AU$2:$BM$228,QUOTIENT(ROW()-1,19)+1,MOD(ROW()-2,19)+1),NA())</f>
        <v/>
      </c>
      <c r="DM2737" s="4" t="e">
        <f t="shared" si="147"/>
        <v>#N/A</v>
      </c>
      <c r="DN2737" t="e">
        <f t="shared" si="148"/>
        <v>#N/A</v>
      </c>
      <c r="DO2737" t="e">
        <f t="shared" si="149"/>
        <v>#N/A</v>
      </c>
    </row>
    <row r="2738" spans="7:119" x14ac:dyDescent="0.25">
      <c r="G2738"/>
      <c r="DI2738" s="4">
        <f>INDEX(Sheet2!A:A,QUOTIENT(ROW()-1,19)+2)</f>
        <v>41626</v>
      </c>
      <c r="DJ2738" s="4">
        <f>INDEX(Sheet2!C:C,QUOTIENT(ROW()-1,19)+2)</f>
        <v>42004</v>
      </c>
      <c r="DK2738" s="4">
        <f>INDEX(Sheet2!$AA$2:$AS$228,QUOTIENT(ROW()-1,19)+1,MOD(ROW()-2,19)+1)</f>
        <v>41863.474999999999</v>
      </c>
      <c r="DL2738">
        <f>IFERROR(INDEX(Sheet2!$AU$2:$BM$228,QUOTIENT(ROW()-1,19)+1,MOD(ROW()-2,19)+1),NA())</f>
        <v>0.25</v>
      </c>
      <c r="DM2738" s="4" t="e">
        <f t="shared" si="147"/>
        <v>#N/A</v>
      </c>
      <c r="DN2738" t="e">
        <f t="shared" si="148"/>
        <v>#N/A</v>
      </c>
      <c r="DO2738" t="e">
        <f t="shared" si="149"/>
        <v>#N/A</v>
      </c>
    </row>
    <row r="2739" spans="7:119" x14ac:dyDescent="0.25">
      <c r="G2739"/>
      <c r="DI2739" s="4">
        <f>INDEX(Sheet2!A:A,QUOTIENT(ROW()-1,19)+2)</f>
        <v>41626</v>
      </c>
      <c r="DJ2739" s="4">
        <f>INDEX(Sheet2!C:C,QUOTIENT(ROW()-1,19)+2)</f>
        <v>42004</v>
      </c>
      <c r="DK2739" s="4">
        <f>INDEX(Sheet2!$AA$2:$AS$228,QUOTIENT(ROW()-1,19)+1,MOD(ROW()-2,19)+1)</f>
        <v>41883.550000000003</v>
      </c>
      <c r="DL2739">
        <f>IFERROR(INDEX(Sheet2!$AU$2:$BM$228,QUOTIENT(ROW()-1,19)+1,MOD(ROW()-2,19)+1),NA())</f>
        <v>0.25</v>
      </c>
      <c r="DM2739" s="4" t="e">
        <f t="shared" si="147"/>
        <v>#N/A</v>
      </c>
      <c r="DN2739" t="e">
        <f t="shared" si="148"/>
        <v>#N/A</v>
      </c>
      <c r="DO2739" t="e">
        <f t="shared" si="149"/>
        <v>#N/A</v>
      </c>
    </row>
    <row r="2740" spans="7:119" x14ac:dyDescent="0.25">
      <c r="G2740"/>
      <c r="DI2740" s="4">
        <f>INDEX(Sheet2!A:A,QUOTIENT(ROW()-1,19)+2)</f>
        <v>41626</v>
      </c>
      <c r="DJ2740" s="4">
        <f>INDEX(Sheet2!C:C,QUOTIENT(ROW()-1,19)+2)</f>
        <v>42004</v>
      </c>
      <c r="DK2740" s="4">
        <f>INDEX(Sheet2!$AA$2:$AS$228,QUOTIENT(ROW()-1,19)+1,MOD(ROW()-2,19)+1)</f>
        <v>41903.625</v>
      </c>
      <c r="DL2740">
        <f>IFERROR(INDEX(Sheet2!$AU$2:$BM$228,QUOTIENT(ROW()-1,19)+1,MOD(ROW()-2,19)+1),NA())</f>
        <v>0.25</v>
      </c>
      <c r="DM2740" s="4" t="e">
        <f t="shared" si="147"/>
        <v>#N/A</v>
      </c>
      <c r="DN2740" t="e">
        <f t="shared" si="148"/>
        <v>#N/A</v>
      </c>
      <c r="DO2740" t="e">
        <f t="shared" si="149"/>
        <v>#N/A</v>
      </c>
    </row>
    <row r="2741" spans="7:119" x14ac:dyDescent="0.25">
      <c r="G2741"/>
      <c r="DI2741" s="4">
        <f>INDEX(Sheet2!A:A,QUOTIENT(ROW()-1,19)+2)</f>
        <v>41626</v>
      </c>
      <c r="DJ2741" s="4">
        <f>INDEX(Sheet2!C:C,QUOTIENT(ROW()-1,19)+2)</f>
        <v>42004</v>
      </c>
      <c r="DK2741" s="4">
        <f>INDEX(Sheet2!$AA$2:$AS$228,QUOTIENT(ROW()-1,19)+1,MOD(ROW()-2,19)+1)</f>
        <v>41923.700000000004</v>
      </c>
      <c r="DL2741">
        <f>IFERROR(INDEX(Sheet2!$AU$2:$BM$228,QUOTIENT(ROW()-1,19)+1,MOD(ROW()-2,19)+1),NA())</f>
        <v>0.25</v>
      </c>
      <c r="DM2741" s="4" t="e">
        <f t="shared" si="147"/>
        <v>#N/A</v>
      </c>
      <c r="DN2741" t="e">
        <f t="shared" si="148"/>
        <v>#N/A</v>
      </c>
      <c r="DO2741" t="e">
        <f t="shared" si="149"/>
        <v>#N/A</v>
      </c>
    </row>
    <row r="2742" spans="7:119" x14ac:dyDescent="0.25">
      <c r="G2742"/>
      <c r="DI2742" s="4">
        <f>INDEX(Sheet2!A:A,QUOTIENT(ROW()-1,19)+2)</f>
        <v>41626</v>
      </c>
      <c r="DJ2742" s="4">
        <f>INDEX(Sheet2!C:C,QUOTIENT(ROW()-1,19)+2)</f>
        <v>42004</v>
      </c>
      <c r="DK2742" s="4">
        <f>INDEX(Sheet2!$AA$2:$AS$228,QUOTIENT(ROW()-1,19)+1,MOD(ROW()-2,19)+1)</f>
        <v>41943.775000000001</v>
      </c>
      <c r="DL2742">
        <f>IFERROR(INDEX(Sheet2!$AU$2:$BM$228,QUOTIENT(ROW()-1,19)+1,MOD(ROW()-2,19)+1),NA())</f>
        <v>0.25</v>
      </c>
      <c r="DM2742" s="4" t="e">
        <f t="shared" si="147"/>
        <v>#N/A</v>
      </c>
      <c r="DN2742" t="e">
        <f t="shared" si="148"/>
        <v>#N/A</v>
      </c>
      <c r="DO2742" t="e">
        <f t="shared" si="149"/>
        <v>#N/A</v>
      </c>
    </row>
    <row r="2743" spans="7:119" x14ac:dyDescent="0.25">
      <c r="G2743"/>
      <c r="DI2743" s="4">
        <f>INDEX(Sheet2!A:A,QUOTIENT(ROW()-1,19)+2)</f>
        <v>41626</v>
      </c>
      <c r="DJ2743" s="4">
        <f>INDEX(Sheet2!C:C,QUOTIENT(ROW()-1,19)+2)</f>
        <v>42004</v>
      </c>
      <c r="DK2743" s="4">
        <f>INDEX(Sheet2!$AA$2:$AS$228,QUOTIENT(ROW()-1,19)+1,MOD(ROW()-2,19)+1)</f>
        <v>41963.85</v>
      </c>
      <c r="DL2743">
        <f>IFERROR(INDEX(Sheet2!$AU$2:$BM$228,QUOTIENT(ROW()-1,19)+1,MOD(ROW()-2,19)+1),NA())</f>
        <v>0.25</v>
      </c>
      <c r="DM2743" s="4" t="e">
        <f t="shared" si="147"/>
        <v>#N/A</v>
      </c>
      <c r="DN2743" t="e">
        <f t="shared" si="148"/>
        <v>#N/A</v>
      </c>
      <c r="DO2743" t="e">
        <f t="shared" si="149"/>
        <v>#N/A</v>
      </c>
    </row>
    <row r="2744" spans="7:119" x14ac:dyDescent="0.25">
      <c r="G2744"/>
      <c r="DI2744" s="4">
        <f>INDEX(Sheet2!A:A,QUOTIENT(ROW()-1,19)+2)</f>
        <v>41626</v>
      </c>
      <c r="DJ2744" s="4">
        <f>INDEX(Sheet2!C:C,QUOTIENT(ROW()-1,19)+2)</f>
        <v>42004</v>
      </c>
      <c r="DK2744" s="4">
        <f>INDEX(Sheet2!$AA$2:$AS$228,QUOTIENT(ROW()-1,19)+1,MOD(ROW()-2,19)+1)</f>
        <v>41983.925000000003</v>
      </c>
      <c r="DL2744">
        <f>IFERROR(INDEX(Sheet2!$AU$2:$BM$228,QUOTIENT(ROW()-1,19)+1,MOD(ROW()-2,19)+1),NA())</f>
        <v>0.25</v>
      </c>
      <c r="DM2744" s="4" t="e">
        <f t="shared" si="147"/>
        <v>#N/A</v>
      </c>
      <c r="DN2744" t="e">
        <f t="shared" si="148"/>
        <v>#N/A</v>
      </c>
      <c r="DO2744" t="e">
        <f t="shared" si="149"/>
        <v>#N/A</v>
      </c>
    </row>
    <row r="2745" spans="7:119" x14ac:dyDescent="0.25">
      <c r="G2745"/>
      <c r="DI2745" s="4">
        <f>INDEX(Sheet2!A:A,QUOTIENT(ROW()-1,19)+2)</f>
        <v>41626</v>
      </c>
      <c r="DJ2745" s="4">
        <f>INDEX(Sheet2!C:C,QUOTIENT(ROW()-1,19)+2)</f>
        <v>42004</v>
      </c>
      <c r="DK2745" s="4">
        <f>INDEX(Sheet2!$AA$2:$AS$228,QUOTIENT(ROW()-1,19)+1,MOD(ROW()-2,19)+1)</f>
        <v>42004</v>
      </c>
      <c r="DL2745">
        <f>IFERROR(INDEX(Sheet2!$AU$2:$BM$228,QUOTIENT(ROW()-1,19)+1,MOD(ROW()-2,19)+1),NA())</f>
        <v>0.25</v>
      </c>
      <c r="DM2745" s="4" t="e">
        <f t="shared" si="147"/>
        <v>#N/A</v>
      </c>
      <c r="DN2745" t="e">
        <f t="shared" si="148"/>
        <v>#N/A</v>
      </c>
      <c r="DO2745" t="e">
        <f t="shared" si="149"/>
        <v>#N/A</v>
      </c>
    </row>
    <row r="2746" spans="7:119" x14ac:dyDescent="0.25">
      <c r="G2746"/>
      <c r="DI2746" s="4">
        <f>INDEX(Sheet2!A:A,QUOTIENT(ROW()-1,19)+2)</f>
        <v>41626</v>
      </c>
      <c r="DJ2746" s="4">
        <f>INDEX(Sheet2!C:C,QUOTIENT(ROW()-1,19)+2)</f>
        <v>42004</v>
      </c>
      <c r="DK2746" s="4">
        <f>INDEX(Sheet2!$AA$2:$AS$228,QUOTIENT(ROW()-1,19)+1,MOD(ROW()-2,19)+1)</f>
        <v>42024.075000000004</v>
      </c>
      <c r="DL2746">
        <f>IFERROR(INDEX(Sheet2!$AU$2:$BM$228,QUOTIENT(ROW()-1,19)+1,MOD(ROW()-2,19)+1),NA())</f>
        <v>0.25</v>
      </c>
      <c r="DM2746" s="4" t="e">
        <f t="shared" si="147"/>
        <v>#N/A</v>
      </c>
      <c r="DN2746" t="e">
        <f t="shared" si="148"/>
        <v>#N/A</v>
      </c>
      <c r="DO2746" t="e">
        <f t="shared" si="149"/>
        <v>#N/A</v>
      </c>
    </row>
    <row r="2747" spans="7:119" x14ac:dyDescent="0.25">
      <c r="G2747"/>
      <c r="DI2747" s="4">
        <f>INDEX(Sheet2!A:A,QUOTIENT(ROW()-1,19)+2)</f>
        <v>41626</v>
      </c>
      <c r="DJ2747" s="4">
        <f>INDEX(Sheet2!C:C,QUOTIENT(ROW()-1,19)+2)</f>
        <v>42004</v>
      </c>
      <c r="DK2747" s="4">
        <f>INDEX(Sheet2!$AA$2:$AS$228,QUOTIENT(ROW()-1,19)+1,MOD(ROW()-2,19)+1)</f>
        <v>42044.15</v>
      </c>
      <c r="DL2747">
        <f>IFERROR(INDEX(Sheet2!$AU$2:$BM$228,QUOTIENT(ROW()-1,19)+1,MOD(ROW()-2,19)+1),NA())</f>
        <v>0.25</v>
      </c>
      <c r="DM2747" s="4" t="e">
        <f t="shared" si="147"/>
        <v>#N/A</v>
      </c>
      <c r="DN2747" t="e">
        <f t="shared" si="148"/>
        <v>#N/A</v>
      </c>
      <c r="DO2747" t="e">
        <f t="shared" si="149"/>
        <v>#N/A</v>
      </c>
    </row>
    <row r="2748" spans="7:119" x14ac:dyDescent="0.25">
      <c r="G2748"/>
      <c r="DI2748" s="4">
        <f>INDEX(Sheet2!A:A,QUOTIENT(ROW()-1,19)+2)</f>
        <v>41626</v>
      </c>
      <c r="DJ2748" s="4">
        <f>INDEX(Sheet2!C:C,QUOTIENT(ROW()-1,19)+2)</f>
        <v>42004</v>
      </c>
      <c r="DK2748" s="4">
        <f>INDEX(Sheet2!$AA$2:$AS$228,QUOTIENT(ROW()-1,19)+1,MOD(ROW()-2,19)+1)</f>
        <v>42064.224999999999</v>
      </c>
      <c r="DL2748">
        <f>IFERROR(INDEX(Sheet2!$AU$2:$BM$228,QUOTIENT(ROW()-1,19)+1,MOD(ROW()-2,19)+1),NA())</f>
        <v>0.25</v>
      </c>
      <c r="DM2748" s="4" t="e">
        <f t="shared" si="147"/>
        <v>#N/A</v>
      </c>
      <c r="DN2748" t="e">
        <f t="shared" si="148"/>
        <v>#N/A</v>
      </c>
      <c r="DO2748" t="e">
        <f t="shared" si="149"/>
        <v>#N/A</v>
      </c>
    </row>
    <row r="2749" spans="7:119" x14ac:dyDescent="0.25">
      <c r="G2749"/>
      <c r="DI2749" s="4">
        <f>INDEX(Sheet2!A:A,QUOTIENT(ROW()-1,19)+2)</f>
        <v>41626</v>
      </c>
      <c r="DJ2749" s="4">
        <f>INDEX(Sheet2!C:C,QUOTIENT(ROW()-1,19)+2)</f>
        <v>42004</v>
      </c>
      <c r="DK2749" s="4">
        <f>INDEX(Sheet2!$AA$2:$AS$228,QUOTIENT(ROW()-1,19)+1,MOD(ROW()-2,19)+1)</f>
        <v>42084.3</v>
      </c>
      <c r="DL2749">
        <f>IFERROR(INDEX(Sheet2!$AU$2:$BM$228,QUOTIENT(ROW()-1,19)+1,MOD(ROW()-2,19)+1),NA())</f>
        <v>0.25</v>
      </c>
      <c r="DM2749" s="4" t="e">
        <f t="shared" si="147"/>
        <v>#N/A</v>
      </c>
      <c r="DN2749" t="e">
        <f t="shared" si="148"/>
        <v>#N/A</v>
      </c>
      <c r="DO2749" t="e">
        <f t="shared" si="149"/>
        <v>#N/A</v>
      </c>
    </row>
    <row r="2750" spans="7:119" x14ac:dyDescent="0.25">
      <c r="G2750"/>
      <c r="DI2750" s="4">
        <f>INDEX(Sheet2!A:A,QUOTIENT(ROW()-1,19)+2)</f>
        <v>41626</v>
      </c>
      <c r="DJ2750" s="4">
        <f>INDEX(Sheet2!C:C,QUOTIENT(ROW()-1,19)+2)</f>
        <v>42004</v>
      </c>
      <c r="DK2750" s="4">
        <f>INDEX(Sheet2!$AA$2:$AS$228,QUOTIENT(ROW()-1,19)+1,MOD(ROW()-2,19)+1)</f>
        <v>42104.375</v>
      </c>
      <c r="DL2750">
        <f>IFERROR(INDEX(Sheet2!$AU$2:$BM$228,QUOTIENT(ROW()-1,19)+1,MOD(ROW()-2,19)+1),NA())</f>
        <v>0.25</v>
      </c>
      <c r="DM2750" s="4" t="e">
        <f t="shared" si="147"/>
        <v>#N/A</v>
      </c>
      <c r="DN2750" t="e">
        <f t="shared" si="148"/>
        <v>#N/A</v>
      </c>
      <c r="DO2750" t="e">
        <f t="shared" si="149"/>
        <v>#N/A</v>
      </c>
    </row>
    <row r="2751" spans="7:119" x14ac:dyDescent="0.25">
      <c r="G2751"/>
      <c r="DI2751" s="4">
        <f>INDEX(Sheet2!A:A,QUOTIENT(ROW()-1,19)+2)</f>
        <v>41626</v>
      </c>
      <c r="DJ2751" s="4">
        <f>INDEX(Sheet2!C:C,QUOTIENT(ROW()-1,19)+2)</f>
        <v>42004</v>
      </c>
      <c r="DK2751" s="4">
        <f>INDEX(Sheet2!$AA$2:$AS$228,QUOTIENT(ROW()-1,19)+1,MOD(ROW()-2,19)+1)</f>
        <v>42124.450000000004</v>
      </c>
      <c r="DL2751">
        <f>IFERROR(INDEX(Sheet2!$AU$2:$BM$228,QUOTIENT(ROW()-1,19)+1,MOD(ROW()-2,19)+1),NA())</f>
        <v>0.25</v>
      </c>
      <c r="DM2751" s="4" t="e">
        <f t="shared" si="147"/>
        <v>#N/A</v>
      </c>
      <c r="DN2751" t="e">
        <f t="shared" si="148"/>
        <v>#N/A</v>
      </c>
      <c r="DO2751" t="e">
        <f t="shared" si="149"/>
        <v>#N/A</v>
      </c>
    </row>
    <row r="2752" spans="7:119" x14ac:dyDescent="0.25">
      <c r="G2752"/>
      <c r="DI2752" s="4">
        <f>INDEX(Sheet2!A:A,QUOTIENT(ROW()-1,19)+2)</f>
        <v>41626</v>
      </c>
      <c r="DJ2752" s="4">
        <f>INDEX(Sheet2!C:C,QUOTIENT(ROW()-1,19)+2)</f>
        <v>42004</v>
      </c>
      <c r="DK2752" s="4">
        <f>INDEX(Sheet2!$AA$2:$AS$228,QUOTIENT(ROW()-1,19)+1,MOD(ROW()-2,19)+1)</f>
        <v>42144.525000000001</v>
      </c>
      <c r="DL2752">
        <f>IFERROR(INDEX(Sheet2!$AU$2:$BM$228,QUOTIENT(ROW()-1,19)+1,MOD(ROW()-2,19)+1),NA())</f>
        <v>0.25</v>
      </c>
      <c r="DM2752" s="4" t="e">
        <f t="shared" si="147"/>
        <v>#N/A</v>
      </c>
      <c r="DN2752" t="e">
        <f t="shared" si="148"/>
        <v>#N/A</v>
      </c>
      <c r="DO2752" t="e">
        <f t="shared" si="149"/>
        <v>#N/A</v>
      </c>
    </row>
    <row r="2753" spans="7:119" x14ac:dyDescent="0.25">
      <c r="G2753"/>
      <c r="DI2753" s="4">
        <f>INDEX(Sheet2!A:A,QUOTIENT(ROW()-1,19)+2)</f>
        <v>41626</v>
      </c>
      <c r="DJ2753" s="4">
        <f>INDEX(Sheet2!C:C,QUOTIENT(ROW()-1,19)+2)</f>
        <v>42004</v>
      </c>
      <c r="DK2753" s="4" t="e">
        <f>INDEX(Sheet2!$AA$2:$AS$228,QUOTIENT(ROW()-1,19)+1,MOD(ROW()-2,19)+1)</f>
        <v>#N/A</v>
      </c>
      <c r="DL2753" t="str">
        <f>IFERROR(INDEX(Sheet2!$AU$2:$BM$228,QUOTIENT(ROW()-1,19)+1,MOD(ROW()-2,19)+1),NA())</f>
        <v/>
      </c>
      <c r="DM2753" s="4" t="e">
        <f t="shared" si="147"/>
        <v>#N/A</v>
      </c>
      <c r="DN2753" t="e">
        <f t="shared" si="148"/>
        <v>#N/A</v>
      </c>
      <c r="DO2753" t="e">
        <f t="shared" si="149"/>
        <v>#N/A</v>
      </c>
    </row>
    <row r="2754" spans="7:119" x14ac:dyDescent="0.25">
      <c r="G2754"/>
      <c r="DI2754" s="4">
        <f>INDEX(Sheet2!A:A,QUOTIENT(ROW()-1,19)+2)</f>
        <v>41626</v>
      </c>
      <c r="DJ2754" s="4">
        <f>INDEX(Sheet2!C:C,QUOTIENT(ROW()-1,19)+2)</f>
        <v>42004</v>
      </c>
      <c r="DK2754" s="4" t="e">
        <f>INDEX(Sheet2!$AA$2:$AS$228,QUOTIENT(ROW()-1,19)+1,MOD(ROW()-2,19)+1)</f>
        <v>#N/A</v>
      </c>
      <c r="DL2754" t="str">
        <f>IFERROR(INDEX(Sheet2!$AU$2:$BM$228,QUOTIENT(ROW()-1,19)+1,MOD(ROW()-2,19)+1),NA())</f>
        <v/>
      </c>
      <c r="DM2754" s="4" t="e">
        <f t="shared" ref="DM2754:DM2817" si="150">+IF($C$2=$DI2754,DK2754,NA())</f>
        <v>#N/A</v>
      </c>
      <c r="DN2754" t="e">
        <f t="shared" ref="DN2754:DN2817" si="151">+IF($C$2=$DI2754,DL2754,NA())</f>
        <v>#N/A</v>
      </c>
      <c r="DO2754" t="e">
        <f t="shared" si="149"/>
        <v>#N/A</v>
      </c>
    </row>
    <row r="2755" spans="7:119" x14ac:dyDescent="0.25">
      <c r="G2755"/>
      <c r="DI2755" s="4">
        <f>INDEX(Sheet2!A:A,QUOTIENT(ROW()-1,19)+2)</f>
        <v>41626</v>
      </c>
      <c r="DJ2755" s="4">
        <f>INDEX(Sheet2!C:C,QUOTIENT(ROW()-1,19)+2)</f>
        <v>42004</v>
      </c>
      <c r="DK2755" s="4" t="e">
        <f>INDEX(Sheet2!$AA$2:$AS$228,QUOTIENT(ROW()-1,19)+1,MOD(ROW()-2,19)+1)</f>
        <v>#N/A</v>
      </c>
      <c r="DL2755" t="str">
        <f>IFERROR(INDEX(Sheet2!$AU$2:$BM$228,QUOTIENT(ROW()-1,19)+1,MOD(ROW()-2,19)+1),NA())</f>
        <v/>
      </c>
      <c r="DM2755" s="4" t="e">
        <f t="shared" si="150"/>
        <v>#N/A</v>
      </c>
      <c r="DN2755" t="e">
        <f t="shared" si="151"/>
        <v>#N/A</v>
      </c>
      <c r="DO2755" t="e">
        <f t="shared" ref="DO2755:DO2818" si="152">IF(DN2755="",NA(),DN2755)</f>
        <v>#N/A</v>
      </c>
    </row>
    <row r="2756" spans="7:119" x14ac:dyDescent="0.25">
      <c r="G2756"/>
      <c r="DI2756" s="4">
        <f>INDEX(Sheet2!A:A,QUOTIENT(ROW()-1,19)+2)</f>
        <v>41626</v>
      </c>
      <c r="DJ2756" s="4">
        <f>INDEX(Sheet2!C:C,QUOTIENT(ROW()-1,19)+2)</f>
        <v>42004</v>
      </c>
      <c r="DK2756" s="4" t="e">
        <f>INDEX(Sheet2!$AA$2:$AS$228,QUOTIENT(ROW()-1,19)+1,MOD(ROW()-2,19)+1)</f>
        <v>#N/A</v>
      </c>
      <c r="DL2756" t="str">
        <f>IFERROR(INDEX(Sheet2!$AU$2:$BM$228,QUOTIENT(ROW()-1,19)+1,MOD(ROW()-2,19)+1),NA())</f>
        <v/>
      </c>
      <c r="DM2756" s="4" t="e">
        <f t="shared" si="150"/>
        <v>#N/A</v>
      </c>
      <c r="DN2756" t="e">
        <f t="shared" si="151"/>
        <v>#N/A</v>
      </c>
      <c r="DO2756" t="e">
        <f t="shared" si="152"/>
        <v>#N/A</v>
      </c>
    </row>
    <row r="2757" spans="7:119" x14ac:dyDescent="0.25">
      <c r="G2757"/>
      <c r="DI2757" s="4">
        <f>INDEX(Sheet2!A:A,QUOTIENT(ROW()-1,19)+2)</f>
        <v>41626</v>
      </c>
      <c r="DJ2757" s="4">
        <f>INDEX(Sheet2!C:C,QUOTIENT(ROW()-1,19)+2)</f>
        <v>42004</v>
      </c>
      <c r="DK2757" s="4">
        <f>INDEX(Sheet2!$AA$2:$AS$228,QUOTIENT(ROW()-1,19)+1,MOD(ROW()-2,19)+1)</f>
        <v>42004</v>
      </c>
      <c r="DL2757">
        <f>IFERROR(INDEX(Sheet2!$AU$2:$BM$228,QUOTIENT(ROW()-1,19)+1,MOD(ROW()-2,19)+1),NA())</f>
        <v>0.75</v>
      </c>
      <c r="DM2757" s="4" t="e">
        <f t="shared" si="150"/>
        <v>#N/A</v>
      </c>
      <c r="DN2757" t="e">
        <f t="shared" si="151"/>
        <v>#N/A</v>
      </c>
      <c r="DO2757" t="e">
        <f t="shared" si="152"/>
        <v>#N/A</v>
      </c>
    </row>
    <row r="2758" spans="7:119" x14ac:dyDescent="0.25">
      <c r="G2758"/>
      <c r="DI2758" s="4">
        <f>INDEX(Sheet2!A:A,QUOTIENT(ROW()-1,19)+2)</f>
        <v>41626</v>
      </c>
      <c r="DJ2758" s="4">
        <f>INDEX(Sheet2!C:C,QUOTIENT(ROW()-1,19)+2)</f>
        <v>42004</v>
      </c>
      <c r="DK2758" s="4" t="e">
        <f>INDEX(Sheet2!$AA$2:$AS$228,QUOTIENT(ROW()-1,19)+1,MOD(ROW()-2,19)+1)</f>
        <v>#N/A</v>
      </c>
      <c r="DL2758" t="str">
        <f>IFERROR(INDEX(Sheet2!$AU$2:$BM$228,QUOTIENT(ROW()-1,19)+1,MOD(ROW()-2,19)+1),NA())</f>
        <v/>
      </c>
      <c r="DM2758" s="4" t="e">
        <f t="shared" si="150"/>
        <v>#N/A</v>
      </c>
      <c r="DN2758" t="e">
        <f t="shared" si="151"/>
        <v>#N/A</v>
      </c>
      <c r="DO2758" t="e">
        <f t="shared" si="152"/>
        <v>#N/A</v>
      </c>
    </row>
    <row r="2759" spans="7:119" x14ac:dyDescent="0.25">
      <c r="G2759"/>
      <c r="DI2759" s="4">
        <f>INDEX(Sheet2!A:A,QUOTIENT(ROW()-1,19)+2)</f>
        <v>41626</v>
      </c>
      <c r="DJ2759" s="4">
        <f>INDEX(Sheet2!C:C,QUOTIENT(ROW()-1,19)+2)</f>
        <v>42004</v>
      </c>
      <c r="DK2759" s="4" t="e">
        <f>INDEX(Sheet2!$AA$2:$AS$228,QUOTIENT(ROW()-1,19)+1,MOD(ROW()-2,19)+1)</f>
        <v>#N/A</v>
      </c>
      <c r="DL2759" t="str">
        <f>IFERROR(INDEX(Sheet2!$AU$2:$BM$228,QUOTIENT(ROW()-1,19)+1,MOD(ROW()-2,19)+1),NA())</f>
        <v/>
      </c>
      <c r="DM2759" s="4" t="e">
        <f t="shared" si="150"/>
        <v>#N/A</v>
      </c>
      <c r="DN2759" t="e">
        <f t="shared" si="151"/>
        <v>#N/A</v>
      </c>
      <c r="DO2759" t="e">
        <f t="shared" si="152"/>
        <v>#N/A</v>
      </c>
    </row>
    <row r="2760" spans="7:119" x14ac:dyDescent="0.25">
      <c r="G2760"/>
      <c r="DI2760" s="4">
        <f>INDEX(Sheet2!A:A,QUOTIENT(ROW()-1,19)+2)</f>
        <v>41626</v>
      </c>
      <c r="DJ2760" s="4">
        <f>INDEX(Sheet2!C:C,QUOTIENT(ROW()-1,19)+2)</f>
        <v>42004</v>
      </c>
      <c r="DK2760" s="4" t="e">
        <f>INDEX(Sheet2!$AA$2:$AS$228,QUOTIENT(ROW()-1,19)+1,MOD(ROW()-2,19)+1)</f>
        <v>#N/A</v>
      </c>
      <c r="DL2760" t="str">
        <f>IFERROR(INDEX(Sheet2!$AU$2:$BM$228,QUOTIENT(ROW()-1,19)+1,MOD(ROW()-2,19)+1),NA())</f>
        <v/>
      </c>
      <c r="DM2760" s="4" t="e">
        <f t="shared" si="150"/>
        <v>#N/A</v>
      </c>
      <c r="DN2760" t="e">
        <f t="shared" si="151"/>
        <v>#N/A</v>
      </c>
      <c r="DO2760" t="e">
        <f t="shared" si="152"/>
        <v>#N/A</v>
      </c>
    </row>
    <row r="2761" spans="7:119" x14ac:dyDescent="0.25">
      <c r="G2761"/>
      <c r="DI2761" s="4">
        <f>INDEX(Sheet2!A:A,QUOTIENT(ROW()-1,19)+2)</f>
        <v>41626</v>
      </c>
      <c r="DJ2761" s="4">
        <f>INDEX(Sheet2!C:C,QUOTIENT(ROW()-1,19)+2)</f>
        <v>42004</v>
      </c>
      <c r="DK2761" s="4" t="e">
        <f>INDEX(Sheet2!$AA$2:$AS$228,QUOTIENT(ROW()-1,19)+1,MOD(ROW()-2,19)+1)</f>
        <v>#N/A</v>
      </c>
      <c r="DL2761" t="str">
        <f>IFERROR(INDEX(Sheet2!$AU$2:$BM$228,QUOTIENT(ROW()-1,19)+1,MOD(ROW()-2,19)+1),NA())</f>
        <v/>
      </c>
      <c r="DM2761" s="4" t="e">
        <f t="shared" si="150"/>
        <v>#N/A</v>
      </c>
      <c r="DN2761" t="e">
        <f t="shared" si="151"/>
        <v>#N/A</v>
      </c>
      <c r="DO2761" t="e">
        <f t="shared" si="152"/>
        <v>#N/A</v>
      </c>
    </row>
    <row r="2762" spans="7:119" x14ac:dyDescent="0.25">
      <c r="G2762"/>
      <c r="DI2762" s="4">
        <f>INDEX(Sheet2!A:A,QUOTIENT(ROW()-1,19)+2)</f>
        <v>41626</v>
      </c>
      <c r="DJ2762" s="4">
        <f>INDEX(Sheet2!C:C,QUOTIENT(ROW()-1,19)+2)</f>
        <v>42004</v>
      </c>
      <c r="DK2762" s="4" t="e">
        <f>INDEX(Sheet2!$AA$2:$AS$228,QUOTIENT(ROW()-1,19)+1,MOD(ROW()-2,19)+1)</f>
        <v>#N/A</v>
      </c>
      <c r="DL2762" t="str">
        <f>IFERROR(INDEX(Sheet2!$AU$2:$BM$228,QUOTIENT(ROW()-1,19)+1,MOD(ROW()-2,19)+1),NA())</f>
        <v/>
      </c>
      <c r="DM2762" s="4" t="e">
        <f t="shared" si="150"/>
        <v>#N/A</v>
      </c>
      <c r="DN2762" t="e">
        <f t="shared" si="151"/>
        <v>#N/A</v>
      </c>
      <c r="DO2762" t="e">
        <f t="shared" si="152"/>
        <v>#N/A</v>
      </c>
    </row>
    <row r="2763" spans="7:119" x14ac:dyDescent="0.25">
      <c r="G2763"/>
      <c r="DI2763" s="4">
        <f>INDEX(Sheet2!A:A,QUOTIENT(ROW()-1,19)+2)</f>
        <v>41626</v>
      </c>
      <c r="DJ2763" s="4">
        <f>INDEX(Sheet2!C:C,QUOTIENT(ROW()-1,19)+2)</f>
        <v>42004</v>
      </c>
      <c r="DK2763" s="4" t="e">
        <f>INDEX(Sheet2!$AA$2:$AS$228,QUOTIENT(ROW()-1,19)+1,MOD(ROW()-2,19)+1)</f>
        <v>#N/A</v>
      </c>
      <c r="DL2763" t="str">
        <f>IFERROR(INDEX(Sheet2!$AU$2:$BM$228,QUOTIENT(ROW()-1,19)+1,MOD(ROW()-2,19)+1),NA())</f>
        <v/>
      </c>
      <c r="DM2763" s="4" t="e">
        <f t="shared" si="150"/>
        <v>#N/A</v>
      </c>
      <c r="DN2763" t="e">
        <f t="shared" si="151"/>
        <v>#N/A</v>
      </c>
      <c r="DO2763" t="e">
        <f t="shared" si="152"/>
        <v>#N/A</v>
      </c>
    </row>
    <row r="2764" spans="7:119" x14ac:dyDescent="0.25">
      <c r="G2764"/>
      <c r="DI2764" s="4">
        <f>INDEX(Sheet2!A:A,QUOTIENT(ROW()-1,19)+2)</f>
        <v>41626</v>
      </c>
      <c r="DJ2764" s="4">
        <f>INDEX(Sheet2!C:C,QUOTIENT(ROW()-1,19)+2)</f>
        <v>42004</v>
      </c>
      <c r="DK2764" s="4" t="e">
        <f>INDEX(Sheet2!$AA$2:$AS$228,QUOTIENT(ROW()-1,19)+1,MOD(ROW()-2,19)+1)</f>
        <v>#N/A</v>
      </c>
      <c r="DL2764" t="str">
        <f>IFERROR(INDEX(Sheet2!$AU$2:$BM$228,QUOTIENT(ROW()-1,19)+1,MOD(ROW()-2,19)+1),NA())</f>
        <v/>
      </c>
      <c r="DM2764" s="4" t="e">
        <f t="shared" si="150"/>
        <v>#N/A</v>
      </c>
      <c r="DN2764" t="e">
        <f t="shared" si="151"/>
        <v>#N/A</v>
      </c>
      <c r="DO2764" t="e">
        <f t="shared" si="152"/>
        <v>#N/A</v>
      </c>
    </row>
    <row r="2765" spans="7:119" x14ac:dyDescent="0.25">
      <c r="G2765"/>
      <c r="DI2765" s="4">
        <f>INDEX(Sheet2!A:A,QUOTIENT(ROW()-1,19)+2)</f>
        <v>41626</v>
      </c>
      <c r="DJ2765" s="4">
        <f>INDEX(Sheet2!C:C,QUOTIENT(ROW()-1,19)+2)</f>
        <v>42004</v>
      </c>
      <c r="DK2765" s="4" t="e">
        <f>INDEX(Sheet2!$AA$2:$AS$228,QUOTIENT(ROW()-1,19)+1,MOD(ROW()-2,19)+1)</f>
        <v>#N/A</v>
      </c>
      <c r="DL2765" t="str">
        <f>IFERROR(INDEX(Sheet2!$AU$2:$BM$228,QUOTIENT(ROW()-1,19)+1,MOD(ROW()-2,19)+1),NA())</f>
        <v/>
      </c>
      <c r="DM2765" s="4" t="e">
        <f t="shared" si="150"/>
        <v>#N/A</v>
      </c>
      <c r="DN2765" t="e">
        <f t="shared" si="151"/>
        <v>#N/A</v>
      </c>
      <c r="DO2765" t="e">
        <f t="shared" si="152"/>
        <v>#N/A</v>
      </c>
    </row>
    <row r="2766" spans="7:119" x14ac:dyDescent="0.25">
      <c r="G2766"/>
      <c r="DI2766" s="4">
        <f>INDEX(Sheet2!A:A,QUOTIENT(ROW()-1,19)+2)</f>
        <v>41626</v>
      </c>
      <c r="DJ2766" s="4">
        <f>INDEX(Sheet2!C:C,QUOTIENT(ROW()-1,19)+2)</f>
        <v>42004</v>
      </c>
      <c r="DK2766" s="4" t="e">
        <f>INDEX(Sheet2!$AA$2:$AS$228,QUOTIENT(ROW()-1,19)+1,MOD(ROW()-2,19)+1)</f>
        <v>#N/A</v>
      </c>
      <c r="DL2766" t="str">
        <f>IFERROR(INDEX(Sheet2!$AU$2:$BM$228,QUOTIENT(ROW()-1,19)+1,MOD(ROW()-2,19)+1),NA())</f>
        <v/>
      </c>
      <c r="DM2766" s="4" t="e">
        <f t="shared" si="150"/>
        <v>#N/A</v>
      </c>
      <c r="DN2766" t="e">
        <f t="shared" si="151"/>
        <v>#N/A</v>
      </c>
      <c r="DO2766" t="e">
        <f t="shared" si="152"/>
        <v>#N/A</v>
      </c>
    </row>
    <row r="2767" spans="7:119" x14ac:dyDescent="0.25">
      <c r="G2767"/>
      <c r="DI2767" s="4">
        <f>INDEX(Sheet2!A:A,QUOTIENT(ROW()-1,19)+2)</f>
        <v>41626</v>
      </c>
      <c r="DJ2767" s="4">
        <f>INDEX(Sheet2!C:C,QUOTIENT(ROW()-1,19)+2)</f>
        <v>42004</v>
      </c>
      <c r="DK2767" s="4" t="e">
        <f>INDEX(Sheet2!$AA$2:$AS$228,QUOTIENT(ROW()-1,19)+1,MOD(ROW()-2,19)+1)</f>
        <v>#N/A</v>
      </c>
      <c r="DL2767" t="str">
        <f>IFERROR(INDEX(Sheet2!$AU$2:$BM$228,QUOTIENT(ROW()-1,19)+1,MOD(ROW()-2,19)+1),NA())</f>
        <v/>
      </c>
      <c r="DM2767" s="4" t="e">
        <f t="shared" si="150"/>
        <v>#N/A</v>
      </c>
      <c r="DN2767" t="e">
        <f t="shared" si="151"/>
        <v>#N/A</v>
      </c>
      <c r="DO2767" t="e">
        <f t="shared" si="152"/>
        <v>#N/A</v>
      </c>
    </row>
    <row r="2768" spans="7:119" x14ac:dyDescent="0.25">
      <c r="G2768"/>
      <c r="DI2768" s="4">
        <f>INDEX(Sheet2!A:A,QUOTIENT(ROW()-1,19)+2)</f>
        <v>41626</v>
      </c>
      <c r="DJ2768" s="4">
        <f>INDEX(Sheet2!C:C,QUOTIENT(ROW()-1,19)+2)</f>
        <v>42004</v>
      </c>
      <c r="DK2768" s="4" t="e">
        <f>INDEX(Sheet2!$AA$2:$AS$228,QUOTIENT(ROW()-1,19)+1,MOD(ROW()-2,19)+1)</f>
        <v>#N/A</v>
      </c>
      <c r="DL2768" t="str">
        <f>IFERROR(INDEX(Sheet2!$AU$2:$BM$228,QUOTIENT(ROW()-1,19)+1,MOD(ROW()-2,19)+1),NA())</f>
        <v/>
      </c>
      <c r="DM2768" s="4" t="e">
        <f t="shared" si="150"/>
        <v>#N/A</v>
      </c>
      <c r="DN2768" t="e">
        <f t="shared" si="151"/>
        <v>#N/A</v>
      </c>
      <c r="DO2768" t="e">
        <f t="shared" si="152"/>
        <v>#N/A</v>
      </c>
    </row>
    <row r="2769" spans="7:119" x14ac:dyDescent="0.25">
      <c r="G2769"/>
      <c r="DI2769" s="4">
        <f>INDEX(Sheet2!A:A,QUOTIENT(ROW()-1,19)+2)</f>
        <v>41626</v>
      </c>
      <c r="DJ2769" s="4">
        <f>INDEX(Sheet2!C:C,QUOTIENT(ROW()-1,19)+2)</f>
        <v>42004</v>
      </c>
      <c r="DK2769" s="4" t="e">
        <f>INDEX(Sheet2!$AA$2:$AS$228,QUOTIENT(ROW()-1,19)+1,MOD(ROW()-2,19)+1)</f>
        <v>#N/A</v>
      </c>
      <c r="DL2769" t="str">
        <f>IFERROR(INDEX(Sheet2!$AU$2:$BM$228,QUOTIENT(ROW()-1,19)+1,MOD(ROW()-2,19)+1),NA())</f>
        <v/>
      </c>
      <c r="DM2769" s="4" t="e">
        <f t="shared" si="150"/>
        <v>#N/A</v>
      </c>
      <c r="DN2769" t="e">
        <f t="shared" si="151"/>
        <v>#N/A</v>
      </c>
      <c r="DO2769" t="e">
        <f t="shared" si="152"/>
        <v>#N/A</v>
      </c>
    </row>
    <row r="2770" spans="7:119" x14ac:dyDescent="0.25">
      <c r="G2770"/>
      <c r="DI2770" s="4">
        <f>INDEX(Sheet2!A:A,QUOTIENT(ROW()-1,19)+2)</f>
        <v>41626</v>
      </c>
      <c r="DJ2770" s="4">
        <f>INDEX(Sheet2!C:C,QUOTIENT(ROW()-1,19)+2)</f>
        <v>42004</v>
      </c>
      <c r="DK2770" s="4" t="e">
        <f>INDEX(Sheet2!$AA$2:$AS$228,QUOTIENT(ROW()-1,19)+1,MOD(ROW()-2,19)+1)</f>
        <v>#N/A</v>
      </c>
      <c r="DL2770" t="str">
        <f>IFERROR(INDEX(Sheet2!$AU$2:$BM$228,QUOTIENT(ROW()-1,19)+1,MOD(ROW()-2,19)+1),NA())</f>
        <v/>
      </c>
      <c r="DM2770" s="4" t="e">
        <f t="shared" si="150"/>
        <v>#N/A</v>
      </c>
      <c r="DN2770" t="e">
        <f t="shared" si="151"/>
        <v>#N/A</v>
      </c>
      <c r="DO2770" t="e">
        <f t="shared" si="152"/>
        <v>#N/A</v>
      </c>
    </row>
    <row r="2771" spans="7:119" x14ac:dyDescent="0.25">
      <c r="G2771"/>
      <c r="DI2771" s="4">
        <f>INDEX(Sheet2!A:A,QUOTIENT(ROW()-1,19)+2)</f>
        <v>41626</v>
      </c>
      <c r="DJ2771" s="4">
        <f>INDEX(Sheet2!C:C,QUOTIENT(ROW()-1,19)+2)</f>
        <v>42004</v>
      </c>
      <c r="DK2771" s="4" t="e">
        <f>INDEX(Sheet2!$AA$2:$AS$228,QUOTIENT(ROW()-1,19)+1,MOD(ROW()-2,19)+1)</f>
        <v>#N/A</v>
      </c>
      <c r="DL2771" t="str">
        <f>IFERROR(INDEX(Sheet2!$AU$2:$BM$228,QUOTIENT(ROW()-1,19)+1,MOD(ROW()-2,19)+1),NA())</f>
        <v/>
      </c>
      <c r="DM2771" s="4" t="e">
        <f t="shared" si="150"/>
        <v>#N/A</v>
      </c>
      <c r="DN2771" t="e">
        <f t="shared" si="151"/>
        <v>#N/A</v>
      </c>
      <c r="DO2771" t="e">
        <f t="shared" si="152"/>
        <v>#N/A</v>
      </c>
    </row>
    <row r="2772" spans="7:119" x14ac:dyDescent="0.25">
      <c r="G2772"/>
      <c r="DI2772" s="4">
        <f>INDEX(Sheet2!A:A,QUOTIENT(ROW()-1,19)+2)</f>
        <v>41626</v>
      </c>
      <c r="DJ2772" s="4">
        <f>INDEX(Sheet2!C:C,QUOTIENT(ROW()-1,19)+2)</f>
        <v>42004</v>
      </c>
      <c r="DK2772" s="4" t="e">
        <f>INDEX(Sheet2!$AA$2:$AS$228,QUOTIENT(ROW()-1,19)+1,MOD(ROW()-2,19)+1)</f>
        <v>#N/A</v>
      </c>
      <c r="DL2772" t="str">
        <f>IFERROR(INDEX(Sheet2!$AU$2:$BM$228,QUOTIENT(ROW()-1,19)+1,MOD(ROW()-2,19)+1),NA())</f>
        <v/>
      </c>
      <c r="DM2772" s="4" t="e">
        <f t="shared" si="150"/>
        <v>#N/A</v>
      </c>
      <c r="DN2772" t="e">
        <f t="shared" si="151"/>
        <v>#N/A</v>
      </c>
      <c r="DO2772" t="e">
        <f t="shared" si="152"/>
        <v>#N/A</v>
      </c>
    </row>
    <row r="2773" spans="7:119" x14ac:dyDescent="0.25">
      <c r="G2773"/>
      <c r="DI2773" s="4">
        <f>INDEX(Sheet2!A:A,QUOTIENT(ROW()-1,19)+2)</f>
        <v>41626</v>
      </c>
      <c r="DJ2773" s="4">
        <f>INDEX(Sheet2!C:C,QUOTIENT(ROW()-1,19)+2)</f>
        <v>42004</v>
      </c>
      <c r="DK2773" s="4" t="e">
        <f>INDEX(Sheet2!$AA$2:$AS$228,QUOTIENT(ROW()-1,19)+1,MOD(ROW()-2,19)+1)</f>
        <v>#N/A</v>
      </c>
      <c r="DL2773" t="str">
        <f>IFERROR(INDEX(Sheet2!$AU$2:$BM$228,QUOTIENT(ROW()-1,19)+1,MOD(ROW()-2,19)+1),NA())</f>
        <v/>
      </c>
      <c r="DM2773" s="4" t="e">
        <f t="shared" si="150"/>
        <v>#N/A</v>
      </c>
      <c r="DN2773" t="e">
        <f t="shared" si="151"/>
        <v>#N/A</v>
      </c>
      <c r="DO2773" t="e">
        <f t="shared" si="152"/>
        <v>#N/A</v>
      </c>
    </row>
    <row r="2774" spans="7:119" x14ac:dyDescent="0.25">
      <c r="G2774"/>
      <c r="DI2774" s="4">
        <f>INDEX(Sheet2!A:A,QUOTIENT(ROW()-1,19)+2)</f>
        <v>41626</v>
      </c>
      <c r="DJ2774" s="4">
        <f>INDEX(Sheet2!C:C,QUOTIENT(ROW()-1,19)+2)</f>
        <v>42004</v>
      </c>
      <c r="DK2774" s="4" t="e">
        <f>INDEX(Sheet2!$AA$2:$AS$228,QUOTIENT(ROW()-1,19)+1,MOD(ROW()-2,19)+1)</f>
        <v>#N/A</v>
      </c>
      <c r="DL2774" t="str">
        <f>IFERROR(INDEX(Sheet2!$AU$2:$BM$228,QUOTIENT(ROW()-1,19)+1,MOD(ROW()-2,19)+1),NA())</f>
        <v/>
      </c>
      <c r="DM2774" s="4" t="e">
        <f t="shared" si="150"/>
        <v>#N/A</v>
      </c>
      <c r="DN2774" t="e">
        <f t="shared" si="151"/>
        <v>#N/A</v>
      </c>
      <c r="DO2774" t="e">
        <f t="shared" si="152"/>
        <v>#N/A</v>
      </c>
    </row>
    <row r="2775" spans="7:119" x14ac:dyDescent="0.25">
      <c r="G2775"/>
      <c r="DI2775" s="4">
        <f>INDEX(Sheet2!A:A,QUOTIENT(ROW()-1,19)+2)</f>
        <v>41626</v>
      </c>
      <c r="DJ2775" s="4">
        <f>INDEX(Sheet2!C:C,QUOTIENT(ROW()-1,19)+2)</f>
        <v>42004</v>
      </c>
      <c r="DK2775" s="4" t="e">
        <f>INDEX(Sheet2!$AA$2:$AS$228,QUOTIENT(ROW()-1,19)+1,MOD(ROW()-2,19)+1)</f>
        <v>#N/A</v>
      </c>
      <c r="DL2775" t="str">
        <f>IFERROR(INDEX(Sheet2!$AU$2:$BM$228,QUOTIENT(ROW()-1,19)+1,MOD(ROW()-2,19)+1),NA())</f>
        <v/>
      </c>
      <c r="DM2775" s="4" t="e">
        <f t="shared" si="150"/>
        <v>#N/A</v>
      </c>
      <c r="DN2775" t="e">
        <f t="shared" si="151"/>
        <v>#N/A</v>
      </c>
      <c r="DO2775" t="e">
        <f t="shared" si="152"/>
        <v>#N/A</v>
      </c>
    </row>
    <row r="2776" spans="7:119" x14ac:dyDescent="0.25">
      <c r="G2776"/>
      <c r="DI2776" s="4">
        <f>INDEX(Sheet2!A:A,QUOTIENT(ROW()-1,19)+2)</f>
        <v>41626</v>
      </c>
      <c r="DJ2776" s="4">
        <f>INDEX(Sheet2!C:C,QUOTIENT(ROW()-1,19)+2)</f>
        <v>42004</v>
      </c>
      <c r="DK2776" s="4">
        <f>INDEX(Sheet2!$AA$2:$AS$228,QUOTIENT(ROW()-1,19)+1,MOD(ROW()-2,19)+1)</f>
        <v>42004</v>
      </c>
      <c r="DL2776">
        <f>IFERROR(INDEX(Sheet2!$AU$2:$BM$228,QUOTIENT(ROW()-1,19)+1,MOD(ROW()-2,19)+1),NA())</f>
        <v>1.25</v>
      </c>
      <c r="DM2776" s="4" t="e">
        <f t="shared" si="150"/>
        <v>#N/A</v>
      </c>
      <c r="DN2776" t="e">
        <f t="shared" si="151"/>
        <v>#N/A</v>
      </c>
      <c r="DO2776" t="e">
        <f t="shared" si="152"/>
        <v>#N/A</v>
      </c>
    </row>
    <row r="2777" spans="7:119" x14ac:dyDescent="0.25">
      <c r="G2777"/>
      <c r="DI2777" s="4">
        <f>INDEX(Sheet2!A:A,QUOTIENT(ROW()-1,19)+2)</f>
        <v>41626</v>
      </c>
      <c r="DJ2777" s="4">
        <f>INDEX(Sheet2!C:C,QUOTIENT(ROW()-1,19)+2)</f>
        <v>42004</v>
      </c>
      <c r="DK2777" s="4" t="e">
        <f>INDEX(Sheet2!$AA$2:$AS$228,QUOTIENT(ROW()-1,19)+1,MOD(ROW()-2,19)+1)</f>
        <v>#N/A</v>
      </c>
      <c r="DL2777" t="str">
        <f>IFERROR(INDEX(Sheet2!$AU$2:$BM$228,QUOTIENT(ROW()-1,19)+1,MOD(ROW()-2,19)+1),NA())</f>
        <v/>
      </c>
      <c r="DM2777" s="4" t="e">
        <f t="shared" si="150"/>
        <v>#N/A</v>
      </c>
      <c r="DN2777" t="e">
        <f t="shared" si="151"/>
        <v>#N/A</v>
      </c>
      <c r="DO2777" t="e">
        <f t="shared" si="152"/>
        <v>#N/A</v>
      </c>
    </row>
    <row r="2778" spans="7:119" x14ac:dyDescent="0.25">
      <c r="G2778"/>
      <c r="DI2778" s="4">
        <f>INDEX(Sheet2!A:A,QUOTIENT(ROW()-1,19)+2)</f>
        <v>41626</v>
      </c>
      <c r="DJ2778" s="4">
        <f>INDEX(Sheet2!C:C,QUOTIENT(ROW()-1,19)+2)</f>
        <v>42004</v>
      </c>
      <c r="DK2778" s="4" t="e">
        <f>INDEX(Sheet2!$AA$2:$AS$228,QUOTIENT(ROW()-1,19)+1,MOD(ROW()-2,19)+1)</f>
        <v>#N/A</v>
      </c>
      <c r="DL2778" t="str">
        <f>IFERROR(INDEX(Sheet2!$AU$2:$BM$228,QUOTIENT(ROW()-1,19)+1,MOD(ROW()-2,19)+1),NA())</f>
        <v/>
      </c>
      <c r="DM2778" s="4" t="e">
        <f t="shared" si="150"/>
        <v>#N/A</v>
      </c>
      <c r="DN2778" t="e">
        <f t="shared" si="151"/>
        <v>#N/A</v>
      </c>
      <c r="DO2778" t="e">
        <f t="shared" si="152"/>
        <v>#N/A</v>
      </c>
    </row>
    <row r="2779" spans="7:119" x14ac:dyDescent="0.25">
      <c r="G2779"/>
      <c r="DI2779" s="4">
        <f>INDEX(Sheet2!A:A,QUOTIENT(ROW()-1,19)+2)</f>
        <v>41626</v>
      </c>
      <c r="DJ2779" s="4">
        <f>INDEX(Sheet2!C:C,QUOTIENT(ROW()-1,19)+2)</f>
        <v>42004</v>
      </c>
      <c r="DK2779" s="4" t="e">
        <f>INDEX(Sheet2!$AA$2:$AS$228,QUOTIENT(ROW()-1,19)+1,MOD(ROW()-2,19)+1)</f>
        <v>#N/A</v>
      </c>
      <c r="DL2779" t="str">
        <f>IFERROR(INDEX(Sheet2!$AU$2:$BM$228,QUOTIENT(ROW()-1,19)+1,MOD(ROW()-2,19)+1),NA())</f>
        <v/>
      </c>
      <c r="DM2779" s="4" t="e">
        <f t="shared" si="150"/>
        <v>#N/A</v>
      </c>
      <c r="DN2779" t="e">
        <f t="shared" si="151"/>
        <v>#N/A</v>
      </c>
      <c r="DO2779" t="e">
        <f t="shared" si="152"/>
        <v>#N/A</v>
      </c>
    </row>
    <row r="2780" spans="7:119" x14ac:dyDescent="0.25">
      <c r="G2780"/>
      <c r="DI2780" s="4">
        <f>INDEX(Sheet2!A:A,QUOTIENT(ROW()-1,19)+2)</f>
        <v>41626</v>
      </c>
      <c r="DJ2780" s="4">
        <f>INDEX(Sheet2!C:C,QUOTIENT(ROW()-1,19)+2)</f>
        <v>42004</v>
      </c>
      <c r="DK2780" s="4" t="e">
        <f>INDEX(Sheet2!$AA$2:$AS$228,QUOTIENT(ROW()-1,19)+1,MOD(ROW()-2,19)+1)</f>
        <v>#N/A</v>
      </c>
      <c r="DL2780" t="str">
        <f>IFERROR(INDEX(Sheet2!$AU$2:$BM$228,QUOTIENT(ROW()-1,19)+1,MOD(ROW()-2,19)+1),NA())</f>
        <v/>
      </c>
      <c r="DM2780" s="4" t="e">
        <f t="shared" si="150"/>
        <v>#N/A</v>
      </c>
      <c r="DN2780" t="e">
        <f t="shared" si="151"/>
        <v>#N/A</v>
      </c>
      <c r="DO2780" t="e">
        <f t="shared" si="152"/>
        <v>#N/A</v>
      </c>
    </row>
    <row r="2781" spans="7:119" x14ac:dyDescent="0.25">
      <c r="G2781"/>
      <c r="DI2781" s="4">
        <f>INDEX(Sheet2!A:A,QUOTIENT(ROW()-1,19)+2)</f>
        <v>41626</v>
      </c>
      <c r="DJ2781" s="4">
        <f>INDEX(Sheet2!C:C,QUOTIENT(ROW()-1,19)+2)</f>
        <v>42004</v>
      </c>
      <c r="DK2781" s="4" t="e">
        <f>INDEX(Sheet2!$AA$2:$AS$228,QUOTIENT(ROW()-1,19)+1,MOD(ROW()-2,19)+1)</f>
        <v>#N/A</v>
      </c>
      <c r="DL2781" t="str">
        <f>IFERROR(INDEX(Sheet2!$AU$2:$BM$228,QUOTIENT(ROW()-1,19)+1,MOD(ROW()-2,19)+1),NA())</f>
        <v/>
      </c>
      <c r="DM2781" s="4" t="e">
        <f t="shared" si="150"/>
        <v>#N/A</v>
      </c>
      <c r="DN2781" t="e">
        <f t="shared" si="151"/>
        <v>#N/A</v>
      </c>
      <c r="DO2781" t="e">
        <f t="shared" si="152"/>
        <v>#N/A</v>
      </c>
    </row>
    <row r="2782" spans="7:119" x14ac:dyDescent="0.25">
      <c r="G2782"/>
      <c r="DI2782" s="4">
        <f>INDEX(Sheet2!A:A,QUOTIENT(ROW()-1,19)+2)</f>
        <v>41626</v>
      </c>
      <c r="DJ2782" s="4">
        <f>INDEX(Sheet2!C:C,QUOTIENT(ROW()-1,19)+2)</f>
        <v>42004</v>
      </c>
      <c r="DK2782" s="4" t="e">
        <f>INDEX(Sheet2!$AA$2:$AS$228,QUOTIENT(ROW()-1,19)+1,MOD(ROW()-2,19)+1)</f>
        <v>#N/A</v>
      </c>
      <c r="DL2782" t="str">
        <f>IFERROR(INDEX(Sheet2!$AU$2:$BM$228,QUOTIENT(ROW()-1,19)+1,MOD(ROW()-2,19)+1),NA())</f>
        <v/>
      </c>
      <c r="DM2782" s="4" t="e">
        <f t="shared" si="150"/>
        <v>#N/A</v>
      </c>
      <c r="DN2782" t="e">
        <f t="shared" si="151"/>
        <v>#N/A</v>
      </c>
      <c r="DO2782" t="e">
        <f t="shared" si="152"/>
        <v>#N/A</v>
      </c>
    </row>
    <row r="2783" spans="7:119" x14ac:dyDescent="0.25">
      <c r="G2783"/>
      <c r="DI2783" s="4">
        <f>INDEX(Sheet2!A:A,QUOTIENT(ROW()-1,19)+2)</f>
        <v>41626</v>
      </c>
      <c r="DJ2783" s="4">
        <f>INDEX(Sheet2!C:C,QUOTIENT(ROW()-1,19)+2)</f>
        <v>42004</v>
      </c>
      <c r="DK2783" s="4" t="e">
        <f>INDEX(Sheet2!$AA$2:$AS$228,QUOTIENT(ROW()-1,19)+1,MOD(ROW()-2,19)+1)</f>
        <v>#N/A</v>
      </c>
      <c r="DL2783" t="str">
        <f>IFERROR(INDEX(Sheet2!$AU$2:$BM$228,QUOTIENT(ROW()-1,19)+1,MOD(ROW()-2,19)+1),NA())</f>
        <v/>
      </c>
      <c r="DM2783" s="4" t="e">
        <f t="shared" si="150"/>
        <v>#N/A</v>
      </c>
      <c r="DN2783" t="e">
        <f t="shared" si="151"/>
        <v>#N/A</v>
      </c>
      <c r="DO2783" t="e">
        <f t="shared" si="152"/>
        <v>#N/A</v>
      </c>
    </row>
    <row r="2784" spans="7:119" x14ac:dyDescent="0.25">
      <c r="G2784"/>
      <c r="DI2784" s="4">
        <f>INDEX(Sheet2!A:A,QUOTIENT(ROW()-1,19)+2)</f>
        <v>41626</v>
      </c>
      <c r="DJ2784" s="4">
        <f>INDEX(Sheet2!C:C,QUOTIENT(ROW()-1,19)+2)</f>
        <v>42004</v>
      </c>
      <c r="DK2784" s="4" t="e">
        <f>INDEX(Sheet2!$AA$2:$AS$228,QUOTIENT(ROW()-1,19)+1,MOD(ROW()-2,19)+1)</f>
        <v>#N/A</v>
      </c>
      <c r="DL2784" t="str">
        <f>IFERROR(INDEX(Sheet2!$AU$2:$BM$228,QUOTIENT(ROW()-1,19)+1,MOD(ROW()-2,19)+1),NA())</f>
        <v/>
      </c>
      <c r="DM2784" s="4" t="e">
        <f t="shared" si="150"/>
        <v>#N/A</v>
      </c>
      <c r="DN2784" t="e">
        <f t="shared" si="151"/>
        <v>#N/A</v>
      </c>
      <c r="DO2784" t="e">
        <f t="shared" si="152"/>
        <v>#N/A</v>
      </c>
    </row>
    <row r="2785" spans="7:119" x14ac:dyDescent="0.25">
      <c r="G2785"/>
      <c r="DI2785" s="4">
        <f>INDEX(Sheet2!A:A,QUOTIENT(ROW()-1,19)+2)</f>
        <v>41626</v>
      </c>
      <c r="DJ2785" s="4">
        <f>INDEX(Sheet2!C:C,QUOTIENT(ROW()-1,19)+2)</f>
        <v>42004</v>
      </c>
      <c r="DK2785" s="4" t="e">
        <f>INDEX(Sheet2!$AA$2:$AS$228,QUOTIENT(ROW()-1,19)+1,MOD(ROW()-2,19)+1)</f>
        <v>#N/A</v>
      </c>
      <c r="DL2785" t="str">
        <f>IFERROR(INDEX(Sheet2!$AU$2:$BM$228,QUOTIENT(ROW()-1,19)+1,MOD(ROW()-2,19)+1),NA())</f>
        <v/>
      </c>
      <c r="DM2785" s="4" t="e">
        <f t="shared" si="150"/>
        <v>#N/A</v>
      </c>
      <c r="DN2785" t="e">
        <f t="shared" si="151"/>
        <v>#N/A</v>
      </c>
      <c r="DO2785" t="e">
        <f t="shared" si="152"/>
        <v>#N/A</v>
      </c>
    </row>
    <row r="2786" spans="7:119" x14ac:dyDescent="0.25">
      <c r="G2786"/>
      <c r="DI2786" s="4">
        <f>INDEX(Sheet2!A:A,QUOTIENT(ROW()-1,19)+2)</f>
        <v>41626</v>
      </c>
      <c r="DJ2786" s="4">
        <f>INDEX(Sheet2!C:C,QUOTIENT(ROW()-1,19)+2)</f>
        <v>42004</v>
      </c>
      <c r="DK2786" s="4" t="e">
        <f>INDEX(Sheet2!$AA$2:$AS$228,QUOTIENT(ROW()-1,19)+1,MOD(ROW()-2,19)+1)</f>
        <v>#N/A</v>
      </c>
      <c r="DL2786" t="str">
        <f>IFERROR(INDEX(Sheet2!$AU$2:$BM$228,QUOTIENT(ROW()-1,19)+1,MOD(ROW()-2,19)+1),NA())</f>
        <v/>
      </c>
      <c r="DM2786" s="4" t="e">
        <f t="shared" si="150"/>
        <v>#N/A</v>
      </c>
      <c r="DN2786" t="e">
        <f t="shared" si="151"/>
        <v>#N/A</v>
      </c>
      <c r="DO2786" t="e">
        <f t="shared" si="152"/>
        <v>#N/A</v>
      </c>
    </row>
    <row r="2787" spans="7:119" x14ac:dyDescent="0.25">
      <c r="G2787"/>
      <c r="DI2787" s="4">
        <f>INDEX(Sheet2!A:A,QUOTIENT(ROW()-1,19)+2)</f>
        <v>41626</v>
      </c>
      <c r="DJ2787" s="4">
        <f>INDEX(Sheet2!C:C,QUOTIENT(ROW()-1,19)+2)</f>
        <v>42004</v>
      </c>
      <c r="DK2787" s="4" t="e">
        <f>INDEX(Sheet2!$AA$2:$AS$228,QUOTIENT(ROW()-1,19)+1,MOD(ROW()-2,19)+1)</f>
        <v>#N/A</v>
      </c>
      <c r="DL2787" t="str">
        <f>IFERROR(INDEX(Sheet2!$AU$2:$BM$228,QUOTIENT(ROW()-1,19)+1,MOD(ROW()-2,19)+1),NA())</f>
        <v/>
      </c>
      <c r="DM2787" s="4" t="e">
        <f t="shared" si="150"/>
        <v>#N/A</v>
      </c>
      <c r="DN2787" t="e">
        <f t="shared" si="151"/>
        <v>#N/A</v>
      </c>
      <c r="DO2787" t="e">
        <f t="shared" si="152"/>
        <v>#N/A</v>
      </c>
    </row>
    <row r="2788" spans="7:119" x14ac:dyDescent="0.25">
      <c r="G2788"/>
      <c r="DI2788" s="4">
        <f>INDEX(Sheet2!A:A,QUOTIENT(ROW()-1,19)+2)</f>
        <v>41626</v>
      </c>
      <c r="DJ2788" s="4">
        <f>INDEX(Sheet2!C:C,QUOTIENT(ROW()-1,19)+2)</f>
        <v>42004</v>
      </c>
      <c r="DK2788" s="4" t="e">
        <f>INDEX(Sheet2!$AA$2:$AS$228,QUOTIENT(ROW()-1,19)+1,MOD(ROW()-2,19)+1)</f>
        <v>#N/A</v>
      </c>
      <c r="DL2788" t="str">
        <f>IFERROR(INDEX(Sheet2!$AU$2:$BM$228,QUOTIENT(ROW()-1,19)+1,MOD(ROW()-2,19)+1),NA())</f>
        <v/>
      </c>
      <c r="DM2788" s="4" t="e">
        <f t="shared" si="150"/>
        <v>#N/A</v>
      </c>
      <c r="DN2788" t="e">
        <f t="shared" si="151"/>
        <v>#N/A</v>
      </c>
      <c r="DO2788" t="e">
        <f t="shared" si="152"/>
        <v>#N/A</v>
      </c>
    </row>
    <row r="2789" spans="7:119" x14ac:dyDescent="0.25">
      <c r="G2789"/>
      <c r="DI2789" s="4">
        <f>INDEX(Sheet2!A:A,QUOTIENT(ROW()-1,19)+2)</f>
        <v>41626</v>
      </c>
      <c r="DJ2789" s="4">
        <f>INDEX(Sheet2!C:C,QUOTIENT(ROW()-1,19)+2)</f>
        <v>42004</v>
      </c>
      <c r="DK2789" s="4" t="e">
        <f>INDEX(Sheet2!$AA$2:$AS$228,QUOTIENT(ROW()-1,19)+1,MOD(ROW()-2,19)+1)</f>
        <v>#N/A</v>
      </c>
      <c r="DL2789" t="str">
        <f>IFERROR(INDEX(Sheet2!$AU$2:$BM$228,QUOTIENT(ROW()-1,19)+1,MOD(ROW()-2,19)+1),NA())</f>
        <v/>
      </c>
      <c r="DM2789" s="4" t="e">
        <f t="shared" si="150"/>
        <v>#N/A</v>
      </c>
      <c r="DN2789" t="e">
        <f t="shared" si="151"/>
        <v>#N/A</v>
      </c>
      <c r="DO2789" t="e">
        <f t="shared" si="152"/>
        <v>#N/A</v>
      </c>
    </row>
    <row r="2790" spans="7:119" x14ac:dyDescent="0.25">
      <c r="G2790"/>
      <c r="DI2790" s="4">
        <f>INDEX(Sheet2!A:A,QUOTIENT(ROW()-1,19)+2)</f>
        <v>41626</v>
      </c>
      <c r="DJ2790" s="4">
        <f>INDEX(Sheet2!C:C,QUOTIENT(ROW()-1,19)+2)</f>
        <v>42004</v>
      </c>
      <c r="DK2790" s="4" t="e">
        <f>INDEX(Sheet2!$AA$2:$AS$228,QUOTIENT(ROW()-1,19)+1,MOD(ROW()-2,19)+1)</f>
        <v>#N/A</v>
      </c>
      <c r="DL2790" t="str">
        <f>IFERROR(INDEX(Sheet2!$AU$2:$BM$228,QUOTIENT(ROW()-1,19)+1,MOD(ROW()-2,19)+1),NA())</f>
        <v/>
      </c>
      <c r="DM2790" s="4" t="e">
        <f t="shared" si="150"/>
        <v>#N/A</v>
      </c>
      <c r="DN2790" t="e">
        <f t="shared" si="151"/>
        <v>#N/A</v>
      </c>
      <c r="DO2790" t="e">
        <f t="shared" si="152"/>
        <v>#N/A</v>
      </c>
    </row>
    <row r="2791" spans="7:119" x14ac:dyDescent="0.25">
      <c r="G2791"/>
      <c r="DI2791" s="4">
        <f>INDEX(Sheet2!A:A,QUOTIENT(ROW()-1,19)+2)</f>
        <v>41626</v>
      </c>
      <c r="DJ2791" s="4">
        <f>INDEX(Sheet2!C:C,QUOTIENT(ROW()-1,19)+2)</f>
        <v>42004</v>
      </c>
      <c r="DK2791" s="4" t="e">
        <f>INDEX(Sheet2!$AA$2:$AS$228,QUOTIENT(ROW()-1,19)+1,MOD(ROW()-2,19)+1)</f>
        <v>#N/A</v>
      </c>
      <c r="DL2791" t="str">
        <f>IFERROR(INDEX(Sheet2!$AU$2:$BM$228,QUOTIENT(ROW()-1,19)+1,MOD(ROW()-2,19)+1),NA())</f>
        <v/>
      </c>
      <c r="DM2791" s="4" t="e">
        <f t="shared" si="150"/>
        <v>#N/A</v>
      </c>
      <c r="DN2791" t="e">
        <f t="shared" si="151"/>
        <v>#N/A</v>
      </c>
      <c r="DO2791" t="e">
        <f t="shared" si="152"/>
        <v>#N/A</v>
      </c>
    </row>
    <row r="2792" spans="7:119" x14ac:dyDescent="0.25">
      <c r="G2792"/>
      <c r="DI2792" s="4">
        <f>INDEX(Sheet2!A:A,QUOTIENT(ROW()-1,19)+2)</f>
        <v>41626</v>
      </c>
      <c r="DJ2792" s="4">
        <f>INDEX(Sheet2!C:C,QUOTIENT(ROW()-1,19)+2)</f>
        <v>42004</v>
      </c>
      <c r="DK2792" s="4" t="e">
        <f>INDEX(Sheet2!$AA$2:$AS$228,QUOTIENT(ROW()-1,19)+1,MOD(ROW()-2,19)+1)</f>
        <v>#N/A</v>
      </c>
      <c r="DL2792" t="str">
        <f>IFERROR(INDEX(Sheet2!$AU$2:$BM$228,QUOTIENT(ROW()-1,19)+1,MOD(ROW()-2,19)+1),NA())</f>
        <v/>
      </c>
      <c r="DM2792" s="4" t="e">
        <f t="shared" si="150"/>
        <v>#N/A</v>
      </c>
      <c r="DN2792" t="e">
        <f t="shared" si="151"/>
        <v>#N/A</v>
      </c>
      <c r="DO2792" t="e">
        <f t="shared" si="152"/>
        <v>#N/A</v>
      </c>
    </row>
    <row r="2793" spans="7:119" x14ac:dyDescent="0.25">
      <c r="G2793"/>
      <c r="DI2793" s="4">
        <f>INDEX(Sheet2!A:A,QUOTIENT(ROW()-1,19)+2)</f>
        <v>41626</v>
      </c>
      <c r="DJ2793" s="4">
        <f>INDEX(Sheet2!C:C,QUOTIENT(ROW()-1,19)+2)</f>
        <v>42004</v>
      </c>
      <c r="DK2793" s="4" t="e">
        <f>INDEX(Sheet2!$AA$2:$AS$228,QUOTIENT(ROW()-1,19)+1,MOD(ROW()-2,19)+1)</f>
        <v>#N/A</v>
      </c>
      <c r="DL2793" t="str">
        <f>IFERROR(INDEX(Sheet2!$AU$2:$BM$228,QUOTIENT(ROW()-1,19)+1,MOD(ROW()-2,19)+1),NA())</f>
        <v/>
      </c>
      <c r="DM2793" s="4" t="e">
        <f t="shared" si="150"/>
        <v>#N/A</v>
      </c>
      <c r="DN2793" t="e">
        <f t="shared" si="151"/>
        <v>#N/A</v>
      </c>
      <c r="DO2793" t="e">
        <f t="shared" si="152"/>
        <v>#N/A</v>
      </c>
    </row>
    <row r="2794" spans="7:119" x14ac:dyDescent="0.25">
      <c r="G2794"/>
      <c r="DI2794" s="4">
        <f>INDEX(Sheet2!A:A,QUOTIENT(ROW()-1,19)+2)</f>
        <v>41626</v>
      </c>
      <c r="DJ2794" s="4">
        <f>INDEX(Sheet2!C:C,QUOTIENT(ROW()-1,19)+2)</f>
        <v>42369</v>
      </c>
      <c r="DK2794" s="4" t="e">
        <f>INDEX(Sheet2!$AA$2:$AS$228,QUOTIENT(ROW()-1,19)+1,MOD(ROW()-2,19)+1)</f>
        <v>#N/A</v>
      </c>
      <c r="DL2794" t="str">
        <f>IFERROR(INDEX(Sheet2!$AU$2:$BM$228,QUOTIENT(ROW()-1,19)+1,MOD(ROW()-2,19)+1),NA())</f>
        <v/>
      </c>
      <c r="DM2794" s="4" t="e">
        <f t="shared" si="150"/>
        <v>#N/A</v>
      </c>
      <c r="DN2794" t="e">
        <f t="shared" si="151"/>
        <v>#N/A</v>
      </c>
      <c r="DO2794" t="e">
        <f t="shared" si="152"/>
        <v>#N/A</v>
      </c>
    </row>
    <row r="2795" spans="7:119" x14ac:dyDescent="0.25">
      <c r="G2795"/>
      <c r="DI2795" s="4">
        <f>INDEX(Sheet2!A:A,QUOTIENT(ROW()-1,19)+2)</f>
        <v>41626</v>
      </c>
      <c r="DJ2795" s="4">
        <f>INDEX(Sheet2!C:C,QUOTIENT(ROW()-1,19)+2)</f>
        <v>42369</v>
      </c>
      <c r="DK2795" s="4">
        <f>INDEX(Sheet2!$AA$2:$AS$228,QUOTIENT(ROW()-1,19)+1,MOD(ROW()-2,19)+1)</f>
        <v>42348.924999999996</v>
      </c>
      <c r="DL2795">
        <f>IFERROR(INDEX(Sheet2!$AU$2:$BM$228,QUOTIENT(ROW()-1,19)+1,MOD(ROW()-2,19)+1),NA())</f>
        <v>0.25</v>
      </c>
      <c r="DM2795" s="4" t="e">
        <f t="shared" si="150"/>
        <v>#N/A</v>
      </c>
      <c r="DN2795" t="e">
        <f t="shared" si="151"/>
        <v>#N/A</v>
      </c>
      <c r="DO2795" t="e">
        <f t="shared" si="152"/>
        <v>#N/A</v>
      </c>
    </row>
    <row r="2796" spans="7:119" x14ac:dyDescent="0.25">
      <c r="G2796"/>
      <c r="DI2796" s="4">
        <f>INDEX(Sheet2!A:A,QUOTIENT(ROW()-1,19)+2)</f>
        <v>41626</v>
      </c>
      <c r="DJ2796" s="4">
        <f>INDEX(Sheet2!C:C,QUOTIENT(ROW()-1,19)+2)</f>
        <v>42369</v>
      </c>
      <c r="DK2796" s="4">
        <f>INDEX(Sheet2!$AA$2:$AS$228,QUOTIENT(ROW()-1,19)+1,MOD(ROW()-2,19)+1)</f>
        <v>42369</v>
      </c>
      <c r="DL2796">
        <f>IFERROR(INDEX(Sheet2!$AU$2:$BM$228,QUOTIENT(ROW()-1,19)+1,MOD(ROW()-2,19)+1),NA())</f>
        <v>0.25</v>
      </c>
      <c r="DM2796" s="4" t="e">
        <f t="shared" si="150"/>
        <v>#N/A</v>
      </c>
      <c r="DN2796" t="e">
        <f t="shared" si="151"/>
        <v>#N/A</v>
      </c>
      <c r="DO2796" t="e">
        <f t="shared" si="152"/>
        <v>#N/A</v>
      </c>
    </row>
    <row r="2797" spans="7:119" x14ac:dyDescent="0.25">
      <c r="G2797"/>
      <c r="DI2797" s="4">
        <f>INDEX(Sheet2!A:A,QUOTIENT(ROW()-1,19)+2)</f>
        <v>41626</v>
      </c>
      <c r="DJ2797" s="4">
        <f>INDEX(Sheet2!C:C,QUOTIENT(ROW()-1,19)+2)</f>
        <v>42369</v>
      </c>
      <c r="DK2797" s="4">
        <f>INDEX(Sheet2!$AA$2:$AS$228,QUOTIENT(ROW()-1,19)+1,MOD(ROW()-2,19)+1)</f>
        <v>42389.074999999997</v>
      </c>
      <c r="DL2797">
        <f>IFERROR(INDEX(Sheet2!$AU$2:$BM$228,QUOTIENT(ROW()-1,19)+1,MOD(ROW()-2,19)+1),NA())</f>
        <v>0.25</v>
      </c>
      <c r="DM2797" s="4" t="e">
        <f t="shared" si="150"/>
        <v>#N/A</v>
      </c>
      <c r="DN2797" t="e">
        <f t="shared" si="151"/>
        <v>#N/A</v>
      </c>
      <c r="DO2797" t="e">
        <f t="shared" si="152"/>
        <v>#N/A</v>
      </c>
    </row>
    <row r="2798" spans="7:119" x14ac:dyDescent="0.25">
      <c r="G2798"/>
      <c r="DI2798" s="4">
        <f>INDEX(Sheet2!A:A,QUOTIENT(ROW()-1,19)+2)</f>
        <v>41626</v>
      </c>
      <c r="DJ2798" s="4">
        <f>INDEX(Sheet2!C:C,QUOTIENT(ROW()-1,19)+2)</f>
        <v>42369</v>
      </c>
      <c r="DK2798" s="4" t="e">
        <f>INDEX(Sheet2!$AA$2:$AS$228,QUOTIENT(ROW()-1,19)+1,MOD(ROW()-2,19)+1)</f>
        <v>#N/A</v>
      </c>
      <c r="DL2798" t="str">
        <f>IFERROR(INDEX(Sheet2!$AU$2:$BM$228,QUOTIENT(ROW()-1,19)+1,MOD(ROW()-2,19)+1),NA())</f>
        <v/>
      </c>
      <c r="DM2798" s="4" t="e">
        <f t="shared" si="150"/>
        <v>#N/A</v>
      </c>
      <c r="DN2798" t="e">
        <f t="shared" si="151"/>
        <v>#N/A</v>
      </c>
      <c r="DO2798" t="e">
        <f t="shared" si="152"/>
        <v>#N/A</v>
      </c>
    </row>
    <row r="2799" spans="7:119" x14ac:dyDescent="0.25">
      <c r="G2799"/>
      <c r="DI2799" s="4">
        <f>INDEX(Sheet2!A:A,QUOTIENT(ROW()-1,19)+2)</f>
        <v>41626</v>
      </c>
      <c r="DJ2799" s="4">
        <f>INDEX(Sheet2!C:C,QUOTIENT(ROW()-1,19)+2)</f>
        <v>42369</v>
      </c>
      <c r="DK2799" s="4" t="e">
        <f>INDEX(Sheet2!$AA$2:$AS$228,QUOTIENT(ROW()-1,19)+1,MOD(ROW()-2,19)+1)</f>
        <v>#N/A</v>
      </c>
      <c r="DL2799" t="str">
        <f>IFERROR(INDEX(Sheet2!$AU$2:$BM$228,QUOTIENT(ROW()-1,19)+1,MOD(ROW()-2,19)+1),NA())</f>
        <v/>
      </c>
      <c r="DM2799" s="4" t="e">
        <f t="shared" si="150"/>
        <v>#N/A</v>
      </c>
      <c r="DN2799" t="e">
        <f t="shared" si="151"/>
        <v>#N/A</v>
      </c>
      <c r="DO2799" t="e">
        <f t="shared" si="152"/>
        <v>#N/A</v>
      </c>
    </row>
    <row r="2800" spans="7:119" x14ac:dyDescent="0.25">
      <c r="G2800"/>
      <c r="DI2800" s="4">
        <f>INDEX(Sheet2!A:A,QUOTIENT(ROW()-1,19)+2)</f>
        <v>41626</v>
      </c>
      <c r="DJ2800" s="4">
        <f>INDEX(Sheet2!C:C,QUOTIENT(ROW()-1,19)+2)</f>
        <v>42369</v>
      </c>
      <c r="DK2800" s="4" t="e">
        <f>INDEX(Sheet2!$AA$2:$AS$228,QUOTIENT(ROW()-1,19)+1,MOD(ROW()-2,19)+1)</f>
        <v>#N/A</v>
      </c>
      <c r="DL2800" t="str">
        <f>IFERROR(INDEX(Sheet2!$AU$2:$BM$228,QUOTIENT(ROW()-1,19)+1,MOD(ROW()-2,19)+1),NA())</f>
        <v/>
      </c>
      <c r="DM2800" s="4" t="e">
        <f t="shared" si="150"/>
        <v>#N/A</v>
      </c>
      <c r="DN2800" t="e">
        <f t="shared" si="151"/>
        <v>#N/A</v>
      </c>
      <c r="DO2800" t="e">
        <f t="shared" si="152"/>
        <v>#N/A</v>
      </c>
    </row>
    <row r="2801" spans="7:119" x14ac:dyDescent="0.25">
      <c r="G2801"/>
      <c r="DI2801" s="4">
        <f>INDEX(Sheet2!A:A,QUOTIENT(ROW()-1,19)+2)</f>
        <v>41626</v>
      </c>
      <c r="DJ2801" s="4">
        <f>INDEX(Sheet2!C:C,QUOTIENT(ROW()-1,19)+2)</f>
        <v>42369</v>
      </c>
      <c r="DK2801" s="4" t="e">
        <f>INDEX(Sheet2!$AA$2:$AS$228,QUOTIENT(ROW()-1,19)+1,MOD(ROW()-2,19)+1)</f>
        <v>#N/A</v>
      </c>
      <c r="DL2801" t="str">
        <f>IFERROR(INDEX(Sheet2!$AU$2:$BM$228,QUOTIENT(ROW()-1,19)+1,MOD(ROW()-2,19)+1),NA())</f>
        <v/>
      </c>
      <c r="DM2801" s="4" t="e">
        <f t="shared" si="150"/>
        <v>#N/A</v>
      </c>
      <c r="DN2801" t="e">
        <f t="shared" si="151"/>
        <v>#N/A</v>
      </c>
      <c r="DO2801" t="e">
        <f t="shared" si="152"/>
        <v>#N/A</v>
      </c>
    </row>
    <row r="2802" spans="7:119" x14ac:dyDescent="0.25">
      <c r="G2802"/>
      <c r="DI2802" s="4">
        <f>INDEX(Sheet2!A:A,QUOTIENT(ROW()-1,19)+2)</f>
        <v>41626</v>
      </c>
      <c r="DJ2802" s="4">
        <f>INDEX(Sheet2!C:C,QUOTIENT(ROW()-1,19)+2)</f>
        <v>42369</v>
      </c>
      <c r="DK2802" s="4" t="e">
        <f>INDEX(Sheet2!$AA$2:$AS$228,QUOTIENT(ROW()-1,19)+1,MOD(ROW()-2,19)+1)</f>
        <v>#N/A</v>
      </c>
      <c r="DL2802" t="str">
        <f>IFERROR(INDEX(Sheet2!$AU$2:$BM$228,QUOTIENT(ROW()-1,19)+1,MOD(ROW()-2,19)+1),NA())</f>
        <v/>
      </c>
      <c r="DM2802" s="4" t="e">
        <f t="shared" si="150"/>
        <v>#N/A</v>
      </c>
      <c r="DN2802" t="e">
        <f t="shared" si="151"/>
        <v>#N/A</v>
      </c>
      <c r="DO2802" t="e">
        <f t="shared" si="152"/>
        <v>#N/A</v>
      </c>
    </row>
    <row r="2803" spans="7:119" x14ac:dyDescent="0.25">
      <c r="G2803"/>
      <c r="DI2803" s="4">
        <f>INDEX(Sheet2!A:A,QUOTIENT(ROW()-1,19)+2)</f>
        <v>41626</v>
      </c>
      <c r="DJ2803" s="4">
        <f>INDEX(Sheet2!C:C,QUOTIENT(ROW()-1,19)+2)</f>
        <v>42369</v>
      </c>
      <c r="DK2803" s="4" t="e">
        <f>INDEX(Sheet2!$AA$2:$AS$228,QUOTIENT(ROW()-1,19)+1,MOD(ROW()-2,19)+1)</f>
        <v>#N/A</v>
      </c>
      <c r="DL2803" t="str">
        <f>IFERROR(INDEX(Sheet2!$AU$2:$BM$228,QUOTIENT(ROW()-1,19)+1,MOD(ROW()-2,19)+1),NA())</f>
        <v/>
      </c>
      <c r="DM2803" s="4" t="e">
        <f t="shared" si="150"/>
        <v>#N/A</v>
      </c>
      <c r="DN2803" t="e">
        <f t="shared" si="151"/>
        <v>#N/A</v>
      </c>
      <c r="DO2803" t="e">
        <f t="shared" si="152"/>
        <v>#N/A</v>
      </c>
    </row>
    <row r="2804" spans="7:119" x14ac:dyDescent="0.25">
      <c r="G2804"/>
      <c r="DI2804" s="4">
        <f>INDEX(Sheet2!A:A,QUOTIENT(ROW()-1,19)+2)</f>
        <v>41626</v>
      </c>
      <c r="DJ2804" s="4">
        <f>INDEX(Sheet2!C:C,QUOTIENT(ROW()-1,19)+2)</f>
        <v>42369</v>
      </c>
      <c r="DK2804" s="4" t="e">
        <f>INDEX(Sheet2!$AA$2:$AS$228,QUOTIENT(ROW()-1,19)+1,MOD(ROW()-2,19)+1)</f>
        <v>#N/A</v>
      </c>
      <c r="DL2804" t="str">
        <f>IFERROR(INDEX(Sheet2!$AU$2:$BM$228,QUOTIENT(ROW()-1,19)+1,MOD(ROW()-2,19)+1),NA())</f>
        <v/>
      </c>
      <c r="DM2804" s="4" t="e">
        <f t="shared" si="150"/>
        <v>#N/A</v>
      </c>
      <c r="DN2804" t="e">
        <f t="shared" si="151"/>
        <v>#N/A</v>
      </c>
      <c r="DO2804" t="e">
        <f t="shared" si="152"/>
        <v>#N/A</v>
      </c>
    </row>
    <row r="2805" spans="7:119" x14ac:dyDescent="0.25">
      <c r="G2805"/>
      <c r="DI2805" s="4">
        <f>INDEX(Sheet2!A:A,QUOTIENT(ROW()-1,19)+2)</f>
        <v>41626</v>
      </c>
      <c r="DJ2805" s="4">
        <f>INDEX(Sheet2!C:C,QUOTIENT(ROW()-1,19)+2)</f>
        <v>42369</v>
      </c>
      <c r="DK2805" s="4" t="e">
        <f>INDEX(Sheet2!$AA$2:$AS$228,QUOTIENT(ROW()-1,19)+1,MOD(ROW()-2,19)+1)</f>
        <v>#N/A</v>
      </c>
      <c r="DL2805" t="str">
        <f>IFERROR(INDEX(Sheet2!$AU$2:$BM$228,QUOTIENT(ROW()-1,19)+1,MOD(ROW()-2,19)+1),NA())</f>
        <v/>
      </c>
      <c r="DM2805" s="4" t="e">
        <f t="shared" si="150"/>
        <v>#N/A</v>
      </c>
      <c r="DN2805" t="e">
        <f t="shared" si="151"/>
        <v>#N/A</v>
      </c>
      <c r="DO2805" t="e">
        <f t="shared" si="152"/>
        <v>#N/A</v>
      </c>
    </row>
    <row r="2806" spans="7:119" x14ac:dyDescent="0.25">
      <c r="G2806"/>
      <c r="DI2806" s="4">
        <f>INDEX(Sheet2!A:A,QUOTIENT(ROW()-1,19)+2)</f>
        <v>41626</v>
      </c>
      <c r="DJ2806" s="4">
        <f>INDEX(Sheet2!C:C,QUOTIENT(ROW()-1,19)+2)</f>
        <v>42369</v>
      </c>
      <c r="DK2806" s="4" t="e">
        <f>INDEX(Sheet2!$AA$2:$AS$228,QUOTIENT(ROW()-1,19)+1,MOD(ROW()-2,19)+1)</f>
        <v>#N/A</v>
      </c>
      <c r="DL2806" t="str">
        <f>IFERROR(INDEX(Sheet2!$AU$2:$BM$228,QUOTIENT(ROW()-1,19)+1,MOD(ROW()-2,19)+1),NA())</f>
        <v/>
      </c>
      <c r="DM2806" s="4" t="e">
        <f t="shared" si="150"/>
        <v>#N/A</v>
      </c>
      <c r="DN2806" t="e">
        <f t="shared" si="151"/>
        <v>#N/A</v>
      </c>
      <c r="DO2806" t="e">
        <f t="shared" si="152"/>
        <v>#N/A</v>
      </c>
    </row>
    <row r="2807" spans="7:119" x14ac:dyDescent="0.25">
      <c r="G2807"/>
      <c r="DI2807" s="4">
        <f>INDEX(Sheet2!A:A,QUOTIENT(ROW()-1,19)+2)</f>
        <v>41626</v>
      </c>
      <c r="DJ2807" s="4">
        <f>INDEX(Sheet2!C:C,QUOTIENT(ROW()-1,19)+2)</f>
        <v>42369</v>
      </c>
      <c r="DK2807" s="4" t="e">
        <f>INDEX(Sheet2!$AA$2:$AS$228,QUOTIENT(ROW()-1,19)+1,MOD(ROW()-2,19)+1)</f>
        <v>#N/A</v>
      </c>
      <c r="DL2807" t="str">
        <f>IFERROR(INDEX(Sheet2!$AU$2:$BM$228,QUOTIENT(ROW()-1,19)+1,MOD(ROW()-2,19)+1),NA())</f>
        <v/>
      </c>
      <c r="DM2807" s="4" t="e">
        <f t="shared" si="150"/>
        <v>#N/A</v>
      </c>
      <c r="DN2807" t="e">
        <f t="shared" si="151"/>
        <v>#N/A</v>
      </c>
      <c r="DO2807" t="e">
        <f t="shared" si="152"/>
        <v>#N/A</v>
      </c>
    </row>
    <row r="2808" spans="7:119" x14ac:dyDescent="0.25">
      <c r="G2808"/>
      <c r="DI2808" s="4">
        <f>INDEX(Sheet2!A:A,QUOTIENT(ROW()-1,19)+2)</f>
        <v>41626</v>
      </c>
      <c r="DJ2808" s="4">
        <f>INDEX(Sheet2!C:C,QUOTIENT(ROW()-1,19)+2)</f>
        <v>42369</v>
      </c>
      <c r="DK2808" s="4" t="e">
        <f>INDEX(Sheet2!$AA$2:$AS$228,QUOTIENT(ROW()-1,19)+1,MOD(ROW()-2,19)+1)</f>
        <v>#N/A</v>
      </c>
      <c r="DL2808" t="str">
        <f>IFERROR(INDEX(Sheet2!$AU$2:$BM$228,QUOTIENT(ROW()-1,19)+1,MOD(ROW()-2,19)+1),NA())</f>
        <v/>
      </c>
      <c r="DM2808" s="4" t="e">
        <f t="shared" si="150"/>
        <v>#N/A</v>
      </c>
      <c r="DN2808" t="e">
        <f t="shared" si="151"/>
        <v>#N/A</v>
      </c>
      <c r="DO2808" t="e">
        <f t="shared" si="152"/>
        <v>#N/A</v>
      </c>
    </row>
    <row r="2809" spans="7:119" x14ac:dyDescent="0.25">
      <c r="G2809"/>
      <c r="DI2809" s="4">
        <f>INDEX(Sheet2!A:A,QUOTIENT(ROW()-1,19)+2)</f>
        <v>41626</v>
      </c>
      <c r="DJ2809" s="4">
        <f>INDEX(Sheet2!C:C,QUOTIENT(ROW()-1,19)+2)</f>
        <v>42369</v>
      </c>
      <c r="DK2809" s="4" t="e">
        <f>INDEX(Sheet2!$AA$2:$AS$228,QUOTIENT(ROW()-1,19)+1,MOD(ROW()-2,19)+1)</f>
        <v>#N/A</v>
      </c>
      <c r="DL2809" t="str">
        <f>IFERROR(INDEX(Sheet2!$AU$2:$BM$228,QUOTIENT(ROW()-1,19)+1,MOD(ROW()-2,19)+1),NA())</f>
        <v/>
      </c>
      <c r="DM2809" s="4" t="e">
        <f t="shared" si="150"/>
        <v>#N/A</v>
      </c>
      <c r="DN2809" t="e">
        <f t="shared" si="151"/>
        <v>#N/A</v>
      </c>
      <c r="DO2809" t="e">
        <f t="shared" si="152"/>
        <v>#N/A</v>
      </c>
    </row>
    <row r="2810" spans="7:119" x14ac:dyDescent="0.25">
      <c r="G2810"/>
      <c r="DI2810" s="4">
        <f>INDEX(Sheet2!A:A,QUOTIENT(ROW()-1,19)+2)</f>
        <v>41626</v>
      </c>
      <c r="DJ2810" s="4">
        <f>INDEX(Sheet2!C:C,QUOTIENT(ROW()-1,19)+2)</f>
        <v>42369</v>
      </c>
      <c r="DK2810" s="4" t="e">
        <f>INDEX(Sheet2!$AA$2:$AS$228,QUOTIENT(ROW()-1,19)+1,MOD(ROW()-2,19)+1)</f>
        <v>#N/A</v>
      </c>
      <c r="DL2810" t="str">
        <f>IFERROR(INDEX(Sheet2!$AU$2:$BM$228,QUOTIENT(ROW()-1,19)+1,MOD(ROW()-2,19)+1),NA())</f>
        <v/>
      </c>
      <c r="DM2810" s="4" t="e">
        <f t="shared" si="150"/>
        <v>#N/A</v>
      </c>
      <c r="DN2810" t="e">
        <f t="shared" si="151"/>
        <v>#N/A</v>
      </c>
      <c r="DO2810" t="e">
        <f t="shared" si="152"/>
        <v>#N/A</v>
      </c>
    </row>
    <row r="2811" spans="7:119" x14ac:dyDescent="0.25">
      <c r="G2811"/>
      <c r="DI2811" s="4">
        <f>INDEX(Sheet2!A:A,QUOTIENT(ROW()-1,19)+2)</f>
        <v>41626</v>
      </c>
      <c r="DJ2811" s="4">
        <f>INDEX(Sheet2!C:C,QUOTIENT(ROW()-1,19)+2)</f>
        <v>42369</v>
      </c>
      <c r="DK2811" s="4" t="e">
        <f>INDEX(Sheet2!$AA$2:$AS$228,QUOTIENT(ROW()-1,19)+1,MOD(ROW()-2,19)+1)</f>
        <v>#N/A</v>
      </c>
      <c r="DL2811" t="str">
        <f>IFERROR(INDEX(Sheet2!$AU$2:$BM$228,QUOTIENT(ROW()-1,19)+1,MOD(ROW()-2,19)+1),NA())</f>
        <v/>
      </c>
      <c r="DM2811" s="4" t="e">
        <f t="shared" si="150"/>
        <v>#N/A</v>
      </c>
      <c r="DN2811" t="e">
        <f t="shared" si="151"/>
        <v>#N/A</v>
      </c>
      <c r="DO2811" t="e">
        <f t="shared" si="152"/>
        <v>#N/A</v>
      </c>
    </row>
    <row r="2812" spans="7:119" x14ac:dyDescent="0.25">
      <c r="G2812"/>
      <c r="DI2812" s="4">
        <f>INDEX(Sheet2!A:A,QUOTIENT(ROW()-1,19)+2)</f>
        <v>41626</v>
      </c>
      <c r="DJ2812" s="4">
        <f>INDEX(Sheet2!C:C,QUOTIENT(ROW()-1,19)+2)</f>
        <v>42369</v>
      </c>
      <c r="DK2812" s="4" t="e">
        <f>INDEX(Sheet2!$AA$2:$AS$228,QUOTIENT(ROW()-1,19)+1,MOD(ROW()-2,19)+1)</f>
        <v>#N/A</v>
      </c>
      <c r="DL2812" t="str">
        <f>IFERROR(INDEX(Sheet2!$AU$2:$BM$228,QUOTIENT(ROW()-1,19)+1,MOD(ROW()-2,19)+1),NA())</f>
        <v/>
      </c>
      <c r="DM2812" s="4" t="e">
        <f t="shared" si="150"/>
        <v>#N/A</v>
      </c>
      <c r="DN2812" t="e">
        <f t="shared" si="151"/>
        <v>#N/A</v>
      </c>
      <c r="DO2812" t="e">
        <f t="shared" si="152"/>
        <v>#N/A</v>
      </c>
    </row>
    <row r="2813" spans="7:119" x14ac:dyDescent="0.25">
      <c r="G2813"/>
      <c r="DI2813" s="4">
        <f>INDEX(Sheet2!A:A,QUOTIENT(ROW()-1,19)+2)</f>
        <v>41626</v>
      </c>
      <c r="DJ2813" s="4">
        <f>INDEX(Sheet2!C:C,QUOTIENT(ROW()-1,19)+2)</f>
        <v>42369</v>
      </c>
      <c r="DK2813" s="4" t="e">
        <f>INDEX(Sheet2!$AA$2:$AS$228,QUOTIENT(ROW()-1,19)+1,MOD(ROW()-2,19)+1)</f>
        <v>#N/A</v>
      </c>
      <c r="DL2813" t="str">
        <f>IFERROR(INDEX(Sheet2!$AU$2:$BM$228,QUOTIENT(ROW()-1,19)+1,MOD(ROW()-2,19)+1),NA())</f>
        <v/>
      </c>
      <c r="DM2813" s="4" t="e">
        <f t="shared" si="150"/>
        <v>#N/A</v>
      </c>
      <c r="DN2813" t="e">
        <f t="shared" si="151"/>
        <v>#N/A</v>
      </c>
      <c r="DO2813" t="e">
        <f t="shared" si="152"/>
        <v>#N/A</v>
      </c>
    </row>
    <row r="2814" spans="7:119" x14ac:dyDescent="0.25">
      <c r="G2814"/>
      <c r="DI2814" s="4">
        <f>INDEX(Sheet2!A:A,QUOTIENT(ROW()-1,19)+2)</f>
        <v>41626</v>
      </c>
      <c r="DJ2814" s="4">
        <f>INDEX(Sheet2!C:C,QUOTIENT(ROW()-1,19)+2)</f>
        <v>42369</v>
      </c>
      <c r="DK2814" s="4">
        <f>INDEX(Sheet2!$AA$2:$AS$228,QUOTIENT(ROW()-1,19)+1,MOD(ROW()-2,19)+1)</f>
        <v>42348.924999999996</v>
      </c>
      <c r="DL2814">
        <f>IFERROR(INDEX(Sheet2!$AU$2:$BM$228,QUOTIENT(ROW()-1,19)+1,MOD(ROW()-2,19)+1),NA())</f>
        <v>0.5</v>
      </c>
      <c r="DM2814" s="4" t="e">
        <f t="shared" si="150"/>
        <v>#N/A</v>
      </c>
      <c r="DN2814" t="e">
        <f t="shared" si="151"/>
        <v>#N/A</v>
      </c>
      <c r="DO2814" t="e">
        <f t="shared" si="152"/>
        <v>#N/A</v>
      </c>
    </row>
    <row r="2815" spans="7:119" x14ac:dyDescent="0.25">
      <c r="G2815"/>
      <c r="DI2815" s="4">
        <f>INDEX(Sheet2!A:A,QUOTIENT(ROW()-1,19)+2)</f>
        <v>41626</v>
      </c>
      <c r="DJ2815" s="4">
        <f>INDEX(Sheet2!C:C,QUOTIENT(ROW()-1,19)+2)</f>
        <v>42369</v>
      </c>
      <c r="DK2815" s="4">
        <f>INDEX(Sheet2!$AA$2:$AS$228,QUOTIENT(ROW()-1,19)+1,MOD(ROW()-2,19)+1)</f>
        <v>42369</v>
      </c>
      <c r="DL2815">
        <f>IFERROR(INDEX(Sheet2!$AU$2:$BM$228,QUOTIENT(ROW()-1,19)+1,MOD(ROW()-2,19)+1),NA())</f>
        <v>0.5</v>
      </c>
      <c r="DM2815" s="4" t="e">
        <f t="shared" si="150"/>
        <v>#N/A</v>
      </c>
      <c r="DN2815" t="e">
        <f t="shared" si="151"/>
        <v>#N/A</v>
      </c>
      <c r="DO2815" t="e">
        <f t="shared" si="152"/>
        <v>#N/A</v>
      </c>
    </row>
    <row r="2816" spans="7:119" x14ac:dyDescent="0.25">
      <c r="G2816"/>
      <c r="DI2816" s="4">
        <f>INDEX(Sheet2!A:A,QUOTIENT(ROW()-1,19)+2)</f>
        <v>41626</v>
      </c>
      <c r="DJ2816" s="4">
        <f>INDEX(Sheet2!C:C,QUOTIENT(ROW()-1,19)+2)</f>
        <v>42369</v>
      </c>
      <c r="DK2816" s="4">
        <f>INDEX(Sheet2!$AA$2:$AS$228,QUOTIENT(ROW()-1,19)+1,MOD(ROW()-2,19)+1)</f>
        <v>42389.074999999997</v>
      </c>
      <c r="DL2816">
        <f>IFERROR(INDEX(Sheet2!$AU$2:$BM$228,QUOTIENT(ROW()-1,19)+1,MOD(ROW()-2,19)+1),NA())</f>
        <v>0.5</v>
      </c>
      <c r="DM2816" s="4" t="e">
        <f t="shared" si="150"/>
        <v>#N/A</v>
      </c>
      <c r="DN2816" t="e">
        <f t="shared" si="151"/>
        <v>#N/A</v>
      </c>
      <c r="DO2816" t="e">
        <f t="shared" si="152"/>
        <v>#N/A</v>
      </c>
    </row>
    <row r="2817" spans="7:119" x14ac:dyDescent="0.25">
      <c r="G2817"/>
      <c r="DI2817" s="4">
        <f>INDEX(Sheet2!A:A,QUOTIENT(ROW()-1,19)+2)</f>
        <v>41626</v>
      </c>
      <c r="DJ2817" s="4">
        <f>INDEX(Sheet2!C:C,QUOTIENT(ROW()-1,19)+2)</f>
        <v>42369</v>
      </c>
      <c r="DK2817" s="4" t="e">
        <f>INDEX(Sheet2!$AA$2:$AS$228,QUOTIENT(ROW()-1,19)+1,MOD(ROW()-2,19)+1)</f>
        <v>#N/A</v>
      </c>
      <c r="DL2817" t="str">
        <f>IFERROR(INDEX(Sheet2!$AU$2:$BM$228,QUOTIENT(ROW()-1,19)+1,MOD(ROW()-2,19)+1),NA())</f>
        <v/>
      </c>
      <c r="DM2817" s="4" t="e">
        <f t="shared" si="150"/>
        <v>#N/A</v>
      </c>
      <c r="DN2817" t="e">
        <f t="shared" si="151"/>
        <v>#N/A</v>
      </c>
      <c r="DO2817" t="e">
        <f t="shared" si="152"/>
        <v>#N/A</v>
      </c>
    </row>
    <row r="2818" spans="7:119" x14ac:dyDescent="0.25">
      <c r="G2818"/>
      <c r="DI2818" s="4">
        <f>INDEX(Sheet2!A:A,QUOTIENT(ROW()-1,19)+2)</f>
        <v>41626</v>
      </c>
      <c r="DJ2818" s="4">
        <f>INDEX(Sheet2!C:C,QUOTIENT(ROW()-1,19)+2)</f>
        <v>42369</v>
      </c>
      <c r="DK2818" s="4" t="e">
        <f>INDEX(Sheet2!$AA$2:$AS$228,QUOTIENT(ROW()-1,19)+1,MOD(ROW()-2,19)+1)</f>
        <v>#N/A</v>
      </c>
      <c r="DL2818" t="str">
        <f>IFERROR(INDEX(Sheet2!$AU$2:$BM$228,QUOTIENT(ROW()-1,19)+1,MOD(ROW()-2,19)+1),NA())</f>
        <v/>
      </c>
      <c r="DM2818" s="4" t="e">
        <f t="shared" ref="DM2818:DM2881" si="153">+IF($C$2=$DI2818,DK2818,NA())</f>
        <v>#N/A</v>
      </c>
      <c r="DN2818" t="e">
        <f t="shared" ref="DN2818:DN2881" si="154">+IF($C$2=$DI2818,DL2818,NA())</f>
        <v>#N/A</v>
      </c>
      <c r="DO2818" t="e">
        <f t="shared" si="152"/>
        <v>#N/A</v>
      </c>
    </row>
    <row r="2819" spans="7:119" x14ac:dyDescent="0.25">
      <c r="G2819"/>
      <c r="DI2819" s="4">
        <f>INDEX(Sheet2!A:A,QUOTIENT(ROW()-1,19)+2)</f>
        <v>41626</v>
      </c>
      <c r="DJ2819" s="4">
        <f>INDEX(Sheet2!C:C,QUOTIENT(ROW()-1,19)+2)</f>
        <v>42369</v>
      </c>
      <c r="DK2819" s="4" t="e">
        <f>INDEX(Sheet2!$AA$2:$AS$228,QUOTIENT(ROW()-1,19)+1,MOD(ROW()-2,19)+1)</f>
        <v>#N/A</v>
      </c>
      <c r="DL2819" t="str">
        <f>IFERROR(INDEX(Sheet2!$AU$2:$BM$228,QUOTIENT(ROW()-1,19)+1,MOD(ROW()-2,19)+1),NA())</f>
        <v/>
      </c>
      <c r="DM2819" s="4" t="e">
        <f t="shared" si="153"/>
        <v>#N/A</v>
      </c>
      <c r="DN2819" t="e">
        <f t="shared" si="154"/>
        <v>#N/A</v>
      </c>
      <c r="DO2819" t="e">
        <f t="shared" ref="DO2819:DO2882" si="155">IF(DN2819="",NA(),DN2819)</f>
        <v>#N/A</v>
      </c>
    </row>
    <row r="2820" spans="7:119" x14ac:dyDescent="0.25">
      <c r="G2820"/>
      <c r="DI2820" s="4">
        <f>INDEX(Sheet2!A:A,QUOTIENT(ROW()-1,19)+2)</f>
        <v>41626</v>
      </c>
      <c r="DJ2820" s="4">
        <f>INDEX(Sheet2!C:C,QUOTIENT(ROW()-1,19)+2)</f>
        <v>42369</v>
      </c>
      <c r="DK2820" s="4" t="e">
        <f>INDEX(Sheet2!$AA$2:$AS$228,QUOTIENT(ROW()-1,19)+1,MOD(ROW()-2,19)+1)</f>
        <v>#N/A</v>
      </c>
      <c r="DL2820" t="str">
        <f>IFERROR(INDEX(Sheet2!$AU$2:$BM$228,QUOTIENT(ROW()-1,19)+1,MOD(ROW()-2,19)+1),NA())</f>
        <v/>
      </c>
      <c r="DM2820" s="4" t="e">
        <f t="shared" si="153"/>
        <v>#N/A</v>
      </c>
      <c r="DN2820" t="e">
        <f t="shared" si="154"/>
        <v>#N/A</v>
      </c>
      <c r="DO2820" t="e">
        <f t="shared" si="155"/>
        <v>#N/A</v>
      </c>
    </row>
    <row r="2821" spans="7:119" x14ac:dyDescent="0.25">
      <c r="G2821"/>
      <c r="DI2821" s="4">
        <f>INDEX(Sheet2!A:A,QUOTIENT(ROW()-1,19)+2)</f>
        <v>41626</v>
      </c>
      <c r="DJ2821" s="4">
        <f>INDEX(Sheet2!C:C,QUOTIENT(ROW()-1,19)+2)</f>
        <v>42369</v>
      </c>
      <c r="DK2821" s="4" t="e">
        <f>INDEX(Sheet2!$AA$2:$AS$228,QUOTIENT(ROW()-1,19)+1,MOD(ROW()-2,19)+1)</f>
        <v>#N/A</v>
      </c>
      <c r="DL2821" t="str">
        <f>IFERROR(INDEX(Sheet2!$AU$2:$BM$228,QUOTIENT(ROW()-1,19)+1,MOD(ROW()-2,19)+1),NA())</f>
        <v/>
      </c>
      <c r="DM2821" s="4" t="e">
        <f t="shared" si="153"/>
        <v>#N/A</v>
      </c>
      <c r="DN2821" t="e">
        <f t="shared" si="154"/>
        <v>#N/A</v>
      </c>
      <c r="DO2821" t="e">
        <f t="shared" si="155"/>
        <v>#N/A</v>
      </c>
    </row>
    <row r="2822" spans="7:119" x14ac:dyDescent="0.25">
      <c r="G2822"/>
      <c r="DI2822" s="4">
        <f>INDEX(Sheet2!A:A,QUOTIENT(ROW()-1,19)+2)</f>
        <v>41626</v>
      </c>
      <c r="DJ2822" s="4">
        <f>INDEX(Sheet2!C:C,QUOTIENT(ROW()-1,19)+2)</f>
        <v>42369</v>
      </c>
      <c r="DK2822" s="4" t="e">
        <f>INDEX(Sheet2!$AA$2:$AS$228,QUOTIENT(ROW()-1,19)+1,MOD(ROW()-2,19)+1)</f>
        <v>#N/A</v>
      </c>
      <c r="DL2822" t="str">
        <f>IFERROR(INDEX(Sheet2!$AU$2:$BM$228,QUOTIENT(ROW()-1,19)+1,MOD(ROW()-2,19)+1),NA())</f>
        <v/>
      </c>
      <c r="DM2822" s="4" t="e">
        <f t="shared" si="153"/>
        <v>#N/A</v>
      </c>
      <c r="DN2822" t="e">
        <f t="shared" si="154"/>
        <v>#N/A</v>
      </c>
      <c r="DO2822" t="e">
        <f t="shared" si="155"/>
        <v>#N/A</v>
      </c>
    </row>
    <row r="2823" spans="7:119" x14ac:dyDescent="0.25">
      <c r="G2823"/>
      <c r="DI2823" s="4">
        <f>INDEX(Sheet2!A:A,QUOTIENT(ROW()-1,19)+2)</f>
        <v>41626</v>
      </c>
      <c r="DJ2823" s="4">
        <f>INDEX(Sheet2!C:C,QUOTIENT(ROW()-1,19)+2)</f>
        <v>42369</v>
      </c>
      <c r="DK2823" s="4" t="e">
        <f>INDEX(Sheet2!$AA$2:$AS$228,QUOTIENT(ROW()-1,19)+1,MOD(ROW()-2,19)+1)</f>
        <v>#N/A</v>
      </c>
      <c r="DL2823" t="str">
        <f>IFERROR(INDEX(Sheet2!$AU$2:$BM$228,QUOTIENT(ROW()-1,19)+1,MOD(ROW()-2,19)+1),NA())</f>
        <v/>
      </c>
      <c r="DM2823" s="4" t="e">
        <f t="shared" si="153"/>
        <v>#N/A</v>
      </c>
      <c r="DN2823" t="e">
        <f t="shared" si="154"/>
        <v>#N/A</v>
      </c>
      <c r="DO2823" t="e">
        <f t="shared" si="155"/>
        <v>#N/A</v>
      </c>
    </row>
    <row r="2824" spans="7:119" x14ac:dyDescent="0.25">
      <c r="G2824"/>
      <c r="DI2824" s="4">
        <f>INDEX(Sheet2!A:A,QUOTIENT(ROW()-1,19)+2)</f>
        <v>41626</v>
      </c>
      <c r="DJ2824" s="4">
        <f>INDEX(Sheet2!C:C,QUOTIENT(ROW()-1,19)+2)</f>
        <v>42369</v>
      </c>
      <c r="DK2824" s="4" t="e">
        <f>INDEX(Sheet2!$AA$2:$AS$228,QUOTIENT(ROW()-1,19)+1,MOD(ROW()-2,19)+1)</f>
        <v>#N/A</v>
      </c>
      <c r="DL2824" t="str">
        <f>IFERROR(INDEX(Sheet2!$AU$2:$BM$228,QUOTIENT(ROW()-1,19)+1,MOD(ROW()-2,19)+1),NA())</f>
        <v/>
      </c>
      <c r="DM2824" s="4" t="e">
        <f t="shared" si="153"/>
        <v>#N/A</v>
      </c>
      <c r="DN2824" t="e">
        <f t="shared" si="154"/>
        <v>#N/A</v>
      </c>
      <c r="DO2824" t="e">
        <f t="shared" si="155"/>
        <v>#N/A</v>
      </c>
    </row>
    <row r="2825" spans="7:119" x14ac:dyDescent="0.25">
      <c r="G2825"/>
      <c r="DI2825" s="4">
        <f>INDEX(Sheet2!A:A,QUOTIENT(ROW()-1,19)+2)</f>
        <v>41626</v>
      </c>
      <c r="DJ2825" s="4">
        <f>INDEX(Sheet2!C:C,QUOTIENT(ROW()-1,19)+2)</f>
        <v>42369</v>
      </c>
      <c r="DK2825" s="4" t="e">
        <f>INDEX(Sheet2!$AA$2:$AS$228,QUOTIENT(ROW()-1,19)+1,MOD(ROW()-2,19)+1)</f>
        <v>#N/A</v>
      </c>
      <c r="DL2825" t="str">
        <f>IFERROR(INDEX(Sheet2!$AU$2:$BM$228,QUOTIENT(ROW()-1,19)+1,MOD(ROW()-2,19)+1),NA())</f>
        <v/>
      </c>
      <c r="DM2825" s="4" t="e">
        <f t="shared" si="153"/>
        <v>#N/A</v>
      </c>
      <c r="DN2825" t="e">
        <f t="shared" si="154"/>
        <v>#N/A</v>
      </c>
      <c r="DO2825" t="e">
        <f t="shared" si="155"/>
        <v>#N/A</v>
      </c>
    </row>
    <row r="2826" spans="7:119" x14ac:dyDescent="0.25">
      <c r="G2826"/>
      <c r="DI2826" s="4">
        <f>INDEX(Sheet2!A:A,QUOTIENT(ROW()-1,19)+2)</f>
        <v>41626</v>
      </c>
      <c r="DJ2826" s="4">
        <f>INDEX(Sheet2!C:C,QUOTIENT(ROW()-1,19)+2)</f>
        <v>42369</v>
      </c>
      <c r="DK2826" s="4" t="e">
        <f>INDEX(Sheet2!$AA$2:$AS$228,QUOTIENT(ROW()-1,19)+1,MOD(ROW()-2,19)+1)</f>
        <v>#N/A</v>
      </c>
      <c r="DL2826" t="str">
        <f>IFERROR(INDEX(Sheet2!$AU$2:$BM$228,QUOTIENT(ROW()-1,19)+1,MOD(ROW()-2,19)+1),NA())</f>
        <v/>
      </c>
      <c r="DM2826" s="4" t="e">
        <f t="shared" si="153"/>
        <v>#N/A</v>
      </c>
      <c r="DN2826" t="e">
        <f t="shared" si="154"/>
        <v>#N/A</v>
      </c>
      <c r="DO2826" t="e">
        <f t="shared" si="155"/>
        <v>#N/A</v>
      </c>
    </row>
    <row r="2827" spans="7:119" x14ac:dyDescent="0.25">
      <c r="G2827"/>
      <c r="DI2827" s="4">
        <f>INDEX(Sheet2!A:A,QUOTIENT(ROW()-1,19)+2)</f>
        <v>41626</v>
      </c>
      <c r="DJ2827" s="4">
        <f>INDEX(Sheet2!C:C,QUOTIENT(ROW()-1,19)+2)</f>
        <v>42369</v>
      </c>
      <c r="DK2827" s="4" t="e">
        <f>INDEX(Sheet2!$AA$2:$AS$228,QUOTIENT(ROW()-1,19)+1,MOD(ROW()-2,19)+1)</f>
        <v>#N/A</v>
      </c>
      <c r="DL2827" t="str">
        <f>IFERROR(INDEX(Sheet2!$AU$2:$BM$228,QUOTIENT(ROW()-1,19)+1,MOD(ROW()-2,19)+1),NA())</f>
        <v/>
      </c>
      <c r="DM2827" s="4" t="e">
        <f t="shared" si="153"/>
        <v>#N/A</v>
      </c>
      <c r="DN2827" t="e">
        <f t="shared" si="154"/>
        <v>#N/A</v>
      </c>
      <c r="DO2827" t="e">
        <f t="shared" si="155"/>
        <v>#N/A</v>
      </c>
    </row>
    <row r="2828" spans="7:119" x14ac:dyDescent="0.25">
      <c r="G2828"/>
      <c r="DI2828" s="4">
        <f>INDEX(Sheet2!A:A,QUOTIENT(ROW()-1,19)+2)</f>
        <v>41626</v>
      </c>
      <c r="DJ2828" s="4">
        <f>INDEX(Sheet2!C:C,QUOTIENT(ROW()-1,19)+2)</f>
        <v>42369</v>
      </c>
      <c r="DK2828" s="4" t="e">
        <f>INDEX(Sheet2!$AA$2:$AS$228,QUOTIENT(ROW()-1,19)+1,MOD(ROW()-2,19)+1)</f>
        <v>#N/A</v>
      </c>
      <c r="DL2828" t="str">
        <f>IFERROR(INDEX(Sheet2!$AU$2:$BM$228,QUOTIENT(ROW()-1,19)+1,MOD(ROW()-2,19)+1),NA())</f>
        <v/>
      </c>
      <c r="DM2828" s="4" t="e">
        <f t="shared" si="153"/>
        <v>#N/A</v>
      </c>
      <c r="DN2828" t="e">
        <f t="shared" si="154"/>
        <v>#N/A</v>
      </c>
      <c r="DO2828" t="e">
        <f t="shared" si="155"/>
        <v>#N/A</v>
      </c>
    </row>
    <row r="2829" spans="7:119" x14ac:dyDescent="0.25">
      <c r="G2829"/>
      <c r="DI2829" s="4">
        <f>INDEX(Sheet2!A:A,QUOTIENT(ROW()-1,19)+2)</f>
        <v>41626</v>
      </c>
      <c r="DJ2829" s="4">
        <f>INDEX(Sheet2!C:C,QUOTIENT(ROW()-1,19)+2)</f>
        <v>42369</v>
      </c>
      <c r="DK2829" s="4" t="e">
        <f>INDEX(Sheet2!$AA$2:$AS$228,QUOTIENT(ROW()-1,19)+1,MOD(ROW()-2,19)+1)</f>
        <v>#N/A</v>
      </c>
      <c r="DL2829" t="str">
        <f>IFERROR(INDEX(Sheet2!$AU$2:$BM$228,QUOTIENT(ROW()-1,19)+1,MOD(ROW()-2,19)+1),NA())</f>
        <v/>
      </c>
      <c r="DM2829" s="4" t="e">
        <f t="shared" si="153"/>
        <v>#N/A</v>
      </c>
      <c r="DN2829" t="e">
        <f t="shared" si="154"/>
        <v>#N/A</v>
      </c>
      <c r="DO2829" t="e">
        <f t="shared" si="155"/>
        <v>#N/A</v>
      </c>
    </row>
    <row r="2830" spans="7:119" x14ac:dyDescent="0.25">
      <c r="G2830"/>
      <c r="DI2830" s="4">
        <f>INDEX(Sheet2!A:A,QUOTIENT(ROW()-1,19)+2)</f>
        <v>41626</v>
      </c>
      <c r="DJ2830" s="4">
        <f>INDEX(Sheet2!C:C,QUOTIENT(ROW()-1,19)+2)</f>
        <v>42369</v>
      </c>
      <c r="DK2830" s="4" t="e">
        <f>INDEX(Sheet2!$AA$2:$AS$228,QUOTIENT(ROW()-1,19)+1,MOD(ROW()-2,19)+1)</f>
        <v>#N/A</v>
      </c>
      <c r="DL2830" t="str">
        <f>IFERROR(INDEX(Sheet2!$AU$2:$BM$228,QUOTIENT(ROW()-1,19)+1,MOD(ROW()-2,19)+1),NA())</f>
        <v/>
      </c>
      <c r="DM2830" s="4" t="e">
        <f t="shared" si="153"/>
        <v>#N/A</v>
      </c>
      <c r="DN2830" t="e">
        <f t="shared" si="154"/>
        <v>#N/A</v>
      </c>
      <c r="DO2830" t="e">
        <f t="shared" si="155"/>
        <v>#N/A</v>
      </c>
    </row>
    <row r="2831" spans="7:119" x14ac:dyDescent="0.25">
      <c r="G2831"/>
      <c r="DI2831" s="4">
        <f>INDEX(Sheet2!A:A,QUOTIENT(ROW()-1,19)+2)</f>
        <v>41626</v>
      </c>
      <c r="DJ2831" s="4">
        <f>INDEX(Sheet2!C:C,QUOTIENT(ROW()-1,19)+2)</f>
        <v>42369</v>
      </c>
      <c r="DK2831" s="4" t="e">
        <f>INDEX(Sheet2!$AA$2:$AS$228,QUOTIENT(ROW()-1,19)+1,MOD(ROW()-2,19)+1)</f>
        <v>#N/A</v>
      </c>
      <c r="DL2831" t="str">
        <f>IFERROR(INDEX(Sheet2!$AU$2:$BM$228,QUOTIENT(ROW()-1,19)+1,MOD(ROW()-2,19)+1),NA())</f>
        <v/>
      </c>
      <c r="DM2831" s="4" t="e">
        <f t="shared" si="153"/>
        <v>#N/A</v>
      </c>
      <c r="DN2831" t="e">
        <f t="shared" si="154"/>
        <v>#N/A</v>
      </c>
      <c r="DO2831" t="e">
        <f t="shared" si="155"/>
        <v>#N/A</v>
      </c>
    </row>
    <row r="2832" spans="7:119" x14ac:dyDescent="0.25">
      <c r="G2832"/>
      <c r="DI2832" s="4">
        <f>INDEX(Sheet2!A:A,QUOTIENT(ROW()-1,19)+2)</f>
        <v>41626</v>
      </c>
      <c r="DJ2832" s="4">
        <f>INDEX(Sheet2!C:C,QUOTIENT(ROW()-1,19)+2)</f>
        <v>42369</v>
      </c>
      <c r="DK2832" s="4" t="e">
        <f>INDEX(Sheet2!$AA$2:$AS$228,QUOTIENT(ROW()-1,19)+1,MOD(ROW()-2,19)+1)</f>
        <v>#N/A</v>
      </c>
      <c r="DL2832" t="str">
        <f>IFERROR(INDEX(Sheet2!$AU$2:$BM$228,QUOTIENT(ROW()-1,19)+1,MOD(ROW()-2,19)+1),NA())</f>
        <v/>
      </c>
      <c r="DM2832" s="4" t="e">
        <f t="shared" si="153"/>
        <v>#N/A</v>
      </c>
      <c r="DN2832" t="e">
        <f t="shared" si="154"/>
        <v>#N/A</v>
      </c>
      <c r="DO2832" t="e">
        <f t="shared" si="155"/>
        <v>#N/A</v>
      </c>
    </row>
    <row r="2833" spans="7:119" x14ac:dyDescent="0.25">
      <c r="G2833"/>
      <c r="DI2833" s="4">
        <f>INDEX(Sheet2!A:A,QUOTIENT(ROW()-1,19)+2)</f>
        <v>41626</v>
      </c>
      <c r="DJ2833" s="4">
        <f>INDEX(Sheet2!C:C,QUOTIENT(ROW()-1,19)+2)</f>
        <v>42369</v>
      </c>
      <c r="DK2833" s="4">
        <f>INDEX(Sheet2!$AA$2:$AS$228,QUOTIENT(ROW()-1,19)+1,MOD(ROW()-2,19)+1)</f>
        <v>42338.887499999997</v>
      </c>
      <c r="DL2833">
        <f>IFERROR(INDEX(Sheet2!$AU$2:$BM$228,QUOTIENT(ROW()-1,19)+1,MOD(ROW()-2,19)+1),NA())</f>
        <v>0.75</v>
      </c>
      <c r="DM2833" s="4" t="e">
        <f t="shared" si="153"/>
        <v>#N/A</v>
      </c>
      <c r="DN2833" t="e">
        <f t="shared" si="154"/>
        <v>#N/A</v>
      </c>
      <c r="DO2833" t="e">
        <f t="shared" si="155"/>
        <v>#N/A</v>
      </c>
    </row>
    <row r="2834" spans="7:119" x14ac:dyDescent="0.25">
      <c r="G2834"/>
      <c r="DI2834" s="4">
        <f>INDEX(Sheet2!A:A,QUOTIENT(ROW()-1,19)+2)</f>
        <v>41626</v>
      </c>
      <c r="DJ2834" s="4">
        <f>INDEX(Sheet2!C:C,QUOTIENT(ROW()-1,19)+2)</f>
        <v>42369</v>
      </c>
      <c r="DK2834" s="4">
        <f>INDEX(Sheet2!$AA$2:$AS$228,QUOTIENT(ROW()-1,19)+1,MOD(ROW()-2,19)+1)</f>
        <v>42358.962500000001</v>
      </c>
      <c r="DL2834">
        <f>IFERROR(INDEX(Sheet2!$AU$2:$BM$228,QUOTIENT(ROW()-1,19)+1,MOD(ROW()-2,19)+1),NA())</f>
        <v>0.75</v>
      </c>
      <c r="DM2834" s="4" t="e">
        <f t="shared" si="153"/>
        <v>#N/A</v>
      </c>
      <c r="DN2834" t="e">
        <f t="shared" si="154"/>
        <v>#N/A</v>
      </c>
      <c r="DO2834" t="e">
        <f t="shared" si="155"/>
        <v>#N/A</v>
      </c>
    </row>
    <row r="2835" spans="7:119" x14ac:dyDescent="0.25">
      <c r="G2835"/>
      <c r="DI2835" s="4">
        <f>INDEX(Sheet2!A:A,QUOTIENT(ROW()-1,19)+2)</f>
        <v>41626</v>
      </c>
      <c r="DJ2835" s="4">
        <f>INDEX(Sheet2!C:C,QUOTIENT(ROW()-1,19)+2)</f>
        <v>42369</v>
      </c>
      <c r="DK2835" s="4">
        <f>INDEX(Sheet2!$AA$2:$AS$228,QUOTIENT(ROW()-1,19)+1,MOD(ROW()-2,19)+1)</f>
        <v>42379.037499999999</v>
      </c>
      <c r="DL2835">
        <f>IFERROR(INDEX(Sheet2!$AU$2:$BM$228,QUOTIENT(ROW()-1,19)+1,MOD(ROW()-2,19)+1),NA())</f>
        <v>0.75</v>
      </c>
      <c r="DM2835" s="4" t="e">
        <f t="shared" si="153"/>
        <v>#N/A</v>
      </c>
      <c r="DN2835" t="e">
        <f t="shared" si="154"/>
        <v>#N/A</v>
      </c>
      <c r="DO2835" t="e">
        <f t="shared" si="155"/>
        <v>#N/A</v>
      </c>
    </row>
    <row r="2836" spans="7:119" x14ac:dyDescent="0.25">
      <c r="G2836"/>
      <c r="DI2836" s="4">
        <f>INDEX(Sheet2!A:A,QUOTIENT(ROW()-1,19)+2)</f>
        <v>41626</v>
      </c>
      <c r="DJ2836" s="4">
        <f>INDEX(Sheet2!C:C,QUOTIENT(ROW()-1,19)+2)</f>
        <v>42369</v>
      </c>
      <c r="DK2836" s="4">
        <f>INDEX(Sheet2!$AA$2:$AS$228,QUOTIENT(ROW()-1,19)+1,MOD(ROW()-2,19)+1)</f>
        <v>42399.112500000003</v>
      </c>
      <c r="DL2836">
        <f>IFERROR(INDEX(Sheet2!$AU$2:$BM$228,QUOTIENT(ROW()-1,19)+1,MOD(ROW()-2,19)+1),NA())</f>
        <v>0.75</v>
      </c>
      <c r="DM2836" s="4" t="e">
        <f t="shared" si="153"/>
        <v>#N/A</v>
      </c>
      <c r="DN2836" t="e">
        <f t="shared" si="154"/>
        <v>#N/A</v>
      </c>
      <c r="DO2836" t="e">
        <f t="shared" si="155"/>
        <v>#N/A</v>
      </c>
    </row>
    <row r="2837" spans="7:119" x14ac:dyDescent="0.25">
      <c r="G2837"/>
      <c r="DI2837" s="4">
        <f>INDEX(Sheet2!A:A,QUOTIENT(ROW()-1,19)+2)</f>
        <v>41626</v>
      </c>
      <c r="DJ2837" s="4">
        <f>INDEX(Sheet2!C:C,QUOTIENT(ROW()-1,19)+2)</f>
        <v>42369</v>
      </c>
      <c r="DK2837" s="4" t="e">
        <f>INDEX(Sheet2!$AA$2:$AS$228,QUOTIENT(ROW()-1,19)+1,MOD(ROW()-2,19)+1)</f>
        <v>#N/A</v>
      </c>
      <c r="DL2837" t="str">
        <f>IFERROR(INDEX(Sheet2!$AU$2:$BM$228,QUOTIENT(ROW()-1,19)+1,MOD(ROW()-2,19)+1),NA())</f>
        <v/>
      </c>
      <c r="DM2837" s="4" t="e">
        <f t="shared" si="153"/>
        <v>#N/A</v>
      </c>
      <c r="DN2837" t="e">
        <f t="shared" si="154"/>
        <v>#N/A</v>
      </c>
      <c r="DO2837" t="e">
        <f t="shared" si="155"/>
        <v>#N/A</v>
      </c>
    </row>
    <row r="2838" spans="7:119" x14ac:dyDescent="0.25">
      <c r="G2838"/>
      <c r="DI2838" s="4">
        <f>INDEX(Sheet2!A:A,QUOTIENT(ROW()-1,19)+2)</f>
        <v>41626</v>
      </c>
      <c r="DJ2838" s="4">
        <f>INDEX(Sheet2!C:C,QUOTIENT(ROW()-1,19)+2)</f>
        <v>42369</v>
      </c>
      <c r="DK2838" s="4" t="e">
        <f>INDEX(Sheet2!$AA$2:$AS$228,QUOTIENT(ROW()-1,19)+1,MOD(ROW()-2,19)+1)</f>
        <v>#N/A</v>
      </c>
      <c r="DL2838" t="str">
        <f>IFERROR(INDEX(Sheet2!$AU$2:$BM$228,QUOTIENT(ROW()-1,19)+1,MOD(ROW()-2,19)+1),NA())</f>
        <v/>
      </c>
      <c r="DM2838" s="4" t="e">
        <f t="shared" si="153"/>
        <v>#N/A</v>
      </c>
      <c r="DN2838" t="e">
        <f t="shared" si="154"/>
        <v>#N/A</v>
      </c>
      <c r="DO2838" t="e">
        <f t="shared" si="155"/>
        <v>#N/A</v>
      </c>
    </row>
    <row r="2839" spans="7:119" x14ac:dyDescent="0.25">
      <c r="G2839"/>
      <c r="DI2839" s="4">
        <f>INDEX(Sheet2!A:A,QUOTIENT(ROW()-1,19)+2)</f>
        <v>41626</v>
      </c>
      <c r="DJ2839" s="4">
        <f>INDEX(Sheet2!C:C,QUOTIENT(ROW()-1,19)+2)</f>
        <v>42369</v>
      </c>
      <c r="DK2839" s="4" t="e">
        <f>INDEX(Sheet2!$AA$2:$AS$228,QUOTIENT(ROW()-1,19)+1,MOD(ROW()-2,19)+1)</f>
        <v>#N/A</v>
      </c>
      <c r="DL2839" t="str">
        <f>IFERROR(INDEX(Sheet2!$AU$2:$BM$228,QUOTIENT(ROW()-1,19)+1,MOD(ROW()-2,19)+1),NA())</f>
        <v/>
      </c>
      <c r="DM2839" s="4" t="e">
        <f t="shared" si="153"/>
        <v>#N/A</v>
      </c>
      <c r="DN2839" t="e">
        <f t="shared" si="154"/>
        <v>#N/A</v>
      </c>
      <c r="DO2839" t="e">
        <f t="shared" si="155"/>
        <v>#N/A</v>
      </c>
    </row>
    <row r="2840" spans="7:119" x14ac:dyDescent="0.25">
      <c r="G2840"/>
      <c r="DI2840" s="4">
        <f>INDEX(Sheet2!A:A,QUOTIENT(ROW()-1,19)+2)</f>
        <v>41626</v>
      </c>
      <c r="DJ2840" s="4">
        <f>INDEX(Sheet2!C:C,QUOTIENT(ROW()-1,19)+2)</f>
        <v>42369</v>
      </c>
      <c r="DK2840" s="4" t="e">
        <f>INDEX(Sheet2!$AA$2:$AS$228,QUOTIENT(ROW()-1,19)+1,MOD(ROW()-2,19)+1)</f>
        <v>#N/A</v>
      </c>
      <c r="DL2840" t="str">
        <f>IFERROR(INDEX(Sheet2!$AU$2:$BM$228,QUOTIENT(ROW()-1,19)+1,MOD(ROW()-2,19)+1),NA())</f>
        <v/>
      </c>
      <c r="DM2840" s="4" t="e">
        <f t="shared" si="153"/>
        <v>#N/A</v>
      </c>
      <c r="DN2840" t="e">
        <f t="shared" si="154"/>
        <v>#N/A</v>
      </c>
      <c r="DO2840" t="e">
        <f t="shared" si="155"/>
        <v>#N/A</v>
      </c>
    </row>
    <row r="2841" spans="7:119" x14ac:dyDescent="0.25">
      <c r="G2841"/>
      <c r="DI2841" s="4">
        <f>INDEX(Sheet2!A:A,QUOTIENT(ROW()-1,19)+2)</f>
        <v>41626</v>
      </c>
      <c r="DJ2841" s="4">
        <f>INDEX(Sheet2!C:C,QUOTIENT(ROW()-1,19)+2)</f>
        <v>42369</v>
      </c>
      <c r="DK2841" s="4" t="e">
        <f>INDEX(Sheet2!$AA$2:$AS$228,QUOTIENT(ROW()-1,19)+1,MOD(ROW()-2,19)+1)</f>
        <v>#N/A</v>
      </c>
      <c r="DL2841" t="str">
        <f>IFERROR(INDEX(Sheet2!$AU$2:$BM$228,QUOTIENT(ROW()-1,19)+1,MOD(ROW()-2,19)+1),NA())</f>
        <v/>
      </c>
      <c r="DM2841" s="4" t="e">
        <f t="shared" si="153"/>
        <v>#N/A</v>
      </c>
      <c r="DN2841" t="e">
        <f t="shared" si="154"/>
        <v>#N/A</v>
      </c>
      <c r="DO2841" t="e">
        <f t="shared" si="155"/>
        <v>#N/A</v>
      </c>
    </row>
    <row r="2842" spans="7:119" x14ac:dyDescent="0.25">
      <c r="G2842"/>
      <c r="DI2842" s="4">
        <f>INDEX(Sheet2!A:A,QUOTIENT(ROW()-1,19)+2)</f>
        <v>41626</v>
      </c>
      <c r="DJ2842" s="4">
        <f>INDEX(Sheet2!C:C,QUOTIENT(ROW()-1,19)+2)</f>
        <v>42369</v>
      </c>
      <c r="DK2842" s="4" t="e">
        <f>INDEX(Sheet2!$AA$2:$AS$228,QUOTIENT(ROW()-1,19)+1,MOD(ROW()-2,19)+1)</f>
        <v>#N/A</v>
      </c>
      <c r="DL2842" t="str">
        <f>IFERROR(INDEX(Sheet2!$AU$2:$BM$228,QUOTIENT(ROW()-1,19)+1,MOD(ROW()-2,19)+1),NA())</f>
        <v/>
      </c>
      <c r="DM2842" s="4" t="e">
        <f t="shared" si="153"/>
        <v>#N/A</v>
      </c>
      <c r="DN2842" t="e">
        <f t="shared" si="154"/>
        <v>#N/A</v>
      </c>
      <c r="DO2842" t="e">
        <f t="shared" si="155"/>
        <v>#N/A</v>
      </c>
    </row>
    <row r="2843" spans="7:119" x14ac:dyDescent="0.25">
      <c r="G2843"/>
      <c r="DI2843" s="4">
        <f>INDEX(Sheet2!A:A,QUOTIENT(ROW()-1,19)+2)</f>
        <v>41626</v>
      </c>
      <c r="DJ2843" s="4">
        <f>INDEX(Sheet2!C:C,QUOTIENT(ROW()-1,19)+2)</f>
        <v>42369</v>
      </c>
      <c r="DK2843" s="4" t="e">
        <f>INDEX(Sheet2!$AA$2:$AS$228,QUOTIENT(ROW()-1,19)+1,MOD(ROW()-2,19)+1)</f>
        <v>#N/A</v>
      </c>
      <c r="DL2843" t="str">
        <f>IFERROR(INDEX(Sheet2!$AU$2:$BM$228,QUOTIENT(ROW()-1,19)+1,MOD(ROW()-2,19)+1),NA())</f>
        <v/>
      </c>
      <c r="DM2843" s="4" t="e">
        <f t="shared" si="153"/>
        <v>#N/A</v>
      </c>
      <c r="DN2843" t="e">
        <f t="shared" si="154"/>
        <v>#N/A</v>
      </c>
      <c r="DO2843" t="e">
        <f t="shared" si="155"/>
        <v>#N/A</v>
      </c>
    </row>
    <row r="2844" spans="7:119" x14ac:dyDescent="0.25">
      <c r="G2844"/>
      <c r="DI2844" s="4">
        <f>INDEX(Sheet2!A:A,QUOTIENT(ROW()-1,19)+2)</f>
        <v>41626</v>
      </c>
      <c r="DJ2844" s="4">
        <f>INDEX(Sheet2!C:C,QUOTIENT(ROW()-1,19)+2)</f>
        <v>42369</v>
      </c>
      <c r="DK2844" s="4" t="e">
        <f>INDEX(Sheet2!$AA$2:$AS$228,QUOTIENT(ROW()-1,19)+1,MOD(ROW()-2,19)+1)</f>
        <v>#N/A</v>
      </c>
      <c r="DL2844" t="str">
        <f>IFERROR(INDEX(Sheet2!$AU$2:$BM$228,QUOTIENT(ROW()-1,19)+1,MOD(ROW()-2,19)+1),NA())</f>
        <v/>
      </c>
      <c r="DM2844" s="4" t="e">
        <f t="shared" si="153"/>
        <v>#N/A</v>
      </c>
      <c r="DN2844" t="e">
        <f t="shared" si="154"/>
        <v>#N/A</v>
      </c>
      <c r="DO2844" t="e">
        <f t="shared" si="155"/>
        <v>#N/A</v>
      </c>
    </row>
    <row r="2845" spans="7:119" x14ac:dyDescent="0.25">
      <c r="G2845"/>
      <c r="DI2845" s="4">
        <f>INDEX(Sheet2!A:A,QUOTIENT(ROW()-1,19)+2)</f>
        <v>41626</v>
      </c>
      <c r="DJ2845" s="4">
        <f>INDEX(Sheet2!C:C,QUOTIENT(ROW()-1,19)+2)</f>
        <v>42369</v>
      </c>
      <c r="DK2845" s="4" t="e">
        <f>INDEX(Sheet2!$AA$2:$AS$228,QUOTIENT(ROW()-1,19)+1,MOD(ROW()-2,19)+1)</f>
        <v>#N/A</v>
      </c>
      <c r="DL2845" t="str">
        <f>IFERROR(INDEX(Sheet2!$AU$2:$BM$228,QUOTIENT(ROW()-1,19)+1,MOD(ROW()-2,19)+1),NA())</f>
        <v/>
      </c>
      <c r="DM2845" s="4" t="e">
        <f t="shared" si="153"/>
        <v>#N/A</v>
      </c>
      <c r="DN2845" t="e">
        <f t="shared" si="154"/>
        <v>#N/A</v>
      </c>
      <c r="DO2845" t="e">
        <f t="shared" si="155"/>
        <v>#N/A</v>
      </c>
    </row>
    <row r="2846" spans="7:119" x14ac:dyDescent="0.25">
      <c r="G2846"/>
      <c r="DI2846" s="4">
        <f>INDEX(Sheet2!A:A,QUOTIENT(ROW()-1,19)+2)</f>
        <v>41626</v>
      </c>
      <c r="DJ2846" s="4">
        <f>INDEX(Sheet2!C:C,QUOTIENT(ROW()-1,19)+2)</f>
        <v>42369</v>
      </c>
      <c r="DK2846" s="4" t="e">
        <f>INDEX(Sheet2!$AA$2:$AS$228,QUOTIENT(ROW()-1,19)+1,MOD(ROW()-2,19)+1)</f>
        <v>#N/A</v>
      </c>
      <c r="DL2846" t="str">
        <f>IFERROR(INDEX(Sheet2!$AU$2:$BM$228,QUOTIENT(ROW()-1,19)+1,MOD(ROW()-2,19)+1),NA())</f>
        <v/>
      </c>
      <c r="DM2846" s="4" t="e">
        <f t="shared" si="153"/>
        <v>#N/A</v>
      </c>
      <c r="DN2846" t="e">
        <f t="shared" si="154"/>
        <v>#N/A</v>
      </c>
      <c r="DO2846" t="e">
        <f t="shared" si="155"/>
        <v>#N/A</v>
      </c>
    </row>
    <row r="2847" spans="7:119" x14ac:dyDescent="0.25">
      <c r="G2847"/>
      <c r="DI2847" s="4">
        <f>INDEX(Sheet2!A:A,QUOTIENT(ROW()-1,19)+2)</f>
        <v>41626</v>
      </c>
      <c r="DJ2847" s="4">
        <f>INDEX(Sheet2!C:C,QUOTIENT(ROW()-1,19)+2)</f>
        <v>42369</v>
      </c>
      <c r="DK2847" s="4" t="e">
        <f>INDEX(Sheet2!$AA$2:$AS$228,QUOTIENT(ROW()-1,19)+1,MOD(ROW()-2,19)+1)</f>
        <v>#N/A</v>
      </c>
      <c r="DL2847" t="str">
        <f>IFERROR(INDEX(Sheet2!$AU$2:$BM$228,QUOTIENT(ROW()-1,19)+1,MOD(ROW()-2,19)+1),NA())</f>
        <v/>
      </c>
      <c r="DM2847" s="4" t="e">
        <f t="shared" si="153"/>
        <v>#N/A</v>
      </c>
      <c r="DN2847" t="e">
        <f t="shared" si="154"/>
        <v>#N/A</v>
      </c>
      <c r="DO2847" t="e">
        <f t="shared" si="155"/>
        <v>#N/A</v>
      </c>
    </row>
    <row r="2848" spans="7:119" x14ac:dyDescent="0.25">
      <c r="G2848"/>
      <c r="DI2848" s="4">
        <f>INDEX(Sheet2!A:A,QUOTIENT(ROW()-1,19)+2)</f>
        <v>41626</v>
      </c>
      <c r="DJ2848" s="4">
        <f>INDEX(Sheet2!C:C,QUOTIENT(ROW()-1,19)+2)</f>
        <v>42369</v>
      </c>
      <c r="DK2848" s="4" t="e">
        <f>INDEX(Sheet2!$AA$2:$AS$228,QUOTIENT(ROW()-1,19)+1,MOD(ROW()-2,19)+1)</f>
        <v>#N/A</v>
      </c>
      <c r="DL2848" t="str">
        <f>IFERROR(INDEX(Sheet2!$AU$2:$BM$228,QUOTIENT(ROW()-1,19)+1,MOD(ROW()-2,19)+1),NA())</f>
        <v/>
      </c>
      <c r="DM2848" s="4" t="e">
        <f t="shared" si="153"/>
        <v>#N/A</v>
      </c>
      <c r="DN2848" t="e">
        <f t="shared" si="154"/>
        <v>#N/A</v>
      </c>
      <c r="DO2848" t="e">
        <f t="shared" si="155"/>
        <v>#N/A</v>
      </c>
    </row>
    <row r="2849" spans="7:119" x14ac:dyDescent="0.25">
      <c r="G2849"/>
      <c r="DI2849" s="4">
        <f>INDEX(Sheet2!A:A,QUOTIENT(ROW()-1,19)+2)</f>
        <v>41626</v>
      </c>
      <c r="DJ2849" s="4">
        <f>INDEX(Sheet2!C:C,QUOTIENT(ROW()-1,19)+2)</f>
        <v>42369</v>
      </c>
      <c r="DK2849" s="4" t="e">
        <f>INDEX(Sheet2!$AA$2:$AS$228,QUOTIENT(ROW()-1,19)+1,MOD(ROW()-2,19)+1)</f>
        <v>#N/A</v>
      </c>
      <c r="DL2849" t="str">
        <f>IFERROR(INDEX(Sheet2!$AU$2:$BM$228,QUOTIENT(ROW()-1,19)+1,MOD(ROW()-2,19)+1),NA())</f>
        <v/>
      </c>
      <c r="DM2849" s="4" t="e">
        <f t="shared" si="153"/>
        <v>#N/A</v>
      </c>
      <c r="DN2849" t="e">
        <f t="shared" si="154"/>
        <v>#N/A</v>
      </c>
      <c r="DO2849" t="e">
        <f t="shared" si="155"/>
        <v>#N/A</v>
      </c>
    </row>
    <row r="2850" spans="7:119" x14ac:dyDescent="0.25">
      <c r="G2850"/>
      <c r="DI2850" s="4">
        <f>INDEX(Sheet2!A:A,QUOTIENT(ROW()-1,19)+2)</f>
        <v>41626</v>
      </c>
      <c r="DJ2850" s="4">
        <f>INDEX(Sheet2!C:C,QUOTIENT(ROW()-1,19)+2)</f>
        <v>42369</v>
      </c>
      <c r="DK2850" s="4" t="e">
        <f>INDEX(Sheet2!$AA$2:$AS$228,QUOTIENT(ROW()-1,19)+1,MOD(ROW()-2,19)+1)</f>
        <v>#N/A</v>
      </c>
      <c r="DL2850" t="str">
        <f>IFERROR(INDEX(Sheet2!$AU$2:$BM$228,QUOTIENT(ROW()-1,19)+1,MOD(ROW()-2,19)+1),NA())</f>
        <v/>
      </c>
      <c r="DM2850" s="4" t="e">
        <f t="shared" si="153"/>
        <v>#N/A</v>
      </c>
      <c r="DN2850" t="e">
        <f t="shared" si="154"/>
        <v>#N/A</v>
      </c>
      <c r="DO2850" t="e">
        <f t="shared" si="155"/>
        <v>#N/A</v>
      </c>
    </row>
    <row r="2851" spans="7:119" x14ac:dyDescent="0.25">
      <c r="G2851"/>
      <c r="DI2851" s="4">
        <f>INDEX(Sheet2!A:A,QUOTIENT(ROW()-1,19)+2)</f>
        <v>41626</v>
      </c>
      <c r="DJ2851" s="4">
        <f>INDEX(Sheet2!C:C,QUOTIENT(ROW()-1,19)+2)</f>
        <v>42369</v>
      </c>
      <c r="DK2851" s="4" t="e">
        <f>INDEX(Sheet2!$AA$2:$AS$228,QUOTIENT(ROW()-1,19)+1,MOD(ROW()-2,19)+1)</f>
        <v>#N/A</v>
      </c>
      <c r="DL2851" t="str">
        <f>IFERROR(INDEX(Sheet2!$AU$2:$BM$228,QUOTIENT(ROW()-1,19)+1,MOD(ROW()-2,19)+1),NA())</f>
        <v/>
      </c>
      <c r="DM2851" s="4" t="e">
        <f t="shared" si="153"/>
        <v>#N/A</v>
      </c>
      <c r="DN2851" t="e">
        <f t="shared" si="154"/>
        <v>#N/A</v>
      </c>
      <c r="DO2851" t="e">
        <f t="shared" si="155"/>
        <v>#N/A</v>
      </c>
    </row>
    <row r="2852" spans="7:119" x14ac:dyDescent="0.25">
      <c r="G2852"/>
      <c r="DI2852" s="4">
        <f>INDEX(Sheet2!A:A,QUOTIENT(ROW()-1,19)+2)</f>
        <v>41626</v>
      </c>
      <c r="DJ2852" s="4">
        <f>INDEX(Sheet2!C:C,QUOTIENT(ROW()-1,19)+2)</f>
        <v>42369</v>
      </c>
      <c r="DK2852" s="4">
        <f>INDEX(Sheet2!$AA$2:$AS$228,QUOTIENT(ROW()-1,19)+1,MOD(ROW()-2,19)+1)</f>
        <v>42358.962500000001</v>
      </c>
      <c r="DL2852">
        <f>IFERROR(INDEX(Sheet2!$AU$2:$BM$228,QUOTIENT(ROW()-1,19)+1,MOD(ROW()-2,19)+1),NA())</f>
        <v>1</v>
      </c>
      <c r="DM2852" s="4" t="e">
        <f t="shared" si="153"/>
        <v>#N/A</v>
      </c>
      <c r="DN2852" t="e">
        <f t="shared" si="154"/>
        <v>#N/A</v>
      </c>
      <c r="DO2852" t="e">
        <f t="shared" si="155"/>
        <v>#N/A</v>
      </c>
    </row>
    <row r="2853" spans="7:119" x14ac:dyDescent="0.25">
      <c r="G2853"/>
      <c r="DI2853" s="4">
        <f>INDEX(Sheet2!A:A,QUOTIENT(ROW()-1,19)+2)</f>
        <v>41626</v>
      </c>
      <c r="DJ2853" s="4">
        <f>INDEX(Sheet2!C:C,QUOTIENT(ROW()-1,19)+2)</f>
        <v>42369</v>
      </c>
      <c r="DK2853" s="4">
        <f>INDEX(Sheet2!$AA$2:$AS$228,QUOTIENT(ROW()-1,19)+1,MOD(ROW()-2,19)+1)</f>
        <v>42379.037500000006</v>
      </c>
      <c r="DL2853">
        <f>IFERROR(INDEX(Sheet2!$AU$2:$BM$228,QUOTIENT(ROW()-1,19)+1,MOD(ROW()-2,19)+1),NA())</f>
        <v>1</v>
      </c>
      <c r="DM2853" s="4" t="e">
        <f t="shared" si="153"/>
        <v>#N/A</v>
      </c>
      <c r="DN2853" t="e">
        <f t="shared" si="154"/>
        <v>#N/A</v>
      </c>
      <c r="DO2853" t="e">
        <f t="shared" si="155"/>
        <v>#N/A</v>
      </c>
    </row>
    <row r="2854" spans="7:119" x14ac:dyDescent="0.25">
      <c r="G2854"/>
      <c r="DI2854" s="4">
        <f>INDEX(Sheet2!A:A,QUOTIENT(ROW()-1,19)+2)</f>
        <v>41626</v>
      </c>
      <c r="DJ2854" s="4">
        <f>INDEX(Sheet2!C:C,QUOTIENT(ROW()-1,19)+2)</f>
        <v>42369</v>
      </c>
      <c r="DK2854" s="4" t="e">
        <f>INDEX(Sheet2!$AA$2:$AS$228,QUOTIENT(ROW()-1,19)+1,MOD(ROW()-2,19)+1)</f>
        <v>#N/A</v>
      </c>
      <c r="DL2854" t="str">
        <f>IFERROR(INDEX(Sheet2!$AU$2:$BM$228,QUOTIENT(ROW()-1,19)+1,MOD(ROW()-2,19)+1),NA())</f>
        <v/>
      </c>
      <c r="DM2854" s="4" t="e">
        <f t="shared" si="153"/>
        <v>#N/A</v>
      </c>
      <c r="DN2854" t="e">
        <f t="shared" si="154"/>
        <v>#N/A</v>
      </c>
      <c r="DO2854" t="e">
        <f t="shared" si="155"/>
        <v>#N/A</v>
      </c>
    </row>
    <row r="2855" spans="7:119" x14ac:dyDescent="0.25">
      <c r="G2855"/>
      <c r="DI2855" s="4">
        <f>INDEX(Sheet2!A:A,QUOTIENT(ROW()-1,19)+2)</f>
        <v>41626</v>
      </c>
      <c r="DJ2855" s="4">
        <f>INDEX(Sheet2!C:C,QUOTIENT(ROW()-1,19)+2)</f>
        <v>42369</v>
      </c>
      <c r="DK2855" s="4" t="e">
        <f>INDEX(Sheet2!$AA$2:$AS$228,QUOTIENT(ROW()-1,19)+1,MOD(ROW()-2,19)+1)</f>
        <v>#N/A</v>
      </c>
      <c r="DL2855" t="str">
        <f>IFERROR(INDEX(Sheet2!$AU$2:$BM$228,QUOTIENT(ROW()-1,19)+1,MOD(ROW()-2,19)+1),NA())</f>
        <v/>
      </c>
      <c r="DM2855" s="4" t="e">
        <f t="shared" si="153"/>
        <v>#N/A</v>
      </c>
      <c r="DN2855" t="e">
        <f t="shared" si="154"/>
        <v>#N/A</v>
      </c>
      <c r="DO2855" t="e">
        <f t="shared" si="155"/>
        <v>#N/A</v>
      </c>
    </row>
    <row r="2856" spans="7:119" x14ac:dyDescent="0.25">
      <c r="G2856"/>
      <c r="DI2856" s="4">
        <f>INDEX(Sheet2!A:A,QUOTIENT(ROW()-1,19)+2)</f>
        <v>41626</v>
      </c>
      <c r="DJ2856" s="4">
        <f>INDEX(Sheet2!C:C,QUOTIENT(ROW()-1,19)+2)</f>
        <v>42369</v>
      </c>
      <c r="DK2856" s="4" t="e">
        <f>INDEX(Sheet2!$AA$2:$AS$228,QUOTIENT(ROW()-1,19)+1,MOD(ROW()-2,19)+1)</f>
        <v>#N/A</v>
      </c>
      <c r="DL2856" t="str">
        <f>IFERROR(INDEX(Sheet2!$AU$2:$BM$228,QUOTIENT(ROW()-1,19)+1,MOD(ROW()-2,19)+1),NA())</f>
        <v/>
      </c>
      <c r="DM2856" s="4" t="e">
        <f t="shared" si="153"/>
        <v>#N/A</v>
      </c>
      <c r="DN2856" t="e">
        <f t="shared" si="154"/>
        <v>#N/A</v>
      </c>
      <c r="DO2856" t="e">
        <f t="shared" si="155"/>
        <v>#N/A</v>
      </c>
    </row>
    <row r="2857" spans="7:119" x14ac:dyDescent="0.25">
      <c r="G2857"/>
      <c r="DI2857" s="4">
        <f>INDEX(Sheet2!A:A,QUOTIENT(ROW()-1,19)+2)</f>
        <v>41626</v>
      </c>
      <c r="DJ2857" s="4">
        <f>INDEX(Sheet2!C:C,QUOTIENT(ROW()-1,19)+2)</f>
        <v>42369</v>
      </c>
      <c r="DK2857" s="4" t="e">
        <f>INDEX(Sheet2!$AA$2:$AS$228,QUOTIENT(ROW()-1,19)+1,MOD(ROW()-2,19)+1)</f>
        <v>#N/A</v>
      </c>
      <c r="DL2857" t="str">
        <f>IFERROR(INDEX(Sheet2!$AU$2:$BM$228,QUOTIENT(ROW()-1,19)+1,MOD(ROW()-2,19)+1),NA())</f>
        <v/>
      </c>
      <c r="DM2857" s="4" t="e">
        <f t="shared" si="153"/>
        <v>#N/A</v>
      </c>
      <c r="DN2857" t="e">
        <f t="shared" si="154"/>
        <v>#N/A</v>
      </c>
      <c r="DO2857" t="e">
        <f t="shared" si="155"/>
        <v>#N/A</v>
      </c>
    </row>
    <row r="2858" spans="7:119" x14ac:dyDescent="0.25">
      <c r="G2858"/>
      <c r="DI2858" s="4">
        <f>INDEX(Sheet2!A:A,QUOTIENT(ROW()-1,19)+2)</f>
        <v>41626</v>
      </c>
      <c r="DJ2858" s="4">
        <f>INDEX(Sheet2!C:C,QUOTIENT(ROW()-1,19)+2)</f>
        <v>42369</v>
      </c>
      <c r="DK2858" s="4" t="e">
        <f>INDEX(Sheet2!$AA$2:$AS$228,QUOTIENT(ROW()-1,19)+1,MOD(ROW()-2,19)+1)</f>
        <v>#N/A</v>
      </c>
      <c r="DL2858" t="str">
        <f>IFERROR(INDEX(Sheet2!$AU$2:$BM$228,QUOTIENT(ROW()-1,19)+1,MOD(ROW()-2,19)+1),NA())</f>
        <v/>
      </c>
      <c r="DM2858" s="4" t="e">
        <f t="shared" si="153"/>
        <v>#N/A</v>
      </c>
      <c r="DN2858" t="e">
        <f t="shared" si="154"/>
        <v>#N/A</v>
      </c>
      <c r="DO2858" t="e">
        <f t="shared" si="155"/>
        <v>#N/A</v>
      </c>
    </row>
    <row r="2859" spans="7:119" x14ac:dyDescent="0.25">
      <c r="G2859"/>
      <c r="DI2859" s="4">
        <f>INDEX(Sheet2!A:A,QUOTIENT(ROW()-1,19)+2)</f>
        <v>41626</v>
      </c>
      <c r="DJ2859" s="4">
        <f>INDEX(Sheet2!C:C,QUOTIENT(ROW()-1,19)+2)</f>
        <v>42369</v>
      </c>
      <c r="DK2859" s="4" t="e">
        <f>INDEX(Sheet2!$AA$2:$AS$228,QUOTIENT(ROW()-1,19)+1,MOD(ROW()-2,19)+1)</f>
        <v>#N/A</v>
      </c>
      <c r="DL2859" t="str">
        <f>IFERROR(INDEX(Sheet2!$AU$2:$BM$228,QUOTIENT(ROW()-1,19)+1,MOD(ROW()-2,19)+1),NA())</f>
        <v/>
      </c>
      <c r="DM2859" s="4" t="e">
        <f t="shared" si="153"/>
        <v>#N/A</v>
      </c>
      <c r="DN2859" t="e">
        <f t="shared" si="154"/>
        <v>#N/A</v>
      </c>
      <c r="DO2859" t="e">
        <f t="shared" si="155"/>
        <v>#N/A</v>
      </c>
    </row>
    <row r="2860" spans="7:119" x14ac:dyDescent="0.25">
      <c r="G2860"/>
      <c r="DI2860" s="4">
        <f>INDEX(Sheet2!A:A,QUOTIENT(ROW()-1,19)+2)</f>
        <v>41626</v>
      </c>
      <c r="DJ2860" s="4">
        <f>INDEX(Sheet2!C:C,QUOTIENT(ROW()-1,19)+2)</f>
        <v>42369</v>
      </c>
      <c r="DK2860" s="4" t="e">
        <f>INDEX(Sheet2!$AA$2:$AS$228,QUOTIENT(ROW()-1,19)+1,MOD(ROW()-2,19)+1)</f>
        <v>#N/A</v>
      </c>
      <c r="DL2860" t="str">
        <f>IFERROR(INDEX(Sheet2!$AU$2:$BM$228,QUOTIENT(ROW()-1,19)+1,MOD(ROW()-2,19)+1),NA())</f>
        <v/>
      </c>
      <c r="DM2860" s="4" t="e">
        <f t="shared" si="153"/>
        <v>#N/A</v>
      </c>
      <c r="DN2860" t="e">
        <f t="shared" si="154"/>
        <v>#N/A</v>
      </c>
      <c r="DO2860" t="e">
        <f t="shared" si="155"/>
        <v>#N/A</v>
      </c>
    </row>
    <row r="2861" spans="7:119" x14ac:dyDescent="0.25">
      <c r="G2861"/>
      <c r="DI2861" s="4">
        <f>INDEX(Sheet2!A:A,QUOTIENT(ROW()-1,19)+2)</f>
        <v>41626</v>
      </c>
      <c r="DJ2861" s="4">
        <f>INDEX(Sheet2!C:C,QUOTIENT(ROW()-1,19)+2)</f>
        <v>42369</v>
      </c>
      <c r="DK2861" s="4" t="e">
        <f>INDEX(Sheet2!$AA$2:$AS$228,QUOTIENT(ROW()-1,19)+1,MOD(ROW()-2,19)+1)</f>
        <v>#N/A</v>
      </c>
      <c r="DL2861" t="str">
        <f>IFERROR(INDEX(Sheet2!$AU$2:$BM$228,QUOTIENT(ROW()-1,19)+1,MOD(ROW()-2,19)+1),NA())</f>
        <v/>
      </c>
      <c r="DM2861" s="4" t="e">
        <f t="shared" si="153"/>
        <v>#N/A</v>
      </c>
      <c r="DN2861" t="e">
        <f t="shared" si="154"/>
        <v>#N/A</v>
      </c>
      <c r="DO2861" t="e">
        <f t="shared" si="155"/>
        <v>#N/A</v>
      </c>
    </row>
    <row r="2862" spans="7:119" x14ac:dyDescent="0.25">
      <c r="G2862"/>
      <c r="DI2862" s="4">
        <f>INDEX(Sheet2!A:A,QUOTIENT(ROW()-1,19)+2)</f>
        <v>41626</v>
      </c>
      <c r="DJ2862" s="4">
        <f>INDEX(Sheet2!C:C,QUOTIENT(ROW()-1,19)+2)</f>
        <v>42369</v>
      </c>
      <c r="DK2862" s="4" t="e">
        <f>INDEX(Sheet2!$AA$2:$AS$228,QUOTIENT(ROW()-1,19)+1,MOD(ROW()-2,19)+1)</f>
        <v>#N/A</v>
      </c>
      <c r="DL2862" t="str">
        <f>IFERROR(INDEX(Sheet2!$AU$2:$BM$228,QUOTIENT(ROW()-1,19)+1,MOD(ROW()-2,19)+1),NA())</f>
        <v/>
      </c>
      <c r="DM2862" s="4" t="e">
        <f t="shared" si="153"/>
        <v>#N/A</v>
      </c>
      <c r="DN2862" t="e">
        <f t="shared" si="154"/>
        <v>#N/A</v>
      </c>
      <c r="DO2862" t="e">
        <f t="shared" si="155"/>
        <v>#N/A</v>
      </c>
    </row>
    <row r="2863" spans="7:119" x14ac:dyDescent="0.25">
      <c r="G2863"/>
      <c r="DI2863" s="4">
        <f>INDEX(Sheet2!A:A,QUOTIENT(ROW()-1,19)+2)</f>
        <v>41626</v>
      </c>
      <c r="DJ2863" s="4">
        <f>INDEX(Sheet2!C:C,QUOTIENT(ROW()-1,19)+2)</f>
        <v>42369</v>
      </c>
      <c r="DK2863" s="4" t="e">
        <f>INDEX(Sheet2!$AA$2:$AS$228,QUOTIENT(ROW()-1,19)+1,MOD(ROW()-2,19)+1)</f>
        <v>#N/A</v>
      </c>
      <c r="DL2863" t="str">
        <f>IFERROR(INDEX(Sheet2!$AU$2:$BM$228,QUOTIENT(ROW()-1,19)+1,MOD(ROW()-2,19)+1),NA())</f>
        <v/>
      </c>
      <c r="DM2863" s="4" t="e">
        <f t="shared" si="153"/>
        <v>#N/A</v>
      </c>
      <c r="DN2863" t="e">
        <f t="shared" si="154"/>
        <v>#N/A</v>
      </c>
      <c r="DO2863" t="e">
        <f t="shared" si="155"/>
        <v>#N/A</v>
      </c>
    </row>
    <row r="2864" spans="7:119" x14ac:dyDescent="0.25">
      <c r="G2864"/>
      <c r="DI2864" s="4">
        <f>INDEX(Sheet2!A:A,QUOTIENT(ROW()-1,19)+2)</f>
        <v>41626</v>
      </c>
      <c r="DJ2864" s="4">
        <f>INDEX(Sheet2!C:C,QUOTIENT(ROW()-1,19)+2)</f>
        <v>42369</v>
      </c>
      <c r="DK2864" s="4" t="e">
        <f>INDEX(Sheet2!$AA$2:$AS$228,QUOTIENT(ROW()-1,19)+1,MOD(ROW()-2,19)+1)</f>
        <v>#N/A</v>
      </c>
      <c r="DL2864" t="str">
        <f>IFERROR(INDEX(Sheet2!$AU$2:$BM$228,QUOTIENT(ROW()-1,19)+1,MOD(ROW()-2,19)+1),NA())</f>
        <v/>
      </c>
      <c r="DM2864" s="4" t="e">
        <f t="shared" si="153"/>
        <v>#N/A</v>
      </c>
      <c r="DN2864" t="e">
        <f t="shared" si="154"/>
        <v>#N/A</v>
      </c>
      <c r="DO2864" t="e">
        <f t="shared" si="155"/>
        <v>#N/A</v>
      </c>
    </row>
    <row r="2865" spans="7:119" x14ac:dyDescent="0.25">
      <c r="G2865"/>
      <c r="DI2865" s="4">
        <f>INDEX(Sheet2!A:A,QUOTIENT(ROW()-1,19)+2)</f>
        <v>41626</v>
      </c>
      <c r="DJ2865" s="4">
        <f>INDEX(Sheet2!C:C,QUOTIENT(ROW()-1,19)+2)</f>
        <v>42369</v>
      </c>
      <c r="DK2865" s="4" t="e">
        <f>INDEX(Sheet2!$AA$2:$AS$228,QUOTIENT(ROW()-1,19)+1,MOD(ROW()-2,19)+1)</f>
        <v>#N/A</v>
      </c>
      <c r="DL2865" t="str">
        <f>IFERROR(INDEX(Sheet2!$AU$2:$BM$228,QUOTIENT(ROW()-1,19)+1,MOD(ROW()-2,19)+1),NA())</f>
        <v/>
      </c>
      <c r="DM2865" s="4" t="e">
        <f t="shared" si="153"/>
        <v>#N/A</v>
      </c>
      <c r="DN2865" t="e">
        <f t="shared" si="154"/>
        <v>#N/A</v>
      </c>
      <c r="DO2865" t="e">
        <f t="shared" si="155"/>
        <v>#N/A</v>
      </c>
    </row>
    <row r="2866" spans="7:119" x14ac:dyDescent="0.25">
      <c r="G2866"/>
      <c r="DI2866" s="4">
        <f>INDEX(Sheet2!A:A,QUOTIENT(ROW()-1,19)+2)</f>
        <v>41626</v>
      </c>
      <c r="DJ2866" s="4">
        <f>INDEX(Sheet2!C:C,QUOTIENT(ROW()-1,19)+2)</f>
        <v>42369</v>
      </c>
      <c r="DK2866" s="4" t="e">
        <f>INDEX(Sheet2!$AA$2:$AS$228,QUOTIENT(ROW()-1,19)+1,MOD(ROW()-2,19)+1)</f>
        <v>#N/A</v>
      </c>
      <c r="DL2866" t="str">
        <f>IFERROR(INDEX(Sheet2!$AU$2:$BM$228,QUOTIENT(ROW()-1,19)+1,MOD(ROW()-2,19)+1),NA())</f>
        <v/>
      </c>
      <c r="DM2866" s="4" t="e">
        <f t="shared" si="153"/>
        <v>#N/A</v>
      </c>
      <c r="DN2866" t="e">
        <f t="shared" si="154"/>
        <v>#N/A</v>
      </c>
      <c r="DO2866" t="e">
        <f t="shared" si="155"/>
        <v>#N/A</v>
      </c>
    </row>
    <row r="2867" spans="7:119" x14ac:dyDescent="0.25">
      <c r="G2867"/>
      <c r="DI2867" s="4">
        <f>INDEX(Sheet2!A:A,QUOTIENT(ROW()-1,19)+2)</f>
        <v>41626</v>
      </c>
      <c r="DJ2867" s="4">
        <f>INDEX(Sheet2!C:C,QUOTIENT(ROW()-1,19)+2)</f>
        <v>42369</v>
      </c>
      <c r="DK2867" s="4" t="e">
        <f>INDEX(Sheet2!$AA$2:$AS$228,QUOTIENT(ROW()-1,19)+1,MOD(ROW()-2,19)+1)</f>
        <v>#N/A</v>
      </c>
      <c r="DL2867" t="str">
        <f>IFERROR(INDEX(Sheet2!$AU$2:$BM$228,QUOTIENT(ROW()-1,19)+1,MOD(ROW()-2,19)+1),NA())</f>
        <v/>
      </c>
      <c r="DM2867" s="4" t="e">
        <f t="shared" si="153"/>
        <v>#N/A</v>
      </c>
      <c r="DN2867" t="e">
        <f t="shared" si="154"/>
        <v>#N/A</v>
      </c>
      <c r="DO2867" t="e">
        <f t="shared" si="155"/>
        <v>#N/A</v>
      </c>
    </row>
    <row r="2868" spans="7:119" x14ac:dyDescent="0.25">
      <c r="G2868"/>
      <c r="DI2868" s="4">
        <f>INDEX(Sheet2!A:A,QUOTIENT(ROW()-1,19)+2)</f>
        <v>41626</v>
      </c>
      <c r="DJ2868" s="4">
        <f>INDEX(Sheet2!C:C,QUOTIENT(ROW()-1,19)+2)</f>
        <v>42369</v>
      </c>
      <c r="DK2868" s="4" t="e">
        <f>INDEX(Sheet2!$AA$2:$AS$228,QUOTIENT(ROW()-1,19)+1,MOD(ROW()-2,19)+1)</f>
        <v>#N/A</v>
      </c>
      <c r="DL2868" t="str">
        <f>IFERROR(INDEX(Sheet2!$AU$2:$BM$228,QUOTIENT(ROW()-1,19)+1,MOD(ROW()-2,19)+1),NA())</f>
        <v/>
      </c>
      <c r="DM2868" s="4" t="e">
        <f t="shared" si="153"/>
        <v>#N/A</v>
      </c>
      <c r="DN2868" t="e">
        <f t="shared" si="154"/>
        <v>#N/A</v>
      </c>
      <c r="DO2868" t="e">
        <f t="shared" si="155"/>
        <v>#N/A</v>
      </c>
    </row>
    <row r="2869" spans="7:119" x14ac:dyDescent="0.25">
      <c r="G2869"/>
      <c r="DI2869" s="4">
        <f>INDEX(Sheet2!A:A,QUOTIENT(ROW()-1,19)+2)</f>
        <v>41626</v>
      </c>
      <c r="DJ2869" s="4">
        <f>INDEX(Sheet2!C:C,QUOTIENT(ROW()-1,19)+2)</f>
        <v>42369</v>
      </c>
      <c r="DK2869" s="4" t="e">
        <f>INDEX(Sheet2!$AA$2:$AS$228,QUOTIENT(ROW()-1,19)+1,MOD(ROW()-2,19)+1)</f>
        <v>#N/A</v>
      </c>
      <c r="DL2869" t="str">
        <f>IFERROR(INDEX(Sheet2!$AU$2:$BM$228,QUOTIENT(ROW()-1,19)+1,MOD(ROW()-2,19)+1),NA())</f>
        <v/>
      </c>
      <c r="DM2869" s="4" t="e">
        <f t="shared" si="153"/>
        <v>#N/A</v>
      </c>
      <c r="DN2869" t="e">
        <f t="shared" si="154"/>
        <v>#N/A</v>
      </c>
      <c r="DO2869" t="e">
        <f t="shared" si="155"/>
        <v>#N/A</v>
      </c>
    </row>
    <row r="2870" spans="7:119" x14ac:dyDescent="0.25">
      <c r="G2870"/>
      <c r="DI2870" s="4">
        <f>INDEX(Sheet2!A:A,QUOTIENT(ROW()-1,19)+2)</f>
        <v>41626</v>
      </c>
      <c r="DJ2870" s="4">
        <f>INDEX(Sheet2!C:C,QUOTIENT(ROW()-1,19)+2)</f>
        <v>42369</v>
      </c>
      <c r="DK2870" s="4" t="e">
        <f>INDEX(Sheet2!$AA$2:$AS$228,QUOTIENT(ROW()-1,19)+1,MOD(ROW()-2,19)+1)</f>
        <v>#N/A</v>
      </c>
      <c r="DL2870" t="str">
        <f>IFERROR(INDEX(Sheet2!$AU$2:$BM$228,QUOTIENT(ROW()-1,19)+1,MOD(ROW()-2,19)+1),NA())</f>
        <v/>
      </c>
      <c r="DM2870" s="4" t="e">
        <f t="shared" si="153"/>
        <v>#N/A</v>
      </c>
      <c r="DN2870" t="e">
        <f t="shared" si="154"/>
        <v>#N/A</v>
      </c>
      <c r="DO2870" t="e">
        <f t="shared" si="155"/>
        <v>#N/A</v>
      </c>
    </row>
    <row r="2871" spans="7:119" x14ac:dyDescent="0.25">
      <c r="G2871"/>
      <c r="DI2871" s="4">
        <f>INDEX(Sheet2!A:A,QUOTIENT(ROW()-1,19)+2)</f>
        <v>41626</v>
      </c>
      <c r="DJ2871" s="4">
        <f>INDEX(Sheet2!C:C,QUOTIENT(ROW()-1,19)+2)</f>
        <v>42369</v>
      </c>
      <c r="DK2871" s="4">
        <f>INDEX(Sheet2!$AA$2:$AS$228,QUOTIENT(ROW()-1,19)+1,MOD(ROW()-2,19)+1)</f>
        <v>42369</v>
      </c>
      <c r="DL2871">
        <f>IFERROR(INDEX(Sheet2!$AU$2:$BM$228,QUOTIENT(ROW()-1,19)+1,MOD(ROW()-2,19)+1),NA())</f>
        <v>1.25</v>
      </c>
      <c r="DM2871" s="4" t="e">
        <f t="shared" si="153"/>
        <v>#N/A</v>
      </c>
      <c r="DN2871" t="e">
        <f t="shared" si="154"/>
        <v>#N/A</v>
      </c>
      <c r="DO2871" t="e">
        <f t="shared" si="155"/>
        <v>#N/A</v>
      </c>
    </row>
    <row r="2872" spans="7:119" x14ac:dyDescent="0.25">
      <c r="G2872"/>
      <c r="DI2872" s="4">
        <f>INDEX(Sheet2!A:A,QUOTIENT(ROW()-1,19)+2)</f>
        <v>41626</v>
      </c>
      <c r="DJ2872" s="4">
        <f>INDEX(Sheet2!C:C,QUOTIENT(ROW()-1,19)+2)</f>
        <v>42369</v>
      </c>
      <c r="DK2872" s="4" t="e">
        <f>INDEX(Sheet2!$AA$2:$AS$228,QUOTIENT(ROW()-1,19)+1,MOD(ROW()-2,19)+1)</f>
        <v>#N/A</v>
      </c>
      <c r="DL2872" t="str">
        <f>IFERROR(INDEX(Sheet2!$AU$2:$BM$228,QUOTIENT(ROW()-1,19)+1,MOD(ROW()-2,19)+1),NA())</f>
        <v/>
      </c>
      <c r="DM2872" s="4" t="e">
        <f t="shared" si="153"/>
        <v>#N/A</v>
      </c>
      <c r="DN2872" t="e">
        <f t="shared" si="154"/>
        <v>#N/A</v>
      </c>
      <c r="DO2872" t="e">
        <f t="shared" si="155"/>
        <v>#N/A</v>
      </c>
    </row>
    <row r="2873" spans="7:119" x14ac:dyDescent="0.25">
      <c r="G2873"/>
      <c r="DI2873" s="4">
        <f>INDEX(Sheet2!A:A,QUOTIENT(ROW()-1,19)+2)</f>
        <v>41626</v>
      </c>
      <c r="DJ2873" s="4">
        <f>INDEX(Sheet2!C:C,QUOTIENT(ROW()-1,19)+2)</f>
        <v>42369</v>
      </c>
      <c r="DK2873" s="4" t="e">
        <f>INDEX(Sheet2!$AA$2:$AS$228,QUOTIENT(ROW()-1,19)+1,MOD(ROW()-2,19)+1)</f>
        <v>#N/A</v>
      </c>
      <c r="DL2873" t="str">
        <f>IFERROR(INDEX(Sheet2!$AU$2:$BM$228,QUOTIENT(ROW()-1,19)+1,MOD(ROW()-2,19)+1),NA())</f>
        <v/>
      </c>
      <c r="DM2873" s="4" t="e">
        <f t="shared" si="153"/>
        <v>#N/A</v>
      </c>
      <c r="DN2873" t="e">
        <f t="shared" si="154"/>
        <v>#N/A</v>
      </c>
      <c r="DO2873" t="e">
        <f t="shared" si="155"/>
        <v>#N/A</v>
      </c>
    </row>
    <row r="2874" spans="7:119" x14ac:dyDescent="0.25">
      <c r="G2874"/>
      <c r="DI2874" s="4">
        <f>INDEX(Sheet2!A:A,QUOTIENT(ROW()-1,19)+2)</f>
        <v>41626</v>
      </c>
      <c r="DJ2874" s="4">
        <f>INDEX(Sheet2!C:C,QUOTIENT(ROW()-1,19)+2)</f>
        <v>42369</v>
      </c>
      <c r="DK2874" s="4" t="e">
        <f>INDEX(Sheet2!$AA$2:$AS$228,QUOTIENT(ROW()-1,19)+1,MOD(ROW()-2,19)+1)</f>
        <v>#N/A</v>
      </c>
      <c r="DL2874" t="str">
        <f>IFERROR(INDEX(Sheet2!$AU$2:$BM$228,QUOTIENT(ROW()-1,19)+1,MOD(ROW()-2,19)+1),NA())</f>
        <v/>
      </c>
      <c r="DM2874" s="4" t="e">
        <f t="shared" si="153"/>
        <v>#N/A</v>
      </c>
      <c r="DN2874" t="e">
        <f t="shared" si="154"/>
        <v>#N/A</v>
      </c>
      <c r="DO2874" t="e">
        <f t="shared" si="155"/>
        <v>#N/A</v>
      </c>
    </row>
    <row r="2875" spans="7:119" x14ac:dyDescent="0.25">
      <c r="G2875"/>
      <c r="DI2875" s="4">
        <f>INDEX(Sheet2!A:A,QUOTIENT(ROW()-1,19)+2)</f>
        <v>41626</v>
      </c>
      <c r="DJ2875" s="4">
        <f>INDEX(Sheet2!C:C,QUOTIENT(ROW()-1,19)+2)</f>
        <v>42369</v>
      </c>
      <c r="DK2875" s="4" t="e">
        <f>INDEX(Sheet2!$AA$2:$AS$228,QUOTIENT(ROW()-1,19)+1,MOD(ROW()-2,19)+1)</f>
        <v>#N/A</v>
      </c>
      <c r="DL2875" t="str">
        <f>IFERROR(INDEX(Sheet2!$AU$2:$BM$228,QUOTIENT(ROW()-1,19)+1,MOD(ROW()-2,19)+1),NA())</f>
        <v/>
      </c>
      <c r="DM2875" s="4" t="e">
        <f t="shared" si="153"/>
        <v>#N/A</v>
      </c>
      <c r="DN2875" t="e">
        <f t="shared" si="154"/>
        <v>#N/A</v>
      </c>
      <c r="DO2875" t="e">
        <f t="shared" si="155"/>
        <v>#N/A</v>
      </c>
    </row>
    <row r="2876" spans="7:119" x14ac:dyDescent="0.25">
      <c r="G2876"/>
      <c r="DI2876" s="4">
        <f>INDEX(Sheet2!A:A,QUOTIENT(ROW()-1,19)+2)</f>
        <v>41626</v>
      </c>
      <c r="DJ2876" s="4">
        <f>INDEX(Sheet2!C:C,QUOTIENT(ROW()-1,19)+2)</f>
        <v>42369</v>
      </c>
      <c r="DK2876" s="4" t="e">
        <f>INDEX(Sheet2!$AA$2:$AS$228,QUOTIENT(ROW()-1,19)+1,MOD(ROW()-2,19)+1)</f>
        <v>#N/A</v>
      </c>
      <c r="DL2876" t="str">
        <f>IFERROR(INDEX(Sheet2!$AU$2:$BM$228,QUOTIENT(ROW()-1,19)+1,MOD(ROW()-2,19)+1),NA())</f>
        <v/>
      </c>
      <c r="DM2876" s="4" t="e">
        <f t="shared" si="153"/>
        <v>#N/A</v>
      </c>
      <c r="DN2876" t="e">
        <f t="shared" si="154"/>
        <v>#N/A</v>
      </c>
      <c r="DO2876" t="e">
        <f t="shared" si="155"/>
        <v>#N/A</v>
      </c>
    </row>
    <row r="2877" spans="7:119" x14ac:dyDescent="0.25">
      <c r="G2877"/>
      <c r="DI2877" s="4">
        <f>INDEX(Sheet2!A:A,QUOTIENT(ROW()-1,19)+2)</f>
        <v>41626</v>
      </c>
      <c r="DJ2877" s="4">
        <f>INDEX(Sheet2!C:C,QUOTIENT(ROW()-1,19)+2)</f>
        <v>42369</v>
      </c>
      <c r="DK2877" s="4" t="e">
        <f>INDEX(Sheet2!$AA$2:$AS$228,QUOTIENT(ROW()-1,19)+1,MOD(ROW()-2,19)+1)</f>
        <v>#N/A</v>
      </c>
      <c r="DL2877" t="str">
        <f>IFERROR(INDEX(Sheet2!$AU$2:$BM$228,QUOTIENT(ROW()-1,19)+1,MOD(ROW()-2,19)+1),NA())</f>
        <v/>
      </c>
      <c r="DM2877" s="4" t="e">
        <f t="shared" si="153"/>
        <v>#N/A</v>
      </c>
      <c r="DN2877" t="e">
        <f t="shared" si="154"/>
        <v>#N/A</v>
      </c>
      <c r="DO2877" t="e">
        <f t="shared" si="155"/>
        <v>#N/A</v>
      </c>
    </row>
    <row r="2878" spans="7:119" x14ac:dyDescent="0.25">
      <c r="G2878"/>
      <c r="DI2878" s="4">
        <f>INDEX(Sheet2!A:A,QUOTIENT(ROW()-1,19)+2)</f>
        <v>41626</v>
      </c>
      <c r="DJ2878" s="4">
        <f>INDEX(Sheet2!C:C,QUOTIENT(ROW()-1,19)+2)</f>
        <v>42369</v>
      </c>
      <c r="DK2878" s="4" t="e">
        <f>INDEX(Sheet2!$AA$2:$AS$228,QUOTIENT(ROW()-1,19)+1,MOD(ROW()-2,19)+1)</f>
        <v>#N/A</v>
      </c>
      <c r="DL2878" t="str">
        <f>IFERROR(INDEX(Sheet2!$AU$2:$BM$228,QUOTIENT(ROW()-1,19)+1,MOD(ROW()-2,19)+1),NA())</f>
        <v/>
      </c>
      <c r="DM2878" s="4" t="e">
        <f t="shared" si="153"/>
        <v>#N/A</v>
      </c>
      <c r="DN2878" t="e">
        <f t="shared" si="154"/>
        <v>#N/A</v>
      </c>
      <c r="DO2878" t="e">
        <f t="shared" si="155"/>
        <v>#N/A</v>
      </c>
    </row>
    <row r="2879" spans="7:119" x14ac:dyDescent="0.25">
      <c r="G2879"/>
      <c r="DI2879" s="4">
        <f>INDEX(Sheet2!A:A,QUOTIENT(ROW()-1,19)+2)</f>
        <v>41626</v>
      </c>
      <c r="DJ2879" s="4">
        <f>INDEX(Sheet2!C:C,QUOTIENT(ROW()-1,19)+2)</f>
        <v>42369</v>
      </c>
      <c r="DK2879" s="4" t="e">
        <f>INDEX(Sheet2!$AA$2:$AS$228,QUOTIENT(ROW()-1,19)+1,MOD(ROW()-2,19)+1)</f>
        <v>#N/A</v>
      </c>
      <c r="DL2879" t="str">
        <f>IFERROR(INDEX(Sheet2!$AU$2:$BM$228,QUOTIENT(ROW()-1,19)+1,MOD(ROW()-2,19)+1),NA())</f>
        <v/>
      </c>
      <c r="DM2879" s="4" t="e">
        <f t="shared" si="153"/>
        <v>#N/A</v>
      </c>
      <c r="DN2879" t="e">
        <f t="shared" si="154"/>
        <v>#N/A</v>
      </c>
      <c r="DO2879" t="e">
        <f t="shared" si="155"/>
        <v>#N/A</v>
      </c>
    </row>
    <row r="2880" spans="7:119" x14ac:dyDescent="0.25">
      <c r="G2880"/>
      <c r="DI2880" s="4">
        <f>INDEX(Sheet2!A:A,QUOTIENT(ROW()-1,19)+2)</f>
        <v>41626</v>
      </c>
      <c r="DJ2880" s="4">
        <f>INDEX(Sheet2!C:C,QUOTIENT(ROW()-1,19)+2)</f>
        <v>42369</v>
      </c>
      <c r="DK2880" s="4" t="e">
        <f>INDEX(Sheet2!$AA$2:$AS$228,QUOTIENT(ROW()-1,19)+1,MOD(ROW()-2,19)+1)</f>
        <v>#N/A</v>
      </c>
      <c r="DL2880" t="str">
        <f>IFERROR(INDEX(Sheet2!$AU$2:$BM$228,QUOTIENT(ROW()-1,19)+1,MOD(ROW()-2,19)+1),NA())</f>
        <v/>
      </c>
      <c r="DM2880" s="4" t="e">
        <f t="shared" si="153"/>
        <v>#N/A</v>
      </c>
      <c r="DN2880" t="e">
        <f t="shared" si="154"/>
        <v>#N/A</v>
      </c>
      <c r="DO2880" t="e">
        <f t="shared" si="155"/>
        <v>#N/A</v>
      </c>
    </row>
    <row r="2881" spans="7:119" x14ac:dyDescent="0.25">
      <c r="G2881"/>
      <c r="DI2881" s="4">
        <f>INDEX(Sheet2!A:A,QUOTIENT(ROW()-1,19)+2)</f>
        <v>41626</v>
      </c>
      <c r="DJ2881" s="4">
        <f>INDEX(Sheet2!C:C,QUOTIENT(ROW()-1,19)+2)</f>
        <v>42369</v>
      </c>
      <c r="DK2881" s="4" t="e">
        <f>INDEX(Sheet2!$AA$2:$AS$228,QUOTIENT(ROW()-1,19)+1,MOD(ROW()-2,19)+1)</f>
        <v>#N/A</v>
      </c>
      <c r="DL2881" t="str">
        <f>IFERROR(INDEX(Sheet2!$AU$2:$BM$228,QUOTIENT(ROW()-1,19)+1,MOD(ROW()-2,19)+1),NA())</f>
        <v/>
      </c>
      <c r="DM2881" s="4" t="e">
        <f t="shared" si="153"/>
        <v>#N/A</v>
      </c>
      <c r="DN2881" t="e">
        <f t="shared" si="154"/>
        <v>#N/A</v>
      </c>
      <c r="DO2881" t="e">
        <f t="shared" si="155"/>
        <v>#N/A</v>
      </c>
    </row>
    <row r="2882" spans="7:119" x14ac:dyDescent="0.25">
      <c r="G2882"/>
      <c r="DI2882" s="4">
        <f>INDEX(Sheet2!A:A,QUOTIENT(ROW()-1,19)+2)</f>
        <v>41626</v>
      </c>
      <c r="DJ2882" s="4">
        <f>INDEX(Sheet2!C:C,QUOTIENT(ROW()-1,19)+2)</f>
        <v>42369</v>
      </c>
      <c r="DK2882" s="4" t="e">
        <f>INDEX(Sheet2!$AA$2:$AS$228,QUOTIENT(ROW()-1,19)+1,MOD(ROW()-2,19)+1)</f>
        <v>#N/A</v>
      </c>
      <c r="DL2882" t="str">
        <f>IFERROR(INDEX(Sheet2!$AU$2:$BM$228,QUOTIENT(ROW()-1,19)+1,MOD(ROW()-2,19)+1),NA())</f>
        <v/>
      </c>
      <c r="DM2882" s="4" t="e">
        <f t="shared" ref="DM2882:DM2945" si="156">+IF($C$2=$DI2882,DK2882,NA())</f>
        <v>#N/A</v>
      </c>
      <c r="DN2882" t="e">
        <f t="shared" ref="DN2882:DN2945" si="157">+IF($C$2=$DI2882,DL2882,NA())</f>
        <v>#N/A</v>
      </c>
      <c r="DO2882" t="e">
        <f t="shared" si="155"/>
        <v>#N/A</v>
      </c>
    </row>
    <row r="2883" spans="7:119" x14ac:dyDescent="0.25">
      <c r="G2883"/>
      <c r="DI2883" s="4">
        <f>INDEX(Sheet2!A:A,QUOTIENT(ROW()-1,19)+2)</f>
        <v>41626</v>
      </c>
      <c r="DJ2883" s="4">
        <f>INDEX(Sheet2!C:C,QUOTIENT(ROW()-1,19)+2)</f>
        <v>42369</v>
      </c>
      <c r="DK2883" s="4" t="e">
        <f>INDEX(Sheet2!$AA$2:$AS$228,QUOTIENT(ROW()-1,19)+1,MOD(ROW()-2,19)+1)</f>
        <v>#N/A</v>
      </c>
      <c r="DL2883" t="str">
        <f>IFERROR(INDEX(Sheet2!$AU$2:$BM$228,QUOTIENT(ROW()-1,19)+1,MOD(ROW()-2,19)+1),NA())</f>
        <v/>
      </c>
      <c r="DM2883" s="4" t="e">
        <f t="shared" si="156"/>
        <v>#N/A</v>
      </c>
      <c r="DN2883" t="e">
        <f t="shared" si="157"/>
        <v>#N/A</v>
      </c>
      <c r="DO2883" t="e">
        <f t="shared" ref="DO2883:DO2946" si="158">IF(DN2883="",NA(),DN2883)</f>
        <v>#N/A</v>
      </c>
    </row>
    <row r="2884" spans="7:119" x14ac:dyDescent="0.25">
      <c r="G2884"/>
      <c r="DI2884" s="4">
        <f>INDEX(Sheet2!A:A,QUOTIENT(ROW()-1,19)+2)</f>
        <v>41626</v>
      </c>
      <c r="DJ2884" s="4">
        <f>INDEX(Sheet2!C:C,QUOTIENT(ROW()-1,19)+2)</f>
        <v>42369</v>
      </c>
      <c r="DK2884" s="4" t="e">
        <f>INDEX(Sheet2!$AA$2:$AS$228,QUOTIENT(ROW()-1,19)+1,MOD(ROW()-2,19)+1)</f>
        <v>#N/A</v>
      </c>
      <c r="DL2884" t="str">
        <f>IFERROR(INDEX(Sheet2!$AU$2:$BM$228,QUOTIENT(ROW()-1,19)+1,MOD(ROW()-2,19)+1),NA())</f>
        <v/>
      </c>
      <c r="DM2884" s="4" t="e">
        <f t="shared" si="156"/>
        <v>#N/A</v>
      </c>
      <c r="DN2884" t="e">
        <f t="shared" si="157"/>
        <v>#N/A</v>
      </c>
      <c r="DO2884" t="e">
        <f t="shared" si="158"/>
        <v>#N/A</v>
      </c>
    </row>
    <row r="2885" spans="7:119" x14ac:dyDescent="0.25">
      <c r="G2885"/>
      <c r="DI2885" s="4">
        <f>INDEX(Sheet2!A:A,QUOTIENT(ROW()-1,19)+2)</f>
        <v>41626</v>
      </c>
      <c r="DJ2885" s="4">
        <f>INDEX(Sheet2!C:C,QUOTIENT(ROW()-1,19)+2)</f>
        <v>42369</v>
      </c>
      <c r="DK2885" s="4" t="e">
        <f>INDEX(Sheet2!$AA$2:$AS$228,QUOTIENT(ROW()-1,19)+1,MOD(ROW()-2,19)+1)</f>
        <v>#N/A</v>
      </c>
      <c r="DL2885" t="str">
        <f>IFERROR(INDEX(Sheet2!$AU$2:$BM$228,QUOTIENT(ROW()-1,19)+1,MOD(ROW()-2,19)+1),NA())</f>
        <v/>
      </c>
      <c r="DM2885" s="4" t="e">
        <f t="shared" si="156"/>
        <v>#N/A</v>
      </c>
      <c r="DN2885" t="e">
        <f t="shared" si="157"/>
        <v>#N/A</v>
      </c>
      <c r="DO2885" t="e">
        <f t="shared" si="158"/>
        <v>#N/A</v>
      </c>
    </row>
    <row r="2886" spans="7:119" x14ac:dyDescent="0.25">
      <c r="G2886"/>
      <c r="DI2886" s="4">
        <f>INDEX(Sheet2!A:A,QUOTIENT(ROW()-1,19)+2)</f>
        <v>41626</v>
      </c>
      <c r="DJ2886" s="4">
        <f>INDEX(Sheet2!C:C,QUOTIENT(ROW()-1,19)+2)</f>
        <v>42369</v>
      </c>
      <c r="DK2886" s="4" t="e">
        <f>INDEX(Sheet2!$AA$2:$AS$228,QUOTIENT(ROW()-1,19)+1,MOD(ROW()-2,19)+1)</f>
        <v>#N/A</v>
      </c>
      <c r="DL2886" t="str">
        <f>IFERROR(INDEX(Sheet2!$AU$2:$BM$228,QUOTIENT(ROW()-1,19)+1,MOD(ROW()-2,19)+1),NA())</f>
        <v/>
      </c>
      <c r="DM2886" s="4" t="e">
        <f t="shared" si="156"/>
        <v>#N/A</v>
      </c>
      <c r="DN2886" t="e">
        <f t="shared" si="157"/>
        <v>#N/A</v>
      </c>
      <c r="DO2886" t="e">
        <f t="shared" si="158"/>
        <v>#N/A</v>
      </c>
    </row>
    <row r="2887" spans="7:119" x14ac:dyDescent="0.25">
      <c r="G2887"/>
      <c r="DI2887" s="4">
        <f>INDEX(Sheet2!A:A,QUOTIENT(ROW()-1,19)+2)</f>
        <v>41626</v>
      </c>
      <c r="DJ2887" s="4">
        <f>INDEX(Sheet2!C:C,QUOTIENT(ROW()-1,19)+2)</f>
        <v>42369</v>
      </c>
      <c r="DK2887" s="4" t="e">
        <f>INDEX(Sheet2!$AA$2:$AS$228,QUOTIENT(ROW()-1,19)+1,MOD(ROW()-2,19)+1)</f>
        <v>#N/A</v>
      </c>
      <c r="DL2887" t="str">
        <f>IFERROR(INDEX(Sheet2!$AU$2:$BM$228,QUOTIENT(ROW()-1,19)+1,MOD(ROW()-2,19)+1),NA())</f>
        <v/>
      </c>
      <c r="DM2887" s="4" t="e">
        <f t="shared" si="156"/>
        <v>#N/A</v>
      </c>
      <c r="DN2887" t="e">
        <f t="shared" si="157"/>
        <v>#N/A</v>
      </c>
      <c r="DO2887" t="e">
        <f t="shared" si="158"/>
        <v>#N/A</v>
      </c>
    </row>
    <row r="2888" spans="7:119" x14ac:dyDescent="0.25">
      <c r="G2888"/>
      <c r="DI2888" s="4">
        <f>INDEX(Sheet2!A:A,QUOTIENT(ROW()-1,19)+2)</f>
        <v>41626</v>
      </c>
      <c r="DJ2888" s="4">
        <f>INDEX(Sheet2!C:C,QUOTIENT(ROW()-1,19)+2)</f>
        <v>42369</v>
      </c>
      <c r="DK2888" s="4" t="e">
        <f>INDEX(Sheet2!$AA$2:$AS$228,QUOTIENT(ROW()-1,19)+1,MOD(ROW()-2,19)+1)</f>
        <v>#N/A</v>
      </c>
      <c r="DL2888" t="str">
        <f>IFERROR(INDEX(Sheet2!$AU$2:$BM$228,QUOTIENT(ROW()-1,19)+1,MOD(ROW()-2,19)+1),NA())</f>
        <v/>
      </c>
      <c r="DM2888" s="4" t="e">
        <f t="shared" si="156"/>
        <v>#N/A</v>
      </c>
      <c r="DN2888" t="e">
        <f t="shared" si="157"/>
        <v>#N/A</v>
      </c>
      <c r="DO2888" t="e">
        <f t="shared" si="158"/>
        <v>#N/A</v>
      </c>
    </row>
    <row r="2889" spans="7:119" x14ac:dyDescent="0.25">
      <c r="G2889"/>
      <c r="DI2889" s="4">
        <f>INDEX(Sheet2!A:A,QUOTIENT(ROW()-1,19)+2)</f>
        <v>41626</v>
      </c>
      <c r="DJ2889" s="4">
        <f>INDEX(Sheet2!C:C,QUOTIENT(ROW()-1,19)+2)</f>
        <v>42369</v>
      </c>
      <c r="DK2889" s="4" t="e">
        <f>INDEX(Sheet2!$AA$2:$AS$228,QUOTIENT(ROW()-1,19)+1,MOD(ROW()-2,19)+1)</f>
        <v>#N/A</v>
      </c>
      <c r="DL2889" t="str">
        <f>IFERROR(INDEX(Sheet2!$AU$2:$BM$228,QUOTIENT(ROW()-1,19)+1,MOD(ROW()-2,19)+1),NA())</f>
        <v/>
      </c>
      <c r="DM2889" s="4" t="e">
        <f t="shared" si="156"/>
        <v>#N/A</v>
      </c>
      <c r="DN2889" t="e">
        <f t="shared" si="157"/>
        <v>#N/A</v>
      </c>
      <c r="DO2889" t="e">
        <f t="shared" si="158"/>
        <v>#N/A</v>
      </c>
    </row>
    <row r="2890" spans="7:119" x14ac:dyDescent="0.25">
      <c r="G2890"/>
      <c r="DI2890" s="4">
        <f>INDEX(Sheet2!A:A,QUOTIENT(ROW()-1,19)+2)</f>
        <v>41626</v>
      </c>
      <c r="DJ2890" s="4">
        <f>INDEX(Sheet2!C:C,QUOTIENT(ROW()-1,19)+2)</f>
        <v>42369</v>
      </c>
      <c r="DK2890" s="4">
        <f>INDEX(Sheet2!$AA$2:$AS$228,QUOTIENT(ROW()-1,19)+1,MOD(ROW()-2,19)+1)</f>
        <v>42369</v>
      </c>
      <c r="DL2890">
        <f>IFERROR(INDEX(Sheet2!$AU$2:$BM$228,QUOTIENT(ROW()-1,19)+1,MOD(ROW()-2,19)+1),NA())</f>
        <v>1.5</v>
      </c>
      <c r="DM2890" s="4" t="e">
        <f t="shared" si="156"/>
        <v>#N/A</v>
      </c>
      <c r="DN2890" t="e">
        <f t="shared" si="157"/>
        <v>#N/A</v>
      </c>
      <c r="DO2890" t="e">
        <f t="shared" si="158"/>
        <v>#N/A</v>
      </c>
    </row>
    <row r="2891" spans="7:119" x14ac:dyDescent="0.25">
      <c r="G2891"/>
      <c r="DI2891" s="4">
        <f>INDEX(Sheet2!A:A,QUOTIENT(ROW()-1,19)+2)</f>
        <v>41626</v>
      </c>
      <c r="DJ2891" s="4">
        <f>INDEX(Sheet2!C:C,QUOTIENT(ROW()-1,19)+2)</f>
        <v>42369</v>
      </c>
      <c r="DK2891" s="4" t="e">
        <f>INDEX(Sheet2!$AA$2:$AS$228,QUOTIENT(ROW()-1,19)+1,MOD(ROW()-2,19)+1)</f>
        <v>#N/A</v>
      </c>
      <c r="DL2891" t="str">
        <f>IFERROR(INDEX(Sheet2!$AU$2:$BM$228,QUOTIENT(ROW()-1,19)+1,MOD(ROW()-2,19)+1),NA())</f>
        <v/>
      </c>
      <c r="DM2891" s="4" t="e">
        <f t="shared" si="156"/>
        <v>#N/A</v>
      </c>
      <c r="DN2891" t="e">
        <f t="shared" si="157"/>
        <v>#N/A</v>
      </c>
      <c r="DO2891" t="e">
        <f t="shared" si="158"/>
        <v>#N/A</v>
      </c>
    </row>
    <row r="2892" spans="7:119" x14ac:dyDescent="0.25">
      <c r="G2892"/>
      <c r="DI2892" s="4">
        <f>INDEX(Sheet2!A:A,QUOTIENT(ROW()-1,19)+2)</f>
        <v>41626</v>
      </c>
      <c r="DJ2892" s="4">
        <f>INDEX(Sheet2!C:C,QUOTIENT(ROW()-1,19)+2)</f>
        <v>42369</v>
      </c>
      <c r="DK2892" s="4" t="e">
        <f>INDEX(Sheet2!$AA$2:$AS$228,QUOTIENT(ROW()-1,19)+1,MOD(ROW()-2,19)+1)</f>
        <v>#N/A</v>
      </c>
      <c r="DL2892" t="str">
        <f>IFERROR(INDEX(Sheet2!$AU$2:$BM$228,QUOTIENT(ROW()-1,19)+1,MOD(ROW()-2,19)+1),NA())</f>
        <v/>
      </c>
      <c r="DM2892" s="4" t="e">
        <f t="shared" si="156"/>
        <v>#N/A</v>
      </c>
      <c r="DN2892" t="e">
        <f t="shared" si="157"/>
        <v>#N/A</v>
      </c>
      <c r="DO2892" t="e">
        <f t="shared" si="158"/>
        <v>#N/A</v>
      </c>
    </row>
    <row r="2893" spans="7:119" x14ac:dyDescent="0.25">
      <c r="G2893"/>
      <c r="DI2893" s="4">
        <f>INDEX(Sheet2!A:A,QUOTIENT(ROW()-1,19)+2)</f>
        <v>41626</v>
      </c>
      <c r="DJ2893" s="4">
        <f>INDEX(Sheet2!C:C,QUOTIENT(ROW()-1,19)+2)</f>
        <v>42369</v>
      </c>
      <c r="DK2893" s="4" t="e">
        <f>INDEX(Sheet2!$AA$2:$AS$228,QUOTIENT(ROW()-1,19)+1,MOD(ROW()-2,19)+1)</f>
        <v>#N/A</v>
      </c>
      <c r="DL2893" t="str">
        <f>IFERROR(INDEX(Sheet2!$AU$2:$BM$228,QUOTIENT(ROW()-1,19)+1,MOD(ROW()-2,19)+1),NA())</f>
        <v/>
      </c>
      <c r="DM2893" s="4" t="e">
        <f t="shared" si="156"/>
        <v>#N/A</v>
      </c>
      <c r="DN2893" t="e">
        <f t="shared" si="157"/>
        <v>#N/A</v>
      </c>
      <c r="DO2893" t="e">
        <f t="shared" si="158"/>
        <v>#N/A</v>
      </c>
    </row>
    <row r="2894" spans="7:119" x14ac:dyDescent="0.25">
      <c r="G2894"/>
      <c r="DI2894" s="4">
        <f>INDEX(Sheet2!A:A,QUOTIENT(ROW()-1,19)+2)</f>
        <v>41626</v>
      </c>
      <c r="DJ2894" s="4">
        <f>INDEX(Sheet2!C:C,QUOTIENT(ROW()-1,19)+2)</f>
        <v>42369</v>
      </c>
      <c r="DK2894" s="4" t="e">
        <f>INDEX(Sheet2!$AA$2:$AS$228,QUOTIENT(ROW()-1,19)+1,MOD(ROW()-2,19)+1)</f>
        <v>#N/A</v>
      </c>
      <c r="DL2894" t="str">
        <f>IFERROR(INDEX(Sheet2!$AU$2:$BM$228,QUOTIENT(ROW()-1,19)+1,MOD(ROW()-2,19)+1),NA())</f>
        <v/>
      </c>
      <c r="DM2894" s="4" t="e">
        <f t="shared" si="156"/>
        <v>#N/A</v>
      </c>
      <c r="DN2894" t="e">
        <f t="shared" si="157"/>
        <v>#N/A</v>
      </c>
      <c r="DO2894" t="e">
        <f t="shared" si="158"/>
        <v>#N/A</v>
      </c>
    </row>
    <row r="2895" spans="7:119" x14ac:dyDescent="0.25">
      <c r="G2895"/>
      <c r="DI2895" s="4">
        <f>INDEX(Sheet2!A:A,QUOTIENT(ROW()-1,19)+2)</f>
        <v>41626</v>
      </c>
      <c r="DJ2895" s="4">
        <f>INDEX(Sheet2!C:C,QUOTIENT(ROW()-1,19)+2)</f>
        <v>42369</v>
      </c>
      <c r="DK2895" s="4" t="e">
        <f>INDEX(Sheet2!$AA$2:$AS$228,QUOTIENT(ROW()-1,19)+1,MOD(ROW()-2,19)+1)</f>
        <v>#N/A</v>
      </c>
      <c r="DL2895" t="str">
        <f>IFERROR(INDEX(Sheet2!$AU$2:$BM$228,QUOTIENT(ROW()-1,19)+1,MOD(ROW()-2,19)+1),NA())</f>
        <v/>
      </c>
      <c r="DM2895" s="4" t="e">
        <f t="shared" si="156"/>
        <v>#N/A</v>
      </c>
      <c r="DN2895" t="e">
        <f t="shared" si="157"/>
        <v>#N/A</v>
      </c>
      <c r="DO2895" t="e">
        <f t="shared" si="158"/>
        <v>#N/A</v>
      </c>
    </row>
    <row r="2896" spans="7:119" x14ac:dyDescent="0.25">
      <c r="G2896"/>
      <c r="DI2896" s="4">
        <f>INDEX(Sheet2!A:A,QUOTIENT(ROW()-1,19)+2)</f>
        <v>41626</v>
      </c>
      <c r="DJ2896" s="4">
        <f>INDEX(Sheet2!C:C,QUOTIENT(ROW()-1,19)+2)</f>
        <v>42369</v>
      </c>
      <c r="DK2896" s="4" t="e">
        <f>INDEX(Sheet2!$AA$2:$AS$228,QUOTIENT(ROW()-1,19)+1,MOD(ROW()-2,19)+1)</f>
        <v>#N/A</v>
      </c>
      <c r="DL2896" t="str">
        <f>IFERROR(INDEX(Sheet2!$AU$2:$BM$228,QUOTIENT(ROW()-1,19)+1,MOD(ROW()-2,19)+1),NA())</f>
        <v/>
      </c>
      <c r="DM2896" s="4" t="e">
        <f t="shared" si="156"/>
        <v>#N/A</v>
      </c>
      <c r="DN2896" t="e">
        <f t="shared" si="157"/>
        <v>#N/A</v>
      </c>
      <c r="DO2896" t="e">
        <f t="shared" si="158"/>
        <v>#N/A</v>
      </c>
    </row>
    <row r="2897" spans="7:119" x14ac:dyDescent="0.25">
      <c r="G2897"/>
      <c r="DI2897" s="4">
        <f>INDEX(Sheet2!A:A,QUOTIENT(ROW()-1,19)+2)</f>
        <v>41626</v>
      </c>
      <c r="DJ2897" s="4">
        <f>INDEX(Sheet2!C:C,QUOTIENT(ROW()-1,19)+2)</f>
        <v>42369</v>
      </c>
      <c r="DK2897" s="4" t="e">
        <f>INDEX(Sheet2!$AA$2:$AS$228,QUOTIENT(ROW()-1,19)+1,MOD(ROW()-2,19)+1)</f>
        <v>#N/A</v>
      </c>
      <c r="DL2897" t="str">
        <f>IFERROR(INDEX(Sheet2!$AU$2:$BM$228,QUOTIENT(ROW()-1,19)+1,MOD(ROW()-2,19)+1),NA())</f>
        <v/>
      </c>
      <c r="DM2897" s="4" t="e">
        <f t="shared" si="156"/>
        <v>#N/A</v>
      </c>
      <c r="DN2897" t="e">
        <f t="shared" si="157"/>
        <v>#N/A</v>
      </c>
      <c r="DO2897" t="e">
        <f t="shared" si="158"/>
        <v>#N/A</v>
      </c>
    </row>
    <row r="2898" spans="7:119" x14ac:dyDescent="0.25">
      <c r="G2898"/>
      <c r="DI2898" s="4">
        <f>INDEX(Sheet2!A:A,QUOTIENT(ROW()-1,19)+2)</f>
        <v>41626</v>
      </c>
      <c r="DJ2898" s="4">
        <f>INDEX(Sheet2!C:C,QUOTIENT(ROW()-1,19)+2)</f>
        <v>42369</v>
      </c>
      <c r="DK2898" s="4" t="e">
        <f>INDEX(Sheet2!$AA$2:$AS$228,QUOTIENT(ROW()-1,19)+1,MOD(ROW()-2,19)+1)</f>
        <v>#N/A</v>
      </c>
      <c r="DL2898" t="str">
        <f>IFERROR(INDEX(Sheet2!$AU$2:$BM$228,QUOTIENT(ROW()-1,19)+1,MOD(ROW()-2,19)+1),NA())</f>
        <v/>
      </c>
      <c r="DM2898" s="4" t="e">
        <f t="shared" si="156"/>
        <v>#N/A</v>
      </c>
      <c r="DN2898" t="e">
        <f t="shared" si="157"/>
        <v>#N/A</v>
      </c>
      <c r="DO2898" t="e">
        <f t="shared" si="158"/>
        <v>#N/A</v>
      </c>
    </row>
    <row r="2899" spans="7:119" x14ac:dyDescent="0.25">
      <c r="G2899"/>
      <c r="DI2899" s="4">
        <f>INDEX(Sheet2!A:A,QUOTIENT(ROW()-1,19)+2)</f>
        <v>41626</v>
      </c>
      <c r="DJ2899" s="4">
        <f>INDEX(Sheet2!C:C,QUOTIENT(ROW()-1,19)+2)</f>
        <v>42369</v>
      </c>
      <c r="DK2899" s="4" t="e">
        <f>INDEX(Sheet2!$AA$2:$AS$228,QUOTIENT(ROW()-1,19)+1,MOD(ROW()-2,19)+1)</f>
        <v>#N/A</v>
      </c>
      <c r="DL2899" t="str">
        <f>IFERROR(INDEX(Sheet2!$AU$2:$BM$228,QUOTIENT(ROW()-1,19)+1,MOD(ROW()-2,19)+1),NA())</f>
        <v/>
      </c>
      <c r="DM2899" s="4" t="e">
        <f t="shared" si="156"/>
        <v>#N/A</v>
      </c>
      <c r="DN2899" t="e">
        <f t="shared" si="157"/>
        <v>#N/A</v>
      </c>
      <c r="DO2899" t="e">
        <f t="shared" si="158"/>
        <v>#N/A</v>
      </c>
    </row>
    <row r="2900" spans="7:119" x14ac:dyDescent="0.25">
      <c r="G2900"/>
      <c r="DI2900" s="4">
        <f>INDEX(Sheet2!A:A,QUOTIENT(ROW()-1,19)+2)</f>
        <v>41626</v>
      </c>
      <c r="DJ2900" s="4">
        <f>INDEX(Sheet2!C:C,QUOTIENT(ROW()-1,19)+2)</f>
        <v>42369</v>
      </c>
      <c r="DK2900" s="4" t="e">
        <f>INDEX(Sheet2!$AA$2:$AS$228,QUOTIENT(ROW()-1,19)+1,MOD(ROW()-2,19)+1)</f>
        <v>#N/A</v>
      </c>
      <c r="DL2900" t="str">
        <f>IFERROR(INDEX(Sheet2!$AU$2:$BM$228,QUOTIENT(ROW()-1,19)+1,MOD(ROW()-2,19)+1),NA())</f>
        <v/>
      </c>
      <c r="DM2900" s="4" t="e">
        <f t="shared" si="156"/>
        <v>#N/A</v>
      </c>
      <c r="DN2900" t="e">
        <f t="shared" si="157"/>
        <v>#N/A</v>
      </c>
      <c r="DO2900" t="e">
        <f t="shared" si="158"/>
        <v>#N/A</v>
      </c>
    </row>
    <row r="2901" spans="7:119" x14ac:dyDescent="0.25">
      <c r="G2901"/>
      <c r="DI2901" s="4">
        <f>INDEX(Sheet2!A:A,QUOTIENT(ROW()-1,19)+2)</f>
        <v>41626</v>
      </c>
      <c r="DJ2901" s="4">
        <f>INDEX(Sheet2!C:C,QUOTIENT(ROW()-1,19)+2)</f>
        <v>42369</v>
      </c>
      <c r="DK2901" s="4" t="e">
        <f>INDEX(Sheet2!$AA$2:$AS$228,QUOTIENT(ROW()-1,19)+1,MOD(ROW()-2,19)+1)</f>
        <v>#N/A</v>
      </c>
      <c r="DL2901" t="str">
        <f>IFERROR(INDEX(Sheet2!$AU$2:$BM$228,QUOTIENT(ROW()-1,19)+1,MOD(ROW()-2,19)+1),NA())</f>
        <v/>
      </c>
      <c r="DM2901" s="4" t="e">
        <f t="shared" si="156"/>
        <v>#N/A</v>
      </c>
      <c r="DN2901" t="e">
        <f t="shared" si="157"/>
        <v>#N/A</v>
      </c>
      <c r="DO2901" t="e">
        <f t="shared" si="158"/>
        <v>#N/A</v>
      </c>
    </row>
    <row r="2902" spans="7:119" x14ac:dyDescent="0.25">
      <c r="G2902"/>
      <c r="DI2902" s="4">
        <f>INDEX(Sheet2!A:A,QUOTIENT(ROW()-1,19)+2)</f>
        <v>41626</v>
      </c>
      <c r="DJ2902" s="4">
        <f>INDEX(Sheet2!C:C,QUOTIENT(ROW()-1,19)+2)</f>
        <v>42369</v>
      </c>
      <c r="DK2902" s="4" t="e">
        <f>INDEX(Sheet2!$AA$2:$AS$228,QUOTIENT(ROW()-1,19)+1,MOD(ROW()-2,19)+1)</f>
        <v>#N/A</v>
      </c>
      <c r="DL2902" t="str">
        <f>IFERROR(INDEX(Sheet2!$AU$2:$BM$228,QUOTIENT(ROW()-1,19)+1,MOD(ROW()-2,19)+1),NA())</f>
        <v/>
      </c>
      <c r="DM2902" s="4" t="e">
        <f t="shared" si="156"/>
        <v>#N/A</v>
      </c>
      <c r="DN2902" t="e">
        <f t="shared" si="157"/>
        <v>#N/A</v>
      </c>
      <c r="DO2902" t="e">
        <f t="shared" si="158"/>
        <v>#N/A</v>
      </c>
    </row>
    <row r="2903" spans="7:119" x14ac:dyDescent="0.25">
      <c r="G2903"/>
      <c r="DI2903" s="4">
        <f>INDEX(Sheet2!A:A,QUOTIENT(ROW()-1,19)+2)</f>
        <v>41626</v>
      </c>
      <c r="DJ2903" s="4">
        <f>INDEX(Sheet2!C:C,QUOTIENT(ROW()-1,19)+2)</f>
        <v>42369</v>
      </c>
      <c r="DK2903" s="4" t="e">
        <f>INDEX(Sheet2!$AA$2:$AS$228,QUOTIENT(ROW()-1,19)+1,MOD(ROW()-2,19)+1)</f>
        <v>#N/A</v>
      </c>
      <c r="DL2903" t="str">
        <f>IFERROR(INDEX(Sheet2!$AU$2:$BM$228,QUOTIENT(ROW()-1,19)+1,MOD(ROW()-2,19)+1),NA())</f>
        <v/>
      </c>
      <c r="DM2903" s="4" t="e">
        <f t="shared" si="156"/>
        <v>#N/A</v>
      </c>
      <c r="DN2903" t="e">
        <f t="shared" si="157"/>
        <v>#N/A</v>
      </c>
      <c r="DO2903" t="e">
        <f t="shared" si="158"/>
        <v>#N/A</v>
      </c>
    </row>
    <row r="2904" spans="7:119" x14ac:dyDescent="0.25">
      <c r="G2904"/>
      <c r="DI2904" s="4">
        <f>INDEX(Sheet2!A:A,QUOTIENT(ROW()-1,19)+2)</f>
        <v>41626</v>
      </c>
      <c r="DJ2904" s="4">
        <f>INDEX(Sheet2!C:C,QUOTIENT(ROW()-1,19)+2)</f>
        <v>42369</v>
      </c>
      <c r="DK2904" s="4" t="e">
        <f>INDEX(Sheet2!$AA$2:$AS$228,QUOTIENT(ROW()-1,19)+1,MOD(ROW()-2,19)+1)</f>
        <v>#N/A</v>
      </c>
      <c r="DL2904" t="str">
        <f>IFERROR(INDEX(Sheet2!$AU$2:$BM$228,QUOTIENT(ROW()-1,19)+1,MOD(ROW()-2,19)+1),NA())</f>
        <v/>
      </c>
      <c r="DM2904" s="4" t="e">
        <f t="shared" si="156"/>
        <v>#N/A</v>
      </c>
      <c r="DN2904" t="e">
        <f t="shared" si="157"/>
        <v>#N/A</v>
      </c>
      <c r="DO2904" t="e">
        <f t="shared" si="158"/>
        <v>#N/A</v>
      </c>
    </row>
    <row r="2905" spans="7:119" x14ac:dyDescent="0.25">
      <c r="G2905"/>
      <c r="DI2905" s="4">
        <f>INDEX(Sheet2!A:A,QUOTIENT(ROW()-1,19)+2)</f>
        <v>41626</v>
      </c>
      <c r="DJ2905" s="4">
        <f>INDEX(Sheet2!C:C,QUOTIENT(ROW()-1,19)+2)</f>
        <v>42369</v>
      </c>
      <c r="DK2905" s="4" t="e">
        <f>INDEX(Sheet2!$AA$2:$AS$228,QUOTIENT(ROW()-1,19)+1,MOD(ROW()-2,19)+1)</f>
        <v>#N/A</v>
      </c>
      <c r="DL2905" t="str">
        <f>IFERROR(INDEX(Sheet2!$AU$2:$BM$228,QUOTIENT(ROW()-1,19)+1,MOD(ROW()-2,19)+1),NA())</f>
        <v/>
      </c>
      <c r="DM2905" s="4" t="e">
        <f t="shared" si="156"/>
        <v>#N/A</v>
      </c>
      <c r="DN2905" t="e">
        <f t="shared" si="157"/>
        <v>#N/A</v>
      </c>
      <c r="DO2905" t="e">
        <f t="shared" si="158"/>
        <v>#N/A</v>
      </c>
    </row>
    <row r="2906" spans="7:119" x14ac:dyDescent="0.25">
      <c r="G2906"/>
      <c r="DI2906" s="4">
        <f>INDEX(Sheet2!A:A,QUOTIENT(ROW()-1,19)+2)</f>
        <v>41626</v>
      </c>
      <c r="DJ2906" s="4">
        <f>INDEX(Sheet2!C:C,QUOTIENT(ROW()-1,19)+2)</f>
        <v>42369</v>
      </c>
      <c r="DK2906" s="4" t="e">
        <f>INDEX(Sheet2!$AA$2:$AS$228,QUOTIENT(ROW()-1,19)+1,MOD(ROW()-2,19)+1)</f>
        <v>#N/A</v>
      </c>
      <c r="DL2906" t="str">
        <f>IFERROR(INDEX(Sheet2!$AU$2:$BM$228,QUOTIENT(ROW()-1,19)+1,MOD(ROW()-2,19)+1),NA())</f>
        <v/>
      </c>
      <c r="DM2906" s="4" t="e">
        <f t="shared" si="156"/>
        <v>#N/A</v>
      </c>
      <c r="DN2906" t="e">
        <f t="shared" si="157"/>
        <v>#N/A</v>
      </c>
      <c r="DO2906" t="e">
        <f t="shared" si="158"/>
        <v>#N/A</v>
      </c>
    </row>
    <row r="2907" spans="7:119" x14ac:dyDescent="0.25">
      <c r="G2907"/>
      <c r="DI2907" s="4">
        <f>INDEX(Sheet2!A:A,QUOTIENT(ROW()-1,19)+2)</f>
        <v>41626</v>
      </c>
      <c r="DJ2907" s="4">
        <f>INDEX(Sheet2!C:C,QUOTIENT(ROW()-1,19)+2)</f>
        <v>42369</v>
      </c>
      <c r="DK2907" s="4" t="e">
        <f>INDEX(Sheet2!$AA$2:$AS$228,QUOTIENT(ROW()-1,19)+1,MOD(ROW()-2,19)+1)</f>
        <v>#N/A</v>
      </c>
      <c r="DL2907" t="str">
        <f>IFERROR(INDEX(Sheet2!$AU$2:$BM$228,QUOTIENT(ROW()-1,19)+1,MOD(ROW()-2,19)+1),NA())</f>
        <v/>
      </c>
      <c r="DM2907" s="4" t="e">
        <f t="shared" si="156"/>
        <v>#N/A</v>
      </c>
      <c r="DN2907" t="e">
        <f t="shared" si="157"/>
        <v>#N/A</v>
      </c>
      <c r="DO2907" t="e">
        <f t="shared" si="158"/>
        <v>#N/A</v>
      </c>
    </row>
    <row r="2908" spans="7:119" x14ac:dyDescent="0.25">
      <c r="G2908"/>
      <c r="DI2908" s="4">
        <f>INDEX(Sheet2!A:A,QUOTIENT(ROW()-1,19)+2)</f>
        <v>41626</v>
      </c>
      <c r="DJ2908" s="4">
        <f>INDEX(Sheet2!C:C,QUOTIENT(ROW()-1,19)+2)</f>
        <v>42369</v>
      </c>
      <c r="DK2908" s="4" t="e">
        <f>INDEX(Sheet2!$AA$2:$AS$228,QUOTIENT(ROW()-1,19)+1,MOD(ROW()-2,19)+1)</f>
        <v>#N/A</v>
      </c>
      <c r="DL2908" t="str">
        <f>IFERROR(INDEX(Sheet2!$AU$2:$BM$228,QUOTIENT(ROW()-1,19)+1,MOD(ROW()-2,19)+1),NA())</f>
        <v/>
      </c>
      <c r="DM2908" s="4" t="e">
        <f t="shared" si="156"/>
        <v>#N/A</v>
      </c>
      <c r="DN2908" t="e">
        <f t="shared" si="157"/>
        <v>#N/A</v>
      </c>
      <c r="DO2908" t="e">
        <f t="shared" si="158"/>
        <v>#N/A</v>
      </c>
    </row>
    <row r="2909" spans="7:119" x14ac:dyDescent="0.25">
      <c r="G2909"/>
      <c r="DI2909" s="4">
        <f>INDEX(Sheet2!A:A,QUOTIENT(ROW()-1,19)+2)</f>
        <v>41626</v>
      </c>
      <c r="DJ2909" s="4">
        <f>INDEX(Sheet2!C:C,QUOTIENT(ROW()-1,19)+2)</f>
        <v>42369</v>
      </c>
      <c r="DK2909" s="4">
        <f>INDEX(Sheet2!$AA$2:$AS$228,QUOTIENT(ROW()-1,19)+1,MOD(ROW()-2,19)+1)</f>
        <v>42369</v>
      </c>
      <c r="DL2909">
        <f>IFERROR(INDEX(Sheet2!$AU$2:$BM$228,QUOTIENT(ROW()-1,19)+1,MOD(ROW()-2,19)+1),NA())</f>
        <v>2</v>
      </c>
      <c r="DM2909" s="4" t="e">
        <f t="shared" si="156"/>
        <v>#N/A</v>
      </c>
      <c r="DN2909" t="e">
        <f t="shared" si="157"/>
        <v>#N/A</v>
      </c>
      <c r="DO2909" t="e">
        <f t="shared" si="158"/>
        <v>#N/A</v>
      </c>
    </row>
    <row r="2910" spans="7:119" x14ac:dyDescent="0.25">
      <c r="G2910"/>
      <c r="DI2910" s="4">
        <f>INDEX(Sheet2!A:A,QUOTIENT(ROW()-1,19)+2)</f>
        <v>41626</v>
      </c>
      <c r="DJ2910" s="4">
        <f>INDEX(Sheet2!C:C,QUOTIENT(ROW()-1,19)+2)</f>
        <v>42369</v>
      </c>
      <c r="DK2910" s="4" t="e">
        <f>INDEX(Sheet2!$AA$2:$AS$228,QUOTIENT(ROW()-1,19)+1,MOD(ROW()-2,19)+1)</f>
        <v>#N/A</v>
      </c>
      <c r="DL2910" t="str">
        <f>IFERROR(INDEX(Sheet2!$AU$2:$BM$228,QUOTIENT(ROW()-1,19)+1,MOD(ROW()-2,19)+1),NA())</f>
        <v/>
      </c>
      <c r="DM2910" s="4" t="e">
        <f t="shared" si="156"/>
        <v>#N/A</v>
      </c>
      <c r="DN2910" t="e">
        <f t="shared" si="157"/>
        <v>#N/A</v>
      </c>
      <c r="DO2910" t="e">
        <f t="shared" si="158"/>
        <v>#N/A</v>
      </c>
    </row>
    <row r="2911" spans="7:119" x14ac:dyDescent="0.25">
      <c r="G2911"/>
      <c r="DI2911" s="4">
        <f>INDEX(Sheet2!A:A,QUOTIENT(ROW()-1,19)+2)</f>
        <v>41626</v>
      </c>
      <c r="DJ2911" s="4">
        <f>INDEX(Sheet2!C:C,QUOTIENT(ROW()-1,19)+2)</f>
        <v>42369</v>
      </c>
      <c r="DK2911" s="4" t="e">
        <f>INDEX(Sheet2!$AA$2:$AS$228,QUOTIENT(ROW()-1,19)+1,MOD(ROW()-2,19)+1)</f>
        <v>#N/A</v>
      </c>
      <c r="DL2911" t="str">
        <f>IFERROR(INDEX(Sheet2!$AU$2:$BM$228,QUOTIENT(ROW()-1,19)+1,MOD(ROW()-2,19)+1),NA())</f>
        <v/>
      </c>
      <c r="DM2911" s="4" t="e">
        <f t="shared" si="156"/>
        <v>#N/A</v>
      </c>
      <c r="DN2911" t="e">
        <f t="shared" si="157"/>
        <v>#N/A</v>
      </c>
      <c r="DO2911" t="e">
        <f t="shared" si="158"/>
        <v>#N/A</v>
      </c>
    </row>
    <row r="2912" spans="7:119" x14ac:dyDescent="0.25">
      <c r="G2912"/>
      <c r="DI2912" s="4">
        <f>INDEX(Sheet2!A:A,QUOTIENT(ROW()-1,19)+2)</f>
        <v>41626</v>
      </c>
      <c r="DJ2912" s="4">
        <f>INDEX(Sheet2!C:C,QUOTIENT(ROW()-1,19)+2)</f>
        <v>42369</v>
      </c>
      <c r="DK2912" s="4" t="e">
        <f>INDEX(Sheet2!$AA$2:$AS$228,QUOTIENT(ROW()-1,19)+1,MOD(ROW()-2,19)+1)</f>
        <v>#N/A</v>
      </c>
      <c r="DL2912" t="str">
        <f>IFERROR(INDEX(Sheet2!$AU$2:$BM$228,QUOTIENT(ROW()-1,19)+1,MOD(ROW()-2,19)+1),NA())</f>
        <v/>
      </c>
      <c r="DM2912" s="4" t="e">
        <f t="shared" si="156"/>
        <v>#N/A</v>
      </c>
      <c r="DN2912" t="e">
        <f t="shared" si="157"/>
        <v>#N/A</v>
      </c>
      <c r="DO2912" t="e">
        <f t="shared" si="158"/>
        <v>#N/A</v>
      </c>
    </row>
    <row r="2913" spans="7:119" x14ac:dyDescent="0.25">
      <c r="G2913"/>
      <c r="DI2913" s="4">
        <f>INDEX(Sheet2!A:A,QUOTIENT(ROW()-1,19)+2)</f>
        <v>41626</v>
      </c>
      <c r="DJ2913" s="4">
        <f>INDEX(Sheet2!C:C,QUOTIENT(ROW()-1,19)+2)</f>
        <v>42369</v>
      </c>
      <c r="DK2913" s="4" t="e">
        <f>INDEX(Sheet2!$AA$2:$AS$228,QUOTIENT(ROW()-1,19)+1,MOD(ROW()-2,19)+1)</f>
        <v>#N/A</v>
      </c>
      <c r="DL2913" t="str">
        <f>IFERROR(INDEX(Sheet2!$AU$2:$BM$228,QUOTIENT(ROW()-1,19)+1,MOD(ROW()-2,19)+1),NA())</f>
        <v/>
      </c>
      <c r="DM2913" s="4" t="e">
        <f t="shared" si="156"/>
        <v>#N/A</v>
      </c>
      <c r="DN2913" t="e">
        <f t="shared" si="157"/>
        <v>#N/A</v>
      </c>
      <c r="DO2913" t="e">
        <f t="shared" si="158"/>
        <v>#N/A</v>
      </c>
    </row>
    <row r="2914" spans="7:119" x14ac:dyDescent="0.25">
      <c r="G2914"/>
      <c r="DI2914" s="4">
        <f>INDEX(Sheet2!A:A,QUOTIENT(ROW()-1,19)+2)</f>
        <v>41626</v>
      </c>
      <c r="DJ2914" s="4">
        <f>INDEX(Sheet2!C:C,QUOTIENT(ROW()-1,19)+2)</f>
        <v>42369</v>
      </c>
      <c r="DK2914" s="4" t="e">
        <f>INDEX(Sheet2!$AA$2:$AS$228,QUOTIENT(ROW()-1,19)+1,MOD(ROW()-2,19)+1)</f>
        <v>#N/A</v>
      </c>
      <c r="DL2914" t="str">
        <f>IFERROR(INDEX(Sheet2!$AU$2:$BM$228,QUOTIENT(ROW()-1,19)+1,MOD(ROW()-2,19)+1),NA())</f>
        <v/>
      </c>
      <c r="DM2914" s="4" t="e">
        <f t="shared" si="156"/>
        <v>#N/A</v>
      </c>
      <c r="DN2914" t="e">
        <f t="shared" si="157"/>
        <v>#N/A</v>
      </c>
      <c r="DO2914" t="e">
        <f t="shared" si="158"/>
        <v>#N/A</v>
      </c>
    </row>
    <row r="2915" spans="7:119" x14ac:dyDescent="0.25">
      <c r="G2915"/>
      <c r="DI2915" s="4">
        <f>INDEX(Sheet2!A:A,QUOTIENT(ROW()-1,19)+2)</f>
        <v>41626</v>
      </c>
      <c r="DJ2915" s="4">
        <f>INDEX(Sheet2!C:C,QUOTIENT(ROW()-1,19)+2)</f>
        <v>42369</v>
      </c>
      <c r="DK2915" s="4" t="e">
        <f>INDEX(Sheet2!$AA$2:$AS$228,QUOTIENT(ROW()-1,19)+1,MOD(ROW()-2,19)+1)</f>
        <v>#N/A</v>
      </c>
      <c r="DL2915" t="str">
        <f>IFERROR(INDEX(Sheet2!$AU$2:$BM$228,QUOTIENT(ROW()-1,19)+1,MOD(ROW()-2,19)+1),NA())</f>
        <v/>
      </c>
      <c r="DM2915" s="4" t="e">
        <f t="shared" si="156"/>
        <v>#N/A</v>
      </c>
      <c r="DN2915" t="e">
        <f t="shared" si="157"/>
        <v>#N/A</v>
      </c>
      <c r="DO2915" t="e">
        <f t="shared" si="158"/>
        <v>#N/A</v>
      </c>
    </row>
    <row r="2916" spans="7:119" x14ac:dyDescent="0.25">
      <c r="G2916"/>
      <c r="DI2916" s="4">
        <f>INDEX(Sheet2!A:A,QUOTIENT(ROW()-1,19)+2)</f>
        <v>41626</v>
      </c>
      <c r="DJ2916" s="4">
        <f>INDEX(Sheet2!C:C,QUOTIENT(ROW()-1,19)+2)</f>
        <v>42369</v>
      </c>
      <c r="DK2916" s="4" t="e">
        <f>INDEX(Sheet2!$AA$2:$AS$228,QUOTIENT(ROW()-1,19)+1,MOD(ROW()-2,19)+1)</f>
        <v>#N/A</v>
      </c>
      <c r="DL2916" t="str">
        <f>IFERROR(INDEX(Sheet2!$AU$2:$BM$228,QUOTIENT(ROW()-1,19)+1,MOD(ROW()-2,19)+1),NA())</f>
        <v/>
      </c>
      <c r="DM2916" s="4" t="e">
        <f t="shared" si="156"/>
        <v>#N/A</v>
      </c>
      <c r="DN2916" t="e">
        <f t="shared" si="157"/>
        <v>#N/A</v>
      </c>
      <c r="DO2916" t="e">
        <f t="shared" si="158"/>
        <v>#N/A</v>
      </c>
    </row>
    <row r="2917" spans="7:119" x14ac:dyDescent="0.25">
      <c r="G2917"/>
      <c r="DI2917" s="4">
        <f>INDEX(Sheet2!A:A,QUOTIENT(ROW()-1,19)+2)</f>
        <v>41626</v>
      </c>
      <c r="DJ2917" s="4">
        <f>INDEX(Sheet2!C:C,QUOTIENT(ROW()-1,19)+2)</f>
        <v>42369</v>
      </c>
      <c r="DK2917" s="4" t="e">
        <f>INDEX(Sheet2!$AA$2:$AS$228,QUOTIENT(ROW()-1,19)+1,MOD(ROW()-2,19)+1)</f>
        <v>#N/A</v>
      </c>
      <c r="DL2917" t="str">
        <f>IFERROR(INDEX(Sheet2!$AU$2:$BM$228,QUOTIENT(ROW()-1,19)+1,MOD(ROW()-2,19)+1),NA())</f>
        <v/>
      </c>
      <c r="DM2917" s="4" t="e">
        <f t="shared" si="156"/>
        <v>#N/A</v>
      </c>
      <c r="DN2917" t="e">
        <f t="shared" si="157"/>
        <v>#N/A</v>
      </c>
      <c r="DO2917" t="e">
        <f t="shared" si="158"/>
        <v>#N/A</v>
      </c>
    </row>
    <row r="2918" spans="7:119" x14ac:dyDescent="0.25">
      <c r="G2918"/>
      <c r="DI2918" s="4">
        <f>INDEX(Sheet2!A:A,QUOTIENT(ROW()-1,19)+2)</f>
        <v>41626</v>
      </c>
      <c r="DJ2918" s="4">
        <f>INDEX(Sheet2!C:C,QUOTIENT(ROW()-1,19)+2)</f>
        <v>42369</v>
      </c>
      <c r="DK2918" s="4" t="e">
        <f>INDEX(Sheet2!$AA$2:$AS$228,QUOTIENT(ROW()-1,19)+1,MOD(ROW()-2,19)+1)</f>
        <v>#N/A</v>
      </c>
      <c r="DL2918" t="str">
        <f>IFERROR(INDEX(Sheet2!$AU$2:$BM$228,QUOTIENT(ROW()-1,19)+1,MOD(ROW()-2,19)+1),NA())</f>
        <v/>
      </c>
      <c r="DM2918" s="4" t="e">
        <f t="shared" si="156"/>
        <v>#N/A</v>
      </c>
      <c r="DN2918" t="e">
        <f t="shared" si="157"/>
        <v>#N/A</v>
      </c>
      <c r="DO2918" t="e">
        <f t="shared" si="158"/>
        <v>#N/A</v>
      </c>
    </row>
    <row r="2919" spans="7:119" x14ac:dyDescent="0.25">
      <c r="G2919"/>
      <c r="DI2919" s="4">
        <f>INDEX(Sheet2!A:A,QUOTIENT(ROW()-1,19)+2)</f>
        <v>41626</v>
      </c>
      <c r="DJ2919" s="4">
        <f>INDEX(Sheet2!C:C,QUOTIENT(ROW()-1,19)+2)</f>
        <v>42369</v>
      </c>
      <c r="DK2919" s="4" t="e">
        <f>INDEX(Sheet2!$AA$2:$AS$228,QUOTIENT(ROW()-1,19)+1,MOD(ROW()-2,19)+1)</f>
        <v>#N/A</v>
      </c>
      <c r="DL2919" t="str">
        <f>IFERROR(INDEX(Sheet2!$AU$2:$BM$228,QUOTIENT(ROW()-1,19)+1,MOD(ROW()-2,19)+1),NA())</f>
        <v/>
      </c>
      <c r="DM2919" s="4" t="e">
        <f t="shared" si="156"/>
        <v>#N/A</v>
      </c>
      <c r="DN2919" t="e">
        <f t="shared" si="157"/>
        <v>#N/A</v>
      </c>
      <c r="DO2919" t="e">
        <f t="shared" si="158"/>
        <v>#N/A</v>
      </c>
    </row>
    <row r="2920" spans="7:119" x14ac:dyDescent="0.25">
      <c r="G2920"/>
      <c r="DI2920" s="4">
        <f>INDEX(Sheet2!A:A,QUOTIENT(ROW()-1,19)+2)</f>
        <v>41626</v>
      </c>
      <c r="DJ2920" s="4">
        <f>INDEX(Sheet2!C:C,QUOTIENT(ROW()-1,19)+2)</f>
        <v>42369</v>
      </c>
      <c r="DK2920" s="4" t="e">
        <f>INDEX(Sheet2!$AA$2:$AS$228,QUOTIENT(ROW()-1,19)+1,MOD(ROW()-2,19)+1)</f>
        <v>#N/A</v>
      </c>
      <c r="DL2920" t="str">
        <f>IFERROR(INDEX(Sheet2!$AU$2:$BM$228,QUOTIENT(ROW()-1,19)+1,MOD(ROW()-2,19)+1),NA())</f>
        <v/>
      </c>
      <c r="DM2920" s="4" t="e">
        <f t="shared" si="156"/>
        <v>#N/A</v>
      </c>
      <c r="DN2920" t="e">
        <f t="shared" si="157"/>
        <v>#N/A</v>
      </c>
      <c r="DO2920" t="e">
        <f t="shared" si="158"/>
        <v>#N/A</v>
      </c>
    </row>
    <row r="2921" spans="7:119" x14ac:dyDescent="0.25">
      <c r="G2921"/>
      <c r="DI2921" s="4">
        <f>INDEX(Sheet2!A:A,QUOTIENT(ROW()-1,19)+2)</f>
        <v>41626</v>
      </c>
      <c r="DJ2921" s="4">
        <f>INDEX(Sheet2!C:C,QUOTIENT(ROW()-1,19)+2)</f>
        <v>42369</v>
      </c>
      <c r="DK2921" s="4" t="e">
        <f>INDEX(Sheet2!$AA$2:$AS$228,QUOTIENT(ROW()-1,19)+1,MOD(ROW()-2,19)+1)</f>
        <v>#N/A</v>
      </c>
      <c r="DL2921" t="str">
        <f>IFERROR(INDEX(Sheet2!$AU$2:$BM$228,QUOTIENT(ROW()-1,19)+1,MOD(ROW()-2,19)+1),NA())</f>
        <v/>
      </c>
      <c r="DM2921" s="4" t="e">
        <f t="shared" si="156"/>
        <v>#N/A</v>
      </c>
      <c r="DN2921" t="e">
        <f t="shared" si="157"/>
        <v>#N/A</v>
      </c>
      <c r="DO2921" t="e">
        <f t="shared" si="158"/>
        <v>#N/A</v>
      </c>
    </row>
    <row r="2922" spans="7:119" x14ac:dyDescent="0.25">
      <c r="G2922"/>
      <c r="DI2922" s="4">
        <f>INDEX(Sheet2!A:A,QUOTIENT(ROW()-1,19)+2)</f>
        <v>41626</v>
      </c>
      <c r="DJ2922" s="4">
        <f>INDEX(Sheet2!C:C,QUOTIENT(ROW()-1,19)+2)</f>
        <v>42369</v>
      </c>
      <c r="DK2922" s="4" t="e">
        <f>INDEX(Sheet2!$AA$2:$AS$228,QUOTIENT(ROW()-1,19)+1,MOD(ROW()-2,19)+1)</f>
        <v>#N/A</v>
      </c>
      <c r="DL2922" t="str">
        <f>IFERROR(INDEX(Sheet2!$AU$2:$BM$228,QUOTIENT(ROW()-1,19)+1,MOD(ROW()-2,19)+1),NA())</f>
        <v/>
      </c>
      <c r="DM2922" s="4" t="e">
        <f t="shared" si="156"/>
        <v>#N/A</v>
      </c>
      <c r="DN2922" t="e">
        <f t="shared" si="157"/>
        <v>#N/A</v>
      </c>
      <c r="DO2922" t="e">
        <f t="shared" si="158"/>
        <v>#N/A</v>
      </c>
    </row>
    <row r="2923" spans="7:119" x14ac:dyDescent="0.25">
      <c r="G2923"/>
      <c r="DI2923" s="4">
        <f>INDEX(Sheet2!A:A,QUOTIENT(ROW()-1,19)+2)</f>
        <v>41626</v>
      </c>
      <c r="DJ2923" s="4">
        <f>INDEX(Sheet2!C:C,QUOTIENT(ROW()-1,19)+2)</f>
        <v>42369</v>
      </c>
      <c r="DK2923" s="4" t="e">
        <f>INDEX(Sheet2!$AA$2:$AS$228,QUOTIENT(ROW()-1,19)+1,MOD(ROW()-2,19)+1)</f>
        <v>#N/A</v>
      </c>
      <c r="DL2923" t="str">
        <f>IFERROR(INDEX(Sheet2!$AU$2:$BM$228,QUOTIENT(ROW()-1,19)+1,MOD(ROW()-2,19)+1),NA())</f>
        <v/>
      </c>
      <c r="DM2923" s="4" t="e">
        <f t="shared" si="156"/>
        <v>#N/A</v>
      </c>
      <c r="DN2923" t="e">
        <f t="shared" si="157"/>
        <v>#N/A</v>
      </c>
      <c r="DO2923" t="e">
        <f t="shared" si="158"/>
        <v>#N/A</v>
      </c>
    </row>
    <row r="2924" spans="7:119" x14ac:dyDescent="0.25">
      <c r="G2924"/>
      <c r="DI2924" s="4">
        <f>INDEX(Sheet2!A:A,QUOTIENT(ROW()-1,19)+2)</f>
        <v>41626</v>
      </c>
      <c r="DJ2924" s="4">
        <f>INDEX(Sheet2!C:C,QUOTIENT(ROW()-1,19)+2)</f>
        <v>42369</v>
      </c>
      <c r="DK2924" s="4" t="e">
        <f>INDEX(Sheet2!$AA$2:$AS$228,QUOTIENT(ROW()-1,19)+1,MOD(ROW()-2,19)+1)</f>
        <v>#N/A</v>
      </c>
      <c r="DL2924" t="str">
        <f>IFERROR(INDEX(Sheet2!$AU$2:$BM$228,QUOTIENT(ROW()-1,19)+1,MOD(ROW()-2,19)+1),NA())</f>
        <v/>
      </c>
      <c r="DM2924" s="4" t="e">
        <f t="shared" si="156"/>
        <v>#N/A</v>
      </c>
      <c r="DN2924" t="e">
        <f t="shared" si="157"/>
        <v>#N/A</v>
      </c>
      <c r="DO2924" t="e">
        <f t="shared" si="158"/>
        <v>#N/A</v>
      </c>
    </row>
    <row r="2925" spans="7:119" x14ac:dyDescent="0.25">
      <c r="G2925"/>
      <c r="DI2925" s="4">
        <f>INDEX(Sheet2!A:A,QUOTIENT(ROW()-1,19)+2)</f>
        <v>41626</v>
      </c>
      <c r="DJ2925" s="4">
        <f>INDEX(Sheet2!C:C,QUOTIENT(ROW()-1,19)+2)</f>
        <v>42369</v>
      </c>
      <c r="DK2925" s="4" t="e">
        <f>INDEX(Sheet2!$AA$2:$AS$228,QUOTIENT(ROW()-1,19)+1,MOD(ROW()-2,19)+1)</f>
        <v>#N/A</v>
      </c>
      <c r="DL2925" t="str">
        <f>IFERROR(INDEX(Sheet2!$AU$2:$BM$228,QUOTIENT(ROW()-1,19)+1,MOD(ROW()-2,19)+1),NA())</f>
        <v/>
      </c>
      <c r="DM2925" s="4" t="e">
        <f t="shared" si="156"/>
        <v>#N/A</v>
      </c>
      <c r="DN2925" t="e">
        <f t="shared" si="157"/>
        <v>#N/A</v>
      </c>
      <c r="DO2925" t="e">
        <f t="shared" si="158"/>
        <v>#N/A</v>
      </c>
    </row>
    <row r="2926" spans="7:119" x14ac:dyDescent="0.25">
      <c r="G2926"/>
      <c r="DI2926" s="4">
        <f>INDEX(Sheet2!A:A,QUOTIENT(ROW()-1,19)+2)</f>
        <v>41626</v>
      </c>
      <c r="DJ2926" s="4">
        <f>INDEX(Sheet2!C:C,QUOTIENT(ROW()-1,19)+2)</f>
        <v>42369</v>
      </c>
      <c r="DK2926" s="4" t="e">
        <f>INDEX(Sheet2!$AA$2:$AS$228,QUOTIENT(ROW()-1,19)+1,MOD(ROW()-2,19)+1)</f>
        <v>#N/A</v>
      </c>
      <c r="DL2926" t="str">
        <f>IFERROR(INDEX(Sheet2!$AU$2:$BM$228,QUOTIENT(ROW()-1,19)+1,MOD(ROW()-2,19)+1),NA())</f>
        <v/>
      </c>
      <c r="DM2926" s="4" t="e">
        <f t="shared" si="156"/>
        <v>#N/A</v>
      </c>
      <c r="DN2926" t="e">
        <f t="shared" si="157"/>
        <v>#N/A</v>
      </c>
      <c r="DO2926" t="e">
        <f t="shared" si="158"/>
        <v>#N/A</v>
      </c>
    </row>
    <row r="2927" spans="7:119" x14ac:dyDescent="0.25">
      <c r="G2927"/>
      <c r="DI2927" s="4">
        <f>INDEX(Sheet2!A:A,QUOTIENT(ROW()-1,19)+2)</f>
        <v>41626</v>
      </c>
      <c r="DJ2927" s="4">
        <f>INDEX(Sheet2!C:C,QUOTIENT(ROW()-1,19)+2)</f>
        <v>42369</v>
      </c>
      <c r="DK2927" s="4" t="e">
        <f>INDEX(Sheet2!$AA$2:$AS$228,QUOTIENT(ROW()-1,19)+1,MOD(ROW()-2,19)+1)</f>
        <v>#N/A</v>
      </c>
      <c r="DL2927" t="str">
        <f>IFERROR(INDEX(Sheet2!$AU$2:$BM$228,QUOTIENT(ROW()-1,19)+1,MOD(ROW()-2,19)+1),NA())</f>
        <v/>
      </c>
      <c r="DM2927" s="4" t="e">
        <f t="shared" si="156"/>
        <v>#N/A</v>
      </c>
      <c r="DN2927" t="e">
        <f t="shared" si="157"/>
        <v>#N/A</v>
      </c>
      <c r="DO2927" t="e">
        <f t="shared" si="158"/>
        <v>#N/A</v>
      </c>
    </row>
    <row r="2928" spans="7:119" x14ac:dyDescent="0.25">
      <c r="G2928"/>
      <c r="DI2928" s="4">
        <f>INDEX(Sheet2!A:A,QUOTIENT(ROW()-1,19)+2)</f>
        <v>41626</v>
      </c>
      <c r="DJ2928" s="4">
        <f>INDEX(Sheet2!C:C,QUOTIENT(ROW()-1,19)+2)</f>
        <v>42369</v>
      </c>
      <c r="DK2928" s="4">
        <f>INDEX(Sheet2!$AA$2:$AS$228,QUOTIENT(ROW()-1,19)+1,MOD(ROW()-2,19)+1)</f>
        <v>42369</v>
      </c>
      <c r="DL2928">
        <f>IFERROR(INDEX(Sheet2!$AU$2:$BM$228,QUOTIENT(ROW()-1,19)+1,MOD(ROW()-2,19)+1),NA())</f>
        <v>2.75</v>
      </c>
      <c r="DM2928" s="4" t="e">
        <f t="shared" si="156"/>
        <v>#N/A</v>
      </c>
      <c r="DN2928" t="e">
        <f t="shared" si="157"/>
        <v>#N/A</v>
      </c>
      <c r="DO2928" t="e">
        <f t="shared" si="158"/>
        <v>#N/A</v>
      </c>
    </row>
    <row r="2929" spans="7:119" x14ac:dyDescent="0.25">
      <c r="G2929"/>
      <c r="DI2929" s="4">
        <f>INDEX(Sheet2!A:A,QUOTIENT(ROW()-1,19)+2)</f>
        <v>41626</v>
      </c>
      <c r="DJ2929" s="4">
        <f>INDEX(Sheet2!C:C,QUOTIENT(ROW()-1,19)+2)</f>
        <v>42369</v>
      </c>
      <c r="DK2929" s="4" t="e">
        <f>INDEX(Sheet2!$AA$2:$AS$228,QUOTIENT(ROW()-1,19)+1,MOD(ROW()-2,19)+1)</f>
        <v>#N/A</v>
      </c>
      <c r="DL2929" t="str">
        <f>IFERROR(INDEX(Sheet2!$AU$2:$BM$228,QUOTIENT(ROW()-1,19)+1,MOD(ROW()-2,19)+1),NA())</f>
        <v/>
      </c>
      <c r="DM2929" s="4" t="e">
        <f t="shared" si="156"/>
        <v>#N/A</v>
      </c>
      <c r="DN2929" t="e">
        <f t="shared" si="157"/>
        <v>#N/A</v>
      </c>
      <c r="DO2929" t="e">
        <f t="shared" si="158"/>
        <v>#N/A</v>
      </c>
    </row>
    <row r="2930" spans="7:119" x14ac:dyDescent="0.25">
      <c r="G2930"/>
      <c r="DI2930" s="4">
        <f>INDEX(Sheet2!A:A,QUOTIENT(ROW()-1,19)+2)</f>
        <v>41626</v>
      </c>
      <c r="DJ2930" s="4">
        <f>INDEX(Sheet2!C:C,QUOTIENT(ROW()-1,19)+2)</f>
        <v>42369</v>
      </c>
      <c r="DK2930" s="4" t="e">
        <f>INDEX(Sheet2!$AA$2:$AS$228,QUOTIENT(ROW()-1,19)+1,MOD(ROW()-2,19)+1)</f>
        <v>#N/A</v>
      </c>
      <c r="DL2930" t="str">
        <f>IFERROR(INDEX(Sheet2!$AU$2:$BM$228,QUOTIENT(ROW()-1,19)+1,MOD(ROW()-2,19)+1),NA())</f>
        <v/>
      </c>
      <c r="DM2930" s="4" t="e">
        <f t="shared" si="156"/>
        <v>#N/A</v>
      </c>
      <c r="DN2930" t="e">
        <f t="shared" si="157"/>
        <v>#N/A</v>
      </c>
      <c r="DO2930" t="e">
        <f t="shared" si="158"/>
        <v>#N/A</v>
      </c>
    </row>
    <row r="2931" spans="7:119" x14ac:dyDescent="0.25">
      <c r="G2931"/>
      <c r="DI2931" s="4">
        <f>INDEX(Sheet2!A:A,QUOTIENT(ROW()-1,19)+2)</f>
        <v>41626</v>
      </c>
      <c r="DJ2931" s="4">
        <f>INDEX(Sheet2!C:C,QUOTIENT(ROW()-1,19)+2)</f>
        <v>42369</v>
      </c>
      <c r="DK2931" s="4" t="e">
        <f>INDEX(Sheet2!$AA$2:$AS$228,QUOTIENT(ROW()-1,19)+1,MOD(ROW()-2,19)+1)</f>
        <v>#N/A</v>
      </c>
      <c r="DL2931" t="str">
        <f>IFERROR(INDEX(Sheet2!$AU$2:$BM$228,QUOTIENT(ROW()-1,19)+1,MOD(ROW()-2,19)+1),NA())</f>
        <v/>
      </c>
      <c r="DM2931" s="4" t="e">
        <f t="shared" si="156"/>
        <v>#N/A</v>
      </c>
      <c r="DN2931" t="e">
        <f t="shared" si="157"/>
        <v>#N/A</v>
      </c>
      <c r="DO2931" t="e">
        <f t="shared" si="158"/>
        <v>#N/A</v>
      </c>
    </row>
    <row r="2932" spans="7:119" x14ac:dyDescent="0.25">
      <c r="G2932"/>
      <c r="DI2932" s="4">
        <f>INDEX(Sheet2!A:A,QUOTIENT(ROW()-1,19)+2)</f>
        <v>41626</v>
      </c>
      <c r="DJ2932" s="4">
        <f>INDEX(Sheet2!C:C,QUOTIENT(ROW()-1,19)+2)</f>
        <v>42369</v>
      </c>
      <c r="DK2932" s="4" t="e">
        <f>INDEX(Sheet2!$AA$2:$AS$228,QUOTIENT(ROW()-1,19)+1,MOD(ROW()-2,19)+1)</f>
        <v>#N/A</v>
      </c>
      <c r="DL2932" t="str">
        <f>IFERROR(INDEX(Sheet2!$AU$2:$BM$228,QUOTIENT(ROW()-1,19)+1,MOD(ROW()-2,19)+1),NA())</f>
        <v/>
      </c>
      <c r="DM2932" s="4" t="e">
        <f t="shared" si="156"/>
        <v>#N/A</v>
      </c>
      <c r="DN2932" t="e">
        <f t="shared" si="157"/>
        <v>#N/A</v>
      </c>
      <c r="DO2932" t="e">
        <f t="shared" si="158"/>
        <v>#N/A</v>
      </c>
    </row>
    <row r="2933" spans="7:119" x14ac:dyDescent="0.25">
      <c r="G2933"/>
      <c r="DI2933" s="4">
        <f>INDEX(Sheet2!A:A,QUOTIENT(ROW()-1,19)+2)</f>
        <v>41626</v>
      </c>
      <c r="DJ2933" s="4">
        <f>INDEX(Sheet2!C:C,QUOTIENT(ROW()-1,19)+2)</f>
        <v>42369</v>
      </c>
      <c r="DK2933" s="4" t="e">
        <f>INDEX(Sheet2!$AA$2:$AS$228,QUOTIENT(ROW()-1,19)+1,MOD(ROW()-2,19)+1)</f>
        <v>#N/A</v>
      </c>
      <c r="DL2933" t="str">
        <f>IFERROR(INDEX(Sheet2!$AU$2:$BM$228,QUOTIENT(ROW()-1,19)+1,MOD(ROW()-2,19)+1),NA())</f>
        <v/>
      </c>
      <c r="DM2933" s="4" t="e">
        <f t="shared" si="156"/>
        <v>#N/A</v>
      </c>
      <c r="DN2933" t="e">
        <f t="shared" si="157"/>
        <v>#N/A</v>
      </c>
      <c r="DO2933" t="e">
        <f t="shared" si="158"/>
        <v>#N/A</v>
      </c>
    </row>
    <row r="2934" spans="7:119" x14ac:dyDescent="0.25">
      <c r="G2934"/>
      <c r="DI2934" s="4">
        <f>INDEX(Sheet2!A:A,QUOTIENT(ROW()-1,19)+2)</f>
        <v>41626</v>
      </c>
      <c r="DJ2934" s="4">
        <f>INDEX(Sheet2!C:C,QUOTIENT(ROW()-1,19)+2)</f>
        <v>42369</v>
      </c>
      <c r="DK2934" s="4" t="e">
        <f>INDEX(Sheet2!$AA$2:$AS$228,QUOTIENT(ROW()-1,19)+1,MOD(ROW()-2,19)+1)</f>
        <v>#N/A</v>
      </c>
      <c r="DL2934" t="str">
        <f>IFERROR(INDEX(Sheet2!$AU$2:$BM$228,QUOTIENT(ROW()-1,19)+1,MOD(ROW()-2,19)+1),NA())</f>
        <v/>
      </c>
      <c r="DM2934" s="4" t="e">
        <f t="shared" si="156"/>
        <v>#N/A</v>
      </c>
      <c r="DN2934" t="e">
        <f t="shared" si="157"/>
        <v>#N/A</v>
      </c>
      <c r="DO2934" t="e">
        <f t="shared" si="158"/>
        <v>#N/A</v>
      </c>
    </row>
    <row r="2935" spans="7:119" x14ac:dyDescent="0.25">
      <c r="G2935"/>
      <c r="DI2935" s="4">
        <f>INDEX(Sheet2!A:A,QUOTIENT(ROW()-1,19)+2)</f>
        <v>41626</v>
      </c>
      <c r="DJ2935" s="4">
        <f>INDEX(Sheet2!C:C,QUOTIENT(ROW()-1,19)+2)</f>
        <v>42369</v>
      </c>
      <c r="DK2935" s="4" t="e">
        <f>INDEX(Sheet2!$AA$2:$AS$228,QUOTIENT(ROW()-1,19)+1,MOD(ROW()-2,19)+1)</f>
        <v>#N/A</v>
      </c>
      <c r="DL2935" t="str">
        <f>IFERROR(INDEX(Sheet2!$AU$2:$BM$228,QUOTIENT(ROW()-1,19)+1,MOD(ROW()-2,19)+1),NA())</f>
        <v/>
      </c>
      <c r="DM2935" s="4" t="e">
        <f t="shared" si="156"/>
        <v>#N/A</v>
      </c>
      <c r="DN2935" t="e">
        <f t="shared" si="157"/>
        <v>#N/A</v>
      </c>
      <c r="DO2935" t="e">
        <f t="shared" si="158"/>
        <v>#N/A</v>
      </c>
    </row>
    <row r="2936" spans="7:119" x14ac:dyDescent="0.25">
      <c r="G2936"/>
      <c r="DI2936" s="4">
        <f>INDEX(Sheet2!A:A,QUOTIENT(ROW()-1,19)+2)</f>
        <v>41626</v>
      </c>
      <c r="DJ2936" s="4">
        <f>INDEX(Sheet2!C:C,QUOTIENT(ROW()-1,19)+2)</f>
        <v>42369</v>
      </c>
      <c r="DK2936" s="4" t="e">
        <f>INDEX(Sheet2!$AA$2:$AS$228,QUOTIENT(ROW()-1,19)+1,MOD(ROW()-2,19)+1)</f>
        <v>#N/A</v>
      </c>
      <c r="DL2936" t="str">
        <f>IFERROR(INDEX(Sheet2!$AU$2:$BM$228,QUOTIENT(ROW()-1,19)+1,MOD(ROW()-2,19)+1),NA())</f>
        <v/>
      </c>
      <c r="DM2936" s="4" t="e">
        <f t="shared" si="156"/>
        <v>#N/A</v>
      </c>
      <c r="DN2936" t="e">
        <f t="shared" si="157"/>
        <v>#N/A</v>
      </c>
      <c r="DO2936" t="e">
        <f t="shared" si="158"/>
        <v>#N/A</v>
      </c>
    </row>
    <row r="2937" spans="7:119" x14ac:dyDescent="0.25">
      <c r="G2937"/>
      <c r="DI2937" s="4">
        <f>INDEX(Sheet2!A:A,QUOTIENT(ROW()-1,19)+2)</f>
        <v>41626</v>
      </c>
      <c r="DJ2937" s="4">
        <f>INDEX(Sheet2!C:C,QUOTIENT(ROW()-1,19)+2)</f>
        <v>42369</v>
      </c>
      <c r="DK2937" s="4" t="e">
        <f>INDEX(Sheet2!$AA$2:$AS$228,QUOTIENT(ROW()-1,19)+1,MOD(ROW()-2,19)+1)</f>
        <v>#N/A</v>
      </c>
      <c r="DL2937" t="str">
        <f>IFERROR(INDEX(Sheet2!$AU$2:$BM$228,QUOTIENT(ROW()-1,19)+1,MOD(ROW()-2,19)+1),NA())</f>
        <v/>
      </c>
      <c r="DM2937" s="4" t="e">
        <f t="shared" si="156"/>
        <v>#N/A</v>
      </c>
      <c r="DN2937" t="e">
        <f t="shared" si="157"/>
        <v>#N/A</v>
      </c>
      <c r="DO2937" t="e">
        <f t="shared" si="158"/>
        <v>#N/A</v>
      </c>
    </row>
    <row r="2938" spans="7:119" x14ac:dyDescent="0.25">
      <c r="G2938"/>
      <c r="DI2938" s="4">
        <f>INDEX(Sheet2!A:A,QUOTIENT(ROW()-1,19)+2)</f>
        <v>41626</v>
      </c>
      <c r="DJ2938" s="4">
        <f>INDEX(Sheet2!C:C,QUOTIENT(ROW()-1,19)+2)</f>
        <v>42369</v>
      </c>
      <c r="DK2938" s="4" t="e">
        <f>INDEX(Sheet2!$AA$2:$AS$228,QUOTIENT(ROW()-1,19)+1,MOD(ROW()-2,19)+1)</f>
        <v>#N/A</v>
      </c>
      <c r="DL2938" t="str">
        <f>IFERROR(INDEX(Sheet2!$AU$2:$BM$228,QUOTIENT(ROW()-1,19)+1,MOD(ROW()-2,19)+1),NA())</f>
        <v/>
      </c>
      <c r="DM2938" s="4" t="e">
        <f t="shared" si="156"/>
        <v>#N/A</v>
      </c>
      <c r="DN2938" t="e">
        <f t="shared" si="157"/>
        <v>#N/A</v>
      </c>
      <c r="DO2938" t="e">
        <f t="shared" si="158"/>
        <v>#N/A</v>
      </c>
    </row>
    <row r="2939" spans="7:119" x14ac:dyDescent="0.25">
      <c r="G2939"/>
      <c r="DI2939" s="4">
        <f>INDEX(Sheet2!A:A,QUOTIENT(ROW()-1,19)+2)</f>
        <v>41626</v>
      </c>
      <c r="DJ2939" s="4">
        <f>INDEX(Sheet2!C:C,QUOTIENT(ROW()-1,19)+2)</f>
        <v>42369</v>
      </c>
      <c r="DK2939" s="4" t="e">
        <f>INDEX(Sheet2!$AA$2:$AS$228,QUOTIENT(ROW()-1,19)+1,MOD(ROW()-2,19)+1)</f>
        <v>#N/A</v>
      </c>
      <c r="DL2939" t="str">
        <f>IFERROR(INDEX(Sheet2!$AU$2:$BM$228,QUOTIENT(ROW()-1,19)+1,MOD(ROW()-2,19)+1),NA())</f>
        <v/>
      </c>
      <c r="DM2939" s="4" t="e">
        <f t="shared" si="156"/>
        <v>#N/A</v>
      </c>
      <c r="DN2939" t="e">
        <f t="shared" si="157"/>
        <v>#N/A</v>
      </c>
      <c r="DO2939" t="e">
        <f t="shared" si="158"/>
        <v>#N/A</v>
      </c>
    </row>
    <row r="2940" spans="7:119" x14ac:dyDescent="0.25">
      <c r="G2940"/>
      <c r="DI2940" s="4">
        <f>INDEX(Sheet2!A:A,QUOTIENT(ROW()-1,19)+2)</f>
        <v>41626</v>
      </c>
      <c r="DJ2940" s="4">
        <f>INDEX(Sheet2!C:C,QUOTIENT(ROW()-1,19)+2)</f>
        <v>42369</v>
      </c>
      <c r="DK2940" s="4" t="e">
        <f>INDEX(Sheet2!$AA$2:$AS$228,QUOTIENT(ROW()-1,19)+1,MOD(ROW()-2,19)+1)</f>
        <v>#N/A</v>
      </c>
      <c r="DL2940" t="str">
        <f>IFERROR(INDEX(Sheet2!$AU$2:$BM$228,QUOTIENT(ROW()-1,19)+1,MOD(ROW()-2,19)+1),NA())</f>
        <v/>
      </c>
      <c r="DM2940" s="4" t="e">
        <f t="shared" si="156"/>
        <v>#N/A</v>
      </c>
      <c r="DN2940" t="e">
        <f t="shared" si="157"/>
        <v>#N/A</v>
      </c>
      <c r="DO2940" t="e">
        <f t="shared" si="158"/>
        <v>#N/A</v>
      </c>
    </row>
    <row r="2941" spans="7:119" x14ac:dyDescent="0.25">
      <c r="G2941"/>
      <c r="DI2941" s="4">
        <f>INDEX(Sheet2!A:A,QUOTIENT(ROW()-1,19)+2)</f>
        <v>41626</v>
      </c>
      <c r="DJ2941" s="4">
        <f>INDEX(Sheet2!C:C,QUOTIENT(ROW()-1,19)+2)</f>
        <v>42369</v>
      </c>
      <c r="DK2941" s="4" t="e">
        <f>INDEX(Sheet2!$AA$2:$AS$228,QUOTIENT(ROW()-1,19)+1,MOD(ROW()-2,19)+1)</f>
        <v>#N/A</v>
      </c>
      <c r="DL2941" t="str">
        <f>IFERROR(INDEX(Sheet2!$AU$2:$BM$228,QUOTIENT(ROW()-1,19)+1,MOD(ROW()-2,19)+1),NA())</f>
        <v/>
      </c>
      <c r="DM2941" s="4" t="e">
        <f t="shared" si="156"/>
        <v>#N/A</v>
      </c>
      <c r="DN2941" t="e">
        <f t="shared" si="157"/>
        <v>#N/A</v>
      </c>
      <c r="DO2941" t="e">
        <f t="shared" si="158"/>
        <v>#N/A</v>
      </c>
    </row>
    <row r="2942" spans="7:119" x14ac:dyDescent="0.25">
      <c r="G2942"/>
      <c r="DI2942" s="4">
        <f>INDEX(Sheet2!A:A,QUOTIENT(ROW()-1,19)+2)</f>
        <v>41626</v>
      </c>
      <c r="DJ2942" s="4">
        <f>INDEX(Sheet2!C:C,QUOTIENT(ROW()-1,19)+2)</f>
        <v>42369</v>
      </c>
      <c r="DK2942" s="4" t="e">
        <f>INDEX(Sheet2!$AA$2:$AS$228,QUOTIENT(ROW()-1,19)+1,MOD(ROW()-2,19)+1)</f>
        <v>#N/A</v>
      </c>
      <c r="DL2942" t="str">
        <f>IFERROR(INDEX(Sheet2!$AU$2:$BM$228,QUOTIENT(ROW()-1,19)+1,MOD(ROW()-2,19)+1),NA())</f>
        <v/>
      </c>
      <c r="DM2942" s="4" t="e">
        <f t="shared" si="156"/>
        <v>#N/A</v>
      </c>
      <c r="DN2942" t="e">
        <f t="shared" si="157"/>
        <v>#N/A</v>
      </c>
      <c r="DO2942" t="e">
        <f t="shared" si="158"/>
        <v>#N/A</v>
      </c>
    </row>
    <row r="2943" spans="7:119" x14ac:dyDescent="0.25">
      <c r="G2943"/>
      <c r="DI2943" s="4">
        <f>INDEX(Sheet2!A:A,QUOTIENT(ROW()-1,19)+2)</f>
        <v>41626</v>
      </c>
      <c r="DJ2943" s="4">
        <f>INDEX(Sheet2!C:C,QUOTIENT(ROW()-1,19)+2)</f>
        <v>42369</v>
      </c>
      <c r="DK2943" s="4" t="e">
        <f>INDEX(Sheet2!$AA$2:$AS$228,QUOTIENT(ROW()-1,19)+1,MOD(ROW()-2,19)+1)</f>
        <v>#N/A</v>
      </c>
      <c r="DL2943" t="str">
        <f>IFERROR(INDEX(Sheet2!$AU$2:$BM$228,QUOTIENT(ROW()-1,19)+1,MOD(ROW()-2,19)+1),NA())</f>
        <v/>
      </c>
      <c r="DM2943" s="4" t="e">
        <f t="shared" si="156"/>
        <v>#N/A</v>
      </c>
      <c r="DN2943" t="e">
        <f t="shared" si="157"/>
        <v>#N/A</v>
      </c>
      <c r="DO2943" t="e">
        <f t="shared" si="158"/>
        <v>#N/A</v>
      </c>
    </row>
    <row r="2944" spans="7:119" x14ac:dyDescent="0.25">
      <c r="G2944"/>
      <c r="DI2944" s="4">
        <f>INDEX(Sheet2!A:A,QUOTIENT(ROW()-1,19)+2)</f>
        <v>41626</v>
      </c>
      <c r="DJ2944" s="4">
        <f>INDEX(Sheet2!C:C,QUOTIENT(ROW()-1,19)+2)</f>
        <v>42369</v>
      </c>
      <c r="DK2944" s="4" t="e">
        <f>INDEX(Sheet2!$AA$2:$AS$228,QUOTIENT(ROW()-1,19)+1,MOD(ROW()-2,19)+1)</f>
        <v>#N/A</v>
      </c>
      <c r="DL2944" t="str">
        <f>IFERROR(INDEX(Sheet2!$AU$2:$BM$228,QUOTIENT(ROW()-1,19)+1,MOD(ROW()-2,19)+1),NA())</f>
        <v/>
      </c>
      <c r="DM2944" s="4" t="e">
        <f t="shared" si="156"/>
        <v>#N/A</v>
      </c>
      <c r="DN2944" t="e">
        <f t="shared" si="157"/>
        <v>#N/A</v>
      </c>
      <c r="DO2944" t="e">
        <f t="shared" si="158"/>
        <v>#N/A</v>
      </c>
    </row>
    <row r="2945" spans="7:119" x14ac:dyDescent="0.25">
      <c r="G2945"/>
      <c r="DI2945" s="4">
        <f>INDEX(Sheet2!A:A,QUOTIENT(ROW()-1,19)+2)</f>
        <v>41626</v>
      </c>
      <c r="DJ2945" s="4">
        <f>INDEX(Sheet2!C:C,QUOTIENT(ROW()-1,19)+2)</f>
        <v>42369</v>
      </c>
      <c r="DK2945" s="4" t="e">
        <f>INDEX(Sheet2!$AA$2:$AS$228,QUOTIENT(ROW()-1,19)+1,MOD(ROW()-2,19)+1)</f>
        <v>#N/A</v>
      </c>
      <c r="DL2945" t="str">
        <f>IFERROR(INDEX(Sheet2!$AU$2:$BM$228,QUOTIENT(ROW()-1,19)+1,MOD(ROW()-2,19)+1),NA())</f>
        <v/>
      </c>
      <c r="DM2945" s="4" t="e">
        <f t="shared" si="156"/>
        <v>#N/A</v>
      </c>
      <c r="DN2945" t="e">
        <f t="shared" si="157"/>
        <v>#N/A</v>
      </c>
      <c r="DO2945" t="e">
        <f t="shared" si="158"/>
        <v>#N/A</v>
      </c>
    </row>
    <row r="2946" spans="7:119" x14ac:dyDescent="0.25">
      <c r="G2946"/>
      <c r="DI2946" s="4">
        <f>INDEX(Sheet2!A:A,QUOTIENT(ROW()-1,19)+2)</f>
        <v>41626</v>
      </c>
      <c r="DJ2946" s="4">
        <f>INDEX(Sheet2!C:C,QUOTIENT(ROW()-1,19)+2)</f>
        <v>42369</v>
      </c>
      <c r="DK2946" s="4" t="e">
        <f>INDEX(Sheet2!$AA$2:$AS$228,QUOTIENT(ROW()-1,19)+1,MOD(ROW()-2,19)+1)</f>
        <v>#N/A</v>
      </c>
      <c r="DL2946" t="str">
        <f>IFERROR(INDEX(Sheet2!$AU$2:$BM$228,QUOTIENT(ROW()-1,19)+1,MOD(ROW()-2,19)+1),NA())</f>
        <v/>
      </c>
      <c r="DM2946" s="4" t="e">
        <f t="shared" ref="DM2946:DM3009" si="159">+IF($C$2=$DI2946,DK2946,NA())</f>
        <v>#N/A</v>
      </c>
      <c r="DN2946" t="e">
        <f t="shared" ref="DN2946:DN3009" si="160">+IF($C$2=$DI2946,DL2946,NA())</f>
        <v>#N/A</v>
      </c>
      <c r="DO2946" t="e">
        <f t="shared" si="158"/>
        <v>#N/A</v>
      </c>
    </row>
    <row r="2947" spans="7:119" x14ac:dyDescent="0.25">
      <c r="G2947"/>
      <c r="DI2947" s="4">
        <f>INDEX(Sheet2!A:A,QUOTIENT(ROW()-1,19)+2)</f>
        <v>41626</v>
      </c>
      <c r="DJ2947" s="4">
        <f>INDEX(Sheet2!C:C,QUOTIENT(ROW()-1,19)+2)</f>
        <v>42369</v>
      </c>
      <c r="DK2947" s="4">
        <f>INDEX(Sheet2!$AA$2:$AS$228,QUOTIENT(ROW()-1,19)+1,MOD(ROW()-2,19)+1)</f>
        <v>42369</v>
      </c>
      <c r="DL2947">
        <f>IFERROR(INDEX(Sheet2!$AU$2:$BM$228,QUOTIENT(ROW()-1,19)+1,MOD(ROW()-2,19)+1),NA())</f>
        <v>3.25</v>
      </c>
      <c r="DM2947" s="4" t="e">
        <f t="shared" si="159"/>
        <v>#N/A</v>
      </c>
      <c r="DN2947" t="e">
        <f t="shared" si="160"/>
        <v>#N/A</v>
      </c>
      <c r="DO2947" t="e">
        <f t="shared" ref="DO2947:DO3010" si="161">IF(DN2947="",NA(),DN2947)</f>
        <v>#N/A</v>
      </c>
    </row>
    <row r="2948" spans="7:119" x14ac:dyDescent="0.25">
      <c r="G2948"/>
      <c r="DI2948" s="4">
        <f>INDEX(Sheet2!A:A,QUOTIENT(ROW()-1,19)+2)</f>
        <v>41626</v>
      </c>
      <c r="DJ2948" s="4">
        <f>INDEX(Sheet2!C:C,QUOTIENT(ROW()-1,19)+2)</f>
        <v>42369</v>
      </c>
      <c r="DK2948" s="4" t="e">
        <f>INDEX(Sheet2!$AA$2:$AS$228,QUOTIENT(ROW()-1,19)+1,MOD(ROW()-2,19)+1)</f>
        <v>#N/A</v>
      </c>
      <c r="DL2948" t="str">
        <f>IFERROR(INDEX(Sheet2!$AU$2:$BM$228,QUOTIENT(ROW()-1,19)+1,MOD(ROW()-2,19)+1),NA())</f>
        <v/>
      </c>
      <c r="DM2948" s="4" t="e">
        <f t="shared" si="159"/>
        <v>#N/A</v>
      </c>
      <c r="DN2948" t="e">
        <f t="shared" si="160"/>
        <v>#N/A</v>
      </c>
      <c r="DO2948" t="e">
        <f t="shared" si="161"/>
        <v>#N/A</v>
      </c>
    </row>
    <row r="2949" spans="7:119" x14ac:dyDescent="0.25">
      <c r="G2949"/>
      <c r="DI2949" s="4">
        <f>INDEX(Sheet2!A:A,QUOTIENT(ROW()-1,19)+2)</f>
        <v>41626</v>
      </c>
      <c r="DJ2949" s="4">
        <f>INDEX(Sheet2!C:C,QUOTIENT(ROW()-1,19)+2)</f>
        <v>42369</v>
      </c>
      <c r="DK2949" s="4" t="e">
        <f>INDEX(Sheet2!$AA$2:$AS$228,QUOTIENT(ROW()-1,19)+1,MOD(ROW()-2,19)+1)</f>
        <v>#N/A</v>
      </c>
      <c r="DL2949" t="str">
        <f>IFERROR(INDEX(Sheet2!$AU$2:$BM$228,QUOTIENT(ROW()-1,19)+1,MOD(ROW()-2,19)+1),NA())</f>
        <v/>
      </c>
      <c r="DM2949" s="4" t="e">
        <f t="shared" si="159"/>
        <v>#N/A</v>
      </c>
      <c r="DN2949" t="e">
        <f t="shared" si="160"/>
        <v>#N/A</v>
      </c>
      <c r="DO2949" t="e">
        <f t="shared" si="161"/>
        <v>#N/A</v>
      </c>
    </row>
    <row r="2950" spans="7:119" x14ac:dyDescent="0.25">
      <c r="G2950"/>
      <c r="DI2950" s="4">
        <f>INDEX(Sheet2!A:A,QUOTIENT(ROW()-1,19)+2)</f>
        <v>41626</v>
      </c>
      <c r="DJ2950" s="4">
        <f>INDEX(Sheet2!C:C,QUOTIENT(ROW()-1,19)+2)</f>
        <v>42369</v>
      </c>
      <c r="DK2950" s="4" t="e">
        <f>INDEX(Sheet2!$AA$2:$AS$228,QUOTIENT(ROW()-1,19)+1,MOD(ROW()-2,19)+1)</f>
        <v>#N/A</v>
      </c>
      <c r="DL2950" t="str">
        <f>IFERROR(INDEX(Sheet2!$AU$2:$BM$228,QUOTIENT(ROW()-1,19)+1,MOD(ROW()-2,19)+1),NA())</f>
        <v/>
      </c>
      <c r="DM2950" s="4" t="e">
        <f t="shared" si="159"/>
        <v>#N/A</v>
      </c>
      <c r="DN2950" t="e">
        <f t="shared" si="160"/>
        <v>#N/A</v>
      </c>
      <c r="DO2950" t="e">
        <f t="shared" si="161"/>
        <v>#N/A</v>
      </c>
    </row>
    <row r="2951" spans="7:119" x14ac:dyDescent="0.25">
      <c r="G2951"/>
      <c r="DI2951" s="4">
        <f>INDEX(Sheet2!A:A,QUOTIENT(ROW()-1,19)+2)</f>
        <v>41626</v>
      </c>
      <c r="DJ2951" s="4">
        <f>INDEX(Sheet2!C:C,QUOTIENT(ROW()-1,19)+2)</f>
        <v>42369</v>
      </c>
      <c r="DK2951" s="4" t="e">
        <f>INDEX(Sheet2!$AA$2:$AS$228,QUOTIENT(ROW()-1,19)+1,MOD(ROW()-2,19)+1)</f>
        <v>#N/A</v>
      </c>
      <c r="DL2951" t="str">
        <f>IFERROR(INDEX(Sheet2!$AU$2:$BM$228,QUOTIENT(ROW()-1,19)+1,MOD(ROW()-2,19)+1),NA())</f>
        <v/>
      </c>
      <c r="DM2951" s="4" t="e">
        <f t="shared" si="159"/>
        <v>#N/A</v>
      </c>
      <c r="DN2951" t="e">
        <f t="shared" si="160"/>
        <v>#N/A</v>
      </c>
      <c r="DO2951" t="e">
        <f t="shared" si="161"/>
        <v>#N/A</v>
      </c>
    </row>
    <row r="2952" spans="7:119" x14ac:dyDescent="0.25">
      <c r="G2952"/>
      <c r="DI2952" s="4">
        <f>INDEX(Sheet2!A:A,QUOTIENT(ROW()-1,19)+2)</f>
        <v>41626</v>
      </c>
      <c r="DJ2952" s="4">
        <f>INDEX(Sheet2!C:C,QUOTIENT(ROW()-1,19)+2)</f>
        <v>42369</v>
      </c>
      <c r="DK2952" s="4" t="e">
        <f>INDEX(Sheet2!$AA$2:$AS$228,QUOTIENT(ROW()-1,19)+1,MOD(ROW()-2,19)+1)</f>
        <v>#N/A</v>
      </c>
      <c r="DL2952" t="str">
        <f>IFERROR(INDEX(Sheet2!$AU$2:$BM$228,QUOTIENT(ROW()-1,19)+1,MOD(ROW()-2,19)+1),NA())</f>
        <v/>
      </c>
      <c r="DM2952" s="4" t="e">
        <f t="shared" si="159"/>
        <v>#N/A</v>
      </c>
      <c r="DN2952" t="e">
        <f t="shared" si="160"/>
        <v>#N/A</v>
      </c>
      <c r="DO2952" t="e">
        <f t="shared" si="161"/>
        <v>#N/A</v>
      </c>
    </row>
    <row r="2953" spans="7:119" x14ac:dyDescent="0.25">
      <c r="G2953"/>
      <c r="DI2953" s="4">
        <f>INDEX(Sheet2!A:A,QUOTIENT(ROW()-1,19)+2)</f>
        <v>41626</v>
      </c>
      <c r="DJ2953" s="4">
        <f>INDEX(Sheet2!C:C,QUOTIENT(ROW()-1,19)+2)</f>
        <v>42369</v>
      </c>
      <c r="DK2953" s="4" t="e">
        <f>INDEX(Sheet2!$AA$2:$AS$228,QUOTIENT(ROW()-1,19)+1,MOD(ROW()-2,19)+1)</f>
        <v>#N/A</v>
      </c>
      <c r="DL2953" t="str">
        <f>IFERROR(INDEX(Sheet2!$AU$2:$BM$228,QUOTIENT(ROW()-1,19)+1,MOD(ROW()-2,19)+1),NA())</f>
        <v/>
      </c>
      <c r="DM2953" s="4" t="e">
        <f t="shared" si="159"/>
        <v>#N/A</v>
      </c>
      <c r="DN2953" t="e">
        <f t="shared" si="160"/>
        <v>#N/A</v>
      </c>
      <c r="DO2953" t="e">
        <f t="shared" si="161"/>
        <v>#N/A</v>
      </c>
    </row>
    <row r="2954" spans="7:119" x14ac:dyDescent="0.25">
      <c r="G2954"/>
      <c r="DI2954" s="4">
        <f>INDEX(Sheet2!A:A,QUOTIENT(ROW()-1,19)+2)</f>
        <v>41626</v>
      </c>
      <c r="DJ2954" s="4">
        <f>INDEX(Sheet2!C:C,QUOTIENT(ROW()-1,19)+2)</f>
        <v>42369</v>
      </c>
      <c r="DK2954" s="4" t="e">
        <f>INDEX(Sheet2!$AA$2:$AS$228,QUOTIENT(ROW()-1,19)+1,MOD(ROW()-2,19)+1)</f>
        <v>#N/A</v>
      </c>
      <c r="DL2954" t="str">
        <f>IFERROR(INDEX(Sheet2!$AU$2:$BM$228,QUOTIENT(ROW()-1,19)+1,MOD(ROW()-2,19)+1),NA())</f>
        <v/>
      </c>
      <c r="DM2954" s="4" t="e">
        <f t="shared" si="159"/>
        <v>#N/A</v>
      </c>
      <c r="DN2954" t="e">
        <f t="shared" si="160"/>
        <v>#N/A</v>
      </c>
      <c r="DO2954" t="e">
        <f t="shared" si="161"/>
        <v>#N/A</v>
      </c>
    </row>
    <row r="2955" spans="7:119" x14ac:dyDescent="0.25">
      <c r="G2955"/>
      <c r="DI2955" s="4">
        <f>INDEX(Sheet2!A:A,QUOTIENT(ROW()-1,19)+2)</f>
        <v>41626</v>
      </c>
      <c r="DJ2955" s="4">
        <f>INDEX(Sheet2!C:C,QUOTIENT(ROW()-1,19)+2)</f>
        <v>42369</v>
      </c>
      <c r="DK2955" s="4" t="e">
        <f>INDEX(Sheet2!$AA$2:$AS$228,QUOTIENT(ROW()-1,19)+1,MOD(ROW()-2,19)+1)</f>
        <v>#N/A</v>
      </c>
      <c r="DL2955" t="str">
        <f>IFERROR(INDEX(Sheet2!$AU$2:$BM$228,QUOTIENT(ROW()-1,19)+1,MOD(ROW()-2,19)+1),NA())</f>
        <v/>
      </c>
      <c r="DM2955" s="4" t="e">
        <f t="shared" si="159"/>
        <v>#N/A</v>
      </c>
      <c r="DN2955" t="e">
        <f t="shared" si="160"/>
        <v>#N/A</v>
      </c>
      <c r="DO2955" t="e">
        <f t="shared" si="161"/>
        <v>#N/A</v>
      </c>
    </row>
    <row r="2956" spans="7:119" x14ac:dyDescent="0.25">
      <c r="G2956"/>
      <c r="DI2956" s="4">
        <f>INDEX(Sheet2!A:A,QUOTIENT(ROW()-1,19)+2)</f>
        <v>41626</v>
      </c>
      <c r="DJ2956" s="4">
        <f>INDEX(Sheet2!C:C,QUOTIENT(ROW()-1,19)+2)</f>
        <v>42369</v>
      </c>
      <c r="DK2956" s="4" t="e">
        <f>INDEX(Sheet2!$AA$2:$AS$228,QUOTIENT(ROW()-1,19)+1,MOD(ROW()-2,19)+1)</f>
        <v>#N/A</v>
      </c>
      <c r="DL2956" t="str">
        <f>IFERROR(INDEX(Sheet2!$AU$2:$BM$228,QUOTIENT(ROW()-1,19)+1,MOD(ROW()-2,19)+1),NA())</f>
        <v/>
      </c>
      <c r="DM2956" s="4" t="e">
        <f t="shared" si="159"/>
        <v>#N/A</v>
      </c>
      <c r="DN2956" t="e">
        <f t="shared" si="160"/>
        <v>#N/A</v>
      </c>
      <c r="DO2956" t="e">
        <f t="shared" si="161"/>
        <v>#N/A</v>
      </c>
    </row>
    <row r="2957" spans="7:119" x14ac:dyDescent="0.25">
      <c r="G2957"/>
      <c r="DI2957" s="4">
        <f>INDEX(Sheet2!A:A,QUOTIENT(ROW()-1,19)+2)</f>
        <v>41626</v>
      </c>
      <c r="DJ2957" s="4">
        <f>INDEX(Sheet2!C:C,QUOTIENT(ROW()-1,19)+2)</f>
        <v>42369</v>
      </c>
      <c r="DK2957" s="4" t="e">
        <f>INDEX(Sheet2!$AA$2:$AS$228,QUOTIENT(ROW()-1,19)+1,MOD(ROW()-2,19)+1)</f>
        <v>#N/A</v>
      </c>
      <c r="DL2957" t="str">
        <f>IFERROR(INDEX(Sheet2!$AU$2:$BM$228,QUOTIENT(ROW()-1,19)+1,MOD(ROW()-2,19)+1),NA())</f>
        <v/>
      </c>
      <c r="DM2957" s="4" t="e">
        <f t="shared" si="159"/>
        <v>#N/A</v>
      </c>
      <c r="DN2957" t="e">
        <f t="shared" si="160"/>
        <v>#N/A</v>
      </c>
      <c r="DO2957" t="e">
        <f t="shared" si="161"/>
        <v>#N/A</v>
      </c>
    </row>
    <row r="2958" spans="7:119" x14ac:dyDescent="0.25">
      <c r="G2958"/>
      <c r="DI2958" s="4">
        <f>INDEX(Sheet2!A:A,QUOTIENT(ROW()-1,19)+2)</f>
        <v>41626</v>
      </c>
      <c r="DJ2958" s="4">
        <f>INDEX(Sheet2!C:C,QUOTIENT(ROW()-1,19)+2)</f>
        <v>42369</v>
      </c>
      <c r="DK2958" s="4" t="e">
        <f>INDEX(Sheet2!$AA$2:$AS$228,QUOTIENT(ROW()-1,19)+1,MOD(ROW()-2,19)+1)</f>
        <v>#N/A</v>
      </c>
      <c r="DL2958" t="str">
        <f>IFERROR(INDEX(Sheet2!$AU$2:$BM$228,QUOTIENT(ROW()-1,19)+1,MOD(ROW()-2,19)+1),NA())</f>
        <v/>
      </c>
      <c r="DM2958" s="4" t="e">
        <f t="shared" si="159"/>
        <v>#N/A</v>
      </c>
      <c r="DN2958" t="e">
        <f t="shared" si="160"/>
        <v>#N/A</v>
      </c>
      <c r="DO2958" t="e">
        <f t="shared" si="161"/>
        <v>#N/A</v>
      </c>
    </row>
    <row r="2959" spans="7:119" x14ac:dyDescent="0.25">
      <c r="G2959"/>
      <c r="DI2959" s="4">
        <f>INDEX(Sheet2!A:A,QUOTIENT(ROW()-1,19)+2)</f>
        <v>41626</v>
      </c>
      <c r="DJ2959" s="4">
        <f>INDEX(Sheet2!C:C,QUOTIENT(ROW()-1,19)+2)</f>
        <v>42369</v>
      </c>
      <c r="DK2959" s="4" t="e">
        <f>INDEX(Sheet2!$AA$2:$AS$228,QUOTIENT(ROW()-1,19)+1,MOD(ROW()-2,19)+1)</f>
        <v>#N/A</v>
      </c>
      <c r="DL2959" t="str">
        <f>IFERROR(INDEX(Sheet2!$AU$2:$BM$228,QUOTIENT(ROW()-1,19)+1,MOD(ROW()-2,19)+1),NA())</f>
        <v/>
      </c>
      <c r="DM2959" s="4" t="e">
        <f t="shared" si="159"/>
        <v>#N/A</v>
      </c>
      <c r="DN2959" t="e">
        <f t="shared" si="160"/>
        <v>#N/A</v>
      </c>
      <c r="DO2959" t="e">
        <f t="shared" si="161"/>
        <v>#N/A</v>
      </c>
    </row>
    <row r="2960" spans="7:119" x14ac:dyDescent="0.25">
      <c r="G2960"/>
      <c r="DI2960" s="4">
        <f>INDEX(Sheet2!A:A,QUOTIENT(ROW()-1,19)+2)</f>
        <v>41626</v>
      </c>
      <c r="DJ2960" s="4">
        <f>INDEX(Sheet2!C:C,QUOTIENT(ROW()-1,19)+2)</f>
        <v>42369</v>
      </c>
      <c r="DK2960" s="4" t="e">
        <f>INDEX(Sheet2!$AA$2:$AS$228,QUOTIENT(ROW()-1,19)+1,MOD(ROW()-2,19)+1)</f>
        <v>#N/A</v>
      </c>
      <c r="DL2960" t="str">
        <f>IFERROR(INDEX(Sheet2!$AU$2:$BM$228,QUOTIENT(ROW()-1,19)+1,MOD(ROW()-2,19)+1),NA())</f>
        <v/>
      </c>
      <c r="DM2960" s="4" t="e">
        <f t="shared" si="159"/>
        <v>#N/A</v>
      </c>
      <c r="DN2960" t="e">
        <f t="shared" si="160"/>
        <v>#N/A</v>
      </c>
      <c r="DO2960" t="e">
        <f t="shared" si="161"/>
        <v>#N/A</v>
      </c>
    </row>
    <row r="2961" spans="7:119" x14ac:dyDescent="0.25">
      <c r="G2961"/>
      <c r="DI2961" s="4">
        <f>INDEX(Sheet2!A:A,QUOTIENT(ROW()-1,19)+2)</f>
        <v>41626</v>
      </c>
      <c r="DJ2961" s="4">
        <f>INDEX(Sheet2!C:C,QUOTIENT(ROW()-1,19)+2)</f>
        <v>42369</v>
      </c>
      <c r="DK2961" s="4" t="e">
        <f>INDEX(Sheet2!$AA$2:$AS$228,QUOTIENT(ROW()-1,19)+1,MOD(ROW()-2,19)+1)</f>
        <v>#N/A</v>
      </c>
      <c r="DL2961" t="str">
        <f>IFERROR(INDEX(Sheet2!$AU$2:$BM$228,QUOTIENT(ROW()-1,19)+1,MOD(ROW()-2,19)+1),NA())</f>
        <v/>
      </c>
      <c r="DM2961" s="4" t="e">
        <f t="shared" si="159"/>
        <v>#N/A</v>
      </c>
      <c r="DN2961" t="e">
        <f t="shared" si="160"/>
        <v>#N/A</v>
      </c>
      <c r="DO2961" t="e">
        <f t="shared" si="161"/>
        <v>#N/A</v>
      </c>
    </row>
    <row r="2962" spans="7:119" x14ac:dyDescent="0.25">
      <c r="G2962"/>
      <c r="DI2962" s="4">
        <f>INDEX(Sheet2!A:A,QUOTIENT(ROW()-1,19)+2)</f>
        <v>41626</v>
      </c>
      <c r="DJ2962" s="4">
        <f>INDEX(Sheet2!C:C,QUOTIENT(ROW()-1,19)+2)</f>
        <v>42369</v>
      </c>
      <c r="DK2962" s="4" t="e">
        <f>INDEX(Sheet2!$AA$2:$AS$228,QUOTIENT(ROW()-1,19)+1,MOD(ROW()-2,19)+1)</f>
        <v>#N/A</v>
      </c>
      <c r="DL2962" t="str">
        <f>IFERROR(INDEX(Sheet2!$AU$2:$BM$228,QUOTIENT(ROW()-1,19)+1,MOD(ROW()-2,19)+1),NA())</f>
        <v/>
      </c>
      <c r="DM2962" s="4" t="e">
        <f t="shared" si="159"/>
        <v>#N/A</v>
      </c>
      <c r="DN2962" t="e">
        <f t="shared" si="160"/>
        <v>#N/A</v>
      </c>
      <c r="DO2962" t="e">
        <f t="shared" si="161"/>
        <v>#N/A</v>
      </c>
    </row>
    <row r="2963" spans="7:119" x14ac:dyDescent="0.25">
      <c r="G2963"/>
      <c r="DI2963" s="4">
        <f>INDEX(Sheet2!A:A,QUOTIENT(ROW()-1,19)+2)</f>
        <v>41626</v>
      </c>
      <c r="DJ2963" s="4">
        <f>INDEX(Sheet2!C:C,QUOTIENT(ROW()-1,19)+2)</f>
        <v>42369</v>
      </c>
      <c r="DK2963" s="4" t="e">
        <f>INDEX(Sheet2!$AA$2:$AS$228,QUOTIENT(ROW()-1,19)+1,MOD(ROW()-2,19)+1)</f>
        <v>#N/A</v>
      </c>
      <c r="DL2963" t="str">
        <f>IFERROR(INDEX(Sheet2!$AU$2:$BM$228,QUOTIENT(ROW()-1,19)+1,MOD(ROW()-2,19)+1),NA())</f>
        <v/>
      </c>
      <c r="DM2963" s="4" t="e">
        <f t="shared" si="159"/>
        <v>#N/A</v>
      </c>
      <c r="DN2963" t="e">
        <f t="shared" si="160"/>
        <v>#N/A</v>
      </c>
      <c r="DO2963" t="e">
        <f t="shared" si="161"/>
        <v>#N/A</v>
      </c>
    </row>
    <row r="2964" spans="7:119" x14ac:dyDescent="0.25">
      <c r="G2964"/>
      <c r="DI2964" s="4">
        <f>INDEX(Sheet2!A:A,QUOTIENT(ROW()-1,19)+2)</f>
        <v>41626</v>
      </c>
      <c r="DJ2964" s="4">
        <f>INDEX(Sheet2!C:C,QUOTIENT(ROW()-1,19)+2)</f>
        <v>42369</v>
      </c>
      <c r="DK2964" s="4" t="e">
        <f>INDEX(Sheet2!$AA$2:$AS$228,QUOTIENT(ROW()-1,19)+1,MOD(ROW()-2,19)+1)</f>
        <v>#N/A</v>
      </c>
      <c r="DL2964" t="str">
        <f>IFERROR(INDEX(Sheet2!$AU$2:$BM$228,QUOTIENT(ROW()-1,19)+1,MOD(ROW()-2,19)+1),NA())</f>
        <v/>
      </c>
      <c r="DM2964" s="4" t="e">
        <f t="shared" si="159"/>
        <v>#N/A</v>
      </c>
      <c r="DN2964" t="e">
        <f t="shared" si="160"/>
        <v>#N/A</v>
      </c>
      <c r="DO2964" t="e">
        <f t="shared" si="161"/>
        <v>#N/A</v>
      </c>
    </row>
    <row r="2965" spans="7:119" x14ac:dyDescent="0.25">
      <c r="G2965"/>
      <c r="DI2965" s="4">
        <f>INDEX(Sheet2!A:A,QUOTIENT(ROW()-1,19)+2)</f>
        <v>41626</v>
      </c>
      <c r="DJ2965" s="4">
        <f>INDEX(Sheet2!C:C,QUOTIENT(ROW()-1,19)+2)</f>
        <v>42735</v>
      </c>
      <c r="DK2965" s="4" t="e">
        <f>INDEX(Sheet2!$AA$2:$AS$228,QUOTIENT(ROW()-1,19)+1,MOD(ROW()-2,19)+1)</f>
        <v>#N/A</v>
      </c>
      <c r="DL2965" t="str">
        <f>IFERROR(INDEX(Sheet2!$AU$2:$BM$228,QUOTIENT(ROW()-1,19)+1,MOD(ROW()-2,19)+1),NA())</f>
        <v/>
      </c>
      <c r="DM2965" s="4" t="e">
        <f t="shared" si="159"/>
        <v>#N/A</v>
      </c>
      <c r="DN2965" t="e">
        <f t="shared" si="160"/>
        <v>#N/A</v>
      </c>
      <c r="DO2965" t="e">
        <f t="shared" si="161"/>
        <v>#N/A</v>
      </c>
    </row>
    <row r="2966" spans="7:119" x14ac:dyDescent="0.25">
      <c r="G2966"/>
      <c r="DI2966" s="4">
        <f>INDEX(Sheet2!A:A,QUOTIENT(ROW()-1,19)+2)</f>
        <v>41626</v>
      </c>
      <c r="DJ2966" s="4">
        <f>INDEX(Sheet2!C:C,QUOTIENT(ROW()-1,19)+2)</f>
        <v>42735</v>
      </c>
      <c r="DK2966" s="4">
        <f>INDEX(Sheet2!$AA$2:$AS$228,QUOTIENT(ROW()-1,19)+1,MOD(ROW()-2,19)+1)</f>
        <v>42735</v>
      </c>
      <c r="DL2966">
        <f>IFERROR(INDEX(Sheet2!$AU$2:$BM$228,QUOTIENT(ROW()-1,19)+1,MOD(ROW()-2,19)+1),NA())</f>
        <v>0.5</v>
      </c>
      <c r="DM2966" s="4" t="e">
        <f t="shared" si="159"/>
        <v>#N/A</v>
      </c>
      <c r="DN2966" t="e">
        <f t="shared" si="160"/>
        <v>#N/A</v>
      </c>
      <c r="DO2966" t="e">
        <f t="shared" si="161"/>
        <v>#N/A</v>
      </c>
    </row>
    <row r="2967" spans="7:119" x14ac:dyDescent="0.25">
      <c r="G2967"/>
      <c r="DI2967" s="4">
        <f>INDEX(Sheet2!A:A,QUOTIENT(ROW()-1,19)+2)</f>
        <v>41626</v>
      </c>
      <c r="DJ2967" s="4">
        <f>INDEX(Sheet2!C:C,QUOTIENT(ROW()-1,19)+2)</f>
        <v>42735</v>
      </c>
      <c r="DK2967" s="4" t="e">
        <f>INDEX(Sheet2!$AA$2:$AS$228,QUOTIENT(ROW()-1,19)+1,MOD(ROW()-2,19)+1)</f>
        <v>#N/A</v>
      </c>
      <c r="DL2967" t="str">
        <f>IFERROR(INDEX(Sheet2!$AU$2:$BM$228,QUOTIENT(ROW()-1,19)+1,MOD(ROW()-2,19)+1),NA())</f>
        <v/>
      </c>
      <c r="DM2967" s="4" t="e">
        <f t="shared" si="159"/>
        <v>#N/A</v>
      </c>
      <c r="DN2967" t="e">
        <f t="shared" si="160"/>
        <v>#N/A</v>
      </c>
      <c r="DO2967" t="e">
        <f t="shared" si="161"/>
        <v>#N/A</v>
      </c>
    </row>
    <row r="2968" spans="7:119" x14ac:dyDescent="0.25">
      <c r="G2968"/>
      <c r="DI2968" s="4">
        <f>INDEX(Sheet2!A:A,QUOTIENT(ROW()-1,19)+2)</f>
        <v>41626</v>
      </c>
      <c r="DJ2968" s="4">
        <f>INDEX(Sheet2!C:C,QUOTIENT(ROW()-1,19)+2)</f>
        <v>42735</v>
      </c>
      <c r="DK2968" s="4" t="e">
        <f>INDEX(Sheet2!$AA$2:$AS$228,QUOTIENT(ROW()-1,19)+1,MOD(ROW()-2,19)+1)</f>
        <v>#N/A</v>
      </c>
      <c r="DL2968" t="str">
        <f>IFERROR(INDEX(Sheet2!$AU$2:$BM$228,QUOTIENT(ROW()-1,19)+1,MOD(ROW()-2,19)+1),NA())</f>
        <v/>
      </c>
      <c r="DM2968" s="4" t="e">
        <f t="shared" si="159"/>
        <v>#N/A</v>
      </c>
      <c r="DN2968" t="e">
        <f t="shared" si="160"/>
        <v>#N/A</v>
      </c>
      <c r="DO2968" t="e">
        <f t="shared" si="161"/>
        <v>#N/A</v>
      </c>
    </row>
    <row r="2969" spans="7:119" x14ac:dyDescent="0.25">
      <c r="G2969"/>
      <c r="DI2969" s="4">
        <f>INDEX(Sheet2!A:A,QUOTIENT(ROW()-1,19)+2)</f>
        <v>41626</v>
      </c>
      <c r="DJ2969" s="4">
        <f>INDEX(Sheet2!C:C,QUOTIENT(ROW()-1,19)+2)</f>
        <v>42735</v>
      </c>
      <c r="DK2969" s="4" t="e">
        <f>INDEX(Sheet2!$AA$2:$AS$228,QUOTIENT(ROW()-1,19)+1,MOD(ROW()-2,19)+1)</f>
        <v>#N/A</v>
      </c>
      <c r="DL2969" t="str">
        <f>IFERROR(INDEX(Sheet2!$AU$2:$BM$228,QUOTIENT(ROW()-1,19)+1,MOD(ROW()-2,19)+1),NA())</f>
        <v/>
      </c>
      <c r="DM2969" s="4" t="e">
        <f t="shared" si="159"/>
        <v>#N/A</v>
      </c>
      <c r="DN2969" t="e">
        <f t="shared" si="160"/>
        <v>#N/A</v>
      </c>
      <c r="DO2969" t="e">
        <f t="shared" si="161"/>
        <v>#N/A</v>
      </c>
    </row>
    <row r="2970" spans="7:119" x14ac:dyDescent="0.25">
      <c r="G2970"/>
      <c r="DI2970" s="4">
        <f>INDEX(Sheet2!A:A,QUOTIENT(ROW()-1,19)+2)</f>
        <v>41626</v>
      </c>
      <c r="DJ2970" s="4">
        <f>INDEX(Sheet2!C:C,QUOTIENT(ROW()-1,19)+2)</f>
        <v>42735</v>
      </c>
      <c r="DK2970" s="4" t="e">
        <f>INDEX(Sheet2!$AA$2:$AS$228,QUOTIENT(ROW()-1,19)+1,MOD(ROW()-2,19)+1)</f>
        <v>#N/A</v>
      </c>
      <c r="DL2970" t="str">
        <f>IFERROR(INDEX(Sheet2!$AU$2:$BM$228,QUOTIENT(ROW()-1,19)+1,MOD(ROW()-2,19)+1),NA())</f>
        <v/>
      </c>
      <c r="DM2970" s="4" t="e">
        <f t="shared" si="159"/>
        <v>#N/A</v>
      </c>
      <c r="DN2970" t="e">
        <f t="shared" si="160"/>
        <v>#N/A</v>
      </c>
      <c r="DO2970" t="e">
        <f t="shared" si="161"/>
        <v>#N/A</v>
      </c>
    </row>
    <row r="2971" spans="7:119" x14ac:dyDescent="0.25">
      <c r="G2971"/>
      <c r="DI2971" s="4">
        <f>INDEX(Sheet2!A:A,QUOTIENT(ROW()-1,19)+2)</f>
        <v>41626</v>
      </c>
      <c r="DJ2971" s="4">
        <f>INDEX(Sheet2!C:C,QUOTIENT(ROW()-1,19)+2)</f>
        <v>42735</v>
      </c>
      <c r="DK2971" s="4" t="e">
        <f>INDEX(Sheet2!$AA$2:$AS$228,QUOTIENT(ROW()-1,19)+1,MOD(ROW()-2,19)+1)</f>
        <v>#N/A</v>
      </c>
      <c r="DL2971" t="str">
        <f>IFERROR(INDEX(Sheet2!$AU$2:$BM$228,QUOTIENT(ROW()-1,19)+1,MOD(ROW()-2,19)+1),NA())</f>
        <v/>
      </c>
      <c r="DM2971" s="4" t="e">
        <f t="shared" si="159"/>
        <v>#N/A</v>
      </c>
      <c r="DN2971" t="e">
        <f t="shared" si="160"/>
        <v>#N/A</v>
      </c>
      <c r="DO2971" t="e">
        <f t="shared" si="161"/>
        <v>#N/A</v>
      </c>
    </row>
    <row r="2972" spans="7:119" x14ac:dyDescent="0.25">
      <c r="G2972"/>
      <c r="DI2972" s="4">
        <f>INDEX(Sheet2!A:A,QUOTIENT(ROW()-1,19)+2)</f>
        <v>41626</v>
      </c>
      <c r="DJ2972" s="4">
        <f>INDEX(Sheet2!C:C,QUOTIENT(ROW()-1,19)+2)</f>
        <v>42735</v>
      </c>
      <c r="DK2972" s="4" t="e">
        <f>INDEX(Sheet2!$AA$2:$AS$228,QUOTIENT(ROW()-1,19)+1,MOD(ROW()-2,19)+1)</f>
        <v>#N/A</v>
      </c>
      <c r="DL2972" t="str">
        <f>IFERROR(INDEX(Sheet2!$AU$2:$BM$228,QUOTIENT(ROW()-1,19)+1,MOD(ROW()-2,19)+1),NA())</f>
        <v/>
      </c>
      <c r="DM2972" s="4" t="e">
        <f t="shared" si="159"/>
        <v>#N/A</v>
      </c>
      <c r="DN2972" t="e">
        <f t="shared" si="160"/>
        <v>#N/A</v>
      </c>
      <c r="DO2972" t="e">
        <f t="shared" si="161"/>
        <v>#N/A</v>
      </c>
    </row>
    <row r="2973" spans="7:119" x14ac:dyDescent="0.25">
      <c r="G2973"/>
      <c r="DI2973" s="4">
        <f>INDEX(Sheet2!A:A,QUOTIENT(ROW()-1,19)+2)</f>
        <v>41626</v>
      </c>
      <c r="DJ2973" s="4">
        <f>INDEX(Sheet2!C:C,QUOTIENT(ROW()-1,19)+2)</f>
        <v>42735</v>
      </c>
      <c r="DK2973" s="4" t="e">
        <f>INDEX(Sheet2!$AA$2:$AS$228,QUOTIENT(ROW()-1,19)+1,MOD(ROW()-2,19)+1)</f>
        <v>#N/A</v>
      </c>
      <c r="DL2973" t="str">
        <f>IFERROR(INDEX(Sheet2!$AU$2:$BM$228,QUOTIENT(ROW()-1,19)+1,MOD(ROW()-2,19)+1),NA())</f>
        <v/>
      </c>
      <c r="DM2973" s="4" t="e">
        <f t="shared" si="159"/>
        <v>#N/A</v>
      </c>
      <c r="DN2973" t="e">
        <f t="shared" si="160"/>
        <v>#N/A</v>
      </c>
      <c r="DO2973" t="e">
        <f t="shared" si="161"/>
        <v>#N/A</v>
      </c>
    </row>
    <row r="2974" spans="7:119" x14ac:dyDescent="0.25">
      <c r="G2974"/>
      <c r="DI2974" s="4">
        <f>INDEX(Sheet2!A:A,QUOTIENT(ROW()-1,19)+2)</f>
        <v>41626</v>
      </c>
      <c r="DJ2974" s="4">
        <f>INDEX(Sheet2!C:C,QUOTIENT(ROW()-1,19)+2)</f>
        <v>42735</v>
      </c>
      <c r="DK2974" s="4" t="e">
        <f>INDEX(Sheet2!$AA$2:$AS$228,QUOTIENT(ROW()-1,19)+1,MOD(ROW()-2,19)+1)</f>
        <v>#N/A</v>
      </c>
      <c r="DL2974" t="str">
        <f>IFERROR(INDEX(Sheet2!$AU$2:$BM$228,QUOTIENT(ROW()-1,19)+1,MOD(ROW()-2,19)+1),NA())</f>
        <v/>
      </c>
      <c r="DM2974" s="4" t="e">
        <f t="shared" si="159"/>
        <v>#N/A</v>
      </c>
      <c r="DN2974" t="e">
        <f t="shared" si="160"/>
        <v>#N/A</v>
      </c>
      <c r="DO2974" t="e">
        <f t="shared" si="161"/>
        <v>#N/A</v>
      </c>
    </row>
    <row r="2975" spans="7:119" x14ac:dyDescent="0.25">
      <c r="G2975"/>
      <c r="DI2975" s="4">
        <f>INDEX(Sheet2!A:A,QUOTIENT(ROW()-1,19)+2)</f>
        <v>41626</v>
      </c>
      <c r="DJ2975" s="4">
        <f>INDEX(Sheet2!C:C,QUOTIENT(ROW()-1,19)+2)</f>
        <v>42735</v>
      </c>
      <c r="DK2975" s="4" t="e">
        <f>INDEX(Sheet2!$AA$2:$AS$228,QUOTIENT(ROW()-1,19)+1,MOD(ROW()-2,19)+1)</f>
        <v>#N/A</v>
      </c>
      <c r="DL2975" t="str">
        <f>IFERROR(INDEX(Sheet2!$AU$2:$BM$228,QUOTIENT(ROW()-1,19)+1,MOD(ROW()-2,19)+1),NA())</f>
        <v/>
      </c>
      <c r="DM2975" s="4" t="e">
        <f t="shared" si="159"/>
        <v>#N/A</v>
      </c>
      <c r="DN2975" t="e">
        <f t="shared" si="160"/>
        <v>#N/A</v>
      </c>
      <c r="DO2975" t="e">
        <f t="shared" si="161"/>
        <v>#N/A</v>
      </c>
    </row>
    <row r="2976" spans="7:119" x14ac:dyDescent="0.25">
      <c r="G2976"/>
      <c r="DI2976" s="4">
        <f>INDEX(Sheet2!A:A,QUOTIENT(ROW()-1,19)+2)</f>
        <v>41626</v>
      </c>
      <c r="DJ2976" s="4">
        <f>INDEX(Sheet2!C:C,QUOTIENT(ROW()-1,19)+2)</f>
        <v>42735</v>
      </c>
      <c r="DK2976" s="4" t="e">
        <f>INDEX(Sheet2!$AA$2:$AS$228,QUOTIENT(ROW()-1,19)+1,MOD(ROW()-2,19)+1)</f>
        <v>#N/A</v>
      </c>
      <c r="DL2976" t="str">
        <f>IFERROR(INDEX(Sheet2!$AU$2:$BM$228,QUOTIENT(ROW()-1,19)+1,MOD(ROW()-2,19)+1),NA())</f>
        <v/>
      </c>
      <c r="DM2976" s="4" t="e">
        <f t="shared" si="159"/>
        <v>#N/A</v>
      </c>
      <c r="DN2976" t="e">
        <f t="shared" si="160"/>
        <v>#N/A</v>
      </c>
      <c r="DO2976" t="e">
        <f t="shared" si="161"/>
        <v>#N/A</v>
      </c>
    </row>
    <row r="2977" spans="7:119" x14ac:dyDescent="0.25">
      <c r="G2977"/>
      <c r="DI2977" s="4">
        <f>INDEX(Sheet2!A:A,QUOTIENT(ROW()-1,19)+2)</f>
        <v>41626</v>
      </c>
      <c r="DJ2977" s="4">
        <f>INDEX(Sheet2!C:C,QUOTIENT(ROW()-1,19)+2)</f>
        <v>42735</v>
      </c>
      <c r="DK2977" s="4" t="e">
        <f>INDEX(Sheet2!$AA$2:$AS$228,QUOTIENT(ROW()-1,19)+1,MOD(ROW()-2,19)+1)</f>
        <v>#N/A</v>
      </c>
      <c r="DL2977" t="str">
        <f>IFERROR(INDEX(Sheet2!$AU$2:$BM$228,QUOTIENT(ROW()-1,19)+1,MOD(ROW()-2,19)+1),NA())</f>
        <v/>
      </c>
      <c r="DM2977" s="4" t="e">
        <f t="shared" si="159"/>
        <v>#N/A</v>
      </c>
      <c r="DN2977" t="e">
        <f t="shared" si="160"/>
        <v>#N/A</v>
      </c>
      <c r="DO2977" t="e">
        <f t="shared" si="161"/>
        <v>#N/A</v>
      </c>
    </row>
    <row r="2978" spans="7:119" x14ac:dyDescent="0.25">
      <c r="G2978"/>
      <c r="DI2978" s="4">
        <f>INDEX(Sheet2!A:A,QUOTIENT(ROW()-1,19)+2)</f>
        <v>41626</v>
      </c>
      <c r="DJ2978" s="4">
        <f>INDEX(Sheet2!C:C,QUOTIENT(ROW()-1,19)+2)</f>
        <v>42735</v>
      </c>
      <c r="DK2978" s="4" t="e">
        <f>INDEX(Sheet2!$AA$2:$AS$228,QUOTIENT(ROW()-1,19)+1,MOD(ROW()-2,19)+1)</f>
        <v>#N/A</v>
      </c>
      <c r="DL2978" t="str">
        <f>IFERROR(INDEX(Sheet2!$AU$2:$BM$228,QUOTIENT(ROW()-1,19)+1,MOD(ROW()-2,19)+1),NA())</f>
        <v/>
      </c>
      <c r="DM2978" s="4" t="e">
        <f t="shared" si="159"/>
        <v>#N/A</v>
      </c>
      <c r="DN2978" t="e">
        <f t="shared" si="160"/>
        <v>#N/A</v>
      </c>
      <c r="DO2978" t="e">
        <f t="shared" si="161"/>
        <v>#N/A</v>
      </c>
    </row>
    <row r="2979" spans="7:119" x14ac:dyDescent="0.25">
      <c r="G2979"/>
      <c r="DI2979" s="4">
        <f>INDEX(Sheet2!A:A,QUOTIENT(ROW()-1,19)+2)</f>
        <v>41626</v>
      </c>
      <c r="DJ2979" s="4">
        <f>INDEX(Sheet2!C:C,QUOTIENT(ROW()-1,19)+2)</f>
        <v>42735</v>
      </c>
      <c r="DK2979" s="4" t="e">
        <f>INDEX(Sheet2!$AA$2:$AS$228,QUOTIENT(ROW()-1,19)+1,MOD(ROW()-2,19)+1)</f>
        <v>#N/A</v>
      </c>
      <c r="DL2979" t="str">
        <f>IFERROR(INDEX(Sheet2!$AU$2:$BM$228,QUOTIENT(ROW()-1,19)+1,MOD(ROW()-2,19)+1),NA())</f>
        <v/>
      </c>
      <c r="DM2979" s="4" t="e">
        <f t="shared" si="159"/>
        <v>#N/A</v>
      </c>
      <c r="DN2979" t="e">
        <f t="shared" si="160"/>
        <v>#N/A</v>
      </c>
      <c r="DO2979" t="e">
        <f t="shared" si="161"/>
        <v>#N/A</v>
      </c>
    </row>
    <row r="2980" spans="7:119" x14ac:dyDescent="0.25">
      <c r="G2980"/>
      <c r="DI2980" s="4">
        <f>INDEX(Sheet2!A:A,QUOTIENT(ROW()-1,19)+2)</f>
        <v>41626</v>
      </c>
      <c r="DJ2980" s="4">
        <f>INDEX(Sheet2!C:C,QUOTIENT(ROW()-1,19)+2)</f>
        <v>42735</v>
      </c>
      <c r="DK2980" s="4" t="e">
        <f>INDEX(Sheet2!$AA$2:$AS$228,QUOTIENT(ROW()-1,19)+1,MOD(ROW()-2,19)+1)</f>
        <v>#N/A</v>
      </c>
      <c r="DL2980" t="str">
        <f>IFERROR(INDEX(Sheet2!$AU$2:$BM$228,QUOTIENT(ROW()-1,19)+1,MOD(ROW()-2,19)+1),NA())</f>
        <v/>
      </c>
      <c r="DM2980" s="4" t="e">
        <f t="shared" si="159"/>
        <v>#N/A</v>
      </c>
      <c r="DN2980" t="e">
        <f t="shared" si="160"/>
        <v>#N/A</v>
      </c>
      <c r="DO2980" t="e">
        <f t="shared" si="161"/>
        <v>#N/A</v>
      </c>
    </row>
    <row r="2981" spans="7:119" x14ac:dyDescent="0.25">
      <c r="G2981"/>
      <c r="DI2981" s="4">
        <f>INDEX(Sheet2!A:A,QUOTIENT(ROW()-1,19)+2)</f>
        <v>41626</v>
      </c>
      <c r="DJ2981" s="4">
        <f>INDEX(Sheet2!C:C,QUOTIENT(ROW()-1,19)+2)</f>
        <v>42735</v>
      </c>
      <c r="DK2981" s="4" t="e">
        <f>INDEX(Sheet2!$AA$2:$AS$228,QUOTIENT(ROW()-1,19)+1,MOD(ROW()-2,19)+1)</f>
        <v>#N/A</v>
      </c>
      <c r="DL2981" t="str">
        <f>IFERROR(INDEX(Sheet2!$AU$2:$BM$228,QUOTIENT(ROW()-1,19)+1,MOD(ROW()-2,19)+1),NA())</f>
        <v/>
      </c>
      <c r="DM2981" s="4" t="e">
        <f t="shared" si="159"/>
        <v>#N/A</v>
      </c>
      <c r="DN2981" t="e">
        <f t="shared" si="160"/>
        <v>#N/A</v>
      </c>
      <c r="DO2981" t="e">
        <f t="shared" si="161"/>
        <v>#N/A</v>
      </c>
    </row>
    <row r="2982" spans="7:119" x14ac:dyDescent="0.25">
      <c r="G2982"/>
      <c r="DI2982" s="4">
        <f>INDEX(Sheet2!A:A,QUOTIENT(ROW()-1,19)+2)</f>
        <v>41626</v>
      </c>
      <c r="DJ2982" s="4">
        <f>INDEX(Sheet2!C:C,QUOTIENT(ROW()-1,19)+2)</f>
        <v>42735</v>
      </c>
      <c r="DK2982" s="4" t="e">
        <f>INDEX(Sheet2!$AA$2:$AS$228,QUOTIENT(ROW()-1,19)+1,MOD(ROW()-2,19)+1)</f>
        <v>#N/A</v>
      </c>
      <c r="DL2982" t="str">
        <f>IFERROR(INDEX(Sheet2!$AU$2:$BM$228,QUOTIENT(ROW()-1,19)+1,MOD(ROW()-2,19)+1),NA())</f>
        <v/>
      </c>
      <c r="DM2982" s="4" t="e">
        <f t="shared" si="159"/>
        <v>#N/A</v>
      </c>
      <c r="DN2982" t="e">
        <f t="shared" si="160"/>
        <v>#N/A</v>
      </c>
      <c r="DO2982" t="e">
        <f t="shared" si="161"/>
        <v>#N/A</v>
      </c>
    </row>
    <row r="2983" spans="7:119" x14ac:dyDescent="0.25">
      <c r="G2983"/>
      <c r="DI2983" s="4">
        <f>INDEX(Sheet2!A:A,QUOTIENT(ROW()-1,19)+2)</f>
        <v>41626</v>
      </c>
      <c r="DJ2983" s="4">
        <f>INDEX(Sheet2!C:C,QUOTIENT(ROW()-1,19)+2)</f>
        <v>42735</v>
      </c>
      <c r="DK2983" s="4" t="e">
        <f>INDEX(Sheet2!$AA$2:$AS$228,QUOTIENT(ROW()-1,19)+1,MOD(ROW()-2,19)+1)</f>
        <v>#N/A</v>
      </c>
      <c r="DL2983" t="str">
        <f>IFERROR(INDEX(Sheet2!$AU$2:$BM$228,QUOTIENT(ROW()-1,19)+1,MOD(ROW()-2,19)+1),NA())</f>
        <v/>
      </c>
      <c r="DM2983" s="4" t="e">
        <f t="shared" si="159"/>
        <v>#N/A</v>
      </c>
      <c r="DN2983" t="e">
        <f t="shared" si="160"/>
        <v>#N/A</v>
      </c>
      <c r="DO2983" t="e">
        <f t="shared" si="161"/>
        <v>#N/A</v>
      </c>
    </row>
    <row r="2984" spans="7:119" x14ac:dyDescent="0.25">
      <c r="G2984"/>
      <c r="DI2984" s="4">
        <f>INDEX(Sheet2!A:A,QUOTIENT(ROW()-1,19)+2)</f>
        <v>41626</v>
      </c>
      <c r="DJ2984" s="4">
        <f>INDEX(Sheet2!C:C,QUOTIENT(ROW()-1,19)+2)</f>
        <v>42735</v>
      </c>
      <c r="DK2984" s="4" t="e">
        <f>INDEX(Sheet2!$AA$2:$AS$228,QUOTIENT(ROW()-1,19)+1,MOD(ROW()-2,19)+1)</f>
        <v>#N/A</v>
      </c>
      <c r="DL2984" t="str">
        <f>IFERROR(INDEX(Sheet2!$AU$2:$BM$228,QUOTIENT(ROW()-1,19)+1,MOD(ROW()-2,19)+1),NA())</f>
        <v/>
      </c>
      <c r="DM2984" s="4" t="e">
        <f t="shared" si="159"/>
        <v>#N/A</v>
      </c>
      <c r="DN2984" t="e">
        <f t="shared" si="160"/>
        <v>#N/A</v>
      </c>
      <c r="DO2984" t="e">
        <f t="shared" si="161"/>
        <v>#N/A</v>
      </c>
    </row>
    <row r="2985" spans="7:119" x14ac:dyDescent="0.25">
      <c r="G2985"/>
      <c r="DI2985" s="4">
        <f>INDEX(Sheet2!A:A,QUOTIENT(ROW()-1,19)+2)</f>
        <v>41626</v>
      </c>
      <c r="DJ2985" s="4">
        <f>INDEX(Sheet2!C:C,QUOTIENT(ROW()-1,19)+2)</f>
        <v>42735</v>
      </c>
      <c r="DK2985" s="4">
        <f>INDEX(Sheet2!$AA$2:$AS$228,QUOTIENT(ROW()-1,19)+1,MOD(ROW()-2,19)+1)</f>
        <v>42735</v>
      </c>
      <c r="DL2985">
        <f>IFERROR(INDEX(Sheet2!$AU$2:$BM$228,QUOTIENT(ROW()-1,19)+1,MOD(ROW()-2,19)+1),NA())</f>
        <v>1</v>
      </c>
      <c r="DM2985" s="4" t="e">
        <f t="shared" si="159"/>
        <v>#N/A</v>
      </c>
      <c r="DN2985" t="e">
        <f t="shared" si="160"/>
        <v>#N/A</v>
      </c>
      <c r="DO2985" t="e">
        <f t="shared" si="161"/>
        <v>#N/A</v>
      </c>
    </row>
    <row r="2986" spans="7:119" x14ac:dyDescent="0.25">
      <c r="G2986"/>
      <c r="DI2986" s="4">
        <f>INDEX(Sheet2!A:A,QUOTIENT(ROW()-1,19)+2)</f>
        <v>41626</v>
      </c>
      <c r="DJ2986" s="4">
        <f>INDEX(Sheet2!C:C,QUOTIENT(ROW()-1,19)+2)</f>
        <v>42735</v>
      </c>
      <c r="DK2986" s="4" t="e">
        <f>INDEX(Sheet2!$AA$2:$AS$228,QUOTIENT(ROW()-1,19)+1,MOD(ROW()-2,19)+1)</f>
        <v>#N/A</v>
      </c>
      <c r="DL2986" t="str">
        <f>IFERROR(INDEX(Sheet2!$AU$2:$BM$228,QUOTIENT(ROW()-1,19)+1,MOD(ROW()-2,19)+1),NA())</f>
        <v/>
      </c>
      <c r="DM2986" s="4" t="e">
        <f t="shared" si="159"/>
        <v>#N/A</v>
      </c>
      <c r="DN2986" t="e">
        <f t="shared" si="160"/>
        <v>#N/A</v>
      </c>
      <c r="DO2986" t="e">
        <f t="shared" si="161"/>
        <v>#N/A</v>
      </c>
    </row>
    <row r="2987" spans="7:119" x14ac:dyDescent="0.25">
      <c r="G2987"/>
      <c r="DI2987" s="4">
        <f>INDEX(Sheet2!A:A,QUOTIENT(ROW()-1,19)+2)</f>
        <v>41626</v>
      </c>
      <c r="DJ2987" s="4">
        <f>INDEX(Sheet2!C:C,QUOTIENT(ROW()-1,19)+2)</f>
        <v>42735</v>
      </c>
      <c r="DK2987" s="4" t="e">
        <f>INDEX(Sheet2!$AA$2:$AS$228,QUOTIENT(ROW()-1,19)+1,MOD(ROW()-2,19)+1)</f>
        <v>#N/A</v>
      </c>
      <c r="DL2987" t="str">
        <f>IFERROR(INDEX(Sheet2!$AU$2:$BM$228,QUOTIENT(ROW()-1,19)+1,MOD(ROW()-2,19)+1),NA())</f>
        <v/>
      </c>
      <c r="DM2987" s="4" t="e">
        <f t="shared" si="159"/>
        <v>#N/A</v>
      </c>
      <c r="DN2987" t="e">
        <f t="shared" si="160"/>
        <v>#N/A</v>
      </c>
      <c r="DO2987" t="e">
        <f t="shared" si="161"/>
        <v>#N/A</v>
      </c>
    </row>
    <row r="2988" spans="7:119" x14ac:dyDescent="0.25">
      <c r="G2988"/>
      <c r="DI2988" s="4">
        <f>INDEX(Sheet2!A:A,QUOTIENT(ROW()-1,19)+2)</f>
        <v>41626</v>
      </c>
      <c r="DJ2988" s="4">
        <f>INDEX(Sheet2!C:C,QUOTIENT(ROW()-1,19)+2)</f>
        <v>42735</v>
      </c>
      <c r="DK2988" s="4" t="e">
        <f>INDEX(Sheet2!$AA$2:$AS$228,QUOTIENT(ROW()-1,19)+1,MOD(ROW()-2,19)+1)</f>
        <v>#N/A</v>
      </c>
      <c r="DL2988" t="str">
        <f>IFERROR(INDEX(Sheet2!$AU$2:$BM$228,QUOTIENT(ROW()-1,19)+1,MOD(ROW()-2,19)+1),NA())</f>
        <v/>
      </c>
      <c r="DM2988" s="4" t="e">
        <f t="shared" si="159"/>
        <v>#N/A</v>
      </c>
      <c r="DN2988" t="e">
        <f t="shared" si="160"/>
        <v>#N/A</v>
      </c>
      <c r="DO2988" t="e">
        <f t="shared" si="161"/>
        <v>#N/A</v>
      </c>
    </row>
    <row r="2989" spans="7:119" x14ac:dyDescent="0.25">
      <c r="G2989"/>
      <c r="DI2989" s="4">
        <f>INDEX(Sheet2!A:A,QUOTIENT(ROW()-1,19)+2)</f>
        <v>41626</v>
      </c>
      <c r="DJ2989" s="4">
        <f>INDEX(Sheet2!C:C,QUOTIENT(ROW()-1,19)+2)</f>
        <v>42735</v>
      </c>
      <c r="DK2989" s="4" t="e">
        <f>INDEX(Sheet2!$AA$2:$AS$228,QUOTIENT(ROW()-1,19)+1,MOD(ROW()-2,19)+1)</f>
        <v>#N/A</v>
      </c>
      <c r="DL2989" t="str">
        <f>IFERROR(INDEX(Sheet2!$AU$2:$BM$228,QUOTIENT(ROW()-1,19)+1,MOD(ROW()-2,19)+1),NA())</f>
        <v/>
      </c>
      <c r="DM2989" s="4" t="e">
        <f t="shared" si="159"/>
        <v>#N/A</v>
      </c>
      <c r="DN2989" t="e">
        <f t="shared" si="160"/>
        <v>#N/A</v>
      </c>
      <c r="DO2989" t="e">
        <f t="shared" si="161"/>
        <v>#N/A</v>
      </c>
    </row>
    <row r="2990" spans="7:119" x14ac:dyDescent="0.25">
      <c r="G2990"/>
      <c r="DI2990" s="4">
        <f>INDEX(Sheet2!A:A,QUOTIENT(ROW()-1,19)+2)</f>
        <v>41626</v>
      </c>
      <c r="DJ2990" s="4">
        <f>INDEX(Sheet2!C:C,QUOTIENT(ROW()-1,19)+2)</f>
        <v>42735</v>
      </c>
      <c r="DK2990" s="4" t="e">
        <f>INDEX(Sheet2!$AA$2:$AS$228,QUOTIENT(ROW()-1,19)+1,MOD(ROW()-2,19)+1)</f>
        <v>#N/A</v>
      </c>
      <c r="DL2990" t="str">
        <f>IFERROR(INDEX(Sheet2!$AU$2:$BM$228,QUOTIENT(ROW()-1,19)+1,MOD(ROW()-2,19)+1),NA())</f>
        <v/>
      </c>
      <c r="DM2990" s="4" t="e">
        <f t="shared" si="159"/>
        <v>#N/A</v>
      </c>
      <c r="DN2990" t="e">
        <f t="shared" si="160"/>
        <v>#N/A</v>
      </c>
      <c r="DO2990" t="e">
        <f t="shared" si="161"/>
        <v>#N/A</v>
      </c>
    </row>
    <row r="2991" spans="7:119" x14ac:dyDescent="0.25">
      <c r="G2991"/>
      <c r="DI2991" s="4">
        <f>INDEX(Sheet2!A:A,QUOTIENT(ROW()-1,19)+2)</f>
        <v>41626</v>
      </c>
      <c r="DJ2991" s="4">
        <f>INDEX(Sheet2!C:C,QUOTIENT(ROW()-1,19)+2)</f>
        <v>42735</v>
      </c>
      <c r="DK2991" s="4" t="e">
        <f>INDEX(Sheet2!$AA$2:$AS$228,QUOTIENT(ROW()-1,19)+1,MOD(ROW()-2,19)+1)</f>
        <v>#N/A</v>
      </c>
      <c r="DL2991" t="str">
        <f>IFERROR(INDEX(Sheet2!$AU$2:$BM$228,QUOTIENT(ROW()-1,19)+1,MOD(ROW()-2,19)+1),NA())</f>
        <v/>
      </c>
      <c r="DM2991" s="4" t="e">
        <f t="shared" si="159"/>
        <v>#N/A</v>
      </c>
      <c r="DN2991" t="e">
        <f t="shared" si="160"/>
        <v>#N/A</v>
      </c>
      <c r="DO2991" t="e">
        <f t="shared" si="161"/>
        <v>#N/A</v>
      </c>
    </row>
    <row r="2992" spans="7:119" x14ac:dyDescent="0.25">
      <c r="G2992"/>
      <c r="DI2992" s="4">
        <f>INDEX(Sheet2!A:A,QUOTIENT(ROW()-1,19)+2)</f>
        <v>41626</v>
      </c>
      <c r="DJ2992" s="4">
        <f>INDEX(Sheet2!C:C,QUOTIENT(ROW()-1,19)+2)</f>
        <v>42735</v>
      </c>
      <c r="DK2992" s="4" t="e">
        <f>INDEX(Sheet2!$AA$2:$AS$228,QUOTIENT(ROW()-1,19)+1,MOD(ROW()-2,19)+1)</f>
        <v>#N/A</v>
      </c>
      <c r="DL2992" t="str">
        <f>IFERROR(INDEX(Sheet2!$AU$2:$BM$228,QUOTIENT(ROW()-1,19)+1,MOD(ROW()-2,19)+1),NA())</f>
        <v/>
      </c>
      <c r="DM2992" s="4" t="e">
        <f t="shared" si="159"/>
        <v>#N/A</v>
      </c>
      <c r="DN2992" t="e">
        <f t="shared" si="160"/>
        <v>#N/A</v>
      </c>
      <c r="DO2992" t="e">
        <f t="shared" si="161"/>
        <v>#N/A</v>
      </c>
    </row>
    <row r="2993" spans="7:119" x14ac:dyDescent="0.25">
      <c r="G2993"/>
      <c r="DI2993" s="4">
        <f>INDEX(Sheet2!A:A,QUOTIENT(ROW()-1,19)+2)</f>
        <v>41626</v>
      </c>
      <c r="DJ2993" s="4">
        <f>INDEX(Sheet2!C:C,QUOTIENT(ROW()-1,19)+2)</f>
        <v>42735</v>
      </c>
      <c r="DK2993" s="4" t="e">
        <f>INDEX(Sheet2!$AA$2:$AS$228,QUOTIENT(ROW()-1,19)+1,MOD(ROW()-2,19)+1)</f>
        <v>#N/A</v>
      </c>
      <c r="DL2993" t="str">
        <f>IFERROR(INDEX(Sheet2!$AU$2:$BM$228,QUOTIENT(ROW()-1,19)+1,MOD(ROW()-2,19)+1),NA())</f>
        <v/>
      </c>
      <c r="DM2993" s="4" t="e">
        <f t="shared" si="159"/>
        <v>#N/A</v>
      </c>
      <c r="DN2993" t="e">
        <f t="shared" si="160"/>
        <v>#N/A</v>
      </c>
      <c r="DO2993" t="e">
        <f t="shared" si="161"/>
        <v>#N/A</v>
      </c>
    </row>
    <row r="2994" spans="7:119" x14ac:dyDescent="0.25">
      <c r="G2994"/>
      <c r="DI2994" s="4">
        <f>INDEX(Sheet2!A:A,QUOTIENT(ROW()-1,19)+2)</f>
        <v>41626</v>
      </c>
      <c r="DJ2994" s="4">
        <f>INDEX(Sheet2!C:C,QUOTIENT(ROW()-1,19)+2)</f>
        <v>42735</v>
      </c>
      <c r="DK2994" s="4" t="e">
        <f>INDEX(Sheet2!$AA$2:$AS$228,QUOTIENT(ROW()-1,19)+1,MOD(ROW()-2,19)+1)</f>
        <v>#N/A</v>
      </c>
      <c r="DL2994" t="str">
        <f>IFERROR(INDEX(Sheet2!$AU$2:$BM$228,QUOTIENT(ROW()-1,19)+1,MOD(ROW()-2,19)+1),NA())</f>
        <v/>
      </c>
      <c r="DM2994" s="4" t="e">
        <f t="shared" si="159"/>
        <v>#N/A</v>
      </c>
      <c r="DN2994" t="e">
        <f t="shared" si="160"/>
        <v>#N/A</v>
      </c>
      <c r="DO2994" t="e">
        <f t="shared" si="161"/>
        <v>#N/A</v>
      </c>
    </row>
    <row r="2995" spans="7:119" x14ac:dyDescent="0.25">
      <c r="G2995"/>
      <c r="DI2995" s="4">
        <f>INDEX(Sheet2!A:A,QUOTIENT(ROW()-1,19)+2)</f>
        <v>41626</v>
      </c>
      <c r="DJ2995" s="4">
        <f>INDEX(Sheet2!C:C,QUOTIENT(ROW()-1,19)+2)</f>
        <v>42735</v>
      </c>
      <c r="DK2995" s="4" t="e">
        <f>INDEX(Sheet2!$AA$2:$AS$228,QUOTIENT(ROW()-1,19)+1,MOD(ROW()-2,19)+1)</f>
        <v>#N/A</v>
      </c>
      <c r="DL2995" t="str">
        <f>IFERROR(INDEX(Sheet2!$AU$2:$BM$228,QUOTIENT(ROW()-1,19)+1,MOD(ROW()-2,19)+1),NA())</f>
        <v/>
      </c>
      <c r="DM2995" s="4" t="e">
        <f t="shared" si="159"/>
        <v>#N/A</v>
      </c>
      <c r="DN2995" t="e">
        <f t="shared" si="160"/>
        <v>#N/A</v>
      </c>
      <c r="DO2995" t="e">
        <f t="shared" si="161"/>
        <v>#N/A</v>
      </c>
    </row>
    <row r="2996" spans="7:119" x14ac:dyDescent="0.25">
      <c r="G2996"/>
      <c r="DI2996" s="4">
        <f>INDEX(Sheet2!A:A,QUOTIENT(ROW()-1,19)+2)</f>
        <v>41626</v>
      </c>
      <c r="DJ2996" s="4">
        <f>INDEX(Sheet2!C:C,QUOTIENT(ROW()-1,19)+2)</f>
        <v>42735</v>
      </c>
      <c r="DK2996" s="4" t="e">
        <f>INDEX(Sheet2!$AA$2:$AS$228,QUOTIENT(ROW()-1,19)+1,MOD(ROW()-2,19)+1)</f>
        <v>#N/A</v>
      </c>
      <c r="DL2996" t="str">
        <f>IFERROR(INDEX(Sheet2!$AU$2:$BM$228,QUOTIENT(ROW()-1,19)+1,MOD(ROW()-2,19)+1),NA())</f>
        <v/>
      </c>
      <c r="DM2996" s="4" t="e">
        <f t="shared" si="159"/>
        <v>#N/A</v>
      </c>
      <c r="DN2996" t="e">
        <f t="shared" si="160"/>
        <v>#N/A</v>
      </c>
      <c r="DO2996" t="e">
        <f t="shared" si="161"/>
        <v>#N/A</v>
      </c>
    </row>
    <row r="2997" spans="7:119" x14ac:dyDescent="0.25">
      <c r="G2997"/>
      <c r="DI2997" s="4">
        <f>INDEX(Sheet2!A:A,QUOTIENT(ROW()-1,19)+2)</f>
        <v>41626</v>
      </c>
      <c r="DJ2997" s="4">
        <f>INDEX(Sheet2!C:C,QUOTIENT(ROW()-1,19)+2)</f>
        <v>42735</v>
      </c>
      <c r="DK2997" s="4" t="e">
        <f>INDEX(Sheet2!$AA$2:$AS$228,QUOTIENT(ROW()-1,19)+1,MOD(ROW()-2,19)+1)</f>
        <v>#N/A</v>
      </c>
      <c r="DL2997" t="str">
        <f>IFERROR(INDEX(Sheet2!$AU$2:$BM$228,QUOTIENT(ROW()-1,19)+1,MOD(ROW()-2,19)+1),NA())</f>
        <v/>
      </c>
      <c r="DM2997" s="4" t="e">
        <f t="shared" si="159"/>
        <v>#N/A</v>
      </c>
      <c r="DN2997" t="e">
        <f t="shared" si="160"/>
        <v>#N/A</v>
      </c>
      <c r="DO2997" t="e">
        <f t="shared" si="161"/>
        <v>#N/A</v>
      </c>
    </row>
    <row r="2998" spans="7:119" x14ac:dyDescent="0.25">
      <c r="G2998"/>
      <c r="DI2998" s="4">
        <f>INDEX(Sheet2!A:A,QUOTIENT(ROW()-1,19)+2)</f>
        <v>41626</v>
      </c>
      <c r="DJ2998" s="4">
        <f>INDEX(Sheet2!C:C,QUOTIENT(ROW()-1,19)+2)</f>
        <v>42735</v>
      </c>
      <c r="DK2998" s="4" t="e">
        <f>INDEX(Sheet2!$AA$2:$AS$228,QUOTIENT(ROW()-1,19)+1,MOD(ROW()-2,19)+1)</f>
        <v>#N/A</v>
      </c>
      <c r="DL2998" t="str">
        <f>IFERROR(INDEX(Sheet2!$AU$2:$BM$228,QUOTIENT(ROW()-1,19)+1,MOD(ROW()-2,19)+1),NA())</f>
        <v/>
      </c>
      <c r="DM2998" s="4" t="e">
        <f t="shared" si="159"/>
        <v>#N/A</v>
      </c>
      <c r="DN2998" t="e">
        <f t="shared" si="160"/>
        <v>#N/A</v>
      </c>
      <c r="DO2998" t="e">
        <f t="shared" si="161"/>
        <v>#N/A</v>
      </c>
    </row>
    <row r="2999" spans="7:119" x14ac:dyDescent="0.25">
      <c r="G2999"/>
      <c r="DI2999" s="4">
        <f>INDEX(Sheet2!A:A,QUOTIENT(ROW()-1,19)+2)</f>
        <v>41626</v>
      </c>
      <c r="DJ2999" s="4">
        <f>INDEX(Sheet2!C:C,QUOTIENT(ROW()-1,19)+2)</f>
        <v>42735</v>
      </c>
      <c r="DK2999" s="4" t="e">
        <f>INDEX(Sheet2!$AA$2:$AS$228,QUOTIENT(ROW()-1,19)+1,MOD(ROW()-2,19)+1)</f>
        <v>#N/A</v>
      </c>
      <c r="DL2999" t="str">
        <f>IFERROR(INDEX(Sheet2!$AU$2:$BM$228,QUOTIENT(ROW()-1,19)+1,MOD(ROW()-2,19)+1),NA())</f>
        <v/>
      </c>
      <c r="DM2999" s="4" t="e">
        <f t="shared" si="159"/>
        <v>#N/A</v>
      </c>
      <c r="DN2999" t="e">
        <f t="shared" si="160"/>
        <v>#N/A</v>
      </c>
      <c r="DO2999" t="e">
        <f t="shared" si="161"/>
        <v>#N/A</v>
      </c>
    </row>
    <row r="3000" spans="7:119" x14ac:dyDescent="0.25">
      <c r="G3000"/>
      <c r="DI3000" s="4">
        <f>INDEX(Sheet2!A:A,QUOTIENT(ROW()-1,19)+2)</f>
        <v>41626</v>
      </c>
      <c r="DJ3000" s="4">
        <f>INDEX(Sheet2!C:C,QUOTIENT(ROW()-1,19)+2)</f>
        <v>42735</v>
      </c>
      <c r="DK3000" s="4" t="e">
        <f>INDEX(Sheet2!$AA$2:$AS$228,QUOTIENT(ROW()-1,19)+1,MOD(ROW()-2,19)+1)</f>
        <v>#N/A</v>
      </c>
      <c r="DL3000" t="str">
        <f>IFERROR(INDEX(Sheet2!$AU$2:$BM$228,QUOTIENT(ROW()-1,19)+1,MOD(ROW()-2,19)+1),NA())</f>
        <v/>
      </c>
      <c r="DM3000" s="4" t="e">
        <f t="shared" si="159"/>
        <v>#N/A</v>
      </c>
      <c r="DN3000" t="e">
        <f t="shared" si="160"/>
        <v>#N/A</v>
      </c>
      <c r="DO3000" t="e">
        <f t="shared" si="161"/>
        <v>#N/A</v>
      </c>
    </row>
    <row r="3001" spans="7:119" x14ac:dyDescent="0.25">
      <c r="G3001"/>
      <c r="DI3001" s="4">
        <f>INDEX(Sheet2!A:A,QUOTIENT(ROW()-1,19)+2)</f>
        <v>41626</v>
      </c>
      <c r="DJ3001" s="4">
        <f>INDEX(Sheet2!C:C,QUOTIENT(ROW()-1,19)+2)</f>
        <v>42735</v>
      </c>
      <c r="DK3001" s="4" t="e">
        <f>INDEX(Sheet2!$AA$2:$AS$228,QUOTIENT(ROW()-1,19)+1,MOD(ROW()-2,19)+1)</f>
        <v>#N/A</v>
      </c>
      <c r="DL3001" t="str">
        <f>IFERROR(INDEX(Sheet2!$AU$2:$BM$228,QUOTIENT(ROW()-1,19)+1,MOD(ROW()-2,19)+1),NA())</f>
        <v/>
      </c>
      <c r="DM3001" s="4" t="e">
        <f t="shared" si="159"/>
        <v>#N/A</v>
      </c>
      <c r="DN3001" t="e">
        <f t="shared" si="160"/>
        <v>#N/A</v>
      </c>
      <c r="DO3001" t="e">
        <f t="shared" si="161"/>
        <v>#N/A</v>
      </c>
    </row>
    <row r="3002" spans="7:119" x14ac:dyDescent="0.25">
      <c r="G3002"/>
      <c r="DI3002" s="4">
        <f>INDEX(Sheet2!A:A,QUOTIENT(ROW()-1,19)+2)</f>
        <v>41626</v>
      </c>
      <c r="DJ3002" s="4">
        <f>INDEX(Sheet2!C:C,QUOTIENT(ROW()-1,19)+2)</f>
        <v>42735</v>
      </c>
      <c r="DK3002" s="4" t="e">
        <f>INDEX(Sheet2!$AA$2:$AS$228,QUOTIENT(ROW()-1,19)+1,MOD(ROW()-2,19)+1)</f>
        <v>#N/A</v>
      </c>
      <c r="DL3002" t="str">
        <f>IFERROR(INDEX(Sheet2!$AU$2:$BM$228,QUOTIENT(ROW()-1,19)+1,MOD(ROW()-2,19)+1),NA())</f>
        <v/>
      </c>
      <c r="DM3002" s="4" t="e">
        <f t="shared" si="159"/>
        <v>#N/A</v>
      </c>
      <c r="DN3002" t="e">
        <f t="shared" si="160"/>
        <v>#N/A</v>
      </c>
      <c r="DO3002" t="e">
        <f t="shared" si="161"/>
        <v>#N/A</v>
      </c>
    </row>
    <row r="3003" spans="7:119" x14ac:dyDescent="0.25">
      <c r="G3003"/>
      <c r="DI3003" s="4">
        <f>INDEX(Sheet2!A:A,QUOTIENT(ROW()-1,19)+2)</f>
        <v>41626</v>
      </c>
      <c r="DJ3003" s="4">
        <f>INDEX(Sheet2!C:C,QUOTIENT(ROW()-1,19)+2)</f>
        <v>42735</v>
      </c>
      <c r="DK3003" s="4" t="e">
        <f>INDEX(Sheet2!$AA$2:$AS$228,QUOTIENT(ROW()-1,19)+1,MOD(ROW()-2,19)+1)</f>
        <v>#N/A</v>
      </c>
      <c r="DL3003" t="str">
        <f>IFERROR(INDEX(Sheet2!$AU$2:$BM$228,QUOTIENT(ROW()-1,19)+1,MOD(ROW()-2,19)+1),NA())</f>
        <v/>
      </c>
      <c r="DM3003" s="4" t="e">
        <f t="shared" si="159"/>
        <v>#N/A</v>
      </c>
      <c r="DN3003" t="e">
        <f t="shared" si="160"/>
        <v>#N/A</v>
      </c>
      <c r="DO3003" t="e">
        <f t="shared" si="161"/>
        <v>#N/A</v>
      </c>
    </row>
    <row r="3004" spans="7:119" x14ac:dyDescent="0.25">
      <c r="G3004"/>
      <c r="DI3004" s="4">
        <f>INDEX(Sheet2!A:A,QUOTIENT(ROW()-1,19)+2)</f>
        <v>41626</v>
      </c>
      <c r="DJ3004" s="4">
        <f>INDEX(Sheet2!C:C,QUOTIENT(ROW()-1,19)+2)</f>
        <v>42735</v>
      </c>
      <c r="DK3004" s="4">
        <f>INDEX(Sheet2!$AA$2:$AS$228,QUOTIENT(ROW()-1,19)+1,MOD(ROW()-2,19)+1)</f>
        <v>42735</v>
      </c>
      <c r="DL3004">
        <f>IFERROR(INDEX(Sheet2!$AU$2:$BM$228,QUOTIENT(ROW()-1,19)+1,MOD(ROW()-2,19)+1),NA())</f>
        <v>1.25</v>
      </c>
      <c r="DM3004" s="4" t="e">
        <f t="shared" si="159"/>
        <v>#N/A</v>
      </c>
      <c r="DN3004" t="e">
        <f t="shared" si="160"/>
        <v>#N/A</v>
      </c>
      <c r="DO3004" t="e">
        <f t="shared" si="161"/>
        <v>#N/A</v>
      </c>
    </row>
    <row r="3005" spans="7:119" x14ac:dyDescent="0.25">
      <c r="G3005"/>
      <c r="DI3005" s="4">
        <f>INDEX(Sheet2!A:A,QUOTIENT(ROW()-1,19)+2)</f>
        <v>41626</v>
      </c>
      <c r="DJ3005" s="4">
        <f>INDEX(Sheet2!C:C,QUOTIENT(ROW()-1,19)+2)</f>
        <v>42735</v>
      </c>
      <c r="DK3005" s="4" t="e">
        <f>INDEX(Sheet2!$AA$2:$AS$228,QUOTIENT(ROW()-1,19)+1,MOD(ROW()-2,19)+1)</f>
        <v>#N/A</v>
      </c>
      <c r="DL3005" t="str">
        <f>IFERROR(INDEX(Sheet2!$AU$2:$BM$228,QUOTIENT(ROW()-1,19)+1,MOD(ROW()-2,19)+1),NA())</f>
        <v/>
      </c>
      <c r="DM3005" s="4" t="e">
        <f t="shared" si="159"/>
        <v>#N/A</v>
      </c>
      <c r="DN3005" t="e">
        <f t="shared" si="160"/>
        <v>#N/A</v>
      </c>
      <c r="DO3005" t="e">
        <f t="shared" si="161"/>
        <v>#N/A</v>
      </c>
    </row>
    <row r="3006" spans="7:119" x14ac:dyDescent="0.25">
      <c r="G3006"/>
      <c r="DI3006" s="4">
        <f>INDEX(Sheet2!A:A,QUOTIENT(ROW()-1,19)+2)</f>
        <v>41626</v>
      </c>
      <c r="DJ3006" s="4">
        <f>INDEX(Sheet2!C:C,QUOTIENT(ROW()-1,19)+2)</f>
        <v>42735</v>
      </c>
      <c r="DK3006" s="4" t="e">
        <f>INDEX(Sheet2!$AA$2:$AS$228,QUOTIENT(ROW()-1,19)+1,MOD(ROW()-2,19)+1)</f>
        <v>#N/A</v>
      </c>
      <c r="DL3006" t="str">
        <f>IFERROR(INDEX(Sheet2!$AU$2:$BM$228,QUOTIENT(ROW()-1,19)+1,MOD(ROW()-2,19)+1),NA())</f>
        <v/>
      </c>
      <c r="DM3006" s="4" t="e">
        <f t="shared" si="159"/>
        <v>#N/A</v>
      </c>
      <c r="DN3006" t="e">
        <f t="shared" si="160"/>
        <v>#N/A</v>
      </c>
      <c r="DO3006" t="e">
        <f t="shared" si="161"/>
        <v>#N/A</v>
      </c>
    </row>
    <row r="3007" spans="7:119" x14ac:dyDescent="0.25">
      <c r="G3007"/>
      <c r="DI3007" s="4">
        <f>INDEX(Sheet2!A:A,QUOTIENT(ROW()-1,19)+2)</f>
        <v>41626</v>
      </c>
      <c r="DJ3007" s="4">
        <f>INDEX(Sheet2!C:C,QUOTIENT(ROW()-1,19)+2)</f>
        <v>42735</v>
      </c>
      <c r="DK3007" s="4" t="e">
        <f>INDEX(Sheet2!$AA$2:$AS$228,QUOTIENT(ROW()-1,19)+1,MOD(ROW()-2,19)+1)</f>
        <v>#N/A</v>
      </c>
      <c r="DL3007" t="str">
        <f>IFERROR(INDEX(Sheet2!$AU$2:$BM$228,QUOTIENT(ROW()-1,19)+1,MOD(ROW()-2,19)+1),NA())</f>
        <v/>
      </c>
      <c r="DM3007" s="4" t="e">
        <f t="shared" si="159"/>
        <v>#N/A</v>
      </c>
      <c r="DN3007" t="e">
        <f t="shared" si="160"/>
        <v>#N/A</v>
      </c>
      <c r="DO3007" t="e">
        <f t="shared" si="161"/>
        <v>#N/A</v>
      </c>
    </row>
    <row r="3008" spans="7:119" x14ac:dyDescent="0.25">
      <c r="G3008"/>
      <c r="DI3008" s="4">
        <f>INDEX(Sheet2!A:A,QUOTIENT(ROW()-1,19)+2)</f>
        <v>41626</v>
      </c>
      <c r="DJ3008" s="4">
        <f>INDEX(Sheet2!C:C,QUOTIENT(ROW()-1,19)+2)</f>
        <v>42735</v>
      </c>
      <c r="DK3008" s="4" t="e">
        <f>INDEX(Sheet2!$AA$2:$AS$228,QUOTIENT(ROW()-1,19)+1,MOD(ROW()-2,19)+1)</f>
        <v>#N/A</v>
      </c>
      <c r="DL3008" t="str">
        <f>IFERROR(INDEX(Sheet2!$AU$2:$BM$228,QUOTIENT(ROW()-1,19)+1,MOD(ROW()-2,19)+1),NA())</f>
        <v/>
      </c>
      <c r="DM3008" s="4" t="e">
        <f t="shared" si="159"/>
        <v>#N/A</v>
      </c>
      <c r="DN3008" t="e">
        <f t="shared" si="160"/>
        <v>#N/A</v>
      </c>
      <c r="DO3008" t="e">
        <f t="shared" si="161"/>
        <v>#N/A</v>
      </c>
    </row>
    <row r="3009" spans="7:119" x14ac:dyDescent="0.25">
      <c r="G3009"/>
      <c r="DI3009" s="4">
        <f>INDEX(Sheet2!A:A,QUOTIENT(ROW()-1,19)+2)</f>
        <v>41626</v>
      </c>
      <c r="DJ3009" s="4">
        <f>INDEX(Sheet2!C:C,QUOTIENT(ROW()-1,19)+2)</f>
        <v>42735</v>
      </c>
      <c r="DK3009" s="4" t="e">
        <f>INDEX(Sheet2!$AA$2:$AS$228,QUOTIENT(ROW()-1,19)+1,MOD(ROW()-2,19)+1)</f>
        <v>#N/A</v>
      </c>
      <c r="DL3009" t="str">
        <f>IFERROR(INDEX(Sheet2!$AU$2:$BM$228,QUOTIENT(ROW()-1,19)+1,MOD(ROW()-2,19)+1),NA())</f>
        <v/>
      </c>
      <c r="DM3009" s="4" t="e">
        <f t="shared" si="159"/>
        <v>#N/A</v>
      </c>
      <c r="DN3009" t="e">
        <f t="shared" si="160"/>
        <v>#N/A</v>
      </c>
      <c r="DO3009" t="e">
        <f t="shared" si="161"/>
        <v>#N/A</v>
      </c>
    </row>
    <row r="3010" spans="7:119" x14ac:dyDescent="0.25">
      <c r="G3010"/>
      <c r="DI3010" s="4">
        <f>INDEX(Sheet2!A:A,QUOTIENT(ROW()-1,19)+2)</f>
        <v>41626</v>
      </c>
      <c r="DJ3010" s="4">
        <f>INDEX(Sheet2!C:C,QUOTIENT(ROW()-1,19)+2)</f>
        <v>42735</v>
      </c>
      <c r="DK3010" s="4" t="e">
        <f>INDEX(Sheet2!$AA$2:$AS$228,QUOTIENT(ROW()-1,19)+1,MOD(ROW()-2,19)+1)</f>
        <v>#N/A</v>
      </c>
      <c r="DL3010" t="str">
        <f>IFERROR(INDEX(Sheet2!$AU$2:$BM$228,QUOTIENT(ROW()-1,19)+1,MOD(ROW()-2,19)+1),NA())</f>
        <v/>
      </c>
      <c r="DM3010" s="4" t="e">
        <f t="shared" ref="DM3010:DM3073" si="162">+IF($C$2=$DI3010,DK3010,NA())</f>
        <v>#N/A</v>
      </c>
      <c r="DN3010" t="e">
        <f t="shared" ref="DN3010:DN3073" si="163">+IF($C$2=$DI3010,DL3010,NA())</f>
        <v>#N/A</v>
      </c>
      <c r="DO3010" t="e">
        <f t="shared" si="161"/>
        <v>#N/A</v>
      </c>
    </row>
    <row r="3011" spans="7:119" x14ac:dyDescent="0.25">
      <c r="G3011"/>
      <c r="DI3011" s="4">
        <f>INDEX(Sheet2!A:A,QUOTIENT(ROW()-1,19)+2)</f>
        <v>41626</v>
      </c>
      <c r="DJ3011" s="4">
        <f>INDEX(Sheet2!C:C,QUOTIENT(ROW()-1,19)+2)</f>
        <v>42735</v>
      </c>
      <c r="DK3011" s="4" t="e">
        <f>INDEX(Sheet2!$AA$2:$AS$228,QUOTIENT(ROW()-1,19)+1,MOD(ROW()-2,19)+1)</f>
        <v>#N/A</v>
      </c>
      <c r="DL3011" t="str">
        <f>IFERROR(INDEX(Sheet2!$AU$2:$BM$228,QUOTIENT(ROW()-1,19)+1,MOD(ROW()-2,19)+1),NA())</f>
        <v/>
      </c>
      <c r="DM3011" s="4" t="e">
        <f t="shared" si="162"/>
        <v>#N/A</v>
      </c>
      <c r="DN3011" t="e">
        <f t="shared" si="163"/>
        <v>#N/A</v>
      </c>
      <c r="DO3011" t="e">
        <f t="shared" ref="DO3011:DO3074" si="164">IF(DN3011="",NA(),DN3011)</f>
        <v>#N/A</v>
      </c>
    </row>
    <row r="3012" spans="7:119" x14ac:dyDescent="0.25">
      <c r="G3012"/>
      <c r="DI3012" s="4">
        <f>INDEX(Sheet2!A:A,QUOTIENT(ROW()-1,19)+2)</f>
        <v>41626</v>
      </c>
      <c r="DJ3012" s="4">
        <f>INDEX(Sheet2!C:C,QUOTIENT(ROW()-1,19)+2)</f>
        <v>42735</v>
      </c>
      <c r="DK3012" s="4" t="e">
        <f>INDEX(Sheet2!$AA$2:$AS$228,QUOTIENT(ROW()-1,19)+1,MOD(ROW()-2,19)+1)</f>
        <v>#N/A</v>
      </c>
      <c r="DL3012" t="str">
        <f>IFERROR(INDEX(Sheet2!$AU$2:$BM$228,QUOTIENT(ROW()-1,19)+1,MOD(ROW()-2,19)+1),NA())</f>
        <v/>
      </c>
      <c r="DM3012" s="4" t="e">
        <f t="shared" si="162"/>
        <v>#N/A</v>
      </c>
      <c r="DN3012" t="e">
        <f t="shared" si="163"/>
        <v>#N/A</v>
      </c>
      <c r="DO3012" t="e">
        <f t="shared" si="164"/>
        <v>#N/A</v>
      </c>
    </row>
    <row r="3013" spans="7:119" x14ac:dyDescent="0.25">
      <c r="G3013"/>
      <c r="DI3013" s="4">
        <f>INDEX(Sheet2!A:A,QUOTIENT(ROW()-1,19)+2)</f>
        <v>41626</v>
      </c>
      <c r="DJ3013" s="4">
        <f>INDEX(Sheet2!C:C,QUOTIENT(ROW()-1,19)+2)</f>
        <v>42735</v>
      </c>
      <c r="DK3013" s="4" t="e">
        <f>INDEX(Sheet2!$AA$2:$AS$228,QUOTIENT(ROW()-1,19)+1,MOD(ROW()-2,19)+1)</f>
        <v>#N/A</v>
      </c>
      <c r="DL3013" t="str">
        <f>IFERROR(INDEX(Sheet2!$AU$2:$BM$228,QUOTIENT(ROW()-1,19)+1,MOD(ROW()-2,19)+1),NA())</f>
        <v/>
      </c>
      <c r="DM3013" s="4" t="e">
        <f t="shared" si="162"/>
        <v>#N/A</v>
      </c>
      <c r="DN3013" t="e">
        <f t="shared" si="163"/>
        <v>#N/A</v>
      </c>
      <c r="DO3013" t="e">
        <f t="shared" si="164"/>
        <v>#N/A</v>
      </c>
    </row>
    <row r="3014" spans="7:119" x14ac:dyDescent="0.25">
      <c r="G3014"/>
      <c r="DI3014" s="4">
        <f>INDEX(Sheet2!A:A,QUOTIENT(ROW()-1,19)+2)</f>
        <v>41626</v>
      </c>
      <c r="DJ3014" s="4">
        <f>INDEX(Sheet2!C:C,QUOTIENT(ROW()-1,19)+2)</f>
        <v>42735</v>
      </c>
      <c r="DK3014" s="4" t="e">
        <f>INDEX(Sheet2!$AA$2:$AS$228,QUOTIENT(ROW()-1,19)+1,MOD(ROW()-2,19)+1)</f>
        <v>#N/A</v>
      </c>
      <c r="DL3014" t="str">
        <f>IFERROR(INDEX(Sheet2!$AU$2:$BM$228,QUOTIENT(ROW()-1,19)+1,MOD(ROW()-2,19)+1),NA())</f>
        <v/>
      </c>
      <c r="DM3014" s="4" t="e">
        <f t="shared" si="162"/>
        <v>#N/A</v>
      </c>
      <c r="DN3014" t="e">
        <f t="shared" si="163"/>
        <v>#N/A</v>
      </c>
      <c r="DO3014" t="e">
        <f t="shared" si="164"/>
        <v>#N/A</v>
      </c>
    </row>
    <row r="3015" spans="7:119" x14ac:dyDescent="0.25">
      <c r="G3015"/>
      <c r="DI3015" s="4">
        <f>INDEX(Sheet2!A:A,QUOTIENT(ROW()-1,19)+2)</f>
        <v>41626</v>
      </c>
      <c r="DJ3015" s="4">
        <f>INDEX(Sheet2!C:C,QUOTIENT(ROW()-1,19)+2)</f>
        <v>42735</v>
      </c>
      <c r="DK3015" s="4" t="e">
        <f>INDEX(Sheet2!$AA$2:$AS$228,QUOTIENT(ROW()-1,19)+1,MOD(ROW()-2,19)+1)</f>
        <v>#N/A</v>
      </c>
      <c r="DL3015" t="str">
        <f>IFERROR(INDEX(Sheet2!$AU$2:$BM$228,QUOTIENT(ROW()-1,19)+1,MOD(ROW()-2,19)+1),NA())</f>
        <v/>
      </c>
      <c r="DM3015" s="4" t="e">
        <f t="shared" si="162"/>
        <v>#N/A</v>
      </c>
      <c r="DN3015" t="e">
        <f t="shared" si="163"/>
        <v>#N/A</v>
      </c>
      <c r="DO3015" t="e">
        <f t="shared" si="164"/>
        <v>#N/A</v>
      </c>
    </row>
    <row r="3016" spans="7:119" x14ac:dyDescent="0.25">
      <c r="G3016"/>
      <c r="DI3016" s="4">
        <f>INDEX(Sheet2!A:A,QUOTIENT(ROW()-1,19)+2)</f>
        <v>41626</v>
      </c>
      <c r="DJ3016" s="4">
        <f>INDEX(Sheet2!C:C,QUOTIENT(ROW()-1,19)+2)</f>
        <v>42735</v>
      </c>
      <c r="DK3016" s="4" t="e">
        <f>INDEX(Sheet2!$AA$2:$AS$228,QUOTIENT(ROW()-1,19)+1,MOD(ROW()-2,19)+1)</f>
        <v>#N/A</v>
      </c>
      <c r="DL3016" t="str">
        <f>IFERROR(INDEX(Sheet2!$AU$2:$BM$228,QUOTIENT(ROW()-1,19)+1,MOD(ROW()-2,19)+1),NA())</f>
        <v/>
      </c>
      <c r="DM3016" s="4" t="e">
        <f t="shared" si="162"/>
        <v>#N/A</v>
      </c>
      <c r="DN3016" t="e">
        <f t="shared" si="163"/>
        <v>#N/A</v>
      </c>
      <c r="DO3016" t="e">
        <f t="shared" si="164"/>
        <v>#N/A</v>
      </c>
    </row>
    <row r="3017" spans="7:119" x14ac:dyDescent="0.25">
      <c r="G3017"/>
      <c r="DI3017" s="4">
        <f>INDEX(Sheet2!A:A,QUOTIENT(ROW()-1,19)+2)</f>
        <v>41626</v>
      </c>
      <c r="DJ3017" s="4">
        <f>INDEX(Sheet2!C:C,QUOTIENT(ROW()-1,19)+2)</f>
        <v>42735</v>
      </c>
      <c r="DK3017" s="4" t="e">
        <f>INDEX(Sheet2!$AA$2:$AS$228,QUOTIENT(ROW()-1,19)+1,MOD(ROW()-2,19)+1)</f>
        <v>#N/A</v>
      </c>
      <c r="DL3017" t="str">
        <f>IFERROR(INDEX(Sheet2!$AU$2:$BM$228,QUOTIENT(ROW()-1,19)+1,MOD(ROW()-2,19)+1),NA())</f>
        <v/>
      </c>
      <c r="DM3017" s="4" t="e">
        <f t="shared" si="162"/>
        <v>#N/A</v>
      </c>
      <c r="DN3017" t="e">
        <f t="shared" si="163"/>
        <v>#N/A</v>
      </c>
      <c r="DO3017" t="e">
        <f t="shared" si="164"/>
        <v>#N/A</v>
      </c>
    </row>
    <row r="3018" spans="7:119" x14ac:dyDescent="0.25">
      <c r="G3018"/>
      <c r="DI3018" s="4">
        <f>INDEX(Sheet2!A:A,QUOTIENT(ROW()-1,19)+2)</f>
        <v>41626</v>
      </c>
      <c r="DJ3018" s="4">
        <f>INDEX(Sheet2!C:C,QUOTIENT(ROW()-1,19)+2)</f>
        <v>42735</v>
      </c>
      <c r="DK3018" s="4" t="e">
        <f>INDEX(Sheet2!$AA$2:$AS$228,QUOTIENT(ROW()-1,19)+1,MOD(ROW()-2,19)+1)</f>
        <v>#N/A</v>
      </c>
      <c r="DL3018" t="str">
        <f>IFERROR(INDEX(Sheet2!$AU$2:$BM$228,QUOTIENT(ROW()-1,19)+1,MOD(ROW()-2,19)+1),NA())</f>
        <v/>
      </c>
      <c r="DM3018" s="4" t="e">
        <f t="shared" si="162"/>
        <v>#N/A</v>
      </c>
      <c r="DN3018" t="e">
        <f t="shared" si="163"/>
        <v>#N/A</v>
      </c>
      <c r="DO3018" t="e">
        <f t="shared" si="164"/>
        <v>#N/A</v>
      </c>
    </row>
    <row r="3019" spans="7:119" x14ac:dyDescent="0.25">
      <c r="G3019"/>
      <c r="DI3019" s="4">
        <f>INDEX(Sheet2!A:A,QUOTIENT(ROW()-1,19)+2)</f>
        <v>41626</v>
      </c>
      <c r="DJ3019" s="4">
        <f>INDEX(Sheet2!C:C,QUOTIENT(ROW()-1,19)+2)</f>
        <v>42735</v>
      </c>
      <c r="DK3019" s="4" t="e">
        <f>INDEX(Sheet2!$AA$2:$AS$228,QUOTIENT(ROW()-1,19)+1,MOD(ROW()-2,19)+1)</f>
        <v>#N/A</v>
      </c>
      <c r="DL3019" t="str">
        <f>IFERROR(INDEX(Sheet2!$AU$2:$BM$228,QUOTIENT(ROW()-1,19)+1,MOD(ROW()-2,19)+1),NA())</f>
        <v/>
      </c>
      <c r="DM3019" s="4" t="e">
        <f t="shared" si="162"/>
        <v>#N/A</v>
      </c>
      <c r="DN3019" t="e">
        <f t="shared" si="163"/>
        <v>#N/A</v>
      </c>
      <c r="DO3019" t="e">
        <f t="shared" si="164"/>
        <v>#N/A</v>
      </c>
    </row>
    <row r="3020" spans="7:119" x14ac:dyDescent="0.25">
      <c r="G3020"/>
      <c r="DI3020" s="4">
        <f>INDEX(Sheet2!A:A,QUOTIENT(ROW()-1,19)+2)</f>
        <v>41626</v>
      </c>
      <c r="DJ3020" s="4">
        <f>INDEX(Sheet2!C:C,QUOTIENT(ROW()-1,19)+2)</f>
        <v>42735</v>
      </c>
      <c r="DK3020" s="4" t="e">
        <f>INDEX(Sheet2!$AA$2:$AS$228,QUOTIENT(ROW()-1,19)+1,MOD(ROW()-2,19)+1)</f>
        <v>#N/A</v>
      </c>
      <c r="DL3020" t="str">
        <f>IFERROR(INDEX(Sheet2!$AU$2:$BM$228,QUOTIENT(ROW()-1,19)+1,MOD(ROW()-2,19)+1),NA())</f>
        <v/>
      </c>
      <c r="DM3020" s="4" t="e">
        <f t="shared" si="162"/>
        <v>#N/A</v>
      </c>
      <c r="DN3020" t="e">
        <f t="shared" si="163"/>
        <v>#N/A</v>
      </c>
      <c r="DO3020" t="e">
        <f t="shared" si="164"/>
        <v>#N/A</v>
      </c>
    </row>
    <row r="3021" spans="7:119" x14ac:dyDescent="0.25">
      <c r="G3021"/>
      <c r="DI3021" s="4">
        <f>INDEX(Sheet2!A:A,QUOTIENT(ROW()-1,19)+2)</f>
        <v>41626</v>
      </c>
      <c r="DJ3021" s="4">
        <f>INDEX(Sheet2!C:C,QUOTIENT(ROW()-1,19)+2)</f>
        <v>42735</v>
      </c>
      <c r="DK3021" s="4" t="e">
        <f>INDEX(Sheet2!$AA$2:$AS$228,QUOTIENT(ROW()-1,19)+1,MOD(ROW()-2,19)+1)</f>
        <v>#N/A</v>
      </c>
      <c r="DL3021" t="str">
        <f>IFERROR(INDEX(Sheet2!$AU$2:$BM$228,QUOTIENT(ROW()-1,19)+1,MOD(ROW()-2,19)+1),NA())</f>
        <v/>
      </c>
      <c r="DM3021" s="4" t="e">
        <f t="shared" si="162"/>
        <v>#N/A</v>
      </c>
      <c r="DN3021" t="e">
        <f t="shared" si="163"/>
        <v>#N/A</v>
      </c>
      <c r="DO3021" t="e">
        <f t="shared" si="164"/>
        <v>#N/A</v>
      </c>
    </row>
    <row r="3022" spans="7:119" x14ac:dyDescent="0.25">
      <c r="G3022"/>
      <c r="DI3022" s="4">
        <f>INDEX(Sheet2!A:A,QUOTIENT(ROW()-1,19)+2)</f>
        <v>41626</v>
      </c>
      <c r="DJ3022" s="4">
        <f>INDEX(Sheet2!C:C,QUOTIENT(ROW()-1,19)+2)</f>
        <v>42735</v>
      </c>
      <c r="DK3022" s="4" t="e">
        <f>INDEX(Sheet2!$AA$2:$AS$228,QUOTIENT(ROW()-1,19)+1,MOD(ROW()-2,19)+1)</f>
        <v>#N/A</v>
      </c>
      <c r="DL3022" t="str">
        <f>IFERROR(INDEX(Sheet2!$AU$2:$BM$228,QUOTIENT(ROW()-1,19)+1,MOD(ROW()-2,19)+1),NA())</f>
        <v/>
      </c>
      <c r="DM3022" s="4" t="e">
        <f t="shared" si="162"/>
        <v>#N/A</v>
      </c>
      <c r="DN3022" t="e">
        <f t="shared" si="163"/>
        <v>#N/A</v>
      </c>
      <c r="DO3022" t="e">
        <f t="shared" si="164"/>
        <v>#N/A</v>
      </c>
    </row>
    <row r="3023" spans="7:119" x14ac:dyDescent="0.25">
      <c r="G3023"/>
      <c r="DI3023" s="4">
        <f>INDEX(Sheet2!A:A,QUOTIENT(ROW()-1,19)+2)</f>
        <v>41626</v>
      </c>
      <c r="DJ3023" s="4">
        <f>INDEX(Sheet2!C:C,QUOTIENT(ROW()-1,19)+2)</f>
        <v>42735</v>
      </c>
      <c r="DK3023" s="4">
        <f>INDEX(Sheet2!$AA$2:$AS$228,QUOTIENT(ROW()-1,19)+1,MOD(ROW()-2,19)+1)</f>
        <v>42724.962500000001</v>
      </c>
      <c r="DL3023">
        <f>IFERROR(INDEX(Sheet2!$AU$2:$BM$228,QUOTIENT(ROW()-1,19)+1,MOD(ROW()-2,19)+1),NA())</f>
        <v>1.5</v>
      </c>
      <c r="DM3023" s="4" t="e">
        <f t="shared" si="162"/>
        <v>#N/A</v>
      </c>
      <c r="DN3023" t="e">
        <f t="shared" si="163"/>
        <v>#N/A</v>
      </c>
      <c r="DO3023" t="e">
        <f t="shared" si="164"/>
        <v>#N/A</v>
      </c>
    </row>
    <row r="3024" spans="7:119" x14ac:dyDescent="0.25">
      <c r="G3024"/>
      <c r="DI3024" s="4">
        <f>INDEX(Sheet2!A:A,QUOTIENT(ROW()-1,19)+2)</f>
        <v>41626</v>
      </c>
      <c r="DJ3024" s="4">
        <f>INDEX(Sheet2!C:C,QUOTIENT(ROW()-1,19)+2)</f>
        <v>42735</v>
      </c>
      <c r="DK3024" s="4">
        <f>INDEX(Sheet2!$AA$2:$AS$228,QUOTIENT(ROW()-1,19)+1,MOD(ROW()-2,19)+1)</f>
        <v>42745.037500000006</v>
      </c>
      <c r="DL3024">
        <f>IFERROR(INDEX(Sheet2!$AU$2:$BM$228,QUOTIENT(ROW()-1,19)+1,MOD(ROW()-2,19)+1),NA())</f>
        <v>1.5</v>
      </c>
      <c r="DM3024" s="4" t="e">
        <f t="shared" si="162"/>
        <v>#N/A</v>
      </c>
      <c r="DN3024" t="e">
        <f t="shared" si="163"/>
        <v>#N/A</v>
      </c>
      <c r="DO3024" t="e">
        <f t="shared" si="164"/>
        <v>#N/A</v>
      </c>
    </row>
    <row r="3025" spans="7:119" x14ac:dyDescent="0.25">
      <c r="G3025"/>
      <c r="DI3025" s="4">
        <f>INDEX(Sheet2!A:A,QUOTIENT(ROW()-1,19)+2)</f>
        <v>41626</v>
      </c>
      <c r="DJ3025" s="4">
        <f>INDEX(Sheet2!C:C,QUOTIENT(ROW()-1,19)+2)</f>
        <v>42735</v>
      </c>
      <c r="DK3025" s="4" t="e">
        <f>INDEX(Sheet2!$AA$2:$AS$228,QUOTIENT(ROW()-1,19)+1,MOD(ROW()-2,19)+1)</f>
        <v>#N/A</v>
      </c>
      <c r="DL3025" t="str">
        <f>IFERROR(INDEX(Sheet2!$AU$2:$BM$228,QUOTIENT(ROW()-1,19)+1,MOD(ROW()-2,19)+1),NA())</f>
        <v/>
      </c>
      <c r="DM3025" s="4" t="e">
        <f t="shared" si="162"/>
        <v>#N/A</v>
      </c>
      <c r="DN3025" t="e">
        <f t="shared" si="163"/>
        <v>#N/A</v>
      </c>
      <c r="DO3025" t="e">
        <f t="shared" si="164"/>
        <v>#N/A</v>
      </c>
    </row>
    <row r="3026" spans="7:119" x14ac:dyDescent="0.25">
      <c r="G3026"/>
      <c r="DI3026" s="4">
        <f>INDEX(Sheet2!A:A,QUOTIENT(ROW()-1,19)+2)</f>
        <v>41626</v>
      </c>
      <c r="DJ3026" s="4">
        <f>INDEX(Sheet2!C:C,QUOTIENT(ROW()-1,19)+2)</f>
        <v>42735</v>
      </c>
      <c r="DK3026" s="4" t="e">
        <f>INDEX(Sheet2!$AA$2:$AS$228,QUOTIENT(ROW()-1,19)+1,MOD(ROW()-2,19)+1)</f>
        <v>#N/A</v>
      </c>
      <c r="DL3026" t="str">
        <f>IFERROR(INDEX(Sheet2!$AU$2:$BM$228,QUOTIENT(ROW()-1,19)+1,MOD(ROW()-2,19)+1),NA())</f>
        <v/>
      </c>
      <c r="DM3026" s="4" t="e">
        <f t="shared" si="162"/>
        <v>#N/A</v>
      </c>
      <c r="DN3026" t="e">
        <f t="shared" si="163"/>
        <v>#N/A</v>
      </c>
      <c r="DO3026" t="e">
        <f t="shared" si="164"/>
        <v>#N/A</v>
      </c>
    </row>
    <row r="3027" spans="7:119" x14ac:dyDescent="0.25">
      <c r="G3027"/>
      <c r="DI3027" s="4">
        <f>INDEX(Sheet2!A:A,QUOTIENT(ROW()-1,19)+2)</f>
        <v>41626</v>
      </c>
      <c r="DJ3027" s="4">
        <f>INDEX(Sheet2!C:C,QUOTIENT(ROW()-1,19)+2)</f>
        <v>42735</v>
      </c>
      <c r="DK3027" s="4" t="e">
        <f>INDEX(Sheet2!$AA$2:$AS$228,QUOTIENT(ROW()-1,19)+1,MOD(ROW()-2,19)+1)</f>
        <v>#N/A</v>
      </c>
      <c r="DL3027" t="str">
        <f>IFERROR(INDEX(Sheet2!$AU$2:$BM$228,QUOTIENT(ROW()-1,19)+1,MOD(ROW()-2,19)+1),NA())</f>
        <v/>
      </c>
      <c r="DM3027" s="4" t="e">
        <f t="shared" si="162"/>
        <v>#N/A</v>
      </c>
      <c r="DN3027" t="e">
        <f t="shared" si="163"/>
        <v>#N/A</v>
      </c>
      <c r="DO3027" t="e">
        <f t="shared" si="164"/>
        <v>#N/A</v>
      </c>
    </row>
    <row r="3028" spans="7:119" x14ac:dyDescent="0.25">
      <c r="G3028"/>
      <c r="DI3028" s="4">
        <f>INDEX(Sheet2!A:A,QUOTIENT(ROW()-1,19)+2)</f>
        <v>41626</v>
      </c>
      <c r="DJ3028" s="4">
        <f>INDEX(Sheet2!C:C,QUOTIENT(ROW()-1,19)+2)</f>
        <v>42735</v>
      </c>
      <c r="DK3028" s="4" t="e">
        <f>INDEX(Sheet2!$AA$2:$AS$228,QUOTIENT(ROW()-1,19)+1,MOD(ROW()-2,19)+1)</f>
        <v>#N/A</v>
      </c>
      <c r="DL3028" t="str">
        <f>IFERROR(INDEX(Sheet2!$AU$2:$BM$228,QUOTIENT(ROW()-1,19)+1,MOD(ROW()-2,19)+1),NA())</f>
        <v/>
      </c>
      <c r="DM3028" s="4" t="e">
        <f t="shared" si="162"/>
        <v>#N/A</v>
      </c>
      <c r="DN3028" t="e">
        <f t="shared" si="163"/>
        <v>#N/A</v>
      </c>
      <c r="DO3028" t="e">
        <f t="shared" si="164"/>
        <v>#N/A</v>
      </c>
    </row>
    <row r="3029" spans="7:119" x14ac:dyDescent="0.25">
      <c r="G3029"/>
      <c r="DI3029" s="4">
        <f>INDEX(Sheet2!A:A,QUOTIENT(ROW()-1,19)+2)</f>
        <v>41626</v>
      </c>
      <c r="DJ3029" s="4">
        <f>INDEX(Sheet2!C:C,QUOTIENT(ROW()-1,19)+2)</f>
        <v>42735</v>
      </c>
      <c r="DK3029" s="4" t="e">
        <f>INDEX(Sheet2!$AA$2:$AS$228,QUOTIENT(ROW()-1,19)+1,MOD(ROW()-2,19)+1)</f>
        <v>#N/A</v>
      </c>
      <c r="DL3029" t="str">
        <f>IFERROR(INDEX(Sheet2!$AU$2:$BM$228,QUOTIENT(ROW()-1,19)+1,MOD(ROW()-2,19)+1),NA())</f>
        <v/>
      </c>
      <c r="DM3029" s="4" t="e">
        <f t="shared" si="162"/>
        <v>#N/A</v>
      </c>
      <c r="DN3029" t="e">
        <f t="shared" si="163"/>
        <v>#N/A</v>
      </c>
      <c r="DO3029" t="e">
        <f t="shared" si="164"/>
        <v>#N/A</v>
      </c>
    </row>
    <row r="3030" spans="7:119" x14ac:dyDescent="0.25">
      <c r="G3030"/>
      <c r="DI3030" s="4">
        <f>INDEX(Sheet2!A:A,QUOTIENT(ROW()-1,19)+2)</f>
        <v>41626</v>
      </c>
      <c r="DJ3030" s="4">
        <f>INDEX(Sheet2!C:C,QUOTIENT(ROW()-1,19)+2)</f>
        <v>42735</v>
      </c>
      <c r="DK3030" s="4" t="e">
        <f>INDEX(Sheet2!$AA$2:$AS$228,QUOTIENT(ROW()-1,19)+1,MOD(ROW()-2,19)+1)</f>
        <v>#N/A</v>
      </c>
      <c r="DL3030" t="str">
        <f>IFERROR(INDEX(Sheet2!$AU$2:$BM$228,QUOTIENT(ROW()-1,19)+1,MOD(ROW()-2,19)+1),NA())</f>
        <v/>
      </c>
      <c r="DM3030" s="4" t="e">
        <f t="shared" si="162"/>
        <v>#N/A</v>
      </c>
      <c r="DN3030" t="e">
        <f t="shared" si="163"/>
        <v>#N/A</v>
      </c>
      <c r="DO3030" t="e">
        <f t="shared" si="164"/>
        <v>#N/A</v>
      </c>
    </row>
    <row r="3031" spans="7:119" x14ac:dyDescent="0.25">
      <c r="G3031"/>
      <c r="DI3031" s="4">
        <f>INDEX(Sheet2!A:A,QUOTIENT(ROW()-1,19)+2)</f>
        <v>41626</v>
      </c>
      <c r="DJ3031" s="4">
        <f>INDEX(Sheet2!C:C,QUOTIENT(ROW()-1,19)+2)</f>
        <v>42735</v>
      </c>
      <c r="DK3031" s="4" t="e">
        <f>INDEX(Sheet2!$AA$2:$AS$228,QUOTIENT(ROW()-1,19)+1,MOD(ROW()-2,19)+1)</f>
        <v>#N/A</v>
      </c>
      <c r="DL3031" t="str">
        <f>IFERROR(INDEX(Sheet2!$AU$2:$BM$228,QUOTIENT(ROW()-1,19)+1,MOD(ROW()-2,19)+1),NA())</f>
        <v/>
      </c>
      <c r="DM3031" s="4" t="e">
        <f t="shared" si="162"/>
        <v>#N/A</v>
      </c>
      <c r="DN3031" t="e">
        <f t="shared" si="163"/>
        <v>#N/A</v>
      </c>
      <c r="DO3031" t="e">
        <f t="shared" si="164"/>
        <v>#N/A</v>
      </c>
    </row>
    <row r="3032" spans="7:119" x14ac:dyDescent="0.25">
      <c r="G3032"/>
      <c r="DI3032" s="4">
        <f>INDEX(Sheet2!A:A,QUOTIENT(ROW()-1,19)+2)</f>
        <v>41626</v>
      </c>
      <c r="DJ3032" s="4">
        <f>INDEX(Sheet2!C:C,QUOTIENT(ROW()-1,19)+2)</f>
        <v>42735</v>
      </c>
      <c r="DK3032" s="4" t="e">
        <f>INDEX(Sheet2!$AA$2:$AS$228,QUOTIENT(ROW()-1,19)+1,MOD(ROW()-2,19)+1)</f>
        <v>#N/A</v>
      </c>
      <c r="DL3032" t="str">
        <f>IFERROR(INDEX(Sheet2!$AU$2:$BM$228,QUOTIENT(ROW()-1,19)+1,MOD(ROW()-2,19)+1),NA())</f>
        <v/>
      </c>
      <c r="DM3032" s="4" t="e">
        <f t="shared" si="162"/>
        <v>#N/A</v>
      </c>
      <c r="DN3032" t="e">
        <f t="shared" si="163"/>
        <v>#N/A</v>
      </c>
      <c r="DO3032" t="e">
        <f t="shared" si="164"/>
        <v>#N/A</v>
      </c>
    </row>
    <row r="3033" spans="7:119" x14ac:dyDescent="0.25">
      <c r="G3033"/>
      <c r="DI3033" s="4">
        <f>INDEX(Sheet2!A:A,QUOTIENT(ROW()-1,19)+2)</f>
        <v>41626</v>
      </c>
      <c r="DJ3033" s="4">
        <f>INDEX(Sheet2!C:C,QUOTIENT(ROW()-1,19)+2)</f>
        <v>42735</v>
      </c>
      <c r="DK3033" s="4" t="e">
        <f>INDEX(Sheet2!$AA$2:$AS$228,QUOTIENT(ROW()-1,19)+1,MOD(ROW()-2,19)+1)</f>
        <v>#N/A</v>
      </c>
      <c r="DL3033" t="str">
        <f>IFERROR(INDEX(Sheet2!$AU$2:$BM$228,QUOTIENT(ROW()-1,19)+1,MOD(ROW()-2,19)+1),NA())</f>
        <v/>
      </c>
      <c r="DM3033" s="4" t="e">
        <f t="shared" si="162"/>
        <v>#N/A</v>
      </c>
      <c r="DN3033" t="e">
        <f t="shared" si="163"/>
        <v>#N/A</v>
      </c>
      <c r="DO3033" t="e">
        <f t="shared" si="164"/>
        <v>#N/A</v>
      </c>
    </row>
    <row r="3034" spans="7:119" x14ac:dyDescent="0.25">
      <c r="G3034"/>
      <c r="DI3034" s="4">
        <f>INDEX(Sheet2!A:A,QUOTIENT(ROW()-1,19)+2)</f>
        <v>41626</v>
      </c>
      <c r="DJ3034" s="4">
        <f>INDEX(Sheet2!C:C,QUOTIENT(ROW()-1,19)+2)</f>
        <v>42735</v>
      </c>
      <c r="DK3034" s="4" t="e">
        <f>INDEX(Sheet2!$AA$2:$AS$228,QUOTIENT(ROW()-1,19)+1,MOD(ROW()-2,19)+1)</f>
        <v>#N/A</v>
      </c>
      <c r="DL3034" t="str">
        <f>IFERROR(INDEX(Sheet2!$AU$2:$BM$228,QUOTIENT(ROW()-1,19)+1,MOD(ROW()-2,19)+1),NA())</f>
        <v/>
      </c>
      <c r="DM3034" s="4" t="e">
        <f t="shared" si="162"/>
        <v>#N/A</v>
      </c>
      <c r="DN3034" t="e">
        <f t="shared" si="163"/>
        <v>#N/A</v>
      </c>
      <c r="DO3034" t="e">
        <f t="shared" si="164"/>
        <v>#N/A</v>
      </c>
    </row>
    <row r="3035" spans="7:119" x14ac:dyDescent="0.25">
      <c r="G3035"/>
      <c r="DI3035" s="4">
        <f>INDEX(Sheet2!A:A,QUOTIENT(ROW()-1,19)+2)</f>
        <v>41626</v>
      </c>
      <c r="DJ3035" s="4">
        <f>INDEX(Sheet2!C:C,QUOTIENT(ROW()-1,19)+2)</f>
        <v>42735</v>
      </c>
      <c r="DK3035" s="4" t="e">
        <f>INDEX(Sheet2!$AA$2:$AS$228,QUOTIENT(ROW()-1,19)+1,MOD(ROW()-2,19)+1)</f>
        <v>#N/A</v>
      </c>
      <c r="DL3035" t="str">
        <f>IFERROR(INDEX(Sheet2!$AU$2:$BM$228,QUOTIENT(ROW()-1,19)+1,MOD(ROW()-2,19)+1),NA())</f>
        <v/>
      </c>
      <c r="DM3035" s="4" t="e">
        <f t="shared" si="162"/>
        <v>#N/A</v>
      </c>
      <c r="DN3035" t="e">
        <f t="shared" si="163"/>
        <v>#N/A</v>
      </c>
      <c r="DO3035" t="e">
        <f t="shared" si="164"/>
        <v>#N/A</v>
      </c>
    </row>
    <row r="3036" spans="7:119" x14ac:dyDescent="0.25">
      <c r="G3036"/>
      <c r="DI3036" s="4">
        <f>INDEX(Sheet2!A:A,QUOTIENT(ROW()-1,19)+2)</f>
        <v>41626</v>
      </c>
      <c r="DJ3036" s="4">
        <f>INDEX(Sheet2!C:C,QUOTIENT(ROW()-1,19)+2)</f>
        <v>42735</v>
      </c>
      <c r="DK3036" s="4" t="e">
        <f>INDEX(Sheet2!$AA$2:$AS$228,QUOTIENT(ROW()-1,19)+1,MOD(ROW()-2,19)+1)</f>
        <v>#N/A</v>
      </c>
      <c r="DL3036" t="str">
        <f>IFERROR(INDEX(Sheet2!$AU$2:$BM$228,QUOTIENT(ROW()-1,19)+1,MOD(ROW()-2,19)+1),NA())</f>
        <v/>
      </c>
      <c r="DM3036" s="4" t="e">
        <f t="shared" si="162"/>
        <v>#N/A</v>
      </c>
      <c r="DN3036" t="e">
        <f t="shared" si="163"/>
        <v>#N/A</v>
      </c>
      <c r="DO3036" t="e">
        <f t="shared" si="164"/>
        <v>#N/A</v>
      </c>
    </row>
    <row r="3037" spans="7:119" x14ac:dyDescent="0.25">
      <c r="G3037"/>
      <c r="DI3037" s="4">
        <f>INDEX(Sheet2!A:A,QUOTIENT(ROW()-1,19)+2)</f>
        <v>41626</v>
      </c>
      <c r="DJ3037" s="4">
        <f>INDEX(Sheet2!C:C,QUOTIENT(ROW()-1,19)+2)</f>
        <v>42735</v>
      </c>
      <c r="DK3037" s="4" t="e">
        <f>INDEX(Sheet2!$AA$2:$AS$228,QUOTIENT(ROW()-1,19)+1,MOD(ROW()-2,19)+1)</f>
        <v>#N/A</v>
      </c>
      <c r="DL3037" t="str">
        <f>IFERROR(INDEX(Sheet2!$AU$2:$BM$228,QUOTIENT(ROW()-1,19)+1,MOD(ROW()-2,19)+1),NA())</f>
        <v/>
      </c>
      <c r="DM3037" s="4" t="e">
        <f t="shared" si="162"/>
        <v>#N/A</v>
      </c>
      <c r="DN3037" t="e">
        <f t="shared" si="163"/>
        <v>#N/A</v>
      </c>
      <c r="DO3037" t="e">
        <f t="shared" si="164"/>
        <v>#N/A</v>
      </c>
    </row>
    <row r="3038" spans="7:119" x14ac:dyDescent="0.25">
      <c r="G3038"/>
      <c r="DI3038" s="4">
        <f>INDEX(Sheet2!A:A,QUOTIENT(ROW()-1,19)+2)</f>
        <v>41626</v>
      </c>
      <c r="DJ3038" s="4">
        <f>INDEX(Sheet2!C:C,QUOTIENT(ROW()-1,19)+2)</f>
        <v>42735</v>
      </c>
      <c r="DK3038" s="4" t="e">
        <f>INDEX(Sheet2!$AA$2:$AS$228,QUOTIENT(ROW()-1,19)+1,MOD(ROW()-2,19)+1)</f>
        <v>#N/A</v>
      </c>
      <c r="DL3038" t="str">
        <f>IFERROR(INDEX(Sheet2!$AU$2:$BM$228,QUOTIENT(ROW()-1,19)+1,MOD(ROW()-2,19)+1),NA())</f>
        <v/>
      </c>
      <c r="DM3038" s="4" t="e">
        <f t="shared" si="162"/>
        <v>#N/A</v>
      </c>
      <c r="DN3038" t="e">
        <f t="shared" si="163"/>
        <v>#N/A</v>
      </c>
      <c r="DO3038" t="e">
        <f t="shared" si="164"/>
        <v>#N/A</v>
      </c>
    </row>
    <row r="3039" spans="7:119" x14ac:dyDescent="0.25">
      <c r="G3039"/>
      <c r="DI3039" s="4">
        <f>INDEX(Sheet2!A:A,QUOTIENT(ROW()-1,19)+2)</f>
        <v>41626</v>
      </c>
      <c r="DJ3039" s="4">
        <f>INDEX(Sheet2!C:C,QUOTIENT(ROW()-1,19)+2)</f>
        <v>42735</v>
      </c>
      <c r="DK3039" s="4" t="e">
        <f>INDEX(Sheet2!$AA$2:$AS$228,QUOTIENT(ROW()-1,19)+1,MOD(ROW()-2,19)+1)</f>
        <v>#N/A</v>
      </c>
      <c r="DL3039" t="str">
        <f>IFERROR(INDEX(Sheet2!$AU$2:$BM$228,QUOTIENT(ROW()-1,19)+1,MOD(ROW()-2,19)+1),NA())</f>
        <v/>
      </c>
      <c r="DM3039" s="4" t="e">
        <f t="shared" si="162"/>
        <v>#N/A</v>
      </c>
      <c r="DN3039" t="e">
        <f t="shared" si="163"/>
        <v>#N/A</v>
      </c>
      <c r="DO3039" t="e">
        <f t="shared" si="164"/>
        <v>#N/A</v>
      </c>
    </row>
    <row r="3040" spans="7:119" x14ac:dyDescent="0.25">
      <c r="G3040"/>
      <c r="DI3040" s="4">
        <f>INDEX(Sheet2!A:A,QUOTIENT(ROW()-1,19)+2)</f>
        <v>41626</v>
      </c>
      <c r="DJ3040" s="4">
        <f>INDEX(Sheet2!C:C,QUOTIENT(ROW()-1,19)+2)</f>
        <v>42735</v>
      </c>
      <c r="DK3040" s="4" t="e">
        <f>INDEX(Sheet2!$AA$2:$AS$228,QUOTIENT(ROW()-1,19)+1,MOD(ROW()-2,19)+1)</f>
        <v>#N/A</v>
      </c>
      <c r="DL3040" t="str">
        <f>IFERROR(INDEX(Sheet2!$AU$2:$BM$228,QUOTIENT(ROW()-1,19)+1,MOD(ROW()-2,19)+1),NA())</f>
        <v/>
      </c>
      <c r="DM3040" s="4" t="e">
        <f t="shared" si="162"/>
        <v>#N/A</v>
      </c>
      <c r="DN3040" t="e">
        <f t="shared" si="163"/>
        <v>#N/A</v>
      </c>
      <c r="DO3040" t="e">
        <f t="shared" si="164"/>
        <v>#N/A</v>
      </c>
    </row>
    <row r="3041" spans="7:119" x14ac:dyDescent="0.25">
      <c r="G3041"/>
      <c r="DI3041" s="4">
        <f>INDEX(Sheet2!A:A,QUOTIENT(ROW()-1,19)+2)</f>
        <v>41626</v>
      </c>
      <c r="DJ3041" s="4">
        <f>INDEX(Sheet2!C:C,QUOTIENT(ROW()-1,19)+2)</f>
        <v>42735</v>
      </c>
      <c r="DK3041" s="4" t="e">
        <f>INDEX(Sheet2!$AA$2:$AS$228,QUOTIENT(ROW()-1,19)+1,MOD(ROW()-2,19)+1)</f>
        <v>#N/A</v>
      </c>
      <c r="DL3041" t="str">
        <f>IFERROR(INDEX(Sheet2!$AU$2:$BM$228,QUOTIENT(ROW()-1,19)+1,MOD(ROW()-2,19)+1),NA())</f>
        <v/>
      </c>
      <c r="DM3041" s="4" t="e">
        <f t="shared" si="162"/>
        <v>#N/A</v>
      </c>
      <c r="DN3041" t="e">
        <f t="shared" si="163"/>
        <v>#N/A</v>
      </c>
      <c r="DO3041" t="e">
        <f t="shared" si="164"/>
        <v>#N/A</v>
      </c>
    </row>
    <row r="3042" spans="7:119" x14ac:dyDescent="0.25">
      <c r="G3042"/>
      <c r="DI3042" s="4">
        <f>INDEX(Sheet2!A:A,QUOTIENT(ROW()-1,19)+2)</f>
        <v>41626</v>
      </c>
      <c r="DJ3042" s="4">
        <f>INDEX(Sheet2!C:C,QUOTIENT(ROW()-1,19)+2)</f>
        <v>42735</v>
      </c>
      <c r="DK3042" s="4">
        <f>INDEX(Sheet2!$AA$2:$AS$228,QUOTIENT(ROW()-1,19)+1,MOD(ROW()-2,19)+1)</f>
        <v>42704.887499999997</v>
      </c>
      <c r="DL3042">
        <f>IFERROR(INDEX(Sheet2!$AU$2:$BM$228,QUOTIENT(ROW()-1,19)+1,MOD(ROW()-2,19)+1),NA())</f>
        <v>1.75</v>
      </c>
      <c r="DM3042" s="4" t="e">
        <f t="shared" si="162"/>
        <v>#N/A</v>
      </c>
      <c r="DN3042" t="e">
        <f t="shared" si="163"/>
        <v>#N/A</v>
      </c>
      <c r="DO3042" t="e">
        <f t="shared" si="164"/>
        <v>#N/A</v>
      </c>
    </row>
    <row r="3043" spans="7:119" x14ac:dyDescent="0.25">
      <c r="G3043"/>
      <c r="DI3043" s="4">
        <f>INDEX(Sheet2!A:A,QUOTIENT(ROW()-1,19)+2)</f>
        <v>41626</v>
      </c>
      <c r="DJ3043" s="4">
        <f>INDEX(Sheet2!C:C,QUOTIENT(ROW()-1,19)+2)</f>
        <v>42735</v>
      </c>
      <c r="DK3043" s="4">
        <f>INDEX(Sheet2!$AA$2:$AS$228,QUOTIENT(ROW()-1,19)+1,MOD(ROW()-2,19)+1)</f>
        <v>42724.962500000001</v>
      </c>
      <c r="DL3043">
        <f>IFERROR(INDEX(Sheet2!$AU$2:$BM$228,QUOTIENT(ROW()-1,19)+1,MOD(ROW()-2,19)+1),NA())</f>
        <v>1.75</v>
      </c>
      <c r="DM3043" s="4" t="e">
        <f t="shared" si="162"/>
        <v>#N/A</v>
      </c>
      <c r="DN3043" t="e">
        <f t="shared" si="163"/>
        <v>#N/A</v>
      </c>
      <c r="DO3043" t="e">
        <f t="shared" si="164"/>
        <v>#N/A</v>
      </c>
    </row>
    <row r="3044" spans="7:119" x14ac:dyDescent="0.25">
      <c r="G3044"/>
      <c r="DI3044" s="4">
        <f>INDEX(Sheet2!A:A,QUOTIENT(ROW()-1,19)+2)</f>
        <v>41626</v>
      </c>
      <c r="DJ3044" s="4">
        <f>INDEX(Sheet2!C:C,QUOTIENT(ROW()-1,19)+2)</f>
        <v>42735</v>
      </c>
      <c r="DK3044" s="4">
        <f>INDEX(Sheet2!$AA$2:$AS$228,QUOTIENT(ROW()-1,19)+1,MOD(ROW()-2,19)+1)</f>
        <v>42745.037499999999</v>
      </c>
      <c r="DL3044">
        <f>IFERROR(INDEX(Sheet2!$AU$2:$BM$228,QUOTIENT(ROW()-1,19)+1,MOD(ROW()-2,19)+1),NA())</f>
        <v>1.75</v>
      </c>
      <c r="DM3044" s="4" t="e">
        <f t="shared" si="162"/>
        <v>#N/A</v>
      </c>
      <c r="DN3044" t="e">
        <f t="shared" si="163"/>
        <v>#N/A</v>
      </c>
      <c r="DO3044" t="e">
        <f t="shared" si="164"/>
        <v>#N/A</v>
      </c>
    </row>
    <row r="3045" spans="7:119" x14ac:dyDescent="0.25">
      <c r="G3045"/>
      <c r="DI3045" s="4">
        <f>INDEX(Sheet2!A:A,QUOTIENT(ROW()-1,19)+2)</f>
        <v>41626</v>
      </c>
      <c r="DJ3045" s="4">
        <f>INDEX(Sheet2!C:C,QUOTIENT(ROW()-1,19)+2)</f>
        <v>42735</v>
      </c>
      <c r="DK3045" s="4">
        <f>INDEX(Sheet2!$AA$2:$AS$228,QUOTIENT(ROW()-1,19)+1,MOD(ROW()-2,19)+1)</f>
        <v>42765.112500000003</v>
      </c>
      <c r="DL3045">
        <f>IFERROR(INDEX(Sheet2!$AU$2:$BM$228,QUOTIENT(ROW()-1,19)+1,MOD(ROW()-2,19)+1),NA())</f>
        <v>1.75</v>
      </c>
      <c r="DM3045" s="4" t="e">
        <f t="shared" si="162"/>
        <v>#N/A</v>
      </c>
      <c r="DN3045" t="e">
        <f t="shared" si="163"/>
        <v>#N/A</v>
      </c>
      <c r="DO3045" t="e">
        <f t="shared" si="164"/>
        <v>#N/A</v>
      </c>
    </row>
    <row r="3046" spans="7:119" x14ac:dyDescent="0.25">
      <c r="G3046"/>
      <c r="DI3046" s="4">
        <f>INDEX(Sheet2!A:A,QUOTIENT(ROW()-1,19)+2)</f>
        <v>41626</v>
      </c>
      <c r="DJ3046" s="4">
        <f>INDEX(Sheet2!C:C,QUOTIENT(ROW()-1,19)+2)</f>
        <v>42735</v>
      </c>
      <c r="DK3046" s="4" t="e">
        <f>INDEX(Sheet2!$AA$2:$AS$228,QUOTIENT(ROW()-1,19)+1,MOD(ROW()-2,19)+1)</f>
        <v>#N/A</v>
      </c>
      <c r="DL3046" t="str">
        <f>IFERROR(INDEX(Sheet2!$AU$2:$BM$228,QUOTIENT(ROW()-1,19)+1,MOD(ROW()-2,19)+1),NA())</f>
        <v/>
      </c>
      <c r="DM3046" s="4" t="e">
        <f t="shared" si="162"/>
        <v>#N/A</v>
      </c>
      <c r="DN3046" t="e">
        <f t="shared" si="163"/>
        <v>#N/A</v>
      </c>
      <c r="DO3046" t="e">
        <f t="shared" si="164"/>
        <v>#N/A</v>
      </c>
    </row>
    <row r="3047" spans="7:119" x14ac:dyDescent="0.25">
      <c r="G3047"/>
      <c r="DI3047" s="4">
        <f>INDEX(Sheet2!A:A,QUOTIENT(ROW()-1,19)+2)</f>
        <v>41626</v>
      </c>
      <c r="DJ3047" s="4">
        <f>INDEX(Sheet2!C:C,QUOTIENT(ROW()-1,19)+2)</f>
        <v>42735</v>
      </c>
      <c r="DK3047" s="4" t="e">
        <f>INDEX(Sheet2!$AA$2:$AS$228,QUOTIENT(ROW()-1,19)+1,MOD(ROW()-2,19)+1)</f>
        <v>#N/A</v>
      </c>
      <c r="DL3047" t="str">
        <f>IFERROR(INDEX(Sheet2!$AU$2:$BM$228,QUOTIENT(ROW()-1,19)+1,MOD(ROW()-2,19)+1),NA())</f>
        <v/>
      </c>
      <c r="DM3047" s="4" t="e">
        <f t="shared" si="162"/>
        <v>#N/A</v>
      </c>
      <c r="DN3047" t="e">
        <f t="shared" si="163"/>
        <v>#N/A</v>
      </c>
      <c r="DO3047" t="e">
        <f t="shared" si="164"/>
        <v>#N/A</v>
      </c>
    </row>
    <row r="3048" spans="7:119" x14ac:dyDescent="0.25">
      <c r="G3048"/>
      <c r="DI3048" s="4">
        <f>INDEX(Sheet2!A:A,QUOTIENT(ROW()-1,19)+2)</f>
        <v>41626</v>
      </c>
      <c r="DJ3048" s="4">
        <f>INDEX(Sheet2!C:C,QUOTIENT(ROW()-1,19)+2)</f>
        <v>42735</v>
      </c>
      <c r="DK3048" s="4" t="e">
        <f>INDEX(Sheet2!$AA$2:$AS$228,QUOTIENT(ROW()-1,19)+1,MOD(ROW()-2,19)+1)</f>
        <v>#N/A</v>
      </c>
      <c r="DL3048" t="str">
        <f>IFERROR(INDEX(Sheet2!$AU$2:$BM$228,QUOTIENT(ROW()-1,19)+1,MOD(ROW()-2,19)+1),NA())</f>
        <v/>
      </c>
      <c r="DM3048" s="4" t="e">
        <f t="shared" si="162"/>
        <v>#N/A</v>
      </c>
      <c r="DN3048" t="e">
        <f t="shared" si="163"/>
        <v>#N/A</v>
      </c>
      <c r="DO3048" t="e">
        <f t="shared" si="164"/>
        <v>#N/A</v>
      </c>
    </row>
    <row r="3049" spans="7:119" x14ac:dyDescent="0.25">
      <c r="G3049"/>
      <c r="DI3049" s="4">
        <f>INDEX(Sheet2!A:A,QUOTIENT(ROW()-1,19)+2)</f>
        <v>41626</v>
      </c>
      <c r="DJ3049" s="4">
        <f>INDEX(Sheet2!C:C,QUOTIENT(ROW()-1,19)+2)</f>
        <v>42735</v>
      </c>
      <c r="DK3049" s="4" t="e">
        <f>INDEX(Sheet2!$AA$2:$AS$228,QUOTIENT(ROW()-1,19)+1,MOD(ROW()-2,19)+1)</f>
        <v>#N/A</v>
      </c>
      <c r="DL3049" t="str">
        <f>IFERROR(INDEX(Sheet2!$AU$2:$BM$228,QUOTIENT(ROW()-1,19)+1,MOD(ROW()-2,19)+1),NA())</f>
        <v/>
      </c>
      <c r="DM3049" s="4" t="e">
        <f t="shared" si="162"/>
        <v>#N/A</v>
      </c>
      <c r="DN3049" t="e">
        <f t="shared" si="163"/>
        <v>#N/A</v>
      </c>
      <c r="DO3049" t="e">
        <f t="shared" si="164"/>
        <v>#N/A</v>
      </c>
    </row>
    <row r="3050" spans="7:119" x14ac:dyDescent="0.25">
      <c r="G3050"/>
      <c r="DI3050" s="4">
        <f>INDEX(Sheet2!A:A,QUOTIENT(ROW()-1,19)+2)</f>
        <v>41626</v>
      </c>
      <c r="DJ3050" s="4">
        <f>INDEX(Sheet2!C:C,QUOTIENT(ROW()-1,19)+2)</f>
        <v>42735</v>
      </c>
      <c r="DK3050" s="4" t="e">
        <f>INDEX(Sheet2!$AA$2:$AS$228,QUOTIENT(ROW()-1,19)+1,MOD(ROW()-2,19)+1)</f>
        <v>#N/A</v>
      </c>
      <c r="DL3050" t="str">
        <f>IFERROR(INDEX(Sheet2!$AU$2:$BM$228,QUOTIENT(ROW()-1,19)+1,MOD(ROW()-2,19)+1),NA())</f>
        <v/>
      </c>
      <c r="DM3050" s="4" t="e">
        <f t="shared" si="162"/>
        <v>#N/A</v>
      </c>
      <c r="DN3050" t="e">
        <f t="shared" si="163"/>
        <v>#N/A</v>
      </c>
      <c r="DO3050" t="e">
        <f t="shared" si="164"/>
        <v>#N/A</v>
      </c>
    </row>
    <row r="3051" spans="7:119" x14ac:dyDescent="0.25">
      <c r="G3051"/>
      <c r="DI3051" s="4">
        <f>INDEX(Sheet2!A:A,QUOTIENT(ROW()-1,19)+2)</f>
        <v>41626</v>
      </c>
      <c r="DJ3051" s="4">
        <f>INDEX(Sheet2!C:C,QUOTIENT(ROW()-1,19)+2)</f>
        <v>42735</v>
      </c>
      <c r="DK3051" s="4" t="e">
        <f>INDEX(Sheet2!$AA$2:$AS$228,QUOTIENT(ROW()-1,19)+1,MOD(ROW()-2,19)+1)</f>
        <v>#N/A</v>
      </c>
      <c r="DL3051" t="str">
        <f>IFERROR(INDEX(Sheet2!$AU$2:$BM$228,QUOTIENT(ROW()-1,19)+1,MOD(ROW()-2,19)+1),NA())</f>
        <v/>
      </c>
      <c r="DM3051" s="4" t="e">
        <f t="shared" si="162"/>
        <v>#N/A</v>
      </c>
      <c r="DN3051" t="e">
        <f t="shared" si="163"/>
        <v>#N/A</v>
      </c>
      <c r="DO3051" t="e">
        <f t="shared" si="164"/>
        <v>#N/A</v>
      </c>
    </row>
    <row r="3052" spans="7:119" x14ac:dyDescent="0.25">
      <c r="G3052"/>
      <c r="DI3052" s="4">
        <f>INDEX(Sheet2!A:A,QUOTIENT(ROW()-1,19)+2)</f>
        <v>41626</v>
      </c>
      <c r="DJ3052" s="4">
        <f>INDEX(Sheet2!C:C,QUOTIENT(ROW()-1,19)+2)</f>
        <v>42735</v>
      </c>
      <c r="DK3052" s="4" t="e">
        <f>INDEX(Sheet2!$AA$2:$AS$228,QUOTIENT(ROW()-1,19)+1,MOD(ROW()-2,19)+1)</f>
        <v>#N/A</v>
      </c>
      <c r="DL3052" t="str">
        <f>IFERROR(INDEX(Sheet2!$AU$2:$BM$228,QUOTIENT(ROW()-1,19)+1,MOD(ROW()-2,19)+1),NA())</f>
        <v/>
      </c>
      <c r="DM3052" s="4" t="e">
        <f t="shared" si="162"/>
        <v>#N/A</v>
      </c>
      <c r="DN3052" t="e">
        <f t="shared" si="163"/>
        <v>#N/A</v>
      </c>
      <c r="DO3052" t="e">
        <f t="shared" si="164"/>
        <v>#N/A</v>
      </c>
    </row>
    <row r="3053" spans="7:119" x14ac:dyDescent="0.25">
      <c r="G3053"/>
      <c r="DI3053" s="4">
        <f>INDEX(Sheet2!A:A,QUOTIENT(ROW()-1,19)+2)</f>
        <v>41626</v>
      </c>
      <c r="DJ3053" s="4">
        <f>INDEX(Sheet2!C:C,QUOTIENT(ROW()-1,19)+2)</f>
        <v>42735</v>
      </c>
      <c r="DK3053" s="4" t="e">
        <f>INDEX(Sheet2!$AA$2:$AS$228,QUOTIENT(ROW()-1,19)+1,MOD(ROW()-2,19)+1)</f>
        <v>#N/A</v>
      </c>
      <c r="DL3053" t="str">
        <f>IFERROR(INDEX(Sheet2!$AU$2:$BM$228,QUOTIENT(ROW()-1,19)+1,MOD(ROW()-2,19)+1),NA())</f>
        <v/>
      </c>
      <c r="DM3053" s="4" t="e">
        <f t="shared" si="162"/>
        <v>#N/A</v>
      </c>
      <c r="DN3053" t="e">
        <f t="shared" si="163"/>
        <v>#N/A</v>
      </c>
      <c r="DO3053" t="e">
        <f t="shared" si="164"/>
        <v>#N/A</v>
      </c>
    </row>
    <row r="3054" spans="7:119" x14ac:dyDescent="0.25">
      <c r="G3054"/>
      <c r="DI3054" s="4">
        <f>INDEX(Sheet2!A:A,QUOTIENT(ROW()-1,19)+2)</f>
        <v>41626</v>
      </c>
      <c r="DJ3054" s="4">
        <f>INDEX(Sheet2!C:C,QUOTIENT(ROW()-1,19)+2)</f>
        <v>42735</v>
      </c>
      <c r="DK3054" s="4" t="e">
        <f>INDEX(Sheet2!$AA$2:$AS$228,QUOTIENT(ROW()-1,19)+1,MOD(ROW()-2,19)+1)</f>
        <v>#N/A</v>
      </c>
      <c r="DL3054" t="str">
        <f>IFERROR(INDEX(Sheet2!$AU$2:$BM$228,QUOTIENT(ROW()-1,19)+1,MOD(ROW()-2,19)+1),NA())</f>
        <v/>
      </c>
      <c r="DM3054" s="4" t="e">
        <f t="shared" si="162"/>
        <v>#N/A</v>
      </c>
      <c r="DN3054" t="e">
        <f t="shared" si="163"/>
        <v>#N/A</v>
      </c>
      <c r="DO3054" t="e">
        <f t="shared" si="164"/>
        <v>#N/A</v>
      </c>
    </row>
    <row r="3055" spans="7:119" x14ac:dyDescent="0.25">
      <c r="G3055"/>
      <c r="DI3055" s="4">
        <f>INDEX(Sheet2!A:A,QUOTIENT(ROW()-1,19)+2)</f>
        <v>41626</v>
      </c>
      <c r="DJ3055" s="4">
        <f>INDEX(Sheet2!C:C,QUOTIENT(ROW()-1,19)+2)</f>
        <v>42735</v>
      </c>
      <c r="DK3055" s="4" t="e">
        <f>INDEX(Sheet2!$AA$2:$AS$228,QUOTIENT(ROW()-1,19)+1,MOD(ROW()-2,19)+1)</f>
        <v>#N/A</v>
      </c>
      <c r="DL3055" t="str">
        <f>IFERROR(INDEX(Sheet2!$AU$2:$BM$228,QUOTIENT(ROW()-1,19)+1,MOD(ROW()-2,19)+1),NA())</f>
        <v/>
      </c>
      <c r="DM3055" s="4" t="e">
        <f t="shared" si="162"/>
        <v>#N/A</v>
      </c>
      <c r="DN3055" t="e">
        <f t="shared" si="163"/>
        <v>#N/A</v>
      </c>
      <c r="DO3055" t="e">
        <f t="shared" si="164"/>
        <v>#N/A</v>
      </c>
    </row>
    <row r="3056" spans="7:119" x14ac:dyDescent="0.25">
      <c r="G3056"/>
      <c r="DI3056" s="4">
        <f>INDEX(Sheet2!A:A,QUOTIENT(ROW()-1,19)+2)</f>
        <v>41626</v>
      </c>
      <c r="DJ3056" s="4">
        <f>INDEX(Sheet2!C:C,QUOTIENT(ROW()-1,19)+2)</f>
        <v>42735</v>
      </c>
      <c r="DK3056" s="4" t="e">
        <f>INDEX(Sheet2!$AA$2:$AS$228,QUOTIENT(ROW()-1,19)+1,MOD(ROW()-2,19)+1)</f>
        <v>#N/A</v>
      </c>
      <c r="DL3056" t="str">
        <f>IFERROR(INDEX(Sheet2!$AU$2:$BM$228,QUOTIENT(ROW()-1,19)+1,MOD(ROW()-2,19)+1),NA())</f>
        <v/>
      </c>
      <c r="DM3056" s="4" t="e">
        <f t="shared" si="162"/>
        <v>#N/A</v>
      </c>
      <c r="DN3056" t="e">
        <f t="shared" si="163"/>
        <v>#N/A</v>
      </c>
      <c r="DO3056" t="e">
        <f t="shared" si="164"/>
        <v>#N/A</v>
      </c>
    </row>
    <row r="3057" spans="7:119" x14ac:dyDescent="0.25">
      <c r="G3057"/>
      <c r="DI3057" s="4">
        <f>INDEX(Sheet2!A:A,QUOTIENT(ROW()-1,19)+2)</f>
        <v>41626</v>
      </c>
      <c r="DJ3057" s="4">
        <f>INDEX(Sheet2!C:C,QUOTIENT(ROW()-1,19)+2)</f>
        <v>42735</v>
      </c>
      <c r="DK3057" s="4" t="e">
        <f>INDEX(Sheet2!$AA$2:$AS$228,QUOTIENT(ROW()-1,19)+1,MOD(ROW()-2,19)+1)</f>
        <v>#N/A</v>
      </c>
      <c r="DL3057" t="str">
        <f>IFERROR(INDEX(Sheet2!$AU$2:$BM$228,QUOTIENT(ROW()-1,19)+1,MOD(ROW()-2,19)+1),NA())</f>
        <v/>
      </c>
      <c r="DM3057" s="4" t="e">
        <f t="shared" si="162"/>
        <v>#N/A</v>
      </c>
      <c r="DN3057" t="e">
        <f t="shared" si="163"/>
        <v>#N/A</v>
      </c>
      <c r="DO3057" t="e">
        <f t="shared" si="164"/>
        <v>#N/A</v>
      </c>
    </row>
    <row r="3058" spans="7:119" x14ac:dyDescent="0.25">
      <c r="G3058"/>
      <c r="DI3058" s="4">
        <f>INDEX(Sheet2!A:A,QUOTIENT(ROW()-1,19)+2)</f>
        <v>41626</v>
      </c>
      <c r="DJ3058" s="4">
        <f>INDEX(Sheet2!C:C,QUOTIENT(ROW()-1,19)+2)</f>
        <v>42735</v>
      </c>
      <c r="DK3058" s="4" t="e">
        <f>INDEX(Sheet2!$AA$2:$AS$228,QUOTIENT(ROW()-1,19)+1,MOD(ROW()-2,19)+1)</f>
        <v>#N/A</v>
      </c>
      <c r="DL3058" t="str">
        <f>IFERROR(INDEX(Sheet2!$AU$2:$BM$228,QUOTIENT(ROW()-1,19)+1,MOD(ROW()-2,19)+1),NA())</f>
        <v/>
      </c>
      <c r="DM3058" s="4" t="e">
        <f t="shared" si="162"/>
        <v>#N/A</v>
      </c>
      <c r="DN3058" t="e">
        <f t="shared" si="163"/>
        <v>#N/A</v>
      </c>
      <c r="DO3058" t="e">
        <f t="shared" si="164"/>
        <v>#N/A</v>
      </c>
    </row>
    <row r="3059" spans="7:119" x14ac:dyDescent="0.25">
      <c r="G3059"/>
      <c r="DI3059" s="4">
        <f>INDEX(Sheet2!A:A,QUOTIENT(ROW()-1,19)+2)</f>
        <v>41626</v>
      </c>
      <c r="DJ3059" s="4">
        <f>INDEX(Sheet2!C:C,QUOTIENT(ROW()-1,19)+2)</f>
        <v>42735</v>
      </c>
      <c r="DK3059" s="4" t="e">
        <f>INDEX(Sheet2!$AA$2:$AS$228,QUOTIENT(ROW()-1,19)+1,MOD(ROW()-2,19)+1)</f>
        <v>#N/A</v>
      </c>
      <c r="DL3059" t="str">
        <f>IFERROR(INDEX(Sheet2!$AU$2:$BM$228,QUOTIENT(ROW()-1,19)+1,MOD(ROW()-2,19)+1),NA())</f>
        <v/>
      </c>
      <c r="DM3059" s="4" t="e">
        <f t="shared" si="162"/>
        <v>#N/A</v>
      </c>
      <c r="DN3059" t="e">
        <f t="shared" si="163"/>
        <v>#N/A</v>
      </c>
      <c r="DO3059" t="e">
        <f t="shared" si="164"/>
        <v>#N/A</v>
      </c>
    </row>
    <row r="3060" spans="7:119" x14ac:dyDescent="0.25">
      <c r="G3060"/>
      <c r="DI3060" s="4">
        <f>INDEX(Sheet2!A:A,QUOTIENT(ROW()-1,19)+2)</f>
        <v>41626</v>
      </c>
      <c r="DJ3060" s="4">
        <f>INDEX(Sheet2!C:C,QUOTIENT(ROW()-1,19)+2)</f>
        <v>42735</v>
      </c>
      <c r="DK3060" s="4" t="e">
        <f>INDEX(Sheet2!$AA$2:$AS$228,QUOTIENT(ROW()-1,19)+1,MOD(ROW()-2,19)+1)</f>
        <v>#N/A</v>
      </c>
      <c r="DL3060" t="str">
        <f>IFERROR(INDEX(Sheet2!$AU$2:$BM$228,QUOTIENT(ROW()-1,19)+1,MOD(ROW()-2,19)+1),NA())</f>
        <v/>
      </c>
      <c r="DM3060" s="4" t="e">
        <f t="shared" si="162"/>
        <v>#N/A</v>
      </c>
      <c r="DN3060" t="e">
        <f t="shared" si="163"/>
        <v>#N/A</v>
      </c>
      <c r="DO3060" t="e">
        <f t="shared" si="164"/>
        <v>#N/A</v>
      </c>
    </row>
    <row r="3061" spans="7:119" x14ac:dyDescent="0.25">
      <c r="G3061"/>
      <c r="DI3061" s="4">
        <f>INDEX(Sheet2!A:A,QUOTIENT(ROW()-1,19)+2)</f>
        <v>41626</v>
      </c>
      <c r="DJ3061" s="4">
        <f>INDEX(Sheet2!C:C,QUOTIENT(ROW()-1,19)+2)</f>
        <v>42735</v>
      </c>
      <c r="DK3061" s="4">
        <f>INDEX(Sheet2!$AA$2:$AS$228,QUOTIENT(ROW()-1,19)+1,MOD(ROW()-2,19)+1)</f>
        <v>42735</v>
      </c>
      <c r="DL3061">
        <f>IFERROR(INDEX(Sheet2!$AU$2:$BM$228,QUOTIENT(ROW()-1,19)+1,MOD(ROW()-2,19)+1),NA())</f>
        <v>2</v>
      </c>
      <c r="DM3061" s="4" t="e">
        <f t="shared" si="162"/>
        <v>#N/A</v>
      </c>
      <c r="DN3061" t="e">
        <f t="shared" si="163"/>
        <v>#N/A</v>
      </c>
      <c r="DO3061" t="e">
        <f t="shared" si="164"/>
        <v>#N/A</v>
      </c>
    </row>
    <row r="3062" spans="7:119" x14ac:dyDescent="0.25">
      <c r="G3062"/>
      <c r="DI3062" s="4">
        <f>INDEX(Sheet2!A:A,QUOTIENT(ROW()-1,19)+2)</f>
        <v>41626</v>
      </c>
      <c r="DJ3062" s="4">
        <f>INDEX(Sheet2!C:C,QUOTIENT(ROW()-1,19)+2)</f>
        <v>42735</v>
      </c>
      <c r="DK3062" s="4" t="e">
        <f>INDEX(Sheet2!$AA$2:$AS$228,QUOTIENT(ROW()-1,19)+1,MOD(ROW()-2,19)+1)</f>
        <v>#N/A</v>
      </c>
      <c r="DL3062" t="str">
        <f>IFERROR(INDEX(Sheet2!$AU$2:$BM$228,QUOTIENT(ROW()-1,19)+1,MOD(ROW()-2,19)+1),NA())</f>
        <v/>
      </c>
      <c r="DM3062" s="4" t="e">
        <f t="shared" si="162"/>
        <v>#N/A</v>
      </c>
      <c r="DN3062" t="e">
        <f t="shared" si="163"/>
        <v>#N/A</v>
      </c>
      <c r="DO3062" t="e">
        <f t="shared" si="164"/>
        <v>#N/A</v>
      </c>
    </row>
    <row r="3063" spans="7:119" x14ac:dyDescent="0.25">
      <c r="G3063"/>
      <c r="DI3063" s="4">
        <f>INDEX(Sheet2!A:A,QUOTIENT(ROW()-1,19)+2)</f>
        <v>41626</v>
      </c>
      <c r="DJ3063" s="4">
        <f>INDEX(Sheet2!C:C,QUOTIENT(ROW()-1,19)+2)</f>
        <v>42735</v>
      </c>
      <c r="DK3063" s="4" t="e">
        <f>INDEX(Sheet2!$AA$2:$AS$228,QUOTIENT(ROW()-1,19)+1,MOD(ROW()-2,19)+1)</f>
        <v>#N/A</v>
      </c>
      <c r="DL3063" t="str">
        <f>IFERROR(INDEX(Sheet2!$AU$2:$BM$228,QUOTIENT(ROW()-1,19)+1,MOD(ROW()-2,19)+1),NA())</f>
        <v/>
      </c>
      <c r="DM3063" s="4" t="e">
        <f t="shared" si="162"/>
        <v>#N/A</v>
      </c>
      <c r="DN3063" t="e">
        <f t="shared" si="163"/>
        <v>#N/A</v>
      </c>
      <c r="DO3063" t="e">
        <f t="shared" si="164"/>
        <v>#N/A</v>
      </c>
    </row>
    <row r="3064" spans="7:119" x14ac:dyDescent="0.25">
      <c r="G3064"/>
      <c r="DI3064" s="4">
        <f>INDEX(Sheet2!A:A,QUOTIENT(ROW()-1,19)+2)</f>
        <v>41626</v>
      </c>
      <c r="DJ3064" s="4">
        <f>INDEX(Sheet2!C:C,QUOTIENT(ROW()-1,19)+2)</f>
        <v>42735</v>
      </c>
      <c r="DK3064" s="4" t="e">
        <f>INDEX(Sheet2!$AA$2:$AS$228,QUOTIENT(ROW()-1,19)+1,MOD(ROW()-2,19)+1)</f>
        <v>#N/A</v>
      </c>
      <c r="DL3064" t="str">
        <f>IFERROR(INDEX(Sheet2!$AU$2:$BM$228,QUOTIENT(ROW()-1,19)+1,MOD(ROW()-2,19)+1),NA())</f>
        <v/>
      </c>
      <c r="DM3064" s="4" t="e">
        <f t="shared" si="162"/>
        <v>#N/A</v>
      </c>
      <c r="DN3064" t="e">
        <f t="shared" si="163"/>
        <v>#N/A</v>
      </c>
      <c r="DO3064" t="e">
        <f t="shared" si="164"/>
        <v>#N/A</v>
      </c>
    </row>
    <row r="3065" spans="7:119" x14ac:dyDescent="0.25">
      <c r="G3065"/>
      <c r="DI3065" s="4">
        <f>INDEX(Sheet2!A:A,QUOTIENT(ROW()-1,19)+2)</f>
        <v>41626</v>
      </c>
      <c r="DJ3065" s="4">
        <f>INDEX(Sheet2!C:C,QUOTIENT(ROW()-1,19)+2)</f>
        <v>42735</v>
      </c>
      <c r="DK3065" s="4" t="e">
        <f>INDEX(Sheet2!$AA$2:$AS$228,QUOTIENT(ROW()-1,19)+1,MOD(ROW()-2,19)+1)</f>
        <v>#N/A</v>
      </c>
      <c r="DL3065" t="str">
        <f>IFERROR(INDEX(Sheet2!$AU$2:$BM$228,QUOTIENT(ROW()-1,19)+1,MOD(ROW()-2,19)+1),NA())</f>
        <v/>
      </c>
      <c r="DM3065" s="4" t="e">
        <f t="shared" si="162"/>
        <v>#N/A</v>
      </c>
      <c r="DN3065" t="e">
        <f t="shared" si="163"/>
        <v>#N/A</v>
      </c>
      <c r="DO3065" t="e">
        <f t="shared" si="164"/>
        <v>#N/A</v>
      </c>
    </row>
    <row r="3066" spans="7:119" x14ac:dyDescent="0.25">
      <c r="G3066"/>
      <c r="DI3066" s="4">
        <f>INDEX(Sheet2!A:A,QUOTIENT(ROW()-1,19)+2)</f>
        <v>41626</v>
      </c>
      <c r="DJ3066" s="4">
        <f>INDEX(Sheet2!C:C,QUOTIENT(ROW()-1,19)+2)</f>
        <v>42735</v>
      </c>
      <c r="DK3066" s="4" t="e">
        <f>INDEX(Sheet2!$AA$2:$AS$228,QUOTIENT(ROW()-1,19)+1,MOD(ROW()-2,19)+1)</f>
        <v>#N/A</v>
      </c>
      <c r="DL3066" t="str">
        <f>IFERROR(INDEX(Sheet2!$AU$2:$BM$228,QUOTIENT(ROW()-1,19)+1,MOD(ROW()-2,19)+1),NA())</f>
        <v/>
      </c>
      <c r="DM3066" s="4" t="e">
        <f t="shared" si="162"/>
        <v>#N/A</v>
      </c>
      <c r="DN3066" t="e">
        <f t="shared" si="163"/>
        <v>#N/A</v>
      </c>
      <c r="DO3066" t="e">
        <f t="shared" si="164"/>
        <v>#N/A</v>
      </c>
    </row>
    <row r="3067" spans="7:119" x14ac:dyDescent="0.25">
      <c r="G3067"/>
      <c r="DI3067" s="4">
        <f>INDEX(Sheet2!A:A,QUOTIENT(ROW()-1,19)+2)</f>
        <v>41626</v>
      </c>
      <c r="DJ3067" s="4">
        <f>INDEX(Sheet2!C:C,QUOTIENT(ROW()-1,19)+2)</f>
        <v>42735</v>
      </c>
      <c r="DK3067" s="4" t="e">
        <f>INDEX(Sheet2!$AA$2:$AS$228,QUOTIENT(ROW()-1,19)+1,MOD(ROW()-2,19)+1)</f>
        <v>#N/A</v>
      </c>
      <c r="DL3067" t="str">
        <f>IFERROR(INDEX(Sheet2!$AU$2:$BM$228,QUOTIENT(ROW()-1,19)+1,MOD(ROW()-2,19)+1),NA())</f>
        <v/>
      </c>
      <c r="DM3067" s="4" t="e">
        <f t="shared" si="162"/>
        <v>#N/A</v>
      </c>
      <c r="DN3067" t="e">
        <f t="shared" si="163"/>
        <v>#N/A</v>
      </c>
      <c r="DO3067" t="e">
        <f t="shared" si="164"/>
        <v>#N/A</v>
      </c>
    </row>
    <row r="3068" spans="7:119" x14ac:dyDescent="0.25">
      <c r="G3068"/>
      <c r="DI3068" s="4">
        <f>INDEX(Sheet2!A:A,QUOTIENT(ROW()-1,19)+2)</f>
        <v>41626</v>
      </c>
      <c r="DJ3068" s="4">
        <f>INDEX(Sheet2!C:C,QUOTIENT(ROW()-1,19)+2)</f>
        <v>42735</v>
      </c>
      <c r="DK3068" s="4" t="e">
        <f>INDEX(Sheet2!$AA$2:$AS$228,QUOTIENT(ROW()-1,19)+1,MOD(ROW()-2,19)+1)</f>
        <v>#N/A</v>
      </c>
      <c r="DL3068" t="str">
        <f>IFERROR(INDEX(Sheet2!$AU$2:$BM$228,QUOTIENT(ROW()-1,19)+1,MOD(ROW()-2,19)+1),NA())</f>
        <v/>
      </c>
      <c r="DM3068" s="4" t="e">
        <f t="shared" si="162"/>
        <v>#N/A</v>
      </c>
      <c r="DN3068" t="e">
        <f t="shared" si="163"/>
        <v>#N/A</v>
      </c>
      <c r="DO3068" t="e">
        <f t="shared" si="164"/>
        <v>#N/A</v>
      </c>
    </row>
    <row r="3069" spans="7:119" x14ac:dyDescent="0.25">
      <c r="G3069"/>
      <c r="DI3069" s="4">
        <f>INDEX(Sheet2!A:A,QUOTIENT(ROW()-1,19)+2)</f>
        <v>41626</v>
      </c>
      <c r="DJ3069" s="4">
        <f>INDEX(Sheet2!C:C,QUOTIENT(ROW()-1,19)+2)</f>
        <v>42735</v>
      </c>
      <c r="DK3069" s="4" t="e">
        <f>INDEX(Sheet2!$AA$2:$AS$228,QUOTIENT(ROW()-1,19)+1,MOD(ROW()-2,19)+1)</f>
        <v>#N/A</v>
      </c>
      <c r="DL3069" t="str">
        <f>IFERROR(INDEX(Sheet2!$AU$2:$BM$228,QUOTIENT(ROW()-1,19)+1,MOD(ROW()-2,19)+1),NA())</f>
        <v/>
      </c>
      <c r="DM3069" s="4" t="e">
        <f t="shared" si="162"/>
        <v>#N/A</v>
      </c>
      <c r="DN3069" t="e">
        <f t="shared" si="163"/>
        <v>#N/A</v>
      </c>
      <c r="DO3069" t="e">
        <f t="shared" si="164"/>
        <v>#N/A</v>
      </c>
    </row>
    <row r="3070" spans="7:119" x14ac:dyDescent="0.25">
      <c r="G3070"/>
      <c r="DI3070" s="4">
        <f>INDEX(Sheet2!A:A,QUOTIENT(ROW()-1,19)+2)</f>
        <v>41626</v>
      </c>
      <c r="DJ3070" s="4">
        <f>INDEX(Sheet2!C:C,QUOTIENT(ROW()-1,19)+2)</f>
        <v>42735</v>
      </c>
      <c r="DK3070" s="4" t="e">
        <f>INDEX(Sheet2!$AA$2:$AS$228,QUOTIENT(ROW()-1,19)+1,MOD(ROW()-2,19)+1)</f>
        <v>#N/A</v>
      </c>
      <c r="DL3070" t="str">
        <f>IFERROR(INDEX(Sheet2!$AU$2:$BM$228,QUOTIENT(ROW()-1,19)+1,MOD(ROW()-2,19)+1),NA())</f>
        <v/>
      </c>
      <c r="DM3070" s="4" t="e">
        <f t="shared" si="162"/>
        <v>#N/A</v>
      </c>
      <c r="DN3070" t="e">
        <f t="shared" si="163"/>
        <v>#N/A</v>
      </c>
      <c r="DO3070" t="e">
        <f t="shared" si="164"/>
        <v>#N/A</v>
      </c>
    </row>
    <row r="3071" spans="7:119" x14ac:dyDescent="0.25">
      <c r="G3071"/>
      <c r="DI3071" s="4">
        <f>INDEX(Sheet2!A:A,QUOTIENT(ROW()-1,19)+2)</f>
        <v>41626</v>
      </c>
      <c r="DJ3071" s="4">
        <f>INDEX(Sheet2!C:C,QUOTIENT(ROW()-1,19)+2)</f>
        <v>42735</v>
      </c>
      <c r="DK3071" s="4" t="e">
        <f>INDEX(Sheet2!$AA$2:$AS$228,QUOTIENT(ROW()-1,19)+1,MOD(ROW()-2,19)+1)</f>
        <v>#N/A</v>
      </c>
      <c r="DL3071" t="str">
        <f>IFERROR(INDEX(Sheet2!$AU$2:$BM$228,QUOTIENT(ROW()-1,19)+1,MOD(ROW()-2,19)+1),NA())</f>
        <v/>
      </c>
      <c r="DM3071" s="4" t="e">
        <f t="shared" si="162"/>
        <v>#N/A</v>
      </c>
      <c r="DN3071" t="e">
        <f t="shared" si="163"/>
        <v>#N/A</v>
      </c>
      <c r="DO3071" t="e">
        <f t="shared" si="164"/>
        <v>#N/A</v>
      </c>
    </row>
    <row r="3072" spans="7:119" x14ac:dyDescent="0.25">
      <c r="G3072"/>
      <c r="DI3072" s="4">
        <f>INDEX(Sheet2!A:A,QUOTIENT(ROW()-1,19)+2)</f>
        <v>41626</v>
      </c>
      <c r="DJ3072" s="4">
        <f>INDEX(Sheet2!C:C,QUOTIENT(ROW()-1,19)+2)</f>
        <v>42735</v>
      </c>
      <c r="DK3072" s="4" t="e">
        <f>INDEX(Sheet2!$AA$2:$AS$228,QUOTIENT(ROW()-1,19)+1,MOD(ROW()-2,19)+1)</f>
        <v>#N/A</v>
      </c>
      <c r="DL3072" t="str">
        <f>IFERROR(INDEX(Sheet2!$AU$2:$BM$228,QUOTIENT(ROW()-1,19)+1,MOD(ROW()-2,19)+1),NA())</f>
        <v/>
      </c>
      <c r="DM3072" s="4" t="e">
        <f t="shared" si="162"/>
        <v>#N/A</v>
      </c>
      <c r="DN3072" t="e">
        <f t="shared" si="163"/>
        <v>#N/A</v>
      </c>
      <c r="DO3072" t="e">
        <f t="shared" si="164"/>
        <v>#N/A</v>
      </c>
    </row>
    <row r="3073" spans="7:119" x14ac:dyDescent="0.25">
      <c r="G3073"/>
      <c r="DI3073" s="4">
        <f>INDEX(Sheet2!A:A,QUOTIENT(ROW()-1,19)+2)</f>
        <v>41626</v>
      </c>
      <c r="DJ3073" s="4">
        <f>INDEX(Sheet2!C:C,QUOTIENT(ROW()-1,19)+2)</f>
        <v>42735</v>
      </c>
      <c r="DK3073" s="4" t="e">
        <f>INDEX(Sheet2!$AA$2:$AS$228,QUOTIENT(ROW()-1,19)+1,MOD(ROW()-2,19)+1)</f>
        <v>#N/A</v>
      </c>
      <c r="DL3073" t="str">
        <f>IFERROR(INDEX(Sheet2!$AU$2:$BM$228,QUOTIENT(ROW()-1,19)+1,MOD(ROW()-2,19)+1),NA())</f>
        <v/>
      </c>
      <c r="DM3073" s="4" t="e">
        <f t="shared" si="162"/>
        <v>#N/A</v>
      </c>
      <c r="DN3073" t="e">
        <f t="shared" si="163"/>
        <v>#N/A</v>
      </c>
      <c r="DO3073" t="e">
        <f t="shared" si="164"/>
        <v>#N/A</v>
      </c>
    </row>
    <row r="3074" spans="7:119" x14ac:dyDescent="0.25">
      <c r="G3074"/>
      <c r="DI3074" s="4">
        <f>INDEX(Sheet2!A:A,QUOTIENT(ROW()-1,19)+2)</f>
        <v>41626</v>
      </c>
      <c r="DJ3074" s="4">
        <f>INDEX(Sheet2!C:C,QUOTIENT(ROW()-1,19)+2)</f>
        <v>42735</v>
      </c>
      <c r="DK3074" s="4" t="e">
        <f>INDEX(Sheet2!$AA$2:$AS$228,QUOTIENT(ROW()-1,19)+1,MOD(ROW()-2,19)+1)</f>
        <v>#N/A</v>
      </c>
      <c r="DL3074" t="str">
        <f>IFERROR(INDEX(Sheet2!$AU$2:$BM$228,QUOTIENT(ROW()-1,19)+1,MOD(ROW()-2,19)+1),NA())</f>
        <v/>
      </c>
      <c r="DM3074" s="4" t="e">
        <f t="shared" ref="DM3074:DM3137" si="165">+IF($C$2=$DI3074,DK3074,NA())</f>
        <v>#N/A</v>
      </c>
      <c r="DN3074" t="e">
        <f t="shared" ref="DN3074:DN3137" si="166">+IF($C$2=$DI3074,DL3074,NA())</f>
        <v>#N/A</v>
      </c>
      <c r="DO3074" t="e">
        <f t="shared" si="164"/>
        <v>#N/A</v>
      </c>
    </row>
    <row r="3075" spans="7:119" x14ac:dyDescent="0.25">
      <c r="G3075"/>
      <c r="DI3075" s="4">
        <f>INDEX(Sheet2!A:A,QUOTIENT(ROW()-1,19)+2)</f>
        <v>41626</v>
      </c>
      <c r="DJ3075" s="4">
        <f>INDEX(Sheet2!C:C,QUOTIENT(ROW()-1,19)+2)</f>
        <v>42735</v>
      </c>
      <c r="DK3075" s="4" t="e">
        <f>INDEX(Sheet2!$AA$2:$AS$228,QUOTIENT(ROW()-1,19)+1,MOD(ROW()-2,19)+1)</f>
        <v>#N/A</v>
      </c>
      <c r="DL3075" t="str">
        <f>IFERROR(INDEX(Sheet2!$AU$2:$BM$228,QUOTIENT(ROW()-1,19)+1,MOD(ROW()-2,19)+1),NA())</f>
        <v/>
      </c>
      <c r="DM3075" s="4" t="e">
        <f t="shared" si="165"/>
        <v>#N/A</v>
      </c>
      <c r="DN3075" t="e">
        <f t="shared" si="166"/>
        <v>#N/A</v>
      </c>
      <c r="DO3075" t="e">
        <f t="shared" ref="DO3075:DO3138" si="167">IF(DN3075="",NA(),DN3075)</f>
        <v>#N/A</v>
      </c>
    </row>
    <row r="3076" spans="7:119" x14ac:dyDescent="0.25">
      <c r="G3076"/>
      <c r="DI3076" s="4">
        <f>INDEX(Sheet2!A:A,QUOTIENT(ROW()-1,19)+2)</f>
        <v>41626</v>
      </c>
      <c r="DJ3076" s="4">
        <f>INDEX(Sheet2!C:C,QUOTIENT(ROW()-1,19)+2)</f>
        <v>42735</v>
      </c>
      <c r="DK3076" s="4" t="e">
        <f>INDEX(Sheet2!$AA$2:$AS$228,QUOTIENT(ROW()-1,19)+1,MOD(ROW()-2,19)+1)</f>
        <v>#N/A</v>
      </c>
      <c r="DL3076" t="str">
        <f>IFERROR(INDEX(Sheet2!$AU$2:$BM$228,QUOTIENT(ROW()-1,19)+1,MOD(ROW()-2,19)+1),NA())</f>
        <v/>
      </c>
      <c r="DM3076" s="4" t="e">
        <f t="shared" si="165"/>
        <v>#N/A</v>
      </c>
      <c r="DN3076" t="e">
        <f t="shared" si="166"/>
        <v>#N/A</v>
      </c>
      <c r="DO3076" t="e">
        <f t="shared" si="167"/>
        <v>#N/A</v>
      </c>
    </row>
    <row r="3077" spans="7:119" x14ac:dyDescent="0.25">
      <c r="G3077"/>
      <c r="DI3077" s="4">
        <f>INDEX(Sheet2!A:A,QUOTIENT(ROW()-1,19)+2)</f>
        <v>41626</v>
      </c>
      <c r="DJ3077" s="4">
        <f>INDEX(Sheet2!C:C,QUOTIENT(ROW()-1,19)+2)</f>
        <v>42735</v>
      </c>
      <c r="DK3077" s="4" t="e">
        <f>INDEX(Sheet2!$AA$2:$AS$228,QUOTIENT(ROW()-1,19)+1,MOD(ROW()-2,19)+1)</f>
        <v>#N/A</v>
      </c>
      <c r="DL3077" t="str">
        <f>IFERROR(INDEX(Sheet2!$AU$2:$BM$228,QUOTIENT(ROW()-1,19)+1,MOD(ROW()-2,19)+1),NA())</f>
        <v/>
      </c>
      <c r="DM3077" s="4" t="e">
        <f t="shared" si="165"/>
        <v>#N/A</v>
      </c>
      <c r="DN3077" t="e">
        <f t="shared" si="166"/>
        <v>#N/A</v>
      </c>
      <c r="DO3077" t="e">
        <f t="shared" si="167"/>
        <v>#N/A</v>
      </c>
    </row>
    <row r="3078" spans="7:119" x14ac:dyDescent="0.25">
      <c r="G3078"/>
      <c r="DI3078" s="4">
        <f>INDEX(Sheet2!A:A,QUOTIENT(ROW()-1,19)+2)</f>
        <v>41626</v>
      </c>
      <c r="DJ3078" s="4">
        <f>INDEX(Sheet2!C:C,QUOTIENT(ROW()-1,19)+2)</f>
        <v>42735</v>
      </c>
      <c r="DK3078" s="4" t="e">
        <f>INDEX(Sheet2!$AA$2:$AS$228,QUOTIENT(ROW()-1,19)+1,MOD(ROW()-2,19)+1)</f>
        <v>#N/A</v>
      </c>
      <c r="DL3078" t="str">
        <f>IFERROR(INDEX(Sheet2!$AU$2:$BM$228,QUOTIENT(ROW()-1,19)+1,MOD(ROW()-2,19)+1),NA())</f>
        <v/>
      </c>
      <c r="DM3078" s="4" t="e">
        <f t="shared" si="165"/>
        <v>#N/A</v>
      </c>
      <c r="DN3078" t="e">
        <f t="shared" si="166"/>
        <v>#N/A</v>
      </c>
      <c r="DO3078" t="e">
        <f t="shared" si="167"/>
        <v>#N/A</v>
      </c>
    </row>
    <row r="3079" spans="7:119" x14ac:dyDescent="0.25">
      <c r="G3079"/>
      <c r="DI3079" s="4">
        <f>INDEX(Sheet2!A:A,QUOTIENT(ROW()-1,19)+2)</f>
        <v>41626</v>
      </c>
      <c r="DJ3079" s="4">
        <f>INDEX(Sheet2!C:C,QUOTIENT(ROW()-1,19)+2)</f>
        <v>42735</v>
      </c>
      <c r="DK3079" s="4" t="e">
        <f>INDEX(Sheet2!$AA$2:$AS$228,QUOTIENT(ROW()-1,19)+1,MOD(ROW()-2,19)+1)</f>
        <v>#N/A</v>
      </c>
      <c r="DL3079" t="str">
        <f>IFERROR(INDEX(Sheet2!$AU$2:$BM$228,QUOTIENT(ROW()-1,19)+1,MOD(ROW()-2,19)+1),NA())</f>
        <v/>
      </c>
      <c r="DM3079" s="4" t="e">
        <f t="shared" si="165"/>
        <v>#N/A</v>
      </c>
      <c r="DN3079" t="e">
        <f t="shared" si="166"/>
        <v>#N/A</v>
      </c>
      <c r="DO3079" t="e">
        <f t="shared" si="167"/>
        <v>#N/A</v>
      </c>
    </row>
    <row r="3080" spans="7:119" x14ac:dyDescent="0.25">
      <c r="G3080"/>
      <c r="DI3080" s="4">
        <f>INDEX(Sheet2!A:A,QUOTIENT(ROW()-1,19)+2)</f>
        <v>41626</v>
      </c>
      <c r="DJ3080" s="4">
        <f>INDEX(Sheet2!C:C,QUOTIENT(ROW()-1,19)+2)</f>
        <v>42735</v>
      </c>
      <c r="DK3080" s="4">
        <f>INDEX(Sheet2!$AA$2:$AS$228,QUOTIENT(ROW()-1,19)+1,MOD(ROW()-2,19)+1)</f>
        <v>42724.962500000001</v>
      </c>
      <c r="DL3080">
        <f>IFERROR(INDEX(Sheet2!$AU$2:$BM$228,QUOTIENT(ROW()-1,19)+1,MOD(ROW()-2,19)+1),NA())</f>
        <v>2.5</v>
      </c>
      <c r="DM3080" s="4" t="e">
        <f t="shared" si="165"/>
        <v>#N/A</v>
      </c>
      <c r="DN3080" t="e">
        <f t="shared" si="166"/>
        <v>#N/A</v>
      </c>
      <c r="DO3080" t="e">
        <f t="shared" si="167"/>
        <v>#N/A</v>
      </c>
    </row>
    <row r="3081" spans="7:119" x14ac:dyDescent="0.25">
      <c r="G3081"/>
      <c r="DI3081" s="4">
        <f>INDEX(Sheet2!A:A,QUOTIENT(ROW()-1,19)+2)</f>
        <v>41626</v>
      </c>
      <c r="DJ3081" s="4">
        <f>INDEX(Sheet2!C:C,QUOTIENT(ROW()-1,19)+2)</f>
        <v>42735</v>
      </c>
      <c r="DK3081" s="4">
        <f>INDEX(Sheet2!$AA$2:$AS$228,QUOTIENT(ROW()-1,19)+1,MOD(ROW()-2,19)+1)</f>
        <v>42745.037500000006</v>
      </c>
      <c r="DL3081">
        <f>IFERROR(INDEX(Sheet2!$AU$2:$BM$228,QUOTIENT(ROW()-1,19)+1,MOD(ROW()-2,19)+1),NA())</f>
        <v>2.5</v>
      </c>
      <c r="DM3081" s="4" t="e">
        <f t="shared" si="165"/>
        <v>#N/A</v>
      </c>
      <c r="DN3081" t="e">
        <f t="shared" si="166"/>
        <v>#N/A</v>
      </c>
      <c r="DO3081" t="e">
        <f t="shared" si="167"/>
        <v>#N/A</v>
      </c>
    </row>
    <row r="3082" spans="7:119" x14ac:dyDescent="0.25">
      <c r="G3082"/>
      <c r="DI3082" s="4">
        <f>INDEX(Sheet2!A:A,QUOTIENT(ROW()-1,19)+2)</f>
        <v>41626</v>
      </c>
      <c r="DJ3082" s="4">
        <f>INDEX(Sheet2!C:C,QUOTIENT(ROW()-1,19)+2)</f>
        <v>42735</v>
      </c>
      <c r="DK3082" s="4" t="e">
        <f>INDEX(Sheet2!$AA$2:$AS$228,QUOTIENT(ROW()-1,19)+1,MOD(ROW()-2,19)+1)</f>
        <v>#N/A</v>
      </c>
      <c r="DL3082" t="str">
        <f>IFERROR(INDEX(Sheet2!$AU$2:$BM$228,QUOTIENT(ROW()-1,19)+1,MOD(ROW()-2,19)+1),NA())</f>
        <v/>
      </c>
      <c r="DM3082" s="4" t="e">
        <f t="shared" si="165"/>
        <v>#N/A</v>
      </c>
      <c r="DN3082" t="e">
        <f t="shared" si="166"/>
        <v>#N/A</v>
      </c>
      <c r="DO3082" t="e">
        <f t="shared" si="167"/>
        <v>#N/A</v>
      </c>
    </row>
    <row r="3083" spans="7:119" x14ac:dyDescent="0.25">
      <c r="G3083"/>
      <c r="DI3083" s="4">
        <f>INDEX(Sheet2!A:A,QUOTIENT(ROW()-1,19)+2)</f>
        <v>41626</v>
      </c>
      <c r="DJ3083" s="4">
        <f>INDEX(Sheet2!C:C,QUOTIENT(ROW()-1,19)+2)</f>
        <v>42735</v>
      </c>
      <c r="DK3083" s="4" t="e">
        <f>INDEX(Sheet2!$AA$2:$AS$228,QUOTIENT(ROW()-1,19)+1,MOD(ROW()-2,19)+1)</f>
        <v>#N/A</v>
      </c>
      <c r="DL3083" t="str">
        <f>IFERROR(INDEX(Sheet2!$AU$2:$BM$228,QUOTIENT(ROW()-1,19)+1,MOD(ROW()-2,19)+1),NA())</f>
        <v/>
      </c>
      <c r="DM3083" s="4" t="e">
        <f t="shared" si="165"/>
        <v>#N/A</v>
      </c>
      <c r="DN3083" t="e">
        <f t="shared" si="166"/>
        <v>#N/A</v>
      </c>
      <c r="DO3083" t="e">
        <f t="shared" si="167"/>
        <v>#N/A</v>
      </c>
    </row>
    <row r="3084" spans="7:119" x14ac:dyDescent="0.25">
      <c r="G3084"/>
      <c r="DI3084" s="4">
        <f>INDEX(Sheet2!A:A,QUOTIENT(ROW()-1,19)+2)</f>
        <v>41626</v>
      </c>
      <c r="DJ3084" s="4">
        <f>INDEX(Sheet2!C:C,QUOTIENT(ROW()-1,19)+2)</f>
        <v>42735</v>
      </c>
      <c r="DK3084" s="4" t="e">
        <f>INDEX(Sheet2!$AA$2:$AS$228,QUOTIENT(ROW()-1,19)+1,MOD(ROW()-2,19)+1)</f>
        <v>#N/A</v>
      </c>
      <c r="DL3084" t="str">
        <f>IFERROR(INDEX(Sheet2!$AU$2:$BM$228,QUOTIENT(ROW()-1,19)+1,MOD(ROW()-2,19)+1),NA())</f>
        <v/>
      </c>
      <c r="DM3084" s="4" t="e">
        <f t="shared" si="165"/>
        <v>#N/A</v>
      </c>
      <c r="DN3084" t="e">
        <f t="shared" si="166"/>
        <v>#N/A</v>
      </c>
      <c r="DO3084" t="e">
        <f t="shared" si="167"/>
        <v>#N/A</v>
      </c>
    </row>
    <row r="3085" spans="7:119" x14ac:dyDescent="0.25">
      <c r="G3085"/>
      <c r="DI3085" s="4">
        <f>INDEX(Sheet2!A:A,QUOTIENT(ROW()-1,19)+2)</f>
        <v>41626</v>
      </c>
      <c r="DJ3085" s="4">
        <f>INDEX(Sheet2!C:C,QUOTIENT(ROW()-1,19)+2)</f>
        <v>42735</v>
      </c>
      <c r="DK3085" s="4" t="e">
        <f>INDEX(Sheet2!$AA$2:$AS$228,QUOTIENT(ROW()-1,19)+1,MOD(ROW()-2,19)+1)</f>
        <v>#N/A</v>
      </c>
      <c r="DL3085" t="str">
        <f>IFERROR(INDEX(Sheet2!$AU$2:$BM$228,QUOTIENT(ROW()-1,19)+1,MOD(ROW()-2,19)+1),NA())</f>
        <v/>
      </c>
      <c r="DM3085" s="4" t="e">
        <f t="shared" si="165"/>
        <v>#N/A</v>
      </c>
      <c r="DN3085" t="e">
        <f t="shared" si="166"/>
        <v>#N/A</v>
      </c>
      <c r="DO3085" t="e">
        <f t="shared" si="167"/>
        <v>#N/A</v>
      </c>
    </row>
    <row r="3086" spans="7:119" x14ac:dyDescent="0.25">
      <c r="G3086"/>
      <c r="DI3086" s="4">
        <f>INDEX(Sheet2!A:A,QUOTIENT(ROW()-1,19)+2)</f>
        <v>41626</v>
      </c>
      <c r="DJ3086" s="4">
        <f>INDEX(Sheet2!C:C,QUOTIENT(ROW()-1,19)+2)</f>
        <v>42735</v>
      </c>
      <c r="DK3086" s="4" t="e">
        <f>INDEX(Sheet2!$AA$2:$AS$228,QUOTIENT(ROW()-1,19)+1,MOD(ROW()-2,19)+1)</f>
        <v>#N/A</v>
      </c>
      <c r="DL3086" t="str">
        <f>IFERROR(INDEX(Sheet2!$AU$2:$BM$228,QUOTIENT(ROW()-1,19)+1,MOD(ROW()-2,19)+1),NA())</f>
        <v/>
      </c>
      <c r="DM3086" s="4" t="e">
        <f t="shared" si="165"/>
        <v>#N/A</v>
      </c>
      <c r="DN3086" t="e">
        <f t="shared" si="166"/>
        <v>#N/A</v>
      </c>
      <c r="DO3086" t="e">
        <f t="shared" si="167"/>
        <v>#N/A</v>
      </c>
    </row>
    <row r="3087" spans="7:119" x14ac:dyDescent="0.25">
      <c r="G3087"/>
      <c r="DI3087" s="4">
        <f>INDEX(Sheet2!A:A,QUOTIENT(ROW()-1,19)+2)</f>
        <v>41626</v>
      </c>
      <c r="DJ3087" s="4">
        <f>INDEX(Sheet2!C:C,QUOTIENT(ROW()-1,19)+2)</f>
        <v>42735</v>
      </c>
      <c r="DK3087" s="4" t="e">
        <f>INDEX(Sheet2!$AA$2:$AS$228,QUOTIENT(ROW()-1,19)+1,MOD(ROW()-2,19)+1)</f>
        <v>#N/A</v>
      </c>
      <c r="DL3087" t="str">
        <f>IFERROR(INDEX(Sheet2!$AU$2:$BM$228,QUOTIENT(ROW()-1,19)+1,MOD(ROW()-2,19)+1),NA())</f>
        <v/>
      </c>
      <c r="DM3087" s="4" t="e">
        <f t="shared" si="165"/>
        <v>#N/A</v>
      </c>
      <c r="DN3087" t="e">
        <f t="shared" si="166"/>
        <v>#N/A</v>
      </c>
      <c r="DO3087" t="e">
        <f t="shared" si="167"/>
        <v>#N/A</v>
      </c>
    </row>
    <row r="3088" spans="7:119" x14ac:dyDescent="0.25">
      <c r="G3088"/>
      <c r="DI3088" s="4">
        <f>INDEX(Sheet2!A:A,QUOTIENT(ROW()-1,19)+2)</f>
        <v>41626</v>
      </c>
      <c r="DJ3088" s="4">
        <f>INDEX(Sheet2!C:C,QUOTIENT(ROW()-1,19)+2)</f>
        <v>42735</v>
      </c>
      <c r="DK3088" s="4" t="e">
        <f>INDEX(Sheet2!$AA$2:$AS$228,QUOTIENT(ROW()-1,19)+1,MOD(ROW()-2,19)+1)</f>
        <v>#N/A</v>
      </c>
      <c r="DL3088" t="str">
        <f>IFERROR(INDEX(Sheet2!$AU$2:$BM$228,QUOTIENT(ROW()-1,19)+1,MOD(ROW()-2,19)+1),NA())</f>
        <v/>
      </c>
      <c r="DM3088" s="4" t="e">
        <f t="shared" si="165"/>
        <v>#N/A</v>
      </c>
      <c r="DN3088" t="e">
        <f t="shared" si="166"/>
        <v>#N/A</v>
      </c>
      <c r="DO3088" t="e">
        <f t="shared" si="167"/>
        <v>#N/A</v>
      </c>
    </row>
    <row r="3089" spans="7:119" x14ac:dyDescent="0.25">
      <c r="G3089"/>
      <c r="DI3089" s="4">
        <f>INDEX(Sheet2!A:A,QUOTIENT(ROW()-1,19)+2)</f>
        <v>41626</v>
      </c>
      <c r="DJ3089" s="4">
        <f>INDEX(Sheet2!C:C,QUOTIENT(ROW()-1,19)+2)</f>
        <v>42735</v>
      </c>
      <c r="DK3089" s="4" t="e">
        <f>INDEX(Sheet2!$AA$2:$AS$228,QUOTIENT(ROW()-1,19)+1,MOD(ROW()-2,19)+1)</f>
        <v>#N/A</v>
      </c>
      <c r="DL3089" t="str">
        <f>IFERROR(INDEX(Sheet2!$AU$2:$BM$228,QUOTIENT(ROW()-1,19)+1,MOD(ROW()-2,19)+1),NA())</f>
        <v/>
      </c>
      <c r="DM3089" s="4" t="e">
        <f t="shared" si="165"/>
        <v>#N/A</v>
      </c>
      <c r="DN3089" t="e">
        <f t="shared" si="166"/>
        <v>#N/A</v>
      </c>
      <c r="DO3089" t="e">
        <f t="shared" si="167"/>
        <v>#N/A</v>
      </c>
    </row>
    <row r="3090" spans="7:119" x14ac:dyDescent="0.25">
      <c r="G3090"/>
      <c r="DI3090" s="4">
        <f>INDEX(Sheet2!A:A,QUOTIENT(ROW()-1,19)+2)</f>
        <v>41626</v>
      </c>
      <c r="DJ3090" s="4">
        <f>INDEX(Sheet2!C:C,QUOTIENT(ROW()-1,19)+2)</f>
        <v>42735</v>
      </c>
      <c r="DK3090" s="4" t="e">
        <f>INDEX(Sheet2!$AA$2:$AS$228,QUOTIENT(ROW()-1,19)+1,MOD(ROW()-2,19)+1)</f>
        <v>#N/A</v>
      </c>
      <c r="DL3090" t="str">
        <f>IFERROR(INDEX(Sheet2!$AU$2:$BM$228,QUOTIENT(ROW()-1,19)+1,MOD(ROW()-2,19)+1),NA())</f>
        <v/>
      </c>
      <c r="DM3090" s="4" t="e">
        <f t="shared" si="165"/>
        <v>#N/A</v>
      </c>
      <c r="DN3090" t="e">
        <f t="shared" si="166"/>
        <v>#N/A</v>
      </c>
      <c r="DO3090" t="e">
        <f t="shared" si="167"/>
        <v>#N/A</v>
      </c>
    </row>
    <row r="3091" spans="7:119" x14ac:dyDescent="0.25">
      <c r="G3091"/>
      <c r="DI3091" s="4">
        <f>INDEX(Sheet2!A:A,QUOTIENT(ROW()-1,19)+2)</f>
        <v>41626</v>
      </c>
      <c r="DJ3091" s="4">
        <f>INDEX(Sheet2!C:C,QUOTIENT(ROW()-1,19)+2)</f>
        <v>42735</v>
      </c>
      <c r="DK3091" s="4" t="e">
        <f>INDEX(Sheet2!$AA$2:$AS$228,QUOTIENT(ROW()-1,19)+1,MOD(ROW()-2,19)+1)</f>
        <v>#N/A</v>
      </c>
      <c r="DL3091" t="str">
        <f>IFERROR(INDEX(Sheet2!$AU$2:$BM$228,QUOTIENT(ROW()-1,19)+1,MOD(ROW()-2,19)+1),NA())</f>
        <v/>
      </c>
      <c r="DM3091" s="4" t="e">
        <f t="shared" si="165"/>
        <v>#N/A</v>
      </c>
      <c r="DN3091" t="e">
        <f t="shared" si="166"/>
        <v>#N/A</v>
      </c>
      <c r="DO3091" t="e">
        <f t="shared" si="167"/>
        <v>#N/A</v>
      </c>
    </row>
    <row r="3092" spans="7:119" x14ac:dyDescent="0.25">
      <c r="G3092"/>
      <c r="DI3092" s="4">
        <f>INDEX(Sheet2!A:A,QUOTIENT(ROW()-1,19)+2)</f>
        <v>41626</v>
      </c>
      <c r="DJ3092" s="4">
        <f>INDEX(Sheet2!C:C,QUOTIENT(ROW()-1,19)+2)</f>
        <v>42735</v>
      </c>
      <c r="DK3092" s="4" t="e">
        <f>INDEX(Sheet2!$AA$2:$AS$228,QUOTIENT(ROW()-1,19)+1,MOD(ROW()-2,19)+1)</f>
        <v>#N/A</v>
      </c>
      <c r="DL3092" t="str">
        <f>IFERROR(INDEX(Sheet2!$AU$2:$BM$228,QUOTIENT(ROW()-1,19)+1,MOD(ROW()-2,19)+1),NA())</f>
        <v/>
      </c>
      <c r="DM3092" s="4" t="e">
        <f t="shared" si="165"/>
        <v>#N/A</v>
      </c>
      <c r="DN3092" t="e">
        <f t="shared" si="166"/>
        <v>#N/A</v>
      </c>
      <c r="DO3092" t="e">
        <f t="shared" si="167"/>
        <v>#N/A</v>
      </c>
    </row>
    <row r="3093" spans="7:119" x14ac:dyDescent="0.25">
      <c r="G3093"/>
      <c r="DI3093" s="4">
        <f>INDEX(Sheet2!A:A,QUOTIENT(ROW()-1,19)+2)</f>
        <v>41626</v>
      </c>
      <c r="DJ3093" s="4">
        <f>INDEX(Sheet2!C:C,QUOTIENT(ROW()-1,19)+2)</f>
        <v>42735</v>
      </c>
      <c r="DK3093" s="4" t="e">
        <f>INDEX(Sheet2!$AA$2:$AS$228,QUOTIENT(ROW()-1,19)+1,MOD(ROW()-2,19)+1)</f>
        <v>#N/A</v>
      </c>
      <c r="DL3093" t="str">
        <f>IFERROR(INDEX(Sheet2!$AU$2:$BM$228,QUOTIENT(ROW()-1,19)+1,MOD(ROW()-2,19)+1),NA())</f>
        <v/>
      </c>
      <c r="DM3093" s="4" t="e">
        <f t="shared" si="165"/>
        <v>#N/A</v>
      </c>
      <c r="DN3093" t="e">
        <f t="shared" si="166"/>
        <v>#N/A</v>
      </c>
      <c r="DO3093" t="e">
        <f t="shared" si="167"/>
        <v>#N/A</v>
      </c>
    </row>
    <row r="3094" spans="7:119" x14ac:dyDescent="0.25">
      <c r="G3094"/>
      <c r="DI3094" s="4">
        <f>INDEX(Sheet2!A:A,QUOTIENT(ROW()-1,19)+2)</f>
        <v>41626</v>
      </c>
      <c r="DJ3094" s="4">
        <f>INDEX(Sheet2!C:C,QUOTIENT(ROW()-1,19)+2)</f>
        <v>42735</v>
      </c>
      <c r="DK3094" s="4" t="e">
        <f>INDEX(Sheet2!$AA$2:$AS$228,QUOTIENT(ROW()-1,19)+1,MOD(ROW()-2,19)+1)</f>
        <v>#N/A</v>
      </c>
      <c r="DL3094" t="str">
        <f>IFERROR(INDEX(Sheet2!$AU$2:$BM$228,QUOTIENT(ROW()-1,19)+1,MOD(ROW()-2,19)+1),NA())</f>
        <v/>
      </c>
      <c r="DM3094" s="4" t="e">
        <f t="shared" si="165"/>
        <v>#N/A</v>
      </c>
      <c r="DN3094" t="e">
        <f t="shared" si="166"/>
        <v>#N/A</v>
      </c>
      <c r="DO3094" t="e">
        <f t="shared" si="167"/>
        <v>#N/A</v>
      </c>
    </row>
    <row r="3095" spans="7:119" x14ac:dyDescent="0.25">
      <c r="G3095"/>
      <c r="DI3095" s="4">
        <f>INDEX(Sheet2!A:A,QUOTIENT(ROW()-1,19)+2)</f>
        <v>41626</v>
      </c>
      <c r="DJ3095" s="4">
        <f>INDEX(Sheet2!C:C,QUOTIENT(ROW()-1,19)+2)</f>
        <v>42735</v>
      </c>
      <c r="DK3095" s="4" t="e">
        <f>INDEX(Sheet2!$AA$2:$AS$228,QUOTIENT(ROW()-1,19)+1,MOD(ROW()-2,19)+1)</f>
        <v>#N/A</v>
      </c>
      <c r="DL3095" t="str">
        <f>IFERROR(INDEX(Sheet2!$AU$2:$BM$228,QUOTIENT(ROW()-1,19)+1,MOD(ROW()-2,19)+1),NA())</f>
        <v/>
      </c>
      <c r="DM3095" s="4" t="e">
        <f t="shared" si="165"/>
        <v>#N/A</v>
      </c>
      <c r="DN3095" t="e">
        <f t="shared" si="166"/>
        <v>#N/A</v>
      </c>
      <c r="DO3095" t="e">
        <f t="shared" si="167"/>
        <v>#N/A</v>
      </c>
    </row>
    <row r="3096" spans="7:119" x14ac:dyDescent="0.25">
      <c r="G3096"/>
      <c r="DI3096" s="4">
        <f>INDEX(Sheet2!A:A,QUOTIENT(ROW()-1,19)+2)</f>
        <v>41626</v>
      </c>
      <c r="DJ3096" s="4">
        <f>INDEX(Sheet2!C:C,QUOTIENT(ROW()-1,19)+2)</f>
        <v>42735</v>
      </c>
      <c r="DK3096" s="4" t="e">
        <f>INDEX(Sheet2!$AA$2:$AS$228,QUOTIENT(ROW()-1,19)+1,MOD(ROW()-2,19)+1)</f>
        <v>#N/A</v>
      </c>
      <c r="DL3096" t="str">
        <f>IFERROR(INDEX(Sheet2!$AU$2:$BM$228,QUOTIENT(ROW()-1,19)+1,MOD(ROW()-2,19)+1),NA())</f>
        <v/>
      </c>
      <c r="DM3096" s="4" t="e">
        <f t="shared" si="165"/>
        <v>#N/A</v>
      </c>
      <c r="DN3096" t="e">
        <f t="shared" si="166"/>
        <v>#N/A</v>
      </c>
      <c r="DO3096" t="e">
        <f t="shared" si="167"/>
        <v>#N/A</v>
      </c>
    </row>
    <row r="3097" spans="7:119" x14ac:dyDescent="0.25">
      <c r="G3097"/>
      <c r="DI3097" s="4">
        <f>INDEX(Sheet2!A:A,QUOTIENT(ROW()-1,19)+2)</f>
        <v>41626</v>
      </c>
      <c r="DJ3097" s="4">
        <f>INDEX(Sheet2!C:C,QUOTIENT(ROW()-1,19)+2)</f>
        <v>42735</v>
      </c>
      <c r="DK3097" s="4" t="e">
        <f>INDEX(Sheet2!$AA$2:$AS$228,QUOTIENT(ROW()-1,19)+1,MOD(ROW()-2,19)+1)</f>
        <v>#N/A</v>
      </c>
      <c r="DL3097" t="str">
        <f>IFERROR(INDEX(Sheet2!$AU$2:$BM$228,QUOTIENT(ROW()-1,19)+1,MOD(ROW()-2,19)+1),NA())</f>
        <v/>
      </c>
      <c r="DM3097" s="4" t="e">
        <f t="shared" si="165"/>
        <v>#N/A</v>
      </c>
      <c r="DN3097" t="e">
        <f t="shared" si="166"/>
        <v>#N/A</v>
      </c>
      <c r="DO3097" t="e">
        <f t="shared" si="167"/>
        <v>#N/A</v>
      </c>
    </row>
    <row r="3098" spans="7:119" x14ac:dyDescent="0.25">
      <c r="G3098"/>
      <c r="DI3098" s="4">
        <f>INDEX(Sheet2!A:A,QUOTIENT(ROW()-1,19)+2)</f>
        <v>41626</v>
      </c>
      <c r="DJ3098" s="4">
        <f>INDEX(Sheet2!C:C,QUOTIENT(ROW()-1,19)+2)</f>
        <v>42735</v>
      </c>
      <c r="DK3098" s="4" t="e">
        <f>INDEX(Sheet2!$AA$2:$AS$228,QUOTIENT(ROW()-1,19)+1,MOD(ROW()-2,19)+1)</f>
        <v>#N/A</v>
      </c>
      <c r="DL3098" t="str">
        <f>IFERROR(INDEX(Sheet2!$AU$2:$BM$228,QUOTIENT(ROW()-1,19)+1,MOD(ROW()-2,19)+1),NA())</f>
        <v/>
      </c>
      <c r="DM3098" s="4" t="e">
        <f t="shared" si="165"/>
        <v>#N/A</v>
      </c>
      <c r="DN3098" t="e">
        <f t="shared" si="166"/>
        <v>#N/A</v>
      </c>
      <c r="DO3098" t="e">
        <f t="shared" si="167"/>
        <v>#N/A</v>
      </c>
    </row>
    <row r="3099" spans="7:119" x14ac:dyDescent="0.25">
      <c r="G3099"/>
      <c r="DI3099" s="4">
        <f>INDEX(Sheet2!A:A,QUOTIENT(ROW()-1,19)+2)</f>
        <v>41626</v>
      </c>
      <c r="DJ3099" s="4">
        <f>INDEX(Sheet2!C:C,QUOTIENT(ROW()-1,19)+2)</f>
        <v>42735</v>
      </c>
      <c r="DK3099" s="4">
        <f>INDEX(Sheet2!$AA$2:$AS$228,QUOTIENT(ROW()-1,19)+1,MOD(ROW()-2,19)+1)</f>
        <v>42735</v>
      </c>
      <c r="DL3099">
        <f>IFERROR(INDEX(Sheet2!$AU$2:$BM$228,QUOTIENT(ROW()-1,19)+1,MOD(ROW()-2,19)+1),NA())</f>
        <v>2.75</v>
      </c>
      <c r="DM3099" s="4" t="e">
        <f t="shared" si="165"/>
        <v>#N/A</v>
      </c>
      <c r="DN3099" t="e">
        <f t="shared" si="166"/>
        <v>#N/A</v>
      </c>
      <c r="DO3099" t="e">
        <f t="shared" si="167"/>
        <v>#N/A</v>
      </c>
    </row>
    <row r="3100" spans="7:119" x14ac:dyDescent="0.25">
      <c r="G3100"/>
      <c r="DI3100" s="4">
        <f>INDEX(Sheet2!A:A,QUOTIENT(ROW()-1,19)+2)</f>
        <v>41626</v>
      </c>
      <c r="DJ3100" s="4">
        <f>INDEX(Sheet2!C:C,QUOTIENT(ROW()-1,19)+2)</f>
        <v>42735</v>
      </c>
      <c r="DK3100" s="4" t="e">
        <f>INDEX(Sheet2!$AA$2:$AS$228,QUOTIENT(ROW()-1,19)+1,MOD(ROW()-2,19)+1)</f>
        <v>#N/A</v>
      </c>
      <c r="DL3100" t="str">
        <f>IFERROR(INDEX(Sheet2!$AU$2:$BM$228,QUOTIENT(ROW()-1,19)+1,MOD(ROW()-2,19)+1),NA())</f>
        <v/>
      </c>
      <c r="DM3100" s="4" t="e">
        <f t="shared" si="165"/>
        <v>#N/A</v>
      </c>
      <c r="DN3100" t="e">
        <f t="shared" si="166"/>
        <v>#N/A</v>
      </c>
      <c r="DO3100" t="e">
        <f t="shared" si="167"/>
        <v>#N/A</v>
      </c>
    </row>
    <row r="3101" spans="7:119" x14ac:dyDescent="0.25">
      <c r="G3101"/>
      <c r="DI3101" s="4">
        <f>INDEX(Sheet2!A:A,QUOTIENT(ROW()-1,19)+2)</f>
        <v>41626</v>
      </c>
      <c r="DJ3101" s="4">
        <f>INDEX(Sheet2!C:C,QUOTIENT(ROW()-1,19)+2)</f>
        <v>42735</v>
      </c>
      <c r="DK3101" s="4" t="e">
        <f>INDEX(Sheet2!$AA$2:$AS$228,QUOTIENT(ROW()-1,19)+1,MOD(ROW()-2,19)+1)</f>
        <v>#N/A</v>
      </c>
      <c r="DL3101" t="str">
        <f>IFERROR(INDEX(Sheet2!$AU$2:$BM$228,QUOTIENT(ROW()-1,19)+1,MOD(ROW()-2,19)+1),NA())</f>
        <v/>
      </c>
      <c r="DM3101" s="4" t="e">
        <f t="shared" si="165"/>
        <v>#N/A</v>
      </c>
      <c r="DN3101" t="e">
        <f t="shared" si="166"/>
        <v>#N/A</v>
      </c>
      <c r="DO3101" t="e">
        <f t="shared" si="167"/>
        <v>#N/A</v>
      </c>
    </row>
    <row r="3102" spans="7:119" x14ac:dyDescent="0.25">
      <c r="G3102"/>
      <c r="DI3102" s="4">
        <f>INDEX(Sheet2!A:A,QUOTIENT(ROW()-1,19)+2)</f>
        <v>41626</v>
      </c>
      <c r="DJ3102" s="4">
        <f>INDEX(Sheet2!C:C,QUOTIENT(ROW()-1,19)+2)</f>
        <v>42735</v>
      </c>
      <c r="DK3102" s="4" t="e">
        <f>INDEX(Sheet2!$AA$2:$AS$228,QUOTIENT(ROW()-1,19)+1,MOD(ROW()-2,19)+1)</f>
        <v>#N/A</v>
      </c>
      <c r="DL3102" t="str">
        <f>IFERROR(INDEX(Sheet2!$AU$2:$BM$228,QUOTIENT(ROW()-1,19)+1,MOD(ROW()-2,19)+1),NA())</f>
        <v/>
      </c>
      <c r="DM3102" s="4" t="e">
        <f t="shared" si="165"/>
        <v>#N/A</v>
      </c>
      <c r="DN3102" t="e">
        <f t="shared" si="166"/>
        <v>#N/A</v>
      </c>
      <c r="DO3102" t="e">
        <f t="shared" si="167"/>
        <v>#N/A</v>
      </c>
    </row>
    <row r="3103" spans="7:119" x14ac:dyDescent="0.25">
      <c r="G3103"/>
      <c r="DI3103" s="4">
        <f>INDEX(Sheet2!A:A,QUOTIENT(ROW()-1,19)+2)</f>
        <v>41626</v>
      </c>
      <c r="DJ3103" s="4">
        <f>INDEX(Sheet2!C:C,QUOTIENT(ROW()-1,19)+2)</f>
        <v>42735</v>
      </c>
      <c r="DK3103" s="4" t="e">
        <f>INDEX(Sheet2!$AA$2:$AS$228,QUOTIENT(ROW()-1,19)+1,MOD(ROW()-2,19)+1)</f>
        <v>#N/A</v>
      </c>
      <c r="DL3103" t="str">
        <f>IFERROR(INDEX(Sheet2!$AU$2:$BM$228,QUOTIENT(ROW()-1,19)+1,MOD(ROW()-2,19)+1),NA())</f>
        <v/>
      </c>
      <c r="DM3103" s="4" t="e">
        <f t="shared" si="165"/>
        <v>#N/A</v>
      </c>
      <c r="DN3103" t="e">
        <f t="shared" si="166"/>
        <v>#N/A</v>
      </c>
      <c r="DO3103" t="e">
        <f t="shared" si="167"/>
        <v>#N/A</v>
      </c>
    </row>
    <row r="3104" spans="7:119" x14ac:dyDescent="0.25">
      <c r="G3104"/>
      <c r="DI3104" s="4">
        <f>INDEX(Sheet2!A:A,QUOTIENT(ROW()-1,19)+2)</f>
        <v>41626</v>
      </c>
      <c r="DJ3104" s="4">
        <f>INDEX(Sheet2!C:C,QUOTIENT(ROW()-1,19)+2)</f>
        <v>42735</v>
      </c>
      <c r="DK3104" s="4" t="e">
        <f>INDEX(Sheet2!$AA$2:$AS$228,QUOTIENT(ROW()-1,19)+1,MOD(ROW()-2,19)+1)</f>
        <v>#N/A</v>
      </c>
      <c r="DL3104" t="str">
        <f>IFERROR(INDEX(Sheet2!$AU$2:$BM$228,QUOTIENT(ROW()-1,19)+1,MOD(ROW()-2,19)+1),NA())</f>
        <v/>
      </c>
      <c r="DM3104" s="4" t="e">
        <f t="shared" si="165"/>
        <v>#N/A</v>
      </c>
      <c r="DN3104" t="e">
        <f t="shared" si="166"/>
        <v>#N/A</v>
      </c>
      <c r="DO3104" t="e">
        <f t="shared" si="167"/>
        <v>#N/A</v>
      </c>
    </row>
    <row r="3105" spans="7:119" x14ac:dyDescent="0.25">
      <c r="G3105"/>
      <c r="DI3105" s="4">
        <f>INDEX(Sheet2!A:A,QUOTIENT(ROW()-1,19)+2)</f>
        <v>41626</v>
      </c>
      <c r="DJ3105" s="4">
        <f>INDEX(Sheet2!C:C,QUOTIENT(ROW()-1,19)+2)</f>
        <v>42735</v>
      </c>
      <c r="DK3105" s="4" t="e">
        <f>INDEX(Sheet2!$AA$2:$AS$228,QUOTIENT(ROW()-1,19)+1,MOD(ROW()-2,19)+1)</f>
        <v>#N/A</v>
      </c>
      <c r="DL3105" t="str">
        <f>IFERROR(INDEX(Sheet2!$AU$2:$BM$228,QUOTIENT(ROW()-1,19)+1,MOD(ROW()-2,19)+1),NA())</f>
        <v/>
      </c>
      <c r="DM3105" s="4" t="e">
        <f t="shared" si="165"/>
        <v>#N/A</v>
      </c>
      <c r="DN3105" t="e">
        <f t="shared" si="166"/>
        <v>#N/A</v>
      </c>
      <c r="DO3105" t="e">
        <f t="shared" si="167"/>
        <v>#N/A</v>
      </c>
    </row>
    <row r="3106" spans="7:119" x14ac:dyDescent="0.25">
      <c r="G3106"/>
      <c r="DI3106" s="4">
        <f>INDEX(Sheet2!A:A,QUOTIENT(ROW()-1,19)+2)</f>
        <v>41626</v>
      </c>
      <c r="DJ3106" s="4">
        <f>INDEX(Sheet2!C:C,QUOTIENT(ROW()-1,19)+2)</f>
        <v>42735</v>
      </c>
      <c r="DK3106" s="4" t="e">
        <f>INDEX(Sheet2!$AA$2:$AS$228,QUOTIENT(ROW()-1,19)+1,MOD(ROW()-2,19)+1)</f>
        <v>#N/A</v>
      </c>
      <c r="DL3106" t="str">
        <f>IFERROR(INDEX(Sheet2!$AU$2:$BM$228,QUOTIENT(ROW()-1,19)+1,MOD(ROW()-2,19)+1),NA())</f>
        <v/>
      </c>
      <c r="DM3106" s="4" t="e">
        <f t="shared" si="165"/>
        <v>#N/A</v>
      </c>
      <c r="DN3106" t="e">
        <f t="shared" si="166"/>
        <v>#N/A</v>
      </c>
      <c r="DO3106" t="e">
        <f t="shared" si="167"/>
        <v>#N/A</v>
      </c>
    </row>
    <row r="3107" spans="7:119" x14ac:dyDescent="0.25">
      <c r="G3107"/>
      <c r="DI3107" s="4">
        <f>INDEX(Sheet2!A:A,QUOTIENT(ROW()-1,19)+2)</f>
        <v>41626</v>
      </c>
      <c r="DJ3107" s="4">
        <f>INDEX(Sheet2!C:C,QUOTIENT(ROW()-1,19)+2)</f>
        <v>42735</v>
      </c>
      <c r="DK3107" s="4" t="e">
        <f>INDEX(Sheet2!$AA$2:$AS$228,QUOTIENT(ROW()-1,19)+1,MOD(ROW()-2,19)+1)</f>
        <v>#N/A</v>
      </c>
      <c r="DL3107" t="str">
        <f>IFERROR(INDEX(Sheet2!$AU$2:$BM$228,QUOTIENT(ROW()-1,19)+1,MOD(ROW()-2,19)+1),NA())</f>
        <v/>
      </c>
      <c r="DM3107" s="4" t="e">
        <f t="shared" si="165"/>
        <v>#N/A</v>
      </c>
      <c r="DN3107" t="e">
        <f t="shared" si="166"/>
        <v>#N/A</v>
      </c>
      <c r="DO3107" t="e">
        <f t="shared" si="167"/>
        <v>#N/A</v>
      </c>
    </row>
    <row r="3108" spans="7:119" x14ac:dyDescent="0.25">
      <c r="G3108"/>
      <c r="DI3108" s="4">
        <f>INDEX(Sheet2!A:A,QUOTIENT(ROW()-1,19)+2)</f>
        <v>41626</v>
      </c>
      <c r="DJ3108" s="4">
        <f>INDEX(Sheet2!C:C,QUOTIENT(ROW()-1,19)+2)</f>
        <v>42735</v>
      </c>
      <c r="DK3108" s="4" t="e">
        <f>INDEX(Sheet2!$AA$2:$AS$228,QUOTIENT(ROW()-1,19)+1,MOD(ROW()-2,19)+1)</f>
        <v>#N/A</v>
      </c>
      <c r="DL3108" t="str">
        <f>IFERROR(INDEX(Sheet2!$AU$2:$BM$228,QUOTIENT(ROW()-1,19)+1,MOD(ROW()-2,19)+1),NA())</f>
        <v/>
      </c>
      <c r="DM3108" s="4" t="e">
        <f t="shared" si="165"/>
        <v>#N/A</v>
      </c>
      <c r="DN3108" t="e">
        <f t="shared" si="166"/>
        <v>#N/A</v>
      </c>
      <c r="DO3108" t="e">
        <f t="shared" si="167"/>
        <v>#N/A</v>
      </c>
    </row>
    <row r="3109" spans="7:119" x14ac:dyDescent="0.25">
      <c r="G3109"/>
      <c r="DI3109" s="4">
        <f>INDEX(Sheet2!A:A,QUOTIENT(ROW()-1,19)+2)</f>
        <v>41626</v>
      </c>
      <c r="DJ3109" s="4">
        <f>INDEX(Sheet2!C:C,QUOTIENT(ROW()-1,19)+2)</f>
        <v>42735</v>
      </c>
      <c r="DK3109" s="4" t="e">
        <f>INDEX(Sheet2!$AA$2:$AS$228,QUOTIENT(ROW()-1,19)+1,MOD(ROW()-2,19)+1)</f>
        <v>#N/A</v>
      </c>
      <c r="DL3109" t="str">
        <f>IFERROR(INDEX(Sheet2!$AU$2:$BM$228,QUOTIENT(ROW()-1,19)+1,MOD(ROW()-2,19)+1),NA())</f>
        <v/>
      </c>
      <c r="DM3109" s="4" t="e">
        <f t="shared" si="165"/>
        <v>#N/A</v>
      </c>
      <c r="DN3109" t="e">
        <f t="shared" si="166"/>
        <v>#N/A</v>
      </c>
      <c r="DO3109" t="e">
        <f t="shared" si="167"/>
        <v>#N/A</v>
      </c>
    </row>
    <row r="3110" spans="7:119" x14ac:dyDescent="0.25">
      <c r="G3110"/>
      <c r="DI3110" s="4">
        <f>INDEX(Sheet2!A:A,QUOTIENT(ROW()-1,19)+2)</f>
        <v>41626</v>
      </c>
      <c r="DJ3110" s="4">
        <f>INDEX(Sheet2!C:C,QUOTIENT(ROW()-1,19)+2)</f>
        <v>42735</v>
      </c>
      <c r="DK3110" s="4" t="e">
        <f>INDEX(Sheet2!$AA$2:$AS$228,QUOTIENT(ROW()-1,19)+1,MOD(ROW()-2,19)+1)</f>
        <v>#N/A</v>
      </c>
      <c r="DL3110" t="str">
        <f>IFERROR(INDEX(Sheet2!$AU$2:$BM$228,QUOTIENT(ROW()-1,19)+1,MOD(ROW()-2,19)+1),NA())</f>
        <v/>
      </c>
      <c r="DM3110" s="4" t="e">
        <f t="shared" si="165"/>
        <v>#N/A</v>
      </c>
      <c r="DN3110" t="e">
        <f t="shared" si="166"/>
        <v>#N/A</v>
      </c>
      <c r="DO3110" t="e">
        <f t="shared" si="167"/>
        <v>#N/A</v>
      </c>
    </row>
    <row r="3111" spans="7:119" x14ac:dyDescent="0.25">
      <c r="G3111"/>
      <c r="DI3111" s="4">
        <f>INDEX(Sheet2!A:A,QUOTIENT(ROW()-1,19)+2)</f>
        <v>41626</v>
      </c>
      <c r="DJ3111" s="4">
        <f>INDEX(Sheet2!C:C,QUOTIENT(ROW()-1,19)+2)</f>
        <v>42735</v>
      </c>
      <c r="DK3111" s="4" t="e">
        <f>INDEX(Sheet2!$AA$2:$AS$228,QUOTIENT(ROW()-1,19)+1,MOD(ROW()-2,19)+1)</f>
        <v>#N/A</v>
      </c>
      <c r="DL3111" t="str">
        <f>IFERROR(INDEX(Sheet2!$AU$2:$BM$228,QUOTIENT(ROW()-1,19)+1,MOD(ROW()-2,19)+1),NA())</f>
        <v/>
      </c>
      <c r="DM3111" s="4" t="e">
        <f t="shared" si="165"/>
        <v>#N/A</v>
      </c>
      <c r="DN3111" t="e">
        <f t="shared" si="166"/>
        <v>#N/A</v>
      </c>
      <c r="DO3111" t="e">
        <f t="shared" si="167"/>
        <v>#N/A</v>
      </c>
    </row>
    <row r="3112" spans="7:119" x14ac:dyDescent="0.25">
      <c r="G3112"/>
      <c r="DI3112" s="4">
        <f>INDEX(Sheet2!A:A,QUOTIENT(ROW()-1,19)+2)</f>
        <v>41626</v>
      </c>
      <c r="DJ3112" s="4">
        <f>INDEX(Sheet2!C:C,QUOTIENT(ROW()-1,19)+2)</f>
        <v>42735</v>
      </c>
      <c r="DK3112" s="4" t="e">
        <f>INDEX(Sheet2!$AA$2:$AS$228,QUOTIENT(ROW()-1,19)+1,MOD(ROW()-2,19)+1)</f>
        <v>#N/A</v>
      </c>
      <c r="DL3112" t="str">
        <f>IFERROR(INDEX(Sheet2!$AU$2:$BM$228,QUOTIENT(ROW()-1,19)+1,MOD(ROW()-2,19)+1),NA())</f>
        <v/>
      </c>
      <c r="DM3112" s="4" t="e">
        <f t="shared" si="165"/>
        <v>#N/A</v>
      </c>
      <c r="DN3112" t="e">
        <f t="shared" si="166"/>
        <v>#N/A</v>
      </c>
      <c r="DO3112" t="e">
        <f t="shared" si="167"/>
        <v>#N/A</v>
      </c>
    </row>
    <row r="3113" spans="7:119" x14ac:dyDescent="0.25">
      <c r="G3113"/>
      <c r="DI3113" s="4">
        <f>INDEX(Sheet2!A:A,QUOTIENT(ROW()-1,19)+2)</f>
        <v>41626</v>
      </c>
      <c r="DJ3113" s="4">
        <f>INDEX(Sheet2!C:C,QUOTIENT(ROW()-1,19)+2)</f>
        <v>42735</v>
      </c>
      <c r="DK3113" s="4" t="e">
        <f>INDEX(Sheet2!$AA$2:$AS$228,QUOTIENT(ROW()-1,19)+1,MOD(ROW()-2,19)+1)</f>
        <v>#N/A</v>
      </c>
      <c r="DL3113" t="str">
        <f>IFERROR(INDEX(Sheet2!$AU$2:$BM$228,QUOTIENT(ROW()-1,19)+1,MOD(ROW()-2,19)+1),NA())</f>
        <v/>
      </c>
      <c r="DM3113" s="4" t="e">
        <f t="shared" si="165"/>
        <v>#N/A</v>
      </c>
      <c r="DN3113" t="e">
        <f t="shared" si="166"/>
        <v>#N/A</v>
      </c>
      <c r="DO3113" t="e">
        <f t="shared" si="167"/>
        <v>#N/A</v>
      </c>
    </row>
    <row r="3114" spans="7:119" x14ac:dyDescent="0.25">
      <c r="G3114"/>
      <c r="DI3114" s="4">
        <f>INDEX(Sheet2!A:A,QUOTIENT(ROW()-1,19)+2)</f>
        <v>41626</v>
      </c>
      <c r="DJ3114" s="4">
        <f>INDEX(Sheet2!C:C,QUOTIENT(ROW()-1,19)+2)</f>
        <v>42735</v>
      </c>
      <c r="DK3114" s="4" t="e">
        <f>INDEX(Sheet2!$AA$2:$AS$228,QUOTIENT(ROW()-1,19)+1,MOD(ROW()-2,19)+1)</f>
        <v>#N/A</v>
      </c>
      <c r="DL3114" t="str">
        <f>IFERROR(INDEX(Sheet2!$AU$2:$BM$228,QUOTIENT(ROW()-1,19)+1,MOD(ROW()-2,19)+1),NA())</f>
        <v/>
      </c>
      <c r="DM3114" s="4" t="e">
        <f t="shared" si="165"/>
        <v>#N/A</v>
      </c>
      <c r="DN3114" t="e">
        <f t="shared" si="166"/>
        <v>#N/A</v>
      </c>
      <c r="DO3114" t="e">
        <f t="shared" si="167"/>
        <v>#N/A</v>
      </c>
    </row>
    <row r="3115" spans="7:119" x14ac:dyDescent="0.25">
      <c r="G3115"/>
      <c r="DI3115" s="4">
        <f>INDEX(Sheet2!A:A,QUOTIENT(ROW()-1,19)+2)</f>
        <v>41626</v>
      </c>
      <c r="DJ3115" s="4">
        <f>INDEX(Sheet2!C:C,QUOTIENT(ROW()-1,19)+2)</f>
        <v>42735</v>
      </c>
      <c r="DK3115" s="4" t="e">
        <f>INDEX(Sheet2!$AA$2:$AS$228,QUOTIENT(ROW()-1,19)+1,MOD(ROW()-2,19)+1)</f>
        <v>#N/A</v>
      </c>
      <c r="DL3115" t="str">
        <f>IFERROR(INDEX(Sheet2!$AU$2:$BM$228,QUOTIENT(ROW()-1,19)+1,MOD(ROW()-2,19)+1),NA())</f>
        <v/>
      </c>
      <c r="DM3115" s="4" t="e">
        <f t="shared" si="165"/>
        <v>#N/A</v>
      </c>
      <c r="DN3115" t="e">
        <f t="shared" si="166"/>
        <v>#N/A</v>
      </c>
      <c r="DO3115" t="e">
        <f t="shared" si="167"/>
        <v>#N/A</v>
      </c>
    </row>
    <row r="3116" spans="7:119" x14ac:dyDescent="0.25">
      <c r="G3116"/>
      <c r="DI3116" s="4">
        <f>INDEX(Sheet2!A:A,QUOTIENT(ROW()-1,19)+2)</f>
        <v>41626</v>
      </c>
      <c r="DJ3116" s="4">
        <f>INDEX(Sheet2!C:C,QUOTIENT(ROW()-1,19)+2)</f>
        <v>42735</v>
      </c>
      <c r="DK3116" s="4" t="e">
        <f>INDEX(Sheet2!$AA$2:$AS$228,QUOTIENT(ROW()-1,19)+1,MOD(ROW()-2,19)+1)</f>
        <v>#N/A</v>
      </c>
      <c r="DL3116" t="str">
        <f>IFERROR(INDEX(Sheet2!$AU$2:$BM$228,QUOTIENT(ROW()-1,19)+1,MOD(ROW()-2,19)+1),NA())</f>
        <v/>
      </c>
      <c r="DM3116" s="4" t="e">
        <f t="shared" si="165"/>
        <v>#N/A</v>
      </c>
      <c r="DN3116" t="e">
        <f t="shared" si="166"/>
        <v>#N/A</v>
      </c>
      <c r="DO3116" t="e">
        <f t="shared" si="167"/>
        <v>#N/A</v>
      </c>
    </row>
    <row r="3117" spans="7:119" x14ac:dyDescent="0.25">
      <c r="G3117"/>
      <c r="DI3117" s="4">
        <f>INDEX(Sheet2!A:A,QUOTIENT(ROW()-1,19)+2)</f>
        <v>41626</v>
      </c>
      <c r="DJ3117" s="4">
        <f>INDEX(Sheet2!C:C,QUOTIENT(ROW()-1,19)+2)</f>
        <v>42735</v>
      </c>
      <c r="DK3117" s="4" t="e">
        <f>INDEX(Sheet2!$AA$2:$AS$228,QUOTIENT(ROW()-1,19)+1,MOD(ROW()-2,19)+1)</f>
        <v>#N/A</v>
      </c>
      <c r="DL3117" t="str">
        <f>IFERROR(INDEX(Sheet2!$AU$2:$BM$228,QUOTIENT(ROW()-1,19)+1,MOD(ROW()-2,19)+1),NA())</f>
        <v/>
      </c>
      <c r="DM3117" s="4" t="e">
        <f t="shared" si="165"/>
        <v>#N/A</v>
      </c>
      <c r="DN3117" t="e">
        <f t="shared" si="166"/>
        <v>#N/A</v>
      </c>
      <c r="DO3117" t="e">
        <f t="shared" si="167"/>
        <v>#N/A</v>
      </c>
    </row>
    <row r="3118" spans="7:119" x14ac:dyDescent="0.25">
      <c r="G3118"/>
      <c r="DI3118" s="4">
        <f>INDEX(Sheet2!A:A,QUOTIENT(ROW()-1,19)+2)</f>
        <v>41626</v>
      </c>
      <c r="DJ3118" s="4">
        <f>INDEX(Sheet2!C:C,QUOTIENT(ROW()-1,19)+2)</f>
        <v>42735</v>
      </c>
      <c r="DK3118" s="4">
        <f>INDEX(Sheet2!$AA$2:$AS$228,QUOTIENT(ROW()-1,19)+1,MOD(ROW()-2,19)+1)</f>
        <v>42735</v>
      </c>
      <c r="DL3118">
        <f>IFERROR(INDEX(Sheet2!$AU$2:$BM$228,QUOTIENT(ROW()-1,19)+1,MOD(ROW()-2,19)+1),NA())</f>
        <v>3</v>
      </c>
      <c r="DM3118" s="4" t="e">
        <f t="shared" si="165"/>
        <v>#N/A</v>
      </c>
      <c r="DN3118" t="e">
        <f t="shared" si="166"/>
        <v>#N/A</v>
      </c>
      <c r="DO3118" t="e">
        <f t="shared" si="167"/>
        <v>#N/A</v>
      </c>
    </row>
    <row r="3119" spans="7:119" x14ac:dyDescent="0.25">
      <c r="G3119"/>
      <c r="DI3119" s="4">
        <f>INDEX(Sheet2!A:A,QUOTIENT(ROW()-1,19)+2)</f>
        <v>41626</v>
      </c>
      <c r="DJ3119" s="4">
        <f>INDEX(Sheet2!C:C,QUOTIENT(ROW()-1,19)+2)</f>
        <v>42735</v>
      </c>
      <c r="DK3119" s="4" t="e">
        <f>INDEX(Sheet2!$AA$2:$AS$228,QUOTIENT(ROW()-1,19)+1,MOD(ROW()-2,19)+1)</f>
        <v>#N/A</v>
      </c>
      <c r="DL3119" t="str">
        <f>IFERROR(INDEX(Sheet2!$AU$2:$BM$228,QUOTIENT(ROW()-1,19)+1,MOD(ROW()-2,19)+1),NA())</f>
        <v/>
      </c>
      <c r="DM3119" s="4" t="e">
        <f t="shared" si="165"/>
        <v>#N/A</v>
      </c>
      <c r="DN3119" t="e">
        <f t="shared" si="166"/>
        <v>#N/A</v>
      </c>
      <c r="DO3119" t="e">
        <f t="shared" si="167"/>
        <v>#N/A</v>
      </c>
    </row>
    <row r="3120" spans="7:119" x14ac:dyDescent="0.25">
      <c r="G3120"/>
      <c r="DI3120" s="4">
        <f>INDEX(Sheet2!A:A,QUOTIENT(ROW()-1,19)+2)</f>
        <v>41626</v>
      </c>
      <c r="DJ3120" s="4">
        <f>INDEX(Sheet2!C:C,QUOTIENT(ROW()-1,19)+2)</f>
        <v>42735</v>
      </c>
      <c r="DK3120" s="4" t="e">
        <f>INDEX(Sheet2!$AA$2:$AS$228,QUOTIENT(ROW()-1,19)+1,MOD(ROW()-2,19)+1)</f>
        <v>#N/A</v>
      </c>
      <c r="DL3120" t="str">
        <f>IFERROR(INDEX(Sheet2!$AU$2:$BM$228,QUOTIENT(ROW()-1,19)+1,MOD(ROW()-2,19)+1),NA())</f>
        <v/>
      </c>
      <c r="DM3120" s="4" t="e">
        <f t="shared" si="165"/>
        <v>#N/A</v>
      </c>
      <c r="DN3120" t="e">
        <f t="shared" si="166"/>
        <v>#N/A</v>
      </c>
      <c r="DO3120" t="e">
        <f t="shared" si="167"/>
        <v>#N/A</v>
      </c>
    </row>
    <row r="3121" spans="7:119" x14ac:dyDescent="0.25">
      <c r="G3121"/>
      <c r="DI3121" s="4">
        <f>INDEX(Sheet2!A:A,QUOTIENT(ROW()-1,19)+2)</f>
        <v>41626</v>
      </c>
      <c r="DJ3121" s="4">
        <f>INDEX(Sheet2!C:C,QUOTIENT(ROW()-1,19)+2)</f>
        <v>42735</v>
      </c>
      <c r="DK3121" s="4" t="e">
        <f>INDEX(Sheet2!$AA$2:$AS$228,QUOTIENT(ROW()-1,19)+1,MOD(ROW()-2,19)+1)</f>
        <v>#N/A</v>
      </c>
      <c r="DL3121" t="str">
        <f>IFERROR(INDEX(Sheet2!$AU$2:$BM$228,QUOTIENT(ROW()-1,19)+1,MOD(ROW()-2,19)+1),NA())</f>
        <v/>
      </c>
      <c r="DM3121" s="4" t="e">
        <f t="shared" si="165"/>
        <v>#N/A</v>
      </c>
      <c r="DN3121" t="e">
        <f t="shared" si="166"/>
        <v>#N/A</v>
      </c>
      <c r="DO3121" t="e">
        <f t="shared" si="167"/>
        <v>#N/A</v>
      </c>
    </row>
    <row r="3122" spans="7:119" x14ac:dyDescent="0.25">
      <c r="G3122"/>
      <c r="DI3122" s="4">
        <f>INDEX(Sheet2!A:A,QUOTIENT(ROW()-1,19)+2)</f>
        <v>41626</v>
      </c>
      <c r="DJ3122" s="4">
        <f>INDEX(Sheet2!C:C,QUOTIENT(ROW()-1,19)+2)</f>
        <v>42735</v>
      </c>
      <c r="DK3122" s="4" t="e">
        <f>INDEX(Sheet2!$AA$2:$AS$228,QUOTIENT(ROW()-1,19)+1,MOD(ROW()-2,19)+1)</f>
        <v>#N/A</v>
      </c>
      <c r="DL3122" t="str">
        <f>IFERROR(INDEX(Sheet2!$AU$2:$BM$228,QUOTIENT(ROW()-1,19)+1,MOD(ROW()-2,19)+1),NA())</f>
        <v/>
      </c>
      <c r="DM3122" s="4" t="e">
        <f t="shared" si="165"/>
        <v>#N/A</v>
      </c>
      <c r="DN3122" t="e">
        <f t="shared" si="166"/>
        <v>#N/A</v>
      </c>
      <c r="DO3122" t="e">
        <f t="shared" si="167"/>
        <v>#N/A</v>
      </c>
    </row>
    <row r="3123" spans="7:119" x14ac:dyDescent="0.25">
      <c r="G3123"/>
      <c r="DI3123" s="4">
        <f>INDEX(Sheet2!A:A,QUOTIENT(ROW()-1,19)+2)</f>
        <v>41626</v>
      </c>
      <c r="DJ3123" s="4">
        <f>INDEX(Sheet2!C:C,QUOTIENT(ROW()-1,19)+2)</f>
        <v>42735</v>
      </c>
      <c r="DK3123" s="4" t="e">
        <f>INDEX(Sheet2!$AA$2:$AS$228,QUOTIENT(ROW()-1,19)+1,MOD(ROW()-2,19)+1)</f>
        <v>#N/A</v>
      </c>
      <c r="DL3123" t="str">
        <f>IFERROR(INDEX(Sheet2!$AU$2:$BM$228,QUOTIENT(ROW()-1,19)+1,MOD(ROW()-2,19)+1),NA())</f>
        <v/>
      </c>
      <c r="DM3123" s="4" t="e">
        <f t="shared" si="165"/>
        <v>#N/A</v>
      </c>
      <c r="DN3123" t="e">
        <f t="shared" si="166"/>
        <v>#N/A</v>
      </c>
      <c r="DO3123" t="e">
        <f t="shared" si="167"/>
        <v>#N/A</v>
      </c>
    </row>
    <row r="3124" spans="7:119" x14ac:dyDescent="0.25">
      <c r="G3124"/>
      <c r="DI3124" s="4">
        <f>INDEX(Sheet2!A:A,QUOTIENT(ROW()-1,19)+2)</f>
        <v>41626</v>
      </c>
      <c r="DJ3124" s="4">
        <f>INDEX(Sheet2!C:C,QUOTIENT(ROW()-1,19)+2)</f>
        <v>42735</v>
      </c>
      <c r="DK3124" s="4" t="e">
        <f>INDEX(Sheet2!$AA$2:$AS$228,QUOTIENT(ROW()-1,19)+1,MOD(ROW()-2,19)+1)</f>
        <v>#N/A</v>
      </c>
      <c r="DL3124" t="str">
        <f>IFERROR(INDEX(Sheet2!$AU$2:$BM$228,QUOTIENT(ROW()-1,19)+1,MOD(ROW()-2,19)+1),NA())</f>
        <v/>
      </c>
      <c r="DM3124" s="4" t="e">
        <f t="shared" si="165"/>
        <v>#N/A</v>
      </c>
      <c r="DN3124" t="e">
        <f t="shared" si="166"/>
        <v>#N/A</v>
      </c>
      <c r="DO3124" t="e">
        <f t="shared" si="167"/>
        <v>#N/A</v>
      </c>
    </row>
    <row r="3125" spans="7:119" x14ac:dyDescent="0.25">
      <c r="G3125"/>
      <c r="DI3125" s="4">
        <f>INDEX(Sheet2!A:A,QUOTIENT(ROW()-1,19)+2)</f>
        <v>41626</v>
      </c>
      <c r="DJ3125" s="4">
        <f>INDEX(Sheet2!C:C,QUOTIENT(ROW()-1,19)+2)</f>
        <v>42735</v>
      </c>
      <c r="DK3125" s="4" t="e">
        <f>INDEX(Sheet2!$AA$2:$AS$228,QUOTIENT(ROW()-1,19)+1,MOD(ROW()-2,19)+1)</f>
        <v>#N/A</v>
      </c>
      <c r="DL3125" t="str">
        <f>IFERROR(INDEX(Sheet2!$AU$2:$BM$228,QUOTIENT(ROW()-1,19)+1,MOD(ROW()-2,19)+1),NA())</f>
        <v/>
      </c>
      <c r="DM3125" s="4" t="e">
        <f t="shared" si="165"/>
        <v>#N/A</v>
      </c>
      <c r="DN3125" t="e">
        <f t="shared" si="166"/>
        <v>#N/A</v>
      </c>
      <c r="DO3125" t="e">
        <f t="shared" si="167"/>
        <v>#N/A</v>
      </c>
    </row>
    <row r="3126" spans="7:119" x14ac:dyDescent="0.25">
      <c r="G3126"/>
      <c r="DI3126" s="4">
        <f>INDEX(Sheet2!A:A,QUOTIENT(ROW()-1,19)+2)</f>
        <v>41626</v>
      </c>
      <c r="DJ3126" s="4">
        <f>INDEX(Sheet2!C:C,QUOTIENT(ROW()-1,19)+2)</f>
        <v>42735</v>
      </c>
      <c r="DK3126" s="4" t="e">
        <f>INDEX(Sheet2!$AA$2:$AS$228,QUOTIENT(ROW()-1,19)+1,MOD(ROW()-2,19)+1)</f>
        <v>#N/A</v>
      </c>
      <c r="DL3126" t="str">
        <f>IFERROR(INDEX(Sheet2!$AU$2:$BM$228,QUOTIENT(ROW()-1,19)+1,MOD(ROW()-2,19)+1),NA())</f>
        <v/>
      </c>
      <c r="DM3126" s="4" t="e">
        <f t="shared" si="165"/>
        <v>#N/A</v>
      </c>
      <c r="DN3126" t="e">
        <f t="shared" si="166"/>
        <v>#N/A</v>
      </c>
      <c r="DO3126" t="e">
        <f t="shared" si="167"/>
        <v>#N/A</v>
      </c>
    </row>
    <row r="3127" spans="7:119" x14ac:dyDescent="0.25">
      <c r="G3127"/>
      <c r="DI3127" s="4">
        <f>INDEX(Sheet2!A:A,QUOTIENT(ROW()-1,19)+2)</f>
        <v>41626</v>
      </c>
      <c r="DJ3127" s="4">
        <f>INDEX(Sheet2!C:C,QUOTIENT(ROW()-1,19)+2)</f>
        <v>42735</v>
      </c>
      <c r="DK3127" s="4" t="e">
        <f>INDEX(Sheet2!$AA$2:$AS$228,QUOTIENT(ROW()-1,19)+1,MOD(ROW()-2,19)+1)</f>
        <v>#N/A</v>
      </c>
      <c r="DL3127" t="str">
        <f>IFERROR(INDEX(Sheet2!$AU$2:$BM$228,QUOTIENT(ROW()-1,19)+1,MOD(ROW()-2,19)+1),NA())</f>
        <v/>
      </c>
      <c r="DM3127" s="4" t="e">
        <f t="shared" si="165"/>
        <v>#N/A</v>
      </c>
      <c r="DN3127" t="e">
        <f t="shared" si="166"/>
        <v>#N/A</v>
      </c>
      <c r="DO3127" t="e">
        <f t="shared" si="167"/>
        <v>#N/A</v>
      </c>
    </row>
    <row r="3128" spans="7:119" x14ac:dyDescent="0.25">
      <c r="G3128"/>
      <c r="DI3128" s="4">
        <f>INDEX(Sheet2!A:A,QUOTIENT(ROW()-1,19)+2)</f>
        <v>41626</v>
      </c>
      <c r="DJ3128" s="4">
        <f>INDEX(Sheet2!C:C,QUOTIENT(ROW()-1,19)+2)</f>
        <v>42735</v>
      </c>
      <c r="DK3128" s="4" t="e">
        <f>INDEX(Sheet2!$AA$2:$AS$228,QUOTIENT(ROW()-1,19)+1,MOD(ROW()-2,19)+1)</f>
        <v>#N/A</v>
      </c>
      <c r="DL3128" t="str">
        <f>IFERROR(INDEX(Sheet2!$AU$2:$BM$228,QUOTIENT(ROW()-1,19)+1,MOD(ROW()-2,19)+1),NA())</f>
        <v/>
      </c>
      <c r="DM3128" s="4" t="e">
        <f t="shared" si="165"/>
        <v>#N/A</v>
      </c>
      <c r="DN3128" t="e">
        <f t="shared" si="166"/>
        <v>#N/A</v>
      </c>
      <c r="DO3128" t="e">
        <f t="shared" si="167"/>
        <v>#N/A</v>
      </c>
    </row>
    <row r="3129" spans="7:119" x14ac:dyDescent="0.25">
      <c r="G3129"/>
      <c r="DI3129" s="4">
        <f>INDEX(Sheet2!A:A,QUOTIENT(ROW()-1,19)+2)</f>
        <v>41626</v>
      </c>
      <c r="DJ3129" s="4">
        <f>INDEX(Sheet2!C:C,QUOTIENT(ROW()-1,19)+2)</f>
        <v>42735</v>
      </c>
      <c r="DK3129" s="4" t="e">
        <f>INDEX(Sheet2!$AA$2:$AS$228,QUOTIENT(ROW()-1,19)+1,MOD(ROW()-2,19)+1)</f>
        <v>#N/A</v>
      </c>
      <c r="DL3129" t="str">
        <f>IFERROR(INDEX(Sheet2!$AU$2:$BM$228,QUOTIENT(ROW()-1,19)+1,MOD(ROW()-2,19)+1),NA())</f>
        <v/>
      </c>
      <c r="DM3129" s="4" t="e">
        <f t="shared" si="165"/>
        <v>#N/A</v>
      </c>
      <c r="DN3129" t="e">
        <f t="shared" si="166"/>
        <v>#N/A</v>
      </c>
      <c r="DO3129" t="e">
        <f t="shared" si="167"/>
        <v>#N/A</v>
      </c>
    </row>
    <row r="3130" spans="7:119" x14ac:dyDescent="0.25">
      <c r="G3130"/>
      <c r="DI3130" s="4">
        <f>INDEX(Sheet2!A:A,QUOTIENT(ROW()-1,19)+2)</f>
        <v>41626</v>
      </c>
      <c r="DJ3130" s="4">
        <f>INDEX(Sheet2!C:C,QUOTIENT(ROW()-1,19)+2)</f>
        <v>42735</v>
      </c>
      <c r="DK3130" s="4" t="e">
        <f>INDEX(Sheet2!$AA$2:$AS$228,QUOTIENT(ROW()-1,19)+1,MOD(ROW()-2,19)+1)</f>
        <v>#N/A</v>
      </c>
      <c r="DL3130" t="str">
        <f>IFERROR(INDEX(Sheet2!$AU$2:$BM$228,QUOTIENT(ROW()-1,19)+1,MOD(ROW()-2,19)+1),NA())</f>
        <v/>
      </c>
      <c r="DM3130" s="4" t="e">
        <f t="shared" si="165"/>
        <v>#N/A</v>
      </c>
      <c r="DN3130" t="e">
        <f t="shared" si="166"/>
        <v>#N/A</v>
      </c>
      <c r="DO3130" t="e">
        <f t="shared" si="167"/>
        <v>#N/A</v>
      </c>
    </row>
    <row r="3131" spans="7:119" x14ac:dyDescent="0.25">
      <c r="G3131"/>
      <c r="DI3131" s="4">
        <f>INDEX(Sheet2!A:A,QUOTIENT(ROW()-1,19)+2)</f>
        <v>41626</v>
      </c>
      <c r="DJ3131" s="4">
        <f>INDEX(Sheet2!C:C,QUOTIENT(ROW()-1,19)+2)</f>
        <v>42735</v>
      </c>
      <c r="DK3131" s="4" t="e">
        <f>INDEX(Sheet2!$AA$2:$AS$228,QUOTIENT(ROW()-1,19)+1,MOD(ROW()-2,19)+1)</f>
        <v>#N/A</v>
      </c>
      <c r="DL3131" t="str">
        <f>IFERROR(INDEX(Sheet2!$AU$2:$BM$228,QUOTIENT(ROW()-1,19)+1,MOD(ROW()-2,19)+1),NA())</f>
        <v/>
      </c>
      <c r="DM3131" s="4" t="e">
        <f t="shared" si="165"/>
        <v>#N/A</v>
      </c>
      <c r="DN3131" t="e">
        <f t="shared" si="166"/>
        <v>#N/A</v>
      </c>
      <c r="DO3131" t="e">
        <f t="shared" si="167"/>
        <v>#N/A</v>
      </c>
    </row>
    <row r="3132" spans="7:119" x14ac:dyDescent="0.25">
      <c r="G3132"/>
      <c r="DI3132" s="4">
        <f>INDEX(Sheet2!A:A,QUOTIENT(ROW()-1,19)+2)</f>
        <v>41626</v>
      </c>
      <c r="DJ3132" s="4">
        <f>INDEX(Sheet2!C:C,QUOTIENT(ROW()-1,19)+2)</f>
        <v>42735</v>
      </c>
      <c r="DK3132" s="4" t="e">
        <f>INDEX(Sheet2!$AA$2:$AS$228,QUOTIENT(ROW()-1,19)+1,MOD(ROW()-2,19)+1)</f>
        <v>#N/A</v>
      </c>
      <c r="DL3132" t="str">
        <f>IFERROR(INDEX(Sheet2!$AU$2:$BM$228,QUOTIENT(ROW()-1,19)+1,MOD(ROW()-2,19)+1),NA())</f>
        <v/>
      </c>
      <c r="DM3132" s="4" t="e">
        <f t="shared" si="165"/>
        <v>#N/A</v>
      </c>
      <c r="DN3132" t="e">
        <f t="shared" si="166"/>
        <v>#N/A</v>
      </c>
      <c r="DO3132" t="e">
        <f t="shared" si="167"/>
        <v>#N/A</v>
      </c>
    </row>
    <row r="3133" spans="7:119" x14ac:dyDescent="0.25">
      <c r="G3133"/>
      <c r="DI3133" s="4">
        <f>INDEX(Sheet2!A:A,QUOTIENT(ROW()-1,19)+2)</f>
        <v>41626</v>
      </c>
      <c r="DJ3133" s="4">
        <f>INDEX(Sheet2!C:C,QUOTIENT(ROW()-1,19)+2)</f>
        <v>42735</v>
      </c>
      <c r="DK3133" s="4" t="e">
        <f>INDEX(Sheet2!$AA$2:$AS$228,QUOTIENT(ROW()-1,19)+1,MOD(ROW()-2,19)+1)</f>
        <v>#N/A</v>
      </c>
      <c r="DL3133" t="str">
        <f>IFERROR(INDEX(Sheet2!$AU$2:$BM$228,QUOTIENT(ROW()-1,19)+1,MOD(ROW()-2,19)+1),NA())</f>
        <v/>
      </c>
      <c r="DM3133" s="4" t="e">
        <f t="shared" si="165"/>
        <v>#N/A</v>
      </c>
      <c r="DN3133" t="e">
        <f t="shared" si="166"/>
        <v>#N/A</v>
      </c>
      <c r="DO3133" t="e">
        <f t="shared" si="167"/>
        <v>#N/A</v>
      </c>
    </row>
    <row r="3134" spans="7:119" x14ac:dyDescent="0.25">
      <c r="G3134"/>
      <c r="DI3134" s="4">
        <f>INDEX(Sheet2!A:A,QUOTIENT(ROW()-1,19)+2)</f>
        <v>41626</v>
      </c>
      <c r="DJ3134" s="4">
        <f>INDEX(Sheet2!C:C,QUOTIENT(ROW()-1,19)+2)</f>
        <v>42735</v>
      </c>
      <c r="DK3134" s="4" t="e">
        <f>INDEX(Sheet2!$AA$2:$AS$228,QUOTIENT(ROW()-1,19)+1,MOD(ROW()-2,19)+1)</f>
        <v>#N/A</v>
      </c>
      <c r="DL3134" t="str">
        <f>IFERROR(INDEX(Sheet2!$AU$2:$BM$228,QUOTIENT(ROW()-1,19)+1,MOD(ROW()-2,19)+1),NA())</f>
        <v/>
      </c>
      <c r="DM3134" s="4" t="e">
        <f t="shared" si="165"/>
        <v>#N/A</v>
      </c>
      <c r="DN3134" t="e">
        <f t="shared" si="166"/>
        <v>#N/A</v>
      </c>
      <c r="DO3134" t="e">
        <f t="shared" si="167"/>
        <v>#N/A</v>
      </c>
    </row>
    <row r="3135" spans="7:119" x14ac:dyDescent="0.25">
      <c r="G3135"/>
      <c r="DI3135" s="4">
        <f>INDEX(Sheet2!A:A,QUOTIENT(ROW()-1,19)+2)</f>
        <v>41626</v>
      </c>
      <c r="DJ3135" s="4">
        <f>INDEX(Sheet2!C:C,QUOTIENT(ROW()-1,19)+2)</f>
        <v>42735</v>
      </c>
      <c r="DK3135" s="4" t="e">
        <f>INDEX(Sheet2!$AA$2:$AS$228,QUOTIENT(ROW()-1,19)+1,MOD(ROW()-2,19)+1)</f>
        <v>#N/A</v>
      </c>
      <c r="DL3135" t="str">
        <f>IFERROR(INDEX(Sheet2!$AU$2:$BM$228,QUOTIENT(ROW()-1,19)+1,MOD(ROW()-2,19)+1),NA())</f>
        <v/>
      </c>
      <c r="DM3135" s="4" t="e">
        <f t="shared" si="165"/>
        <v>#N/A</v>
      </c>
      <c r="DN3135" t="e">
        <f t="shared" si="166"/>
        <v>#N/A</v>
      </c>
      <c r="DO3135" t="e">
        <f t="shared" si="167"/>
        <v>#N/A</v>
      </c>
    </row>
    <row r="3136" spans="7:119" x14ac:dyDescent="0.25">
      <c r="G3136"/>
      <c r="DI3136" s="4">
        <f>INDEX(Sheet2!A:A,QUOTIENT(ROW()-1,19)+2)</f>
        <v>41626</v>
      </c>
      <c r="DJ3136" s="4">
        <f>INDEX(Sheet2!C:C,QUOTIENT(ROW()-1,19)+2)</f>
        <v>42735</v>
      </c>
      <c r="DK3136" s="4" t="e">
        <f>INDEX(Sheet2!$AA$2:$AS$228,QUOTIENT(ROW()-1,19)+1,MOD(ROW()-2,19)+1)</f>
        <v>#N/A</v>
      </c>
      <c r="DL3136" t="str">
        <f>IFERROR(INDEX(Sheet2!$AU$2:$BM$228,QUOTIENT(ROW()-1,19)+1,MOD(ROW()-2,19)+1),NA())</f>
        <v/>
      </c>
      <c r="DM3136" s="4" t="e">
        <f t="shared" si="165"/>
        <v>#N/A</v>
      </c>
      <c r="DN3136" t="e">
        <f t="shared" si="166"/>
        <v>#N/A</v>
      </c>
      <c r="DO3136" t="e">
        <f t="shared" si="167"/>
        <v>#N/A</v>
      </c>
    </row>
    <row r="3137" spans="7:119" x14ac:dyDescent="0.25">
      <c r="G3137"/>
      <c r="DI3137" s="4">
        <f>INDEX(Sheet2!A:A,QUOTIENT(ROW()-1,19)+2)</f>
        <v>41626</v>
      </c>
      <c r="DJ3137" s="4">
        <f>INDEX(Sheet2!C:C,QUOTIENT(ROW()-1,19)+2)</f>
        <v>42735</v>
      </c>
      <c r="DK3137" s="4">
        <f>INDEX(Sheet2!$AA$2:$AS$228,QUOTIENT(ROW()-1,19)+1,MOD(ROW()-2,19)+1)</f>
        <v>42735</v>
      </c>
      <c r="DL3137">
        <f>IFERROR(INDEX(Sheet2!$AU$2:$BM$228,QUOTIENT(ROW()-1,19)+1,MOD(ROW()-2,19)+1),NA())</f>
        <v>3.25</v>
      </c>
      <c r="DM3137" s="4" t="e">
        <f t="shared" si="165"/>
        <v>#N/A</v>
      </c>
      <c r="DN3137" t="e">
        <f t="shared" si="166"/>
        <v>#N/A</v>
      </c>
      <c r="DO3137" t="e">
        <f t="shared" si="167"/>
        <v>#N/A</v>
      </c>
    </row>
    <row r="3138" spans="7:119" x14ac:dyDescent="0.25">
      <c r="G3138"/>
      <c r="DI3138" s="4">
        <f>INDEX(Sheet2!A:A,QUOTIENT(ROW()-1,19)+2)</f>
        <v>41626</v>
      </c>
      <c r="DJ3138" s="4">
        <f>INDEX(Sheet2!C:C,QUOTIENT(ROW()-1,19)+2)</f>
        <v>42735</v>
      </c>
      <c r="DK3138" s="4" t="e">
        <f>INDEX(Sheet2!$AA$2:$AS$228,QUOTIENT(ROW()-1,19)+1,MOD(ROW()-2,19)+1)</f>
        <v>#N/A</v>
      </c>
      <c r="DL3138" t="str">
        <f>IFERROR(INDEX(Sheet2!$AU$2:$BM$228,QUOTIENT(ROW()-1,19)+1,MOD(ROW()-2,19)+1),NA())</f>
        <v/>
      </c>
      <c r="DM3138" s="4" t="e">
        <f t="shared" ref="DM3138:DM3201" si="168">+IF($C$2=$DI3138,DK3138,NA())</f>
        <v>#N/A</v>
      </c>
      <c r="DN3138" t="e">
        <f t="shared" ref="DN3138:DN3201" si="169">+IF($C$2=$DI3138,DL3138,NA())</f>
        <v>#N/A</v>
      </c>
      <c r="DO3138" t="e">
        <f t="shared" si="167"/>
        <v>#N/A</v>
      </c>
    </row>
    <row r="3139" spans="7:119" x14ac:dyDescent="0.25">
      <c r="G3139"/>
      <c r="DI3139" s="4">
        <f>INDEX(Sheet2!A:A,QUOTIENT(ROW()-1,19)+2)</f>
        <v>41626</v>
      </c>
      <c r="DJ3139" s="4">
        <f>INDEX(Sheet2!C:C,QUOTIENT(ROW()-1,19)+2)</f>
        <v>42735</v>
      </c>
      <c r="DK3139" s="4" t="e">
        <f>INDEX(Sheet2!$AA$2:$AS$228,QUOTIENT(ROW()-1,19)+1,MOD(ROW()-2,19)+1)</f>
        <v>#N/A</v>
      </c>
      <c r="DL3139" t="str">
        <f>IFERROR(INDEX(Sheet2!$AU$2:$BM$228,QUOTIENT(ROW()-1,19)+1,MOD(ROW()-2,19)+1),NA())</f>
        <v/>
      </c>
      <c r="DM3139" s="4" t="e">
        <f t="shared" si="168"/>
        <v>#N/A</v>
      </c>
      <c r="DN3139" t="e">
        <f t="shared" si="169"/>
        <v>#N/A</v>
      </c>
      <c r="DO3139" t="e">
        <f t="shared" ref="DO3139:DO3202" si="170">IF(DN3139="",NA(),DN3139)</f>
        <v>#N/A</v>
      </c>
    </row>
    <row r="3140" spans="7:119" x14ac:dyDescent="0.25">
      <c r="G3140"/>
      <c r="DI3140" s="4">
        <f>INDEX(Sheet2!A:A,QUOTIENT(ROW()-1,19)+2)</f>
        <v>41626</v>
      </c>
      <c r="DJ3140" s="4">
        <f>INDEX(Sheet2!C:C,QUOTIENT(ROW()-1,19)+2)</f>
        <v>42735</v>
      </c>
      <c r="DK3140" s="4" t="e">
        <f>INDEX(Sheet2!$AA$2:$AS$228,QUOTIENT(ROW()-1,19)+1,MOD(ROW()-2,19)+1)</f>
        <v>#N/A</v>
      </c>
      <c r="DL3140" t="str">
        <f>IFERROR(INDEX(Sheet2!$AU$2:$BM$228,QUOTIENT(ROW()-1,19)+1,MOD(ROW()-2,19)+1),NA())</f>
        <v/>
      </c>
      <c r="DM3140" s="4" t="e">
        <f t="shared" si="168"/>
        <v>#N/A</v>
      </c>
      <c r="DN3140" t="e">
        <f t="shared" si="169"/>
        <v>#N/A</v>
      </c>
      <c r="DO3140" t="e">
        <f t="shared" si="170"/>
        <v>#N/A</v>
      </c>
    </row>
    <row r="3141" spans="7:119" x14ac:dyDescent="0.25">
      <c r="G3141"/>
      <c r="DI3141" s="4">
        <f>INDEX(Sheet2!A:A,QUOTIENT(ROW()-1,19)+2)</f>
        <v>41626</v>
      </c>
      <c r="DJ3141" s="4">
        <f>INDEX(Sheet2!C:C,QUOTIENT(ROW()-1,19)+2)</f>
        <v>42735</v>
      </c>
      <c r="DK3141" s="4" t="e">
        <f>INDEX(Sheet2!$AA$2:$AS$228,QUOTIENT(ROW()-1,19)+1,MOD(ROW()-2,19)+1)</f>
        <v>#N/A</v>
      </c>
      <c r="DL3141" t="str">
        <f>IFERROR(INDEX(Sheet2!$AU$2:$BM$228,QUOTIENT(ROW()-1,19)+1,MOD(ROW()-2,19)+1),NA())</f>
        <v/>
      </c>
      <c r="DM3141" s="4" t="e">
        <f t="shared" si="168"/>
        <v>#N/A</v>
      </c>
      <c r="DN3141" t="e">
        <f t="shared" si="169"/>
        <v>#N/A</v>
      </c>
      <c r="DO3141" t="e">
        <f t="shared" si="170"/>
        <v>#N/A</v>
      </c>
    </row>
    <row r="3142" spans="7:119" x14ac:dyDescent="0.25">
      <c r="G3142"/>
      <c r="DI3142" s="4">
        <f>INDEX(Sheet2!A:A,QUOTIENT(ROW()-1,19)+2)</f>
        <v>41626</v>
      </c>
      <c r="DJ3142" s="4">
        <f>INDEX(Sheet2!C:C,QUOTIENT(ROW()-1,19)+2)</f>
        <v>42735</v>
      </c>
      <c r="DK3142" s="4" t="e">
        <f>INDEX(Sheet2!$AA$2:$AS$228,QUOTIENT(ROW()-1,19)+1,MOD(ROW()-2,19)+1)</f>
        <v>#N/A</v>
      </c>
      <c r="DL3142" t="str">
        <f>IFERROR(INDEX(Sheet2!$AU$2:$BM$228,QUOTIENT(ROW()-1,19)+1,MOD(ROW()-2,19)+1),NA())</f>
        <v/>
      </c>
      <c r="DM3142" s="4" t="e">
        <f t="shared" si="168"/>
        <v>#N/A</v>
      </c>
      <c r="DN3142" t="e">
        <f t="shared" si="169"/>
        <v>#N/A</v>
      </c>
      <c r="DO3142" t="e">
        <f t="shared" si="170"/>
        <v>#N/A</v>
      </c>
    </row>
    <row r="3143" spans="7:119" x14ac:dyDescent="0.25">
      <c r="G3143"/>
      <c r="DI3143" s="4">
        <f>INDEX(Sheet2!A:A,QUOTIENT(ROW()-1,19)+2)</f>
        <v>41626</v>
      </c>
      <c r="DJ3143" s="4">
        <f>INDEX(Sheet2!C:C,QUOTIENT(ROW()-1,19)+2)</f>
        <v>42735</v>
      </c>
      <c r="DK3143" s="4" t="e">
        <f>INDEX(Sheet2!$AA$2:$AS$228,QUOTIENT(ROW()-1,19)+1,MOD(ROW()-2,19)+1)</f>
        <v>#N/A</v>
      </c>
      <c r="DL3143" t="str">
        <f>IFERROR(INDEX(Sheet2!$AU$2:$BM$228,QUOTIENT(ROW()-1,19)+1,MOD(ROW()-2,19)+1),NA())</f>
        <v/>
      </c>
      <c r="DM3143" s="4" t="e">
        <f t="shared" si="168"/>
        <v>#N/A</v>
      </c>
      <c r="DN3143" t="e">
        <f t="shared" si="169"/>
        <v>#N/A</v>
      </c>
      <c r="DO3143" t="e">
        <f t="shared" si="170"/>
        <v>#N/A</v>
      </c>
    </row>
    <row r="3144" spans="7:119" x14ac:dyDescent="0.25">
      <c r="G3144"/>
      <c r="DI3144" s="4">
        <f>INDEX(Sheet2!A:A,QUOTIENT(ROW()-1,19)+2)</f>
        <v>41626</v>
      </c>
      <c r="DJ3144" s="4">
        <f>INDEX(Sheet2!C:C,QUOTIENT(ROW()-1,19)+2)</f>
        <v>42735</v>
      </c>
      <c r="DK3144" s="4" t="e">
        <f>INDEX(Sheet2!$AA$2:$AS$228,QUOTIENT(ROW()-1,19)+1,MOD(ROW()-2,19)+1)</f>
        <v>#N/A</v>
      </c>
      <c r="DL3144" t="str">
        <f>IFERROR(INDEX(Sheet2!$AU$2:$BM$228,QUOTIENT(ROW()-1,19)+1,MOD(ROW()-2,19)+1),NA())</f>
        <v/>
      </c>
      <c r="DM3144" s="4" t="e">
        <f t="shared" si="168"/>
        <v>#N/A</v>
      </c>
      <c r="DN3144" t="e">
        <f t="shared" si="169"/>
        <v>#N/A</v>
      </c>
      <c r="DO3144" t="e">
        <f t="shared" si="170"/>
        <v>#N/A</v>
      </c>
    </row>
    <row r="3145" spans="7:119" x14ac:dyDescent="0.25">
      <c r="G3145"/>
      <c r="DI3145" s="4">
        <f>INDEX(Sheet2!A:A,QUOTIENT(ROW()-1,19)+2)</f>
        <v>41626</v>
      </c>
      <c r="DJ3145" s="4">
        <f>INDEX(Sheet2!C:C,QUOTIENT(ROW()-1,19)+2)</f>
        <v>42735</v>
      </c>
      <c r="DK3145" s="4" t="e">
        <f>INDEX(Sheet2!$AA$2:$AS$228,QUOTIENT(ROW()-1,19)+1,MOD(ROW()-2,19)+1)</f>
        <v>#N/A</v>
      </c>
      <c r="DL3145" t="str">
        <f>IFERROR(INDEX(Sheet2!$AU$2:$BM$228,QUOTIENT(ROW()-1,19)+1,MOD(ROW()-2,19)+1),NA())</f>
        <v/>
      </c>
      <c r="DM3145" s="4" t="e">
        <f t="shared" si="168"/>
        <v>#N/A</v>
      </c>
      <c r="DN3145" t="e">
        <f t="shared" si="169"/>
        <v>#N/A</v>
      </c>
      <c r="DO3145" t="e">
        <f t="shared" si="170"/>
        <v>#N/A</v>
      </c>
    </row>
    <row r="3146" spans="7:119" x14ac:dyDescent="0.25">
      <c r="G3146"/>
      <c r="DI3146" s="4">
        <f>INDEX(Sheet2!A:A,QUOTIENT(ROW()-1,19)+2)</f>
        <v>41626</v>
      </c>
      <c r="DJ3146" s="4">
        <f>INDEX(Sheet2!C:C,QUOTIENT(ROW()-1,19)+2)</f>
        <v>42735</v>
      </c>
      <c r="DK3146" s="4" t="e">
        <f>INDEX(Sheet2!$AA$2:$AS$228,QUOTIENT(ROW()-1,19)+1,MOD(ROW()-2,19)+1)</f>
        <v>#N/A</v>
      </c>
      <c r="DL3146" t="str">
        <f>IFERROR(INDEX(Sheet2!$AU$2:$BM$228,QUOTIENT(ROW()-1,19)+1,MOD(ROW()-2,19)+1),NA())</f>
        <v/>
      </c>
      <c r="DM3146" s="4" t="e">
        <f t="shared" si="168"/>
        <v>#N/A</v>
      </c>
      <c r="DN3146" t="e">
        <f t="shared" si="169"/>
        <v>#N/A</v>
      </c>
      <c r="DO3146" t="e">
        <f t="shared" si="170"/>
        <v>#N/A</v>
      </c>
    </row>
    <row r="3147" spans="7:119" x14ac:dyDescent="0.25">
      <c r="G3147"/>
      <c r="DI3147" s="4">
        <f>INDEX(Sheet2!A:A,QUOTIENT(ROW()-1,19)+2)</f>
        <v>41626</v>
      </c>
      <c r="DJ3147" s="4">
        <f>INDEX(Sheet2!C:C,QUOTIENT(ROW()-1,19)+2)</f>
        <v>42735</v>
      </c>
      <c r="DK3147" s="4" t="e">
        <f>INDEX(Sheet2!$AA$2:$AS$228,QUOTIENT(ROW()-1,19)+1,MOD(ROW()-2,19)+1)</f>
        <v>#N/A</v>
      </c>
      <c r="DL3147" t="str">
        <f>IFERROR(INDEX(Sheet2!$AU$2:$BM$228,QUOTIENT(ROW()-1,19)+1,MOD(ROW()-2,19)+1),NA())</f>
        <v/>
      </c>
      <c r="DM3147" s="4" t="e">
        <f t="shared" si="168"/>
        <v>#N/A</v>
      </c>
      <c r="DN3147" t="e">
        <f t="shared" si="169"/>
        <v>#N/A</v>
      </c>
      <c r="DO3147" t="e">
        <f t="shared" si="170"/>
        <v>#N/A</v>
      </c>
    </row>
    <row r="3148" spans="7:119" x14ac:dyDescent="0.25">
      <c r="G3148"/>
      <c r="DI3148" s="4">
        <f>INDEX(Sheet2!A:A,QUOTIENT(ROW()-1,19)+2)</f>
        <v>41626</v>
      </c>
      <c r="DJ3148" s="4">
        <f>INDEX(Sheet2!C:C,QUOTIENT(ROW()-1,19)+2)</f>
        <v>42735</v>
      </c>
      <c r="DK3148" s="4" t="e">
        <f>INDEX(Sheet2!$AA$2:$AS$228,QUOTIENT(ROW()-1,19)+1,MOD(ROW()-2,19)+1)</f>
        <v>#N/A</v>
      </c>
      <c r="DL3148" t="str">
        <f>IFERROR(INDEX(Sheet2!$AU$2:$BM$228,QUOTIENT(ROW()-1,19)+1,MOD(ROW()-2,19)+1),NA())</f>
        <v/>
      </c>
      <c r="DM3148" s="4" t="e">
        <f t="shared" si="168"/>
        <v>#N/A</v>
      </c>
      <c r="DN3148" t="e">
        <f t="shared" si="169"/>
        <v>#N/A</v>
      </c>
      <c r="DO3148" t="e">
        <f t="shared" si="170"/>
        <v>#N/A</v>
      </c>
    </row>
    <row r="3149" spans="7:119" x14ac:dyDescent="0.25">
      <c r="G3149"/>
      <c r="DI3149" s="4">
        <f>INDEX(Sheet2!A:A,QUOTIENT(ROW()-1,19)+2)</f>
        <v>41626</v>
      </c>
      <c r="DJ3149" s="4">
        <f>INDEX(Sheet2!C:C,QUOTIENT(ROW()-1,19)+2)</f>
        <v>42735</v>
      </c>
      <c r="DK3149" s="4" t="e">
        <f>INDEX(Sheet2!$AA$2:$AS$228,QUOTIENT(ROW()-1,19)+1,MOD(ROW()-2,19)+1)</f>
        <v>#N/A</v>
      </c>
      <c r="DL3149" t="str">
        <f>IFERROR(INDEX(Sheet2!$AU$2:$BM$228,QUOTIENT(ROW()-1,19)+1,MOD(ROW()-2,19)+1),NA())</f>
        <v/>
      </c>
      <c r="DM3149" s="4" t="e">
        <f t="shared" si="168"/>
        <v>#N/A</v>
      </c>
      <c r="DN3149" t="e">
        <f t="shared" si="169"/>
        <v>#N/A</v>
      </c>
      <c r="DO3149" t="e">
        <f t="shared" si="170"/>
        <v>#N/A</v>
      </c>
    </row>
    <row r="3150" spans="7:119" x14ac:dyDescent="0.25">
      <c r="G3150"/>
      <c r="DI3150" s="4">
        <f>INDEX(Sheet2!A:A,QUOTIENT(ROW()-1,19)+2)</f>
        <v>41626</v>
      </c>
      <c r="DJ3150" s="4">
        <f>INDEX(Sheet2!C:C,QUOTIENT(ROW()-1,19)+2)</f>
        <v>42735</v>
      </c>
      <c r="DK3150" s="4" t="e">
        <f>INDEX(Sheet2!$AA$2:$AS$228,QUOTIENT(ROW()-1,19)+1,MOD(ROW()-2,19)+1)</f>
        <v>#N/A</v>
      </c>
      <c r="DL3150" t="str">
        <f>IFERROR(INDEX(Sheet2!$AU$2:$BM$228,QUOTIENT(ROW()-1,19)+1,MOD(ROW()-2,19)+1),NA())</f>
        <v/>
      </c>
      <c r="DM3150" s="4" t="e">
        <f t="shared" si="168"/>
        <v>#N/A</v>
      </c>
      <c r="DN3150" t="e">
        <f t="shared" si="169"/>
        <v>#N/A</v>
      </c>
      <c r="DO3150" t="e">
        <f t="shared" si="170"/>
        <v>#N/A</v>
      </c>
    </row>
    <row r="3151" spans="7:119" x14ac:dyDescent="0.25">
      <c r="G3151"/>
      <c r="DI3151" s="4">
        <f>INDEX(Sheet2!A:A,QUOTIENT(ROW()-1,19)+2)</f>
        <v>41626</v>
      </c>
      <c r="DJ3151" s="4">
        <f>INDEX(Sheet2!C:C,QUOTIENT(ROW()-1,19)+2)</f>
        <v>42735</v>
      </c>
      <c r="DK3151" s="4" t="e">
        <f>INDEX(Sheet2!$AA$2:$AS$228,QUOTIENT(ROW()-1,19)+1,MOD(ROW()-2,19)+1)</f>
        <v>#N/A</v>
      </c>
      <c r="DL3151" t="str">
        <f>IFERROR(INDEX(Sheet2!$AU$2:$BM$228,QUOTIENT(ROW()-1,19)+1,MOD(ROW()-2,19)+1),NA())</f>
        <v/>
      </c>
      <c r="DM3151" s="4" t="e">
        <f t="shared" si="168"/>
        <v>#N/A</v>
      </c>
      <c r="DN3151" t="e">
        <f t="shared" si="169"/>
        <v>#N/A</v>
      </c>
      <c r="DO3151" t="e">
        <f t="shared" si="170"/>
        <v>#N/A</v>
      </c>
    </row>
    <row r="3152" spans="7:119" x14ac:dyDescent="0.25">
      <c r="G3152"/>
      <c r="DI3152" s="4">
        <f>INDEX(Sheet2!A:A,QUOTIENT(ROW()-1,19)+2)</f>
        <v>41626</v>
      </c>
      <c r="DJ3152" s="4">
        <f>INDEX(Sheet2!C:C,QUOTIENT(ROW()-1,19)+2)</f>
        <v>42735</v>
      </c>
      <c r="DK3152" s="4" t="e">
        <f>INDEX(Sheet2!$AA$2:$AS$228,QUOTIENT(ROW()-1,19)+1,MOD(ROW()-2,19)+1)</f>
        <v>#N/A</v>
      </c>
      <c r="DL3152" t="str">
        <f>IFERROR(INDEX(Sheet2!$AU$2:$BM$228,QUOTIENT(ROW()-1,19)+1,MOD(ROW()-2,19)+1),NA())</f>
        <v/>
      </c>
      <c r="DM3152" s="4" t="e">
        <f t="shared" si="168"/>
        <v>#N/A</v>
      </c>
      <c r="DN3152" t="e">
        <f t="shared" si="169"/>
        <v>#N/A</v>
      </c>
      <c r="DO3152" t="e">
        <f t="shared" si="170"/>
        <v>#N/A</v>
      </c>
    </row>
    <row r="3153" spans="7:119" x14ac:dyDescent="0.25">
      <c r="G3153"/>
      <c r="DI3153" s="4">
        <f>INDEX(Sheet2!A:A,QUOTIENT(ROW()-1,19)+2)</f>
        <v>41626</v>
      </c>
      <c r="DJ3153" s="4">
        <f>INDEX(Sheet2!C:C,QUOTIENT(ROW()-1,19)+2)</f>
        <v>42735</v>
      </c>
      <c r="DK3153" s="4" t="e">
        <f>INDEX(Sheet2!$AA$2:$AS$228,QUOTIENT(ROW()-1,19)+1,MOD(ROW()-2,19)+1)</f>
        <v>#N/A</v>
      </c>
      <c r="DL3153" t="str">
        <f>IFERROR(INDEX(Sheet2!$AU$2:$BM$228,QUOTIENT(ROW()-1,19)+1,MOD(ROW()-2,19)+1),NA())</f>
        <v/>
      </c>
      <c r="DM3153" s="4" t="e">
        <f t="shared" si="168"/>
        <v>#N/A</v>
      </c>
      <c r="DN3153" t="e">
        <f t="shared" si="169"/>
        <v>#N/A</v>
      </c>
      <c r="DO3153" t="e">
        <f t="shared" si="170"/>
        <v>#N/A</v>
      </c>
    </row>
    <row r="3154" spans="7:119" x14ac:dyDescent="0.25">
      <c r="G3154"/>
      <c r="DI3154" s="4">
        <f>INDEX(Sheet2!A:A,QUOTIENT(ROW()-1,19)+2)</f>
        <v>41626</v>
      </c>
      <c r="DJ3154" s="4">
        <f>INDEX(Sheet2!C:C,QUOTIENT(ROW()-1,19)+2)</f>
        <v>42735</v>
      </c>
      <c r="DK3154" s="4" t="e">
        <f>INDEX(Sheet2!$AA$2:$AS$228,QUOTIENT(ROW()-1,19)+1,MOD(ROW()-2,19)+1)</f>
        <v>#N/A</v>
      </c>
      <c r="DL3154" t="str">
        <f>IFERROR(INDEX(Sheet2!$AU$2:$BM$228,QUOTIENT(ROW()-1,19)+1,MOD(ROW()-2,19)+1),NA())</f>
        <v/>
      </c>
      <c r="DM3154" s="4" t="e">
        <f t="shared" si="168"/>
        <v>#N/A</v>
      </c>
      <c r="DN3154" t="e">
        <f t="shared" si="169"/>
        <v>#N/A</v>
      </c>
      <c r="DO3154" t="e">
        <f t="shared" si="170"/>
        <v>#N/A</v>
      </c>
    </row>
    <row r="3155" spans="7:119" x14ac:dyDescent="0.25">
      <c r="G3155"/>
      <c r="DI3155" s="4">
        <f>INDEX(Sheet2!A:A,QUOTIENT(ROW()-1,19)+2)</f>
        <v>41626</v>
      </c>
      <c r="DJ3155" s="4">
        <f>INDEX(Sheet2!C:C,QUOTIENT(ROW()-1,19)+2)</f>
        <v>42735</v>
      </c>
      <c r="DK3155" s="4" t="e">
        <f>INDEX(Sheet2!$AA$2:$AS$228,QUOTIENT(ROW()-1,19)+1,MOD(ROW()-2,19)+1)</f>
        <v>#N/A</v>
      </c>
      <c r="DL3155" t="str">
        <f>IFERROR(INDEX(Sheet2!$AU$2:$BM$228,QUOTIENT(ROW()-1,19)+1,MOD(ROW()-2,19)+1),NA())</f>
        <v/>
      </c>
      <c r="DM3155" s="4" t="e">
        <f t="shared" si="168"/>
        <v>#N/A</v>
      </c>
      <c r="DN3155" t="e">
        <f t="shared" si="169"/>
        <v>#N/A</v>
      </c>
      <c r="DO3155" t="e">
        <f t="shared" si="170"/>
        <v>#N/A</v>
      </c>
    </row>
    <row r="3156" spans="7:119" x14ac:dyDescent="0.25">
      <c r="G3156"/>
      <c r="DI3156" s="4">
        <f>INDEX(Sheet2!A:A,QUOTIENT(ROW()-1,19)+2)</f>
        <v>41626</v>
      </c>
      <c r="DJ3156" s="4">
        <f>INDEX(Sheet2!C:C,QUOTIENT(ROW()-1,19)+2)</f>
        <v>42735</v>
      </c>
      <c r="DK3156" s="4">
        <f>INDEX(Sheet2!$AA$2:$AS$228,QUOTIENT(ROW()-1,19)+1,MOD(ROW()-2,19)+1)</f>
        <v>42735</v>
      </c>
      <c r="DL3156">
        <f>IFERROR(INDEX(Sheet2!$AU$2:$BM$228,QUOTIENT(ROW()-1,19)+1,MOD(ROW()-2,19)+1),NA())</f>
        <v>4</v>
      </c>
      <c r="DM3156" s="4" t="e">
        <f t="shared" si="168"/>
        <v>#N/A</v>
      </c>
      <c r="DN3156" t="e">
        <f t="shared" si="169"/>
        <v>#N/A</v>
      </c>
      <c r="DO3156" t="e">
        <f t="shared" si="170"/>
        <v>#N/A</v>
      </c>
    </row>
    <row r="3157" spans="7:119" x14ac:dyDescent="0.25">
      <c r="G3157"/>
      <c r="DI3157" s="4">
        <f>INDEX(Sheet2!A:A,QUOTIENT(ROW()-1,19)+2)</f>
        <v>41626</v>
      </c>
      <c r="DJ3157" s="4">
        <f>INDEX(Sheet2!C:C,QUOTIENT(ROW()-1,19)+2)</f>
        <v>42735</v>
      </c>
      <c r="DK3157" s="4" t="e">
        <f>INDEX(Sheet2!$AA$2:$AS$228,QUOTIENT(ROW()-1,19)+1,MOD(ROW()-2,19)+1)</f>
        <v>#N/A</v>
      </c>
      <c r="DL3157" t="str">
        <f>IFERROR(INDEX(Sheet2!$AU$2:$BM$228,QUOTIENT(ROW()-1,19)+1,MOD(ROW()-2,19)+1),NA())</f>
        <v/>
      </c>
      <c r="DM3157" s="4" t="e">
        <f t="shared" si="168"/>
        <v>#N/A</v>
      </c>
      <c r="DN3157" t="e">
        <f t="shared" si="169"/>
        <v>#N/A</v>
      </c>
      <c r="DO3157" t="e">
        <f t="shared" si="170"/>
        <v>#N/A</v>
      </c>
    </row>
    <row r="3158" spans="7:119" x14ac:dyDescent="0.25">
      <c r="G3158"/>
      <c r="DI3158" s="4">
        <f>INDEX(Sheet2!A:A,QUOTIENT(ROW()-1,19)+2)</f>
        <v>41626</v>
      </c>
      <c r="DJ3158" s="4">
        <f>INDEX(Sheet2!C:C,QUOTIENT(ROW()-1,19)+2)</f>
        <v>42735</v>
      </c>
      <c r="DK3158" s="4" t="e">
        <f>INDEX(Sheet2!$AA$2:$AS$228,QUOTIENT(ROW()-1,19)+1,MOD(ROW()-2,19)+1)</f>
        <v>#N/A</v>
      </c>
      <c r="DL3158" t="str">
        <f>IFERROR(INDEX(Sheet2!$AU$2:$BM$228,QUOTIENT(ROW()-1,19)+1,MOD(ROW()-2,19)+1),NA())</f>
        <v/>
      </c>
      <c r="DM3158" s="4" t="e">
        <f t="shared" si="168"/>
        <v>#N/A</v>
      </c>
      <c r="DN3158" t="e">
        <f t="shared" si="169"/>
        <v>#N/A</v>
      </c>
      <c r="DO3158" t="e">
        <f t="shared" si="170"/>
        <v>#N/A</v>
      </c>
    </row>
    <row r="3159" spans="7:119" x14ac:dyDescent="0.25">
      <c r="G3159"/>
      <c r="DI3159" s="4">
        <f>INDEX(Sheet2!A:A,QUOTIENT(ROW()-1,19)+2)</f>
        <v>41626</v>
      </c>
      <c r="DJ3159" s="4">
        <f>INDEX(Sheet2!C:C,QUOTIENT(ROW()-1,19)+2)</f>
        <v>42735</v>
      </c>
      <c r="DK3159" s="4" t="e">
        <f>INDEX(Sheet2!$AA$2:$AS$228,QUOTIENT(ROW()-1,19)+1,MOD(ROW()-2,19)+1)</f>
        <v>#N/A</v>
      </c>
      <c r="DL3159" t="str">
        <f>IFERROR(INDEX(Sheet2!$AU$2:$BM$228,QUOTIENT(ROW()-1,19)+1,MOD(ROW()-2,19)+1),NA())</f>
        <v/>
      </c>
      <c r="DM3159" s="4" t="e">
        <f t="shared" si="168"/>
        <v>#N/A</v>
      </c>
      <c r="DN3159" t="e">
        <f t="shared" si="169"/>
        <v>#N/A</v>
      </c>
      <c r="DO3159" t="e">
        <f t="shared" si="170"/>
        <v>#N/A</v>
      </c>
    </row>
    <row r="3160" spans="7:119" x14ac:dyDescent="0.25">
      <c r="G3160"/>
      <c r="DI3160" s="4">
        <f>INDEX(Sheet2!A:A,QUOTIENT(ROW()-1,19)+2)</f>
        <v>41626</v>
      </c>
      <c r="DJ3160" s="4">
        <f>INDEX(Sheet2!C:C,QUOTIENT(ROW()-1,19)+2)</f>
        <v>42735</v>
      </c>
      <c r="DK3160" s="4" t="e">
        <f>INDEX(Sheet2!$AA$2:$AS$228,QUOTIENT(ROW()-1,19)+1,MOD(ROW()-2,19)+1)</f>
        <v>#N/A</v>
      </c>
      <c r="DL3160" t="str">
        <f>IFERROR(INDEX(Sheet2!$AU$2:$BM$228,QUOTIENT(ROW()-1,19)+1,MOD(ROW()-2,19)+1),NA())</f>
        <v/>
      </c>
      <c r="DM3160" s="4" t="e">
        <f t="shared" si="168"/>
        <v>#N/A</v>
      </c>
      <c r="DN3160" t="e">
        <f t="shared" si="169"/>
        <v>#N/A</v>
      </c>
      <c r="DO3160" t="e">
        <f t="shared" si="170"/>
        <v>#N/A</v>
      </c>
    </row>
    <row r="3161" spans="7:119" x14ac:dyDescent="0.25">
      <c r="G3161"/>
      <c r="DI3161" s="4">
        <f>INDEX(Sheet2!A:A,QUOTIENT(ROW()-1,19)+2)</f>
        <v>41626</v>
      </c>
      <c r="DJ3161" s="4">
        <f>INDEX(Sheet2!C:C,QUOTIENT(ROW()-1,19)+2)</f>
        <v>42735</v>
      </c>
      <c r="DK3161" s="4" t="e">
        <f>INDEX(Sheet2!$AA$2:$AS$228,QUOTIENT(ROW()-1,19)+1,MOD(ROW()-2,19)+1)</f>
        <v>#N/A</v>
      </c>
      <c r="DL3161" t="str">
        <f>IFERROR(INDEX(Sheet2!$AU$2:$BM$228,QUOTIENT(ROW()-1,19)+1,MOD(ROW()-2,19)+1),NA())</f>
        <v/>
      </c>
      <c r="DM3161" s="4" t="e">
        <f t="shared" si="168"/>
        <v>#N/A</v>
      </c>
      <c r="DN3161" t="e">
        <f t="shared" si="169"/>
        <v>#N/A</v>
      </c>
      <c r="DO3161" t="e">
        <f t="shared" si="170"/>
        <v>#N/A</v>
      </c>
    </row>
    <row r="3162" spans="7:119" x14ac:dyDescent="0.25">
      <c r="G3162"/>
      <c r="DI3162" s="4">
        <f>INDEX(Sheet2!A:A,QUOTIENT(ROW()-1,19)+2)</f>
        <v>41626</v>
      </c>
      <c r="DJ3162" s="4">
        <f>INDEX(Sheet2!C:C,QUOTIENT(ROW()-1,19)+2)</f>
        <v>42735</v>
      </c>
      <c r="DK3162" s="4" t="e">
        <f>INDEX(Sheet2!$AA$2:$AS$228,QUOTIENT(ROW()-1,19)+1,MOD(ROW()-2,19)+1)</f>
        <v>#N/A</v>
      </c>
      <c r="DL3162" t="str">
        <f>IFERROR(INDEX(Sheet2!$AU$2:$BM$228,QUOTIENT(ROW()-1,19)+1,MOD(ROW()-2,19)+1),NA())</f>
        <v/>
      </c>
      <c r="DM3162" s="4" t="e">
        <f t="shared" si="168"/>
        <v>#N/A</v>
      </c>
      <c r="DN3162" t="e">
        <f t="shared" si="169"/>
        <v>#N/A</v>
      </c>
      <c r="DO3162" t="e">
        <f t="shared" si="170"/>
        <v>#N/A</v>
      </c>
    </row>
    <row r="3163" spans="7:119" x14ac:dyDescent="0.25">
      <c r="G3163"/>
      <c r="DI3163" s="4">
        <f>INDEX(Sheet2!A:A,QUOTIENT(ROW()-1,19)+2)</f>
        <v>41626</v>
      </c>
      <c r="DJ3163" s="4">
        <f>INDEX(Sheet2!C:C,QUOTIENT(ROW()-1,19)+2)</f>
        <v>42735</v>
      </c>
      <c r="DK3163" s="4" t="e">
        <f>INDEX(Sheet2!$AA$2:$AS$228,QUOTIENT(ROW()-1,19)+1,MOD(ROW()-2,19)+1)</f>
        <v>#N/A</v>
      </c>
      <c r="DL3163" t="str">
        <f>IFERROR(INDEX(Sheet2!$AU$2:$BM$228,QUOTIENT(ROW()-1,19)+1,MOD(ROW()-2,19)+1),NA())</f>
        <v/>
      </c>
      <c r="DM3163" s="4" t="e">
        <f t="shared" si="168"/>
        <v>#N/A</v>
      </c>
      <c r="DN3163" t="e">
        <f t="shared" si="169"/>
        <v>#N/A</v>
      </c>
      <c r="DO3163" t="e">
        <f t="shared" si="170"/>
        <v>#N/A</v>
      </c>
    </row>
    <row r="3164" spans="7:119" x14ac:dyDescent="0.25">
      <c r="G3164"/>
      <c r="DI3164" s="4">
        <f>INDEX(Sheet2!A:A,QUOTIENT(ROW()-1,19)+2)</f>
        <v>41626</v>
      </c>
      <c r="DJ3164" s="4">
        <f>INDEX(Sheet2!C:C,QUOTIENT(ROW()-1,19)+2)</f>
        <v>42735</v>
      </c>
      <c r="DK3164" s="4" t="e">
        <f>INDEX(Sheet2!$AA$2:$AS$228,QUOTIENT(ROW()-1,19)+1,MOD(ROW()-2,19)+1)</f>
        <v>#N/A</v>
      </c>
      <c r="DL3164" t="str">
        <f>IFERROR(INDEX(Sheet2!$AU$2:$BM$228,QUOTIENT(ROW()-1,19)+1,MOD(ROW()-2,19)+1),NA())</f>
        <v/>
      </c>
      <c r="DM3164" s="4" t="e">
        <f t="shared" si="168"/>
        <v>#N/A</v>
      </c>
      <c r="DN3164" t="e">
        <f t="shared" si="169"/>
        <v>#N/A</v>
      </c>
      <c r="DO3164" t="e">
        <f t="shared" si="170"/>
        <v>#N/A</v>
      </c>
    </row>
    <row r="3165" spans="7:119" x14ac:dyDescent="0.25">
      <c r="G3165"/>
      <c r="DI3165" s="4">
        <f>INDEX(Sheet2!A:A,QUOTIENT(ROW()-1,19)+2)</f>
        <v>41626</v>
      </c>
      <c r="DJ3165" s="4">
        <f>INDEX(Sheet2!C:C,QUOTIENT(ROW()-1,19)+2)</f>
        <v>42735</v>
      </c>
      <c r="DK3165" s="4" t="e">
        <f>INDEX(Sheet2!$AA$2:$AS$228,QUOTIENT(ROW()-1,19)+1,MOD(ROW()-2,19)+1)</f>
        <v>#N/A</v>
      </c>
      <c r="DL3165" t="str">
        <f>IFERROR(INDEX(Sheet2!$AU$2:$BM$228,QUOTIENT(ROW()-1,19)+1,MOD(ROW()-2,19)+1),NA())</f>
        <v/>
      </c>
      <c r="DM3165" s="4" t="e">
        <f t="shared" si="168"/>
        <v>#N/A</v>
      </c>
      <c r="DN3165" t="e">
        <f t="shared" si="169"/>
        <v>#N/A</v>
      </c>
      <c r="DO3165" t="e">
        <f t="shared" si="170"/>
        <v>#N/A</v>
      </c>
    </row>
    <row r="3166" spans="7:119" x14ac:dyDescent="0.25">
      <c r="G3166"/>
      <c r="DI3166" s="4">
        <f>INDEX(Sheet2!A:A,QUOTIENT(ROW()-1,19)+2)</f>
        <v>41626</v>
      </c>
      <c r="DJ3166" s="4">
        <f>INDEX(Sheet2!C:C,QUOTIENT(ROW()-1,19)+2)</f>
        <v>42735</v>
      </c>
      <c r="DK3166" s="4" t="e">
        <f>INDEX(Sheet2!$AA$2:$AS$228,QUOTIENT(ROW()-1,19)+1,MOD(ROW()-2,19)+1)</f>
        <v>#N/A</v>
      </c>
      <c r="DL3166" t="str">
        <f>IFERROR(INDEX(Sheet2!$AU$2:$BM$228,QUOTIENT(ROW()-1,19)+1,MOD(ROW()-2,19)+1),NA())</f>
        <v/>
      </c>
      <c r="DM3166" s="4" t="e">
        <f t="shared" si="168"/>
        <v>#N/A</v>
      </c>
      <c r="DN3166" t="e">
        <f t="shared" si="169"/>
        <v>#N/A</v>
      </c>
      <c r="DO3166" t="e">
        <f t="shared" si="170"/>
        <v>#N/A</v>
      </c>
    </row>
    <row r="3167" spans="7:119" x14ac:dyDescent="0.25">
      <c r="G3167"/>
      <c r="DI3167" s="4">
        <f>INDEX(Sheet2!A:A,QUOTIENT(ROW()-1,19)+2)</f>
        <v>41626</v>
      </c>
      <c r="DJ3167" s="4">
        <f>INDEX(Sheet2!C:C,QUOTIENT(ROW()-1,19)+2)</f>
        <v>42735</v>
      </c>
      <c r="DK3167" s="4" t="e">
        <f>INDEX(Sheet2!$AA$2:$AS$228,QUOTIENT(ROW()-1,19)+1,MOD(ROW()-2,19)+1)</f>
        <v>#N/A</v>
      </c>
      <c r="DL3167" t="str">
        <f>IFERROR(INDEX(Sheet2!$AU$2:$BM$228,QUOTIENT(ROW()-1,19)+1,MOD(ROW()-2,19)+1),NA())</f>
        <v/>
      </c>
      <c r="DM3167" s="4" t="e">
        <f t="shared" si="168"/>
        <v>#N/A</v>
      </c>
      <c r="DN3167" t="e">
        <f t="shared" si="169"/>
        <v>#N/A</v>
      </c>
      <c r="DO3167" t="e">
        <f t="shared" si="170"/>
        <v>#N/A</v>
      </c>
    </row>
    <row r="3168" spans="7:119" x14ac:dyDescent="0.25">
      <c r="G3168"/>
      <c r="DI3168" s="4">
        <f>INDEX(Sheet2!A:A,QUOTIENT(ROW()-1,19)+2)</f>
        <v>41626</v>
      </c>
      <c r="DJ3168" s="4">
        <f>INDEX(Sheet2!C:C,QUOTIENT(ROW()-1,19)+2)</f>
        <v>42735</v>
      </c>
      <c r="DK3168" s="4" t="e">
        <f>INDEX(Sheet2!$AA$2:$AS$228,QUOTIENT(ROW()-1,19)+1,MOD(ROW()-2,19)+1)</f>
        <v>#N/A</v>
      </c>
      <c r="DL3168" t="str">
        <f>IFERROR(INDEX(Sheet2!$AU$2:$BM$228,QUOTIENT(ROW()-1,19)+1,MOD(ROW()-2,19)+1),NA())</f>
        <v/>
      </c>
      <c r="DM3168" s="4" t="e">
        <f t="shared" si="168"/>
        <v>#N/A</v>
      </c>
      <c r="DN3168" t="e">
        <f t="shared" si="169"/>
        <v>#N/A</v>
      </c>
      <c r="DO3168" t="e">
        <f t="shared" si="170"/>
        <v>#N/A</v>
      </c>
    </row>
    <row r="3169" spans="7:119" x14ac:dyDescent="0.25">
      <c r="G3169"/>
      <c r="DI3169" s="4">
        <f>INDEX(Sheet2!A:A,QUOTIENT(ROW()-1,19)+2)</f>
        <v>41626</v>
      </c>
      <c r="DJ3169" s="4">
        <f>INDEX(Sheet2!C:C,QUOTIENT(ROW()-1,19)+2)</f>
        <v>42735</v>
      </c>
      <c r="DK3169" s="4" t="e">
        <f>INDEX(Sheet2!$AA$2:$AS$228,QUOTIENT(ROW()-1,19)+1,MOD(ROW()-2,19)+1)</f>
        <v>#N/A</v>
      </c>
      <c r="DL3169" t="str">
        <f>IFERROR(INDEX(Sheet2!$AU$2:$BM$228,QUOTIENT(ROW()-1,19)+1,MOD(ROW()-2,19)+1),NA())</f>
        <v/>
      </c>
      <c r="DM3169" s="4" t="e">
        <f t="shared" si="168"/>
        <v>#N/A</v>
      </c>
      <c r="DN3169" t="e">
        <f t="shared" si="169"/>
        <v>#N/A</v>
      </c>
      <c r="DO3169" t="e">
        <f t="shared" si="170"/>
        <v>#N/A</v>
      </c>
    </row>
    <row r="3170" spans="7:119" x14ac:dyDescent="0.25">
      <c r="G3170"/>
      <c r="DI3170" s="4">
        <f>INDEX(Sheet2!A:A,QUOTIENT(ROW()-1,19)+2)</f>
        <v>41626</v>
      </c>
      <c r="DJ3170" s="4">
        <f>INDEX(Sheet2!C:C,QUOTIENT(ROW()-1,19)+2)</f>
        <v>42735</v>
      </c>
      <c r="DK3170" s="4" t="e">
        <f>INDEX(Sheet2!$AA$2:$AS$228,QUOTIENT(ROW()-1,19)+1,MOD(ROW()-2,19)+1)</f>
        <v>#N/A</v>
      </c>
      <c r="DL3170" t="str">
        <f>IFERROR(INDEX(Sheet2!$AU$2:$BM$228,QUOTIENT(ROW()-1,19)+1,MOD(ROW()-2,19)+1),NA())</f>
        <v/>
      </c>
      <c r="DM3170" s="4" t="e">
        <f t="shared" si="168"/>
        <v>#N/A</v>
      </c>
      <c r="DN3170" t="e">
        <f t="shared" si="169"/>
        <v>#N/A</v>
      </c>
      <c r="DO3170" t="e">
        <f t="shared" si="170"/>
        <v>#N/A</v>
      </c>
    </row>
    <row r="3171" spans="7:119" x14ac:dyDescent="0.25">
      <c r="G3171"/>
      <c r="DI3171" s="4">
        <f>INDEX(Sheet2!A:A,QUOTIENT(ROW()-1,19)+2)</f>
        <v>41626</v>
      </c>
      <c r="DJ3171" s="4">
        <f>INDEX(Sheet2!C:C,QUOTIENT(ROW()-1,19)+2)</f>
        <v>42735</v>
      </c>
      <c r="DK3171" s="4" t="e">
        <f>INDEX(Sheet2!$AA$2:$AS$228,QUOTIENT(ROW()-1,19)+1,MOD(ROW()-2,19)+1)</f>
        <v>#N/A</v>
      </c>
      <c r="DL3171" t="str">
        <f>IFERROR(INDEX(Sheet2!$AU$2:$BM$228,QUOTIENT(ROW()-1,19)+1,MOD(ROW()-2,19)+1),NA())</f>
        <v/>
      </c>
      <c r="DM3171" s="4" t="e">
        <f t="shared" si="168"/>
        <v>#N/A</v>
      </c>
      <c r="DN3171" t="e">
        <f t="shared" si="169"/>
        <v>#N/A</v>
      </c>
      <c r="DO3171" t="e">
        <f t="shared" si="170"/>
        <v>#N/A</v>
      </c>
    </row>
    <row r="3172" spans="7:119" x14ac:dyDescent="0.25">
      <c r="G3172"/>
      <c r="DI3172" s="4">
        <f>INDEX(Sheet2!A:A,QUOTIENT(ROW()-1,19)+2)</f>
        <v>41626</v>
      </c>
      <c r="DJ3172" s="4">
        <f>INDEX(Sheet2!C:C,QUOTIENT(ROW()-1,19)+2)</f>
        <v>42735</v>
      </c>
      <c r="DK3172" s="4" t="e">
        <f>INDEX(Sheet2!$AA$2:$AS$228,QUOTIENT(ROW()-1,19)+1,MOD(ROW()-2,19)+1)</f>
        <v>#N/A</v>
      </c>
      <c r="DL3172" t="str">
        <f>IFERROR(INDEX(Sheet2!$AU$2:$BM$228,QUOTIENT(ROW()-1,19)+1,MOD(ROW()-2,19)+1),NA())</f>
        <v/>
      </c>
      <c r="DM3172" s="4" t="e">
        <f t="shared" si="168"/>
        <v>#N/A</v>
      </c>
      <c r="DN3172" t="e">
        <f t="shared" si="169"/>
        <v>#N/A</v>
      </c>
      <c r="DO3172" t="e">
        <f t="shared" si="170"/>
        <v>#N/A</v>
      </c>
    </row>
    <row r="3173" spans="7:119" x14ac:dyDescent="0.25">
      <c r="G3173"/>
      <c r="DI3173" s="4">
        <f>INDEX(Sheet2!A:A,QUOTIENT(ROW()-1,19)+2)</f>
        <v>41626</v>
      </c>
      <c r="DJ3173" s="4">
        <f>INDEX(Sheet2!C:C,QUOTIENT(ROW()-1,19)+2)</f>
        <v>42735</v>
      </c>
      <c r="DK3173" s="4" t="e">
        <f>INDEX(Sheet2!$AA$2:$AS$228,QUOTIENT(ROW()-1,19)+1,MOD(ROW()-2,19)+1)</f>
        <v>#N/A</v>
      </c>
      <c r="DL3173" t="str">
        <f>IFERROR(INDEX(Sheet2!$AU$2:$BM$228,QUOTIENT(ROW()-1,19)+1,MOD(ROW()-2,19)+1),NA())</f>
        <v/>
      </c>
      <c r="DM3173" s="4" t="e">
        <f t="shared" si="168"/>
        <v>#N/A</v>
      </c>
      <c r="DN3173" t="e">
        <f t="shared" si="169"/>
        <v>#N/A</v>
      </c>
      <c r="DO3173" t="e">
        <f t="shared" si="170"/>
        <v>#N/A</v>
      </c>
    </row>
    <row r="3174" spans="7:119" x14ac:dyDescent="0.25">
      <c r="G3174"/>
      <c r="DI3174" s="4">
        <f>INDEX(Sheet2!A:A,QUOTIENT(ROW()-1,19)+2)</f>
        <v>41626</v>
      </c>
      <c r="DJ3174" s="4">
        <f>INDEX(Sheet2!C:C,QUOTIENT(ROW()-1,19)+2)</f>
        <v>42735</v>
      </c>
      <c r="DK3174" s="4" t="e">
        <f>INDEX(Sheet2!$AA$2:$AS$228,QUOTIENT(ROW()-1,19)+1,MOD(ROW()-2,19)+1)</f>
        <v>#N/A</v>
      </c>
      <c r="DL3174" t="str">
        <f>IFERROR(INDEX(Sheet2!$AU$2:$BM$228,QUOTIENT(ROW()-1,19)+1,MOD(ROW()-2,19)+1),NA())</f>
        <v/>
      </c>
      <c r="DM3174" s="4" t="e">
        <f t="shared" si="168"/>
        <v>#N/A</v>
      </c>
      <c r="DN3174" t="e">
        <f t="shared" si="169"/>
        <v>#N/A</v>
      </c>
      <c r="DO3174" t="e">
        <f t="shared" si="170"/>
        <v>#N/A</v>
      </c>
    </row>
    <row r="3175" spans="7:119" x14ac:dyDescent="0.25">
      <c r="G3175"/>
      <c r="DI3175" s="4">
        <f>INDEX(Sheet2!A:A,QUOTIENT(ROW()-1,19)+2)</f>
        <v>41626</v>
      </c>
      <c r="DJ3175" s="4">
        <f>INDEX(Sheet2!C:C,QUOTIENT(ROW()-1,19)+2)</f>
        <v>42735</v>
      </c>
      <c r="DK3175" s="4">
        <f>INDEX(Sheet2!$AA$2:$AS$228,QUOTIENT(ROW()-1,19)+1,MOD(ROW()-2,19)+1)</f>
        <v>42735</v>
      </c>
      <c r="DL3175">
        <f>IFERROR(INDEX(Sheet2!$AU$2:$BM$228,QUOTIENT(ROW()-1,19)+1,MOD(ROW()-2,19)+1),NA())</f>
        <v>4.25</v>
      </c>
      <c r="DM3175" s="4" t="e">
        <f t="shared" si="168"/>
        <v>#N/A</v>
      </c>
      <c r="DN3175" t="e">
        <f t="shared" si="169"/>
        <v>#N/A</v>
      </c>
      <c r="DO3175" t="e">
        <f t="shared" si="170"/>
        <v>#N/A</v>
      </c>
    </row>
    <row r="3176" spans="7:119" x14ac:dyDescent="0.25">
      <c r="G3176"/>
      <c r="DI3176" s="4">
        <f>INDEX(Sheet2!A:A,QUOTIENT(ROW()-1,19)+2)</f>
        <v>41626</v>
      </c>
      <c r="DJ3176" s="4">
        <f>INDEX(Sheet2!C:C,QUOTIENT(ROW()-1,19)+2)</f>
        <v>42735</v>
      </c>
      <c r="DK3176" s="4" t="e">
        <f>INDEX(Sheet2!$AA$2:$AS$228,QUOTIENT(ROW()-1,19)+1,MOD(ROW()-2,19)+1)</f>
        <v>#N/A</v>
      </c>
      <c r="DL3176" t="str">
        <f>IFERROR(INDEX(Sheet2!$AU$2:$BM$228,QUOTIENT(ROW()-1,19)+1,MOD(ROW()-2,19)+1),NA())</f>
        <v/>
      </c>
      <c r="DM3176" s="4" t="e">
        <f t="shared" si="168"/>
        <v>#N/A</v>
      </c>
      <c r="DN3176" t="e">
        <f t="shared" si="169"/>
        <v>#N/A</v>
      </c>
      <c r="DO3176" t="e">
        <f t="shared" si="170"/>
        <v>#N/A</v>
      </c>
    </row>
    <row r="3177" spans="7:119" x14ac:dyDescent="0.25">
      <c r="G3177"/>
      <c r="DI3177" s="4">
        <f>INDEX(Sheet2!A:A,QUOTIENT(ROW()-1,19)+2)</f>
        <v>41626</v>
      </c>
      <c r="DJ3177" s="4">
        <f>INDEX(Sheet2!C:C,QUOTIENT(ROW()-1,19)+2)</f>
        <v>42735</v>
      </c>
      <c r="DK3177" s="4" t="e">
        <f>INDEX(Sheet2!$AA$2:$AS$228,QUOTIENT(ROW()-1,19)+1,MOD(ROW()-2,19)+1)</f>
        <v>#N/A</v>
      </c>
      <c r="DL3177" t="str">
        <f>IFERROR(INDEX(Sheet2!$AU$2:$BM$228,QUOTIENT(ROW()-1,19)+1,MOD(ROW()-2,19)+1),NA())</f>
        <v/>
      </c>
      <c r="DM3177" s="4" t="e">
        <f t="shared" si="168"/>
        <v>#N/A</v>
      </c>
      <c r="DN3177" t="e">
        <f t="shared" si="169"/>
        <v>#N/A</v>
      </c>
      <c r="DO3177" t="e">
        <f t="shared" si="170"/>
        <v>#N/A</v>
      </c>
    </row>
    <row r="3178" spans="7:119" x14ac:dyDescent="0.25">
      <c r="G3178"/>
      <c r="DI3178" s="4">
        <f>INDEX(Sheet2!A:A,QUOTIENT(ROW()-1,19)+2)</f>
        <v>41626</v>
      </c>
      <c r="DJ3178" s="4">
        <f>INDEX(Sheet2!C:C,QUOTIENT(ROW()-1,19)+2)</f>
        <v>42735</v>
      </c>
      <c r="DK3178" s="4" t="e">
        <f>INDEX(Sheet2!$AA$2:$AS$228,QUOTIENT(ROW()-1,19)+1,MOD(ROW()-2,19)+1)</f>
        <v>#N/A</v>
      </c>
      <c r="DL3178" t="str">
        <f>IFERROR(INDEX(Sheet2!$AU$2:$BM$228,QUOTIENT(ROW()-1,19)+1,MOD(ROW()-2,19)+1),NA())</f>
        <v/>
      </c>
      <c r="DM3178" s="4" t="e">
        <f t="shared" si="168"/>
        <v>#N/A</v>
      </c>
      <c r="DN3178" t="e">
        <f t="shared" si="169"/>
        <v>#N/A</v>
      </c>
      <c r="DO3178" t="e">
        <f t="shared" si="170"/>
        <v>#N/A</v>
      </c>
    </row>
    <row r="3179" spans="7:119" x14ac:dyDescent="0.25">
      <c r="G3179"/>
      <c r="DI3179" s="4">
        <f>INDEX(Sheet2!A:A,QUOTIENT(ROW()-1,19)+2)</f>
        <v>41626</v>
      </c>
      <c r="DJ3179" s="4">
        <f>INDEX(Sheet2!C:C,QUOTIENT(ROW()-1,19)+2)</f>
        <v>42735</v>
      </c>
      <c r="DK3179" s="4" t="e">
        <f>INDEX(Sheet2!$AA$2:$AS$228,QUOTIENT(ROW()-1,19)+1,MOD(ROW()-2,19)+1)</f>
        <v>#N/A</v>
      </c>
      <c r="DL3179" t="str">
        <f>IFERROR(INDEX(Sheet2!$AU$2:$BM$228,QUOTIENT(ROW()-1,19)+1,MOD(ROW()-2,19)+1),NA())</f>
        <v/>
      </c>
      <c r="DM3179" s="4" t="e">
        <f t="shared" si="168"/>
        <v>#N/A</v>
      </c>
      <c r="DN3179" t="e">
        <f t="shared" si="169"/>
        <v>#N/A</v>
      </c>
      <c r="DO3179" t="e">
        <f t="shared" si="170"/>
        <v>#N/A</v>
      </c>
    </row>
    <row r="3180" spans="7:119" x14ac:dyDescent="0.25">
      <c r="G3180"/>
      <c r="DI3180" s="4">
        <f>INDEX(Sheet2!A:A,QUOTIENT(ROW()-1,19)+2)</f>
        <v>41626</v>
      </c>
      <c r="DJ3180" s="4">
        <f>INDEX(Sheet2!C:C,QUOTIENT(ROW()-1,19)+2)</f>
        <v>42735</v>
      </c>
      <c r="DK3180" s="4" t="e">
        <f>INDEX(Sheet2!$AA$2:$AS$228,QUOTIENT(ROW()-1,19)+1,MOD(ROW()-2,19)+1)</f>
        <v>#N/A</v>
      </c>
      <c r="DL3180" t="str">
        <f>IFERROR(INDEX(Sheet2!$AU$2:$BM$228,QUOTIENT(ROW()-1,19)+1,MOD(ROW()-2,19)+1),NA())</f>
        <v/>
      </c>
      <c r="DM3180" s="4" t="e">
        <f t="shared" si="168"/>
        <v>#N/A</v>
      </c>
      <c r="DN3180" t="e">
        <f t="shared" si="169"/>
        <v>#N/A</v>
      </c>
      <c r="DO3180" t="e">
        <f t="shared" si="170"/>
        <v>#N/A</v>
      </c>
    </row>
    <row r="3181" spans="7:119" x14ac:dyDescent="0.25">
      <c r="G3181"/>
      <c r="DI3181" s="4">
        <f>INDEX(Sheet2!A:A,QUOTIENT(ROW()-1,19)+2)</f>
        <v>41626</v>
      </c>
      <c r="DJ3181" s="4">
        <f>INDEX(Sheet2!C:C,QUOTIENT(ROW()-1,19)+2)</f>
        <v>42735</v>
      </c>
      <c r="DK3181" s="4" t="e">
        <f>INDEX(Sheet2!$AA$2:$AS$228,QUOTIENT(ROW()-1,19)+1,MOD(ROW()-2,19)+1)</f>
        <v>#N/A</v>
      </c>
      <c r="DL3181" t="str">
        <f>IFERROR(INDEX(Sheet2!$AU$2:$BM$228,QUOTIENT(ROW()-1,19)+1,MOD(ROW()-2,19)+1),NA())</f>
        <v/>
      </c>
      <c r="DM3181" s="4" t="e">
        <f t="shared" si="168"/>
        <v>#N/A</v>
      </c>
      <c r="DN3181" t="e">
        <f t="shared" si="169"/>
        <v>#N/A</v>
      </c>
      <c r="DO3181" t="e">
        <f t="shared" si="170"/>
        <v>#N/A</v>
      </c>
    </row>
    <row r="3182" spans="7:119" x14ac:dyDescent="0.25">
      <c r="G3182"/>
      <c r="DI3182" s="4">
        <f>INDEX(Sheet2!A:A,QUOTIENT(ROW()-1,19)+2)</f>
        <v>41626</v>
      </c>
      <c r="DJ3182" s="4">
        <f>INDEX(Sheet2!C:C,QUOTIENT(ROW()-1,19)+2)</f>
        <v>42735</v>
      </c>
      <c r="DK3182" s="4" t="e">
        <f>INDEX(Sheet2!$AA$2:$AS$228,QUOTIENT(ROW()-1,19)+1,MOD(ROW()-2,19)+1)</f>
        <v>#N/A</v>
      </c>
      <c r="DL3182" t="str">
        <f>IFERROR(INDEX(Sheet2!$AU$2:$BM$228,QUOTIENT(ROW()-1,19)+1,MOD(ROW()-2,19)+1),NA())</f>
        <v/>
      </c>
      <c r="DM3182" s="4" t="e">
        <f t="shared" si="168"/>
        <v>#N/A</v>
      </c>
      <c r="DN3182" t="e">
        <f t="shared" si="169"/>
        <v>#N/A</v>
      </c>
      <c r="DO3182" t="e">
        <f t="shared" si="170"/>
        <v>#N/A</v>
      </c>
    </row>
    <row r="3183" spans="7:119" x14ac:dyDescent="0.25">
      <c r="G3183"/>
      <c r="DI3183" s="4">
        <f>INDEX(Sheet2!A:A,QUOTIENT(ROW()-1,19)+2)</f>
        <v>41626</v>
      </c>
      <c r="DJ3183" s="4">
        <f>INDEX(Sheet2!C:C,QUOTIENT(ROW()-1,19)+2)</f>
        <v>42735</v>
      </c>
      <c r="DK3183" s="4" t="e">
        <f>INDEX(Sheet2!$AA$2:$AS$228,QUOTIENT(ROW()-1,19)+1,MOD(ROW()-2,19)+1)</f>
        <v>#N/A</v>
      </c>
      <c r="DL3183" t="str">
        <f>IFERROR(INDEX(Sheet2!$AU$2:$BM$228,QUOTIENT(ROW()-1,19)+1,MOD(ROW()-2,19)+1),NA())</f>
        <v/>
      </c>
      <c r="DM3183" s="4" t="e">
        <f t="shared" si="168"/>
        <v>#N/A</v>
      </c>
      <c r="DN3183" t="e">
        <f t="shared" si="169"/>
        <v>#N/A</v>
      </c>
      <c r="DO3183" t="e">
        <f t="shared" si="170"/>
        <v>#N/A</v>
      </c>
    </row>
    <row r="3184" spans="7:119" x14ac:dyDescent="0.25">
      <c r="G3184"/>
      <c r="DI3184" s="4">
        <f>INDEX(Sheet2!A:A,QUOTIENT(ROW()-1,19)+2)</f>
        <v>41626</v>
      </c>
      <c r="DJ3184" s="4">
        <f>INDEX(Sheet2!C:C,QUOTIENT(ROW()-1,19)+2)</f>
        <v>42735</v>
      </c>
      <c r="DK3184" s="4" t="e">
        <f>INDEX(Sheet2!$AA$2:$AS$228,QUOTIENT(ROW()-1,19)+1,MOD(ROW()-2,19)+1)</f>
        <v>#N/A</v>
      </c>
      <c r="DL3184" t="str">
        <f>IFERROR(INDEX(Sheet2!$AU$2:$BM$228,QUOTIENT(ROW()-1,19)+1,MOD(ROW()-2,19)+1),NA())</f>
        <v/>
      </c>
      <c r="DM3184" s="4" t="e">
        <f t="shared" si="168"/>
        <v>#N/A</v>
      </c>
      <c r="DN3184" t="e">
        <f t="shared" si="169"/>
        <v>#N/A</v>
      </c>
      <c r="DO3184" t="e">
        <f t="shared" si="170"/>
        <v>#N/A</v>
      </c>
    </row>
    <row r="3185" spans="7:119" x14ac:dyDescent="0.25">
      <c r="G3185"/>
      <c r="DI3185" s="4">
        <f>INDEX(Sheet2!A:A,QUOTIENT(ROW()-1,19)+2)</f>
        <v>41626</v>
      </c>
      <c r="DJ3185" s="4">
        <f>INDEX(Sheet2!C:C,QUOTIENT(ROW()-1,19)+2)</f>
        <v>42735</v>
      </c>
      <c r="DK3185" s="4" t="e">
        <f>INDEX(Sheet2!$AA$2:$AS$228,QUOTIENT(ROW()-1,19)+1,MOD(ROW()-2,19)+1)</f>
        <v>#N/A</v>
      </c>
      <c r="DL3185" t="str">
        <f>IFERROR(INDEX(Sheet2!$AU$2:$BM$228,QUOTIENT(ROW()-1,19)+1,MOD(ROW()-2,19)+1),NA())</f>
        <v/>
      </c>
      <c r="DM3185" s="4" t="e">
        <f t="shared" si="168"/>
        <v>#N/A</v>
      </c>
      <c r="DN3185" t="e">
        <f t="shared" si="169"/>
        <v>#N/A</v>
      </c>
      <c r="DO3185" t="e">
        <f t="shared" si="170"/>
        <v>#N/A</v>
      </c>
    </row>
    <row r="3186" spans="7:119" x14ac:dyDescent="0.25">
      <c r="G3186"/>
      <c r="DI3186" s="4">
        <f>INDEX(Sheet2!A:A,QUOTIENT(ROW()-1,19)+2)</f>
        <v>41626</v>
      </c>
      <c r="DJ3186" s="4">
        <f>INDEX(Sheet2!C:C,QUOTIENT(ROW()-1,19)+2)</f>
        <v>42735</v>
      </c>
      <c r="DK3186" s="4" t="e">
        <f>INDEX(Sheet2!$AA$2:$AS$228,QUOTIENT(ROW()-1,19)+1,MOD(ROW()-2,19)+1)</f>
        <v>#N/A</v>
      </c>
      <c r="DL3186" t="str">
        <f>IFERROR(INDEX(Sheet2!$AU$2:$BM$228,QUOTIENT(ROW()-1,19)+1,MOD(ROW()-2,19)+1),NA())</f>
        <v/>
      </c>
      <c r="DM3186" s="4" t="e">
        <f t="shared" si="168"/>
        <v>#N/A</v>
      </c>
      <c r="DN3186" t="e">
        <f t="shared" si="169"/>
        <v>#N/A</v>
      </c>
      <c r="DO3186" t="e">
        <f t="shared" si="170"/>
        <v>#N/A</v>
      </c>
    </row>
    <row r="3187" spans="7:119" x14ac:dyDescent="0.25">
      <c r="G3187"/>
      <c r="DI3187" s="4">
        <f>INDEX(Sheet2!A:A,QUOTIENT(ROW()-1,19)+2)</f>
        <v>41626</v>
      </c>
      <c r="DJ3187" s="4">
        <f>INDEX(Sheet2!C:C,QUOTIENT(ROW()-1,19)+2)</f>
        <v>42735</v>
      </c>
      <c r="DK3187" s="4" t="e">
        <f>INDEX(Sheet2!$AA$2:$AS$228,QUOTIENT(ROW()-1,19)+1,MOD(ROW()-2,19)+1)</f>
        <v>#N/A</v>
      </c>
      <c r="DL3187" t="str">
        <f>IFERROR(INDEX(Sheet2!$AU$2:$BM$228,QUOTIENT(ROW()-1,19)+1,MOD(ROW()-2,19)+1),NA())</f>
        <v/>
      </c>
      <c r="DM3187" s="4" t="e">
        <f t="shared" si="168"/>
        <v>#N/A</v>
      </c>
      <c r="DN3187" t="e">
        <f t="shared" si="169"/>
        <v>#N/A</v>
      </c>
      <c r="DO3187" t="e">
        <f t="shared" si="170"/>
        <v>#N/A</v>
      </c>
    </row>
    <row r="3188" spans="7:119" x14ac:dyDescent="0.25">
      <c r="G3188"/>
      <c r="DI3188" s="4">
        <f>INDEX(Sheet2!A:A,QUOTIENT(ROW()-1,19)+2)</f>
        <v>41626</v>
      </c>
      <c r="DJ3188" s="4">
        <f>INDEX(Sheet2!C:C,QUOTIENT(ROW()-1,19)+2)</f>
        <v>42735</v>
      </c>
      <c r="DK3188" s="4" t="e">
        <f>INDEX(Sheet2!$AA$2:$AS$228,QUOTIENT(ROW()-1,19)+1,MOD(ROW()-2,19)+1)</f>
        <v>#N/A</v>
      </c>
      <c r="DL3188" t="str">
        <f>IFERROR(INDEX(Sheet2!$AU$2:$BM$228,QUOTIENT(ROW()-1,19)+1,MOD(ROW()-2,19)+1),NA())</f>
        <v/>
      </c>
      <c r="DM3188" s="4" t="e">
        <f t="shared" si="168"/>
        <v>#N/A</v>
      </c>
      <c r="DN3188" t="e">
        <f t="shared" si="169"/>
        <v>#N/A</v>
      </c>
      <c r="DO3188" t="e">
        <f t="shared" si="170"/>
        <v>#N/A</v>
      </c>
    </row>
    <row r="3189" spans="7:119" x14ac:dyDescent="0.25">
      <c r="G3189"/>
      <c r="DI3189" s="4">
        <f>INDEX(Sheet2!A:A,QUOTIENT(ROW()-1,19)+2)</f>
        <v>41626</v>
      </c>
      <c r="DJ3189" s="4">
        <f>INDEX(Sheet2!C:C,QUOTIENT(ROW()-1,19)+2)</f>
        <v>42735</v>
      </c>
      <c r="DK3189" s="4" t="e">
        <f>INDEX(Sheet2!$AA$2:$AS$228,QUOTIENT(ROW()-1,19)+1,MOD(ROW()-2,19)+1)</f>
        <v>#N/A</v>
      </c>
      <c r="DL3189" t="str">
        <f>IFERROR(INDEX(Sheet2!$AU$2:$BM$228,QUOTIENT(ROW()-1,19)+1,MOD(ROW()-2,19)+1),NA())</f>
        <v/>
      </c>
      <c r="DM3189" s="4" t="e">
        <f t="shared" si="168"/>
        <v>#N/A</v>
      </c>
      <c r="DN3189" t="e">
        <f t="shared" si="169"/>
        <v>#N/A</v>
      </c>
      <c r="DO3189" t="e">
        <f t="shared" si="170"/>
        <v>#N/A</v>
      </c>
    </row>
    <row r="3190" spans="7:119" x14ac:dyDescent="0.25">
      <c r="G3190"/>
      <c r="DI3190" s="4">
        <f>INDEX(Sheet2!A:A,QUOTIENT(ROW()-1,19)+2)</f>
        <v>41626</v>
      </c>
      <c r="DJ3190" s="4">
        <f>INDEX(Sheet2!C:C,QUOTIENT(ROW()-1,19)+2)</f>
        <v>42735</v>
      </c>
      <c r="DK3190" s="4" t="e">
        <f>INDEX(Sheet2!$AA$2:$AS$228,QUOTIENT(ROW()-1,19)+1,MOD(ROW()-2,19)+1)</f>
        <v>#N/A</v>
      </c>
      <c r="DL3190" t="str">
        <f>IFERROR(INDEX(Sheet2!$AU$2:$BM$228,QUOTIENT(ROW()-1,19)+1,MOD(ROW()-2,19)+1),NA())</f>
        <v/>
      </c>
      <c r="DM3190" s="4" t="e">
        <f t="shared" si="168"/>
        <v>#N/A</v>
      </c>
      <c r="DN3190" t="e">
        <f t="shared" si="169"/>
        <v>#N/A</v>
      </c>
      <c r="DO3190" t="e">
        <f t="shared" si="170"/>
        <v>#N/A</v>
      </c>
    </row>
    <row r="3191" spans="7:119" x14ac:dyDescent="0.25">
      <c r="G3191"/>
      <c r="DI3191" s="4">
        <f>INDEX(Sheet2!A:A,QUOTIENT(ROW()-1,19)+2)</f>
        <v>41626</v>
      </c>
      <c r="DJ3191" s="4">
        <f>INDEX(Sheet2!C:C,QUOTIENT(ROW()-1,19)+2)</f>
        <v>42735</v>
      </c>
      <c r="DK3191" s="4" t="e">
        <f>INDEX(Sheet2!$AA$2:$AS$228,QUOTIENT(ROW()-1,19)+1,MOD(ROW()-2,19)+1)</f>
        <v>#N/A</v>
      </c>
      <c r="DL3191" t="str">
        <f>IFERROR(INDEX(Sheet2!$AU$2:$BM$228,QUOTIENT(ROW()-1,19)+1,MOD(ROW()-2,19)+1),NA())</f>
        <v/>
      </c>
      <c r="DM3191" s="4" t="e">
        <f t="shared" si="168"/>
        <v>#N/A</v>
      </c>
      <c r="DN3191" t="e">
        <f t="shared" si="169"/>
        <v>#N/A</v>
      </c>
      <c r="DO3191" t="e">
        <f t="shared" si="170"/>
        <v>#N/A</v>
      </c>
    </row>
    <row r="3192" spans="7:119" x14ac:dyDescent="0.25">
      <c r="G3192"/>
      <c r="DI3192" s="4">
        <f>INDEX(Sheet2!A:A,QUOTIENT(ROW()-1,19)+2)</f>
        <v>41626</v>
      </c>
      <c r="DJ3192" s="4">
        <f>INDEX(Sheet2!C:C,QUOTIENT(ROW()-1,19)+2)</f>
        <v>42735</v>
      </c>
      <c r="DK3192" s="4" t="e">
        <f>INDEX(Sheet2!$AA$2:$AS$228,QUOTIENT(ROW()-1,19)+1,MOD(ROW()-2,19)+1)</f>
        <v>#N/A</v>
      </c>
      <c r="DL3192" t="str">
        <f>IFERROR(INDEX(Sheet2!$AU$2:$BM$228,QUOTIENT(ROW()-1,19)+1,MOD(ROW()-2,19)+1),NA())</f>
        <v/>
      </c>
      <c r="DM3192" s="4" t="e">
        <f t="shared" si="168"/>
        <v>#N/A</v>
      </c>
      <c r="DN3192" t="e">
        <f t="shared" si="169"/>
        <v>#N/A</v>
      </c>
      <c r="DO3192" t="e">
        <f t="shared" si="170"/>
        <v>#N/A</v>
      </c>
    </row>
    <row r="3193" spans="7:119" x14ac:dyDescent="0.25">
      <c r="G3193"/>
      <c r="DI3193" s="4">
        <f>INDEX(Sheet2!A:A,QUOTIENT(ROW()-1,19)+2)</f>
        <v>41626</v>
      </c>
      <c r="DJ3193" s="4">
        <f>INDEX(Sheet2!C:C,QUOTIENT(ROW()-1,19)+2)</f>
        <v>43100</v>
      </c>
      <c r="DK3193" s="4" t="e">
        <f>INDEX(Sheet2!$AA$2:$AS$228,QUOTIENT(ROW()-1,19)+1,MOD(ROW()-2,19)+1)</f>
        <v>#N/A</v>
      </c>
      <c r="DL3193" t="str">
        <f>IFERROR(INDEX(Sheet2!$AU$2:$BM$228,QUOTIENT(ROW()-1,19)+1,MOD(ROW()-2,19)+1),NA())</f>
        <v/>
      </c>
      <c r="DM3193" s="4" t="e">
        <f t="shared" si="168"/>
        <v>#N/A</v>
      </c>
      <c r="DN3193" t="e">
        <f t="shared" si="169"/>
        <v>#N/A</v>
      </c>
      <c r="DO3193" t="e">
        <f t="shared" si="170"/>
        <v>#N/A</v>
      </c>
    </row>
    <row r="3194" spans="7:119" x14ac:dyDescent="0.25">
      <c r="G3194"/>
      <c r="DI3194" s="4">
        <f>INDEX(Sheet2!A:A,QUOTIENT(ROW()-1,19)+2)</f>
        <v>41626</v>
      </c>
      <c r="DJ3194" s="4">
        <f>INDEX(Sheet2!C:C,QUOTIENT(ROW()-1,19)+2)</f>
        <v>43100</v>
      </c>
      <c r="DK3194" s="4">
        <f>INDEX(Sheet2!$AA$2:$AS$228,QUOTIENT(ROW()-1,19)+1,MOD(ROW()-2,19)+1)</f>
        <v>43079.924999999996</v>
      </c>
      <c r="DL3194">
        <f>IFERROR(INDEX(Sheet2!$AU$2:$BM$228,QUOTIENT(ROW()-1,19)+1,MOD(ROW()-2,19)+1),NA())</f>
        <v>3.5</v>
      </c>
      <c r="DM3194" s="4" t="e">
        <f t="shared" si="168"/>
        <v>#N/A</v>
      </c>
      <c r="DN3194" t="e">
        <f t="shared" si="169"/>
        <v>#N/A</v>
      </c>
      <c r="DO3194" t="e">
        <f t="shared" si="170"/>
        <v>#N/A</v>
      </c>
    </row>
    <row r="3195" spans="7:119" x14ac:dyDescent="0.25">
      <c r="G3195"/>
      <c r="DI3195" s="4">
        <f>INDEX(Sheet2!A:A,QUOTIENT(ROW()-1,19)+2)</f>
        <v>41626</v>
      </c>
      <c r="DJ3195" s="4">
        <f>INDEX(Sheet2!C:C,QUOTIENT(ROW()-1,19)+2)</f>
        <v>43100</v>
      </c>
      <c r="DK3195" s="4">
        <f>INDEX(Sheet2!$AA$2:$AS$228,QUOTIENT(ROW()-1,19)+1,MOD(ROW()-2,19)+1)</f>
        <v>43100</v>
      </c>
      <c r="DL3195">
        <f>IFERROR(INDEX(Sheet2!$AU$2:$BM$228,QUOTIENT(ROW()-1,19)+1,MOD(ROW()-2,19)+1),NA())</f>
        <v>3.5</v>
      </c>
      <c r="DM3195" s="4" t="e">
        <f t="shared" si="168"/>
        <v>#N/A</v>
      </c>
      <c r="DN3195" t="e">
        <f t="shared" si="169"/>
        <v>#N/A</v>
      </c>
      <c r="DO3195" t="e">
        <f t="shared" si="170"/>
        <v>#N/A</v>
      </c>
    </row>
    <row r="3196" spans="7:119" x14ac:dyDescent="0.25">
      <c r="G3196"/>
      <c r="DI3196" s="4">
        <f>INDEX(Sheet2!A:A,QUOTIENT(ROW()-1,19)+2)</f>
        <v>41626</v>
      </c>
      <c r="DJ3196" s="4">
        <f>INDEX(Sheet2!C:C,QUOTIENT(ROW()-1,19)+2)</f>
        <v>43100</v>
      </c>
      <c r="DK3196" s="4">
        <f>INDEX(Sheet2!$AA$2:$AS$228,QUOTIENT(ROW()-1,19)+1,MOD(ROW()-2,19)+1)</f>
        <v>43120.074999999997</v>
      </c>
      <c r="DL3196">
        <f>IFERROR(INDEX(Sheet2!$AU$2:$BM$228,QUOTIENT(ROW()-1,19)+1,MOD(ROW()-2,19)+1),NA())</f>
        <v>3.5</v>
      </c>
      <c r="DM3196" s="4" t="e">
        <f t="shared" si="168"/>
        <v>#N/A</v>
      </c>
      <c r="DN3196" t="e">
        <f t="shared" si="169"/>
        <v>#N/A</v>
      </c>
      <c r="DO3196" t="e">
        <f t="shared" si="170"/>
        <v>#N/A</v>
      </c>
    </row>
    <row r="3197" spans="7:119" x14ac:dyDescent="0.25">
      <c r="G3197"/>
      <c r="DI3197" s="4">
        <f>INDEX(Sheet2!A:A,QUOTIENT(ROW()-1,19)+2)</f>
        <v>41626</v>
      </c>
      <c r="DJ3197" s="4">
        <f>INDEX(Sheet2!C:C,QUOTIENT(ROW()-1,19)+2)</f>
        <v>43100</v>
      </c>
      <c r="DK3197" s="4" t="e">
        <f>INDEX(Sheet2!$AA$2:$AS$228,QUOTIENT(ROW()-1,19)+1,MOD(ROW()-2,19)+1)</f>
        <v>#N/A</v>
      </c>
      <c r="DL3197" t="str">
        <f>IFERROR(INDEX(Sheet2!$AU$2:$BM$228,QUOTIENT(ROW()-1,19)+1,MOD(ROW()-2,19)+1),NA())</f>
        <v/>
      </c>
      <c r="DM3197" s="4" t="e">
        <f t="shared" si="168"/>
        <v>#N/A</v>
      </c>
      <c r="DN3197" t="e">
        <f t="shared" si="169"/>
        <v>#N/A</v>
      </c>
      <c r="DO3197" t="e">
        <f t="shared" si="170"/>
        <v>#N/A</v>
      </c>
    </row>
    <row r="3198" spans="7:119" x14ac:dyDescent="0.25">
      <c r="G3198"/>
      <c r="DI3198" s="4">
        <f>INDEX(Sheet2!A:A,QUOTIENT(ROW()-1,19)+2)</f>
        <v>41626</v>
      </c>
      <c r="DJ3198" s="4">
        <f>INDEX(Sheet2!C:C,QUOTIENT(ROW()-1,19)+2)</f>
        <v>43100</v>
      </c>
      <c r="DK3198" s="4" t="e">
        <f>INDEX(Sheet2!$AA$2:$AS$228,QUOTIENT(ROW()-1,19)+1,MOD(ROW()-2,19)+1)</f>
        <v>#N/A</v>
      </c>
      <c r="DL3198" t="str">
        <f>IFERROR(INDEX(Sheet2!$AU$2:$BM$228,QUOTIENT(ROW()-1,19)+1,MOD(ROW()-2,19)+1),NA())</f>
        <v/>
      </c>
      <c r="DM3198" s="4" t="e">
        <f t="shared" si="168"/>
        <v>#N/A</v>
      </c>
      <c r="DN3198" t="e">
        <f t="shared" si="169"/>
        <v>#N/A</v>
      </c>
      <c r="DO3198" t="e">
        <f t="shared" si="170"/>
        <v>#N/A</v>
      </c>
    </row>
    <row r="3199" spans="7:119" x14ac:dyDescent="0.25">
      <c r="G3199"/>
      <c r="DI3199" s="4">
        <f>INDEX(Sheet2!A:A,QUOTIENT(ROW()-1,19)+2)</f>
        <v>41626</v>
      </c>
      <c r="DJ3199" s="4">
        <f>INDEX(Sheet2!C:C,QUOTIENT(ROW()-1,19)+2)</f>
        <v>43100</v>
      </c>
      <c r="DK3199" s="4" t="e">
        <f>INDEX(Sheet2!$AA$2:$AS$228,QUOTIENT(ROW()-1,19)+1,MOD(ROW()-2,19)+1)</f>
        <v>#N/A</v>
      </c>
      <c r="DL3199" t="str">
        <f>IFERROR(INDEX(Sheet2!$AU$2:$BM$228,QUOTIENT(ROW()-1,19)+1,MOD(ROW()-2,19)+1),NA())</f>
        <v/>
      </c>
      <c r="DM3199" s="4" t="e">
        <f t="shared" si="168"/>
        <v>#N/A</v>
      </c>
      <c r="DN3199" t="e">
        <f t="shared" si="169"/>
        <v>#N/A</v>
      </c>
      <c r="DO3199" t="e">
        <f t="shared" si="170"/>
        <v>#N/A</v>
      </c>
    </row>
    <row r="3200" spans="7:119" x14ac:dyDescent="0.25">
      <c r="G3200"/>
      <c r="DI3200" s="4">
        <f>INDEX(Sheet2!A:A,QUOTIENT(ROW()-1,19)+2)</f>
        <v>41626</v>
      </c>
      <c r="DJ3200" s="4">
        <f>INDEX(Sheet2!C:C,QUOTIENT(ROW()-1,19)+2)</f>
        <v>43100</v>
      </c>
      <c r="DK3200" s="4" t="e">
        <f>INDEX(Sheet2!$AA$2:$AS$228,QUOTIENT(ROW()-1,19)+1,MOD(ROW()-2,19)+1)</f>
        <v>#N/A</v>
      </c>
      <c r="DL3200" t="str">
        <f>IFERROR(INDEX(Sheet2!$AU$2:$BM$228,QUOTIENT(ROW()-1,19)+1,MOD(ROW()-2,19)+1),NA())</f>
        <v/>
      </c>
      <c r="DM3200" s="4" t="e">
        <f t="shared" si="168"/>
        <v>#N/A</v>
      </c>
      <c r="DN3200" t="e">
        <f t="shared" si="169"/>
        <v>#N/A</v>
      </c>
      <c r="DO3200" t="e">
        <f t="shared" si="170"/>
        <v>#N/A</v>
      </c>
    </row>
    <row r="3201" spans="7:119" x14ac:dyDescent="0.25">
      <c r="G3201"/>
      <c r="DI3201" s="4">
        <f>INDEX(Sheet2!A:A,QUOTIENT(ROW()-1,19)+2)</f>
        <v>41626</v>
      </c>
      <c r="DJ3201" s="4">
        <f>INDEX(Sheet2!C:C,QUOTIENT(ROW()-1,19)+2)</f>
        <v>43100</v>
      </c>
      <c r="DK3201" s="4" t="e">
        <f>INDEX(Sheet2!$AA$2:$AS$228,QUOTIENT(ROW()-1,19)+1,MOD(ROW()-2,19)+1)</f>
        <v>#N/A</v>
      </c>
      <c r="DL3201" t="str">
        <f>IFERROR(INDEX(Sheet2!$AU$2:$BM$228,QUOTIENT(ROW()-1,19)+1,MOD(ROW()-2,19)+1),NA())</f>
        <v/>
      </c>
      <c r="DM3201" s="4" t="e">
        <f t="shared" si="168"/>
        <v>#N/A</v>
      </c>
      <c r="DN3201" t="e">
        <f t="shared" si="169"/>
        <v>#N/A</v>
      </c>
      <c r="DO3201" t="e">
        <f t="shared" si="170"/>
        <v>#N/A</v>
      </c>
    </row>
    <row r="3202" spans="7:119" x14ac:dyDescent="0.25">
      <c r="G3202"/>
      <c r="DI3202" s="4">
        <f>INDEX(Sheet2!A:A,QUOTIENT(ROW()-1,19)+2)</f>
        <v>41626</v>
      </c>
      <c r="DJ3202" s="4">
        <f>INDEX(Sheet2!C:C,QUOTIENT(ROW()-1,19)+2)</f>
        <v>43100</v>
      </c>
      <c r="DK3202" s="4" t="e">
        <f>INDEX(Sheet2!$AA$2:$AS$228,QUOTIENT(ROW()-1,19)+1,MOD(ROW()-2,19)+1)</f>
        <v>#N/A</v>
      </c>
      <c r="DL3202" t="str">
        <f>IFERROR(INDEX(Sheet2!$AU$2:$BM$228,QUOTIENT(ROW()-1,19)+1,MOD(ROW()-2,19)+1),NA())</f>
        <v/>
      </c>
      <c r="DM3202" s="4" t="e">
        <f t="shared" ref="DM3202:DM3265" si="171">+IF($C$2=$DI3202,DK3202,NA())</f>
        <v>#N/A</v>
      </c>
      <c r="DN3202" t="e">
        <f t="shared" ref="DN3202:DN3265" si="172">+IF($C$2=$DI3202,DL3202,NA())</f>
        <v>#N/A</v>
      </c>
      <c r="DO3202" t="e">
        <f t="shared" si="170"/>
        <v>#N/A</v>
      </c>
    </row>
    <row r="3203" spans="7:119" x14ac:dyDescent="0.25">
      <c r="G3203"/>
      <c r="DI3203" s="4">
        <f>INDEX(Sheet2!A:A,QUOTIENT(ROW()-1,19)+2)</f>
        <v>41626</v>
      </c>
      <c r="DJ3203" s="4">
        <f>INDEX(Sheet2!C:C,QUOTIENT(ROW()-1,19)+2)</f>
        <v>43100</v>
      </c>
      <c r="DK3203" s="4" t="e">
        <f>INDEX(Sheet2!$AA$2:$AS$228,QUOTIENT(ROW()-1,19)+1,MOD(ROW()-2,19)+1)</f>
        <v>#N/A</v>
      </c>
      <c r="DL3203" t="str">
        <f>IFERROR(INDEX(Sheet2!$AU$2:$BM$228,QUOTIENT(ROW()-1,19)+1,MOD(ROW()-2,19)+1),NA())</f>
        <v/>
      </c>
      <c r="DM3203" s="4" t="e">
        <f t="shared" si="171"/>
        <v>#N/A</v>
      </c>
      <c r="DN3203" t="e">
        <f t="shared" si="172"/>
        <v>#N/A</v>
      </c>
      <c r="DO3203" t="e">
        <f t="shared" ref="DO3203:DO3266" si="173">IF(DN3203="",NA(),DN3203)</f>
        <v>#N/A</v>
      </c>
    </row>
    <row r="3204" spans="7:119" x14ac:dyDescent="0.25">
      <c r="G3204"/>
      <c r="DI3204" s="4">
        <f>INDEX(Sheet2!A:A,QUOTIENT(ROW()-1,19)+2)</f>
        <v>41626</v>
      </c>
      <c r="DJ3204" s="4">
        <f>INDEX(Sheet2!C:C,QUOTIENT(ROW()-1,19)+2)</f>
        <v>43100</v>
      </c>
      <c r="DK3204" s="4" t="e">
        <f>INDEX(Sheet2!$AA$2:$AS$228,QUOTIENT(ROW()-1,19)+1,MOD(ROW()-2,19)+1)</f>
        <v>#N/A</v>
      </c>
      <c r="DL3204" t="str">
        <f>IFERROR(INDEX(Sheet2!$AU$2:$BM$228,QUOTIENT(ROW()-1,19)+1,MOD(ROW()-2,19)+1),NA())</f>
        <v/>
      </c>
      <c r="DM3204" s="4" t="e">
        <f t="shared" si="171"/>
        <v>#N/A</v>
      </c>
      <c r="DN3204" t="e">
        <f t="shared" si="172"/>
        <v>#N/A</v>
      </c>
      <c r="DO3204" t="e">
        <f t="shared" si="173"/>
        <v>#N/A</v>
      </c>
    </row>
    <row r="3205" spans="7:119" x14ac:dyDescent="0.25">
      <c r="G3205"/>
      <c r="DI3205" s="4">
        <f>INDEX(Sheet2!A:A,QUOTIENT(ROW()-1,19)+2)</f>
        <v>41626</v>
      </c>
      <c r="DJ3205" s="4">
        <f>INDEX(Sheet2!C:C,QUOTIENT(ROW()-1,19)+2)</f>
        <v>43100</v>
      </c>
      <c r="DK3205" s="4" t="e">
        <f>INDEX(Sheet2!$AA$2:$AS$228,QUOTIENT(ROW()-1,19)+1,MOD(ROW()-2,19)+1)</f>
        <v>#N/A</v>
      </c>
      <c r="DL3205" t="str">
        <f>IFERROR(INDEX(Sheet2!$AU$2:$BM$228,QUOTIENT(ROW()-1,19)+1,MOD(ROW()-2,19)+1),NA())</f>
        <v/>
      </c>
      <c r="DM3205" s="4" t="e">
        <f t="shared" si="171"/>
        <v>#N/A</v>
      </c>
      <c r="DN3205" t="e">
        <f t="shared" si="172"/>
        <v>#N/A</v>
      </c>
      <c r="DO3205" t="e">
        <f t="shared" si="173"/>
        <v>#N/A</v>
      </c>
    </row>
    <row r="3206" spans="7:119" x14ac:dyDescent="0.25">
      <c r="G3206"/>
      <c r="DI3206" s="4">
        <f>INDEX(Sheet2!A:A,QUOTIENT(ROW()-1,19)+2)</f>
        <v>41626</v>
      </c>
      <c r="DJ3206" s="4">
        <f>INDEX(Sheet2!C:C,QUOTIENT(ROW()-1,19)+2)</f>
        <v>43100</v>
      </c>
      <c r="DK3206" s="4" t="e">
        <f>INDEX(Sheet2!$AA$2:$AS$228,QUOTIENT(ROW()-1,19)+1,MOD(ROW()-2,19)+1)</f>
        <v>#N/A</v>
      </c>
      <c r="DL3206" t="str">
        <f>IFERROR(INDEX(Sheet2!$AU$2:$BM$228,QUOTIENT(ROW()-1,19)+1,MOD(ROW()-2,19)+1),NA())</f>
        <v/>
      </c>
      <c r="DM3206" s="4" t="e">
        <f t="shared" si="171"/>
        <v>#N/A</v>
      </c>
      <c r="DN3206" t="e">
        <f t="shared" si="172"/>
        <v>#N/A</v>
      </c>
      <c r="DO3206" t="e">
        <f t="shared" si="173"/>
        <v>#N/A</v>
      </c>
    </row>
    <row r="3207" spans="7:119" x14ac:dyDescent="0.25">
      <c r="G3207"/>
      <c r="DI3207" s="4">
        <f>INDEX(Sheet2!A:A,QUOTIENT(ROW()-1,19)+2)</f>
        <v>41626</v>
      </c>
      <c r="DJ3207" s="4">
        <f>INDEX(Sheet2!C:C,QUOTIENT(ROW()-1,19)+2)</f>
        <v>43100</v>
      </c>
      <c r="DK3207" s="4" t="e">
        <f>INDEX(Sheet2!$AA$2:$AS$228,QUOTIENT(ROW()-1,19)+1,MOD(ROW()-2,19)+1)</f>
        <v>#N/A</v>
      </c>
      <c r="DL3207" t="str">
        <f>IFERROR(INDEX(Sheet2!$AU$2:$BM$228,QUOTIENT(ROW()-1,19)+1,MOD(ROW()-2,19)+1),NA())</f>
        <v/>
      </c>
      <c r="DM3207" s="4" t="e">
        <f t="shared" si="171"/>
        <v>#N/A</v>
      </c>
      <c r="DN3207" t="e">
        <f t="shared" si="172"/>
        <v>#N/A</v>
      </c>
      <c r="DO3207" t="e">
        <f t="shared" si="173"/>
        <v>#N/A</v>
      </c>
    </row>
    <row r="3208" spans="7:119" x14ac:dyDescent="0.25">
      <c r="G3208"/>
      <c r="DI3208" s="4">
        <f>INDEX(Sheet2!A:A,QUOTIENT(ROW()-1,19)+2)</f>
        <v>41626</v>
      </c>
      <c r="DJ3208" s="4">
        <f>INDEX(Sheet2!C:C,QUOTIENT(ROW()-1,19)+2)</f>
        <v>43100</v>
      </c>
      <c r="DK3208" s="4" t="e">
        <f>INDEX(Sheet2!$AA$2:$AS$228,QUOTIENT(ROW()-1,19)+1,MOD(ROW()-2,19)+1)</f>
        <v>#N/A</v>
      </c>
      <c r="DL3208" t="str">
        <f>IFERROR(INDEX(Sheet2!$AU$2:$BM$228,QUOTIENT(ROW()-1,19)+1,MOD(ROW()-2,19)+1),NA())</f>
        <v/>
      </c>
      <c r="DM3208" s="4" t="e">
        <f t="shared" si="171"/>
        <v>#N/A</v>
      </c>
      <c r="DN3208" t="e">
        <f t="shared" si="172"/>
        <v>#N/A</v>
      </c>
      <c r="DO3208" t="e">
        <f t="shared" si="173"/>
        <v>#N/A</v>
      </c>
    </row>
    <row r="3209" spans="7:119" x14ac:dyDescent="0.25">
      <c r="G3209"/>
      <c r="DI3209" s="4">
        <f>INDEX(Sheet2!A:A,QUOTIENT(ROW()-1,19)+2)</f>
        <v>41626</v>
      </c>
      <c r="DJ3209" s="4">
        <f>INDEX(Sheet2!C:C,QUOTIENT(ROW()-1,19)+2)</f>
        <v>43100</v>
      </c>
      <c r="DK3209" s="4" t="e">
        <f>INDEX(Sheet2!$AA$2:$AS$228,QUOTIENT(ROW()-1,19)+1,MOD(ROW()-2,19)+1)</f>
        <v>#N/A</v>
      </c>
      <c r="DL3209" t="str">
        <f>IFERROR(INDEX(Sheet2!$AU$2:$BM$228,QUOTIENT(ROW()-1,19)+1,MOD(ROW()-2,19)+1),NA())</f>
        <v/>
      </c>
      <c r="DM3209" s="4" t="e">
        <f t="shared" si="171"/>
        <v>#N/A</v>
      </c>
      <c r="DN3209" t="e">
        <f t="shared" si="172"/>
        <v>#N/A</v>
      </c>
      <c r="DO3209" t="e">
        <f t="shared" si="173"/>
        <v>#N/A</v>
      </c>
    </row>
    <row r="3210" spans="7:119" x14ac:dyDescent="0.25">
      <c r="G3210"/>
      <c r="DI3210" s="4">
        <f>INDEX(Sheet2!A:A,QUOTIENT(ROW()-1,19)+2)</f>
        <v>41626</v>
      </c>
      <c r="DJ3210" s="4">
        <f>INDEX(Sheet2!C:C,QUOTIENT(ROW()-1,19)+2)</f>
        <v>43100</v>
      </c>
      <c r="DK3210" s="4" t="e">
        <f>INDEX(Sheet2!$AA$2:$AS$228,QUOTIENT(ROW()-1,19)+1,MOD(ROW()-2,19)+1)</f>
        <v>#N/A</v>
      </c>
      <c r="DL3210" t="str">
        <f>IFERROR(INDEX(Sheet2!$AU$2:$BM$228,QUOTIENT(ROW()-1,19)+1,MOD(ROW()-2,19)+1),NA())</f>
        <v/>
      </c>
      <c r="DM3210" s="4" t="e">
        <f t="shared" si="171"/>
        <v>#N/A</v>
      </c>
      <c r="DN3210" t="e">
        <f t="shared" si="172"/>
        <v>#N/A</v>
      </c>
      <c r="DO3210" t="e">
        <f t="shared" si="173"/>
        <v>#N/A</v>
      </c>
    </row>
    <row r="3211" spans="7:119" x14ac:dyDescent="0.25">
      <c r="G3211"/>
      <c r="DI3211" s="4">
        <f>INDEX(Sheet2!A:A,QUOTIENT(ROW()-1,19)+2)</f>
        <v>41626</v>
      </c>
      <c r="DJ3211" s="4">
        <f>INDEX(Sheet2!C:C,QUOTIENT(ROW()-1,19)+2)</f>
        <v>43100</v>
      </c>
      <c r="DK3211" s="4" t="e">
        <f>INDEX(Sheet2!$AA$2:$AS$228,QUOTIENT(ROW()-1,19)+1,MOD(ROW()-2,19)+1)</f>
        <v>#N/A</v>
      </c>
      <c r="DL3211" t="str">
        <f>IFERROR(INDEX(Sheet2!$AU$2:$BM$228,QUOTIENT(ROW()-1,19)+1,MOD(ROW()-2,19)+1),NA())</f>
        <v/>
      </c>
      <c r="DM3211" s="4" t="e">
        <f t="shared" si="171"/>
        <v>#N/A</v>
      </c>
      <c r="DN3211" t="e">
        <f t="shared" si="172"/>
        <v>#N/A</v>
      </c>
      <c r="DO3211" t="e">
        <f t="shared" si="173"/>
        <v>#N/A</v>
      </c>
    </row>
    <row r="3212" spans="7:119" x14ac:dyDescent="0.25">
      <c r="G3212"/>
      <c r="DI3212" s="4">
        <f>INDEX(Sheet2!A:A,QUOTIENT(ROW()-1,19)+2)</f>
        <v>41626</v>
      </c>
      <c r="DJ3212" s="4">
        <f>INDEX(Sheet2!C:C,QUOTIENT(ROW()-1,19)+2)</f>
        <v>43100</v>
      </c>
      <c r="DK3212" s="4" t="e">
        <f>INDEX(Sheet2!$AA$2:$AS$228,QUOTIENT(ROW()-1,19)+1,MOD(ROW()-2,19)+1)</f>
        <v>#N/A</v>
      </c>
      <c r="DL3212" t="str">
        <f>IFERROR(INDEX(Sheet2!$AU$2:$BM$228,QUOTIENT(ROW()-1,19)+1,MOD(ROW()-2,19)+1),NA())</f>
        <v/>
      </c>
      <c r="DM3212" s="4" t="e">
        <f t="shared" si="171"/>
        <v>#N/A</v>
      </c>
      <c r="DN3212" t="e">
        <f t="shared" si="172"/>
        <v>#N/A</v>
      </c>
      <c r="DO3212" t="e">
        <f t="shared" si="173"/>
        <v>#N/A</v>
      </c>
    </row>
    <row r="3213" spans="7:119" x14ac:dyDescent="0.25">
      <c r="G3213"/>
      <c r="DI3213" s="4">
        <f>INDEX(Sheet2!A:A,QUOTIENT(ROW()-1,19)+2)</f>
        <v>41626</v>
      </c>
      <c r="DJ3213" s="4">
        <f>INDEX(Sheet2!C:C,QUOTIENT(ROW()-1,19)+2)</f>
        <v>43100</v>
      </c>
      <c r="DK3213" s="4">
        <f>INDEX(Sheet2!$AA$2:$AS$228,QUOTIENT(ROW()-1,19)+1,MOD(ROW()-2,19)+1)</f>
        <v>43089.962500000001</v>
      </c>
      <c r="DL3213">
        <f>IFERROR(INDEX(Sheet2!$AU$2:$BM$228,QUOTIENT(ROW()-1,19)+1,MOD(ROW()-2,19)+1),NA())</f>
        <v>3.75</v>
      </c>
      <c r="DM3213" s="4" t="e">
        <f t="shared" si="171"/>
        <v>#N/A</v>
      </c>
      <c r="DN3213" t="e">
        <f t="shared" si="172"/>
        <v>#N/A</v>
      </c>
      <c r="DO3213" t="e">
        <f t="shared" si="173"/>
        <v>#N/A</v>
      </c>
    </row>
    <row r="3214" spans="7:119" x14ac:dyDescent="0.25">
      <c r="G3214"/>
      <c r="DI3214" s="4">
        <f>INDEX(Sheet2!A:A,QUOTIENT(ROW()-1,19)+2)</f>
        <v>41626</v>
      </c>
      <c r="DJ3214" s="4">
        <f>INDEX(Sheet2!C:C,QUOTIENT(ROW()-1,19)+2)</f>
        <v>43100</v>
      </c>
      <c r="DK3214" s="4">
        <f>INDEX(Sheet2!$AA$2:$AS$228,QUOTIENT(ROW()-1,19)+1,MOD(ROW()-2,19)+1)</f>
        <v>43110.037500000006</v>
      </c>
      <c r="DL3214">
        <f>IFERROR(INDEX(Sheet2!$AU$2:$BM$228,QUOTIENT(ROW()-1,19)+1,MOD(ROW()-2,19)+1),NA())</f>
        <v>3.75</v>
      </c>
      <c r="DM3214" s="4" t="e">
        <f t="shared" si="171"/>
        <v>#N/A</v>
      </c>
      <c r="DN3214" t="e">
        <f t="shared" si="172"/>
        <v>#N/A</v>
      </c>
      <c r="DO3214" t="e">
        <f t="shared" si="173"/>
        <v>#N/A</v>
      </c>
    </row>
    <row r="3215" spans="7:119" x14ac:dyDescent="0.25">
      <c r="G3215"/>
      <c r="DI3215" s="4">
        <f>INDEX(Sheet2!A:A,QUOTIENT(ROW()-1,19)+2)</f>
        <v>41626</v>
      </c>
      <c r="DJ3215" s="4">
        <f>INDEX(Sheet2!C:C,QUOTIENT(ROW()-1,19)+2)</f>
        <v>43100</v>
      </c>
      <c r="DK3215" s="4" t="e">
        <f>INDEX(Sheet2!$AA$2:$AS$228,QUOTIENT(ROW()-1,19)+1,MOD(ROW()-2,19)+1)</f>
        <v>#N/A</v>
      </c>
      <c r="DL3215" t="str">
        <f>IFERROR(INDEX(Sheet2!$AU$2:$BM$228,QUOTIENT(ROW()-1,19)+1,MOD(ROW()-2,19)+1),NA())</f>
        <v/>
      </c>
      <c r="DM3215" s="4" t="e">
        <f t="shared" si="171"/>
        <v>#N/A</v>
      </c>
      <c r="DN3215" t="e">
        <f t="shared" si="172"/>
        <v>#N/A</v>
      </c>
      <c r="DO3215" t="e">
        <f t="shared" si="173"/>
        <v>#N/A</v>
      </c>
    </row>
    <row r="3216" spans="7:119" x14ac:dyDescent="0.25">
      <c r="G3216"/>
      <c r="DI3216" s="4">
        <f>INDEX(Sheet2!A:A,QUOTIENT(ROW()-1,19)+2)</f>
        <v>41626</v>
      </c>
      <c r="DJ3216" s="4">
        <f>INDEX(Sheet2!C:C,QUOTIENT(ROW()-1,19)+2)</f>
        <v>43100</v>
      </c>
      <c r="DK3216" s="4" t="e">
        <f>INDEX(Sheet2!$AA$2:$AS$228,QUOTIENT(ROW()-1,19)+1,MOD(ROW()-2,19)+1)</f>
        <v>#N/A</v>
      </c>
      <c r="DL3216" t="str">
        <f>IFERROR(INDEX(Sheet2!$AU$2:$BM$228,QUOTIENT(ROW()-1,19)+1,MOD(ROW()-2,19)+1),NA())</f>
        <v/>
      </c>
      <c r="DM3216" s="4" t="e">
        <f t="shared" si="171"/>
        <v>#N/A</v>
      </c>
      <c r="DN3216" t="e">
        <f t="shared" si="172"/>
        <v>#N/A</v>
      </c>
      <c r="DO3216" t="e">
        <f t="shared" si="173"/>
        <v>#N/A</v>
      </c>
    </row>
    <row r="3217" spans="7:119" x14ac:dyDescent="0.25">
      <c r="G3217"/>
      <c r="DI3217" s="4">
        <f>INDEX(Sheet2!A:A,QUOTIENT(ROW()-1,19)+2)</f>
        <v>41626</v>
      </c>
      <c r="DJ3217" s="4">
        <f>INDEX(Sheet2!C:C,QUOTIENT(ROW()-1,19)+2)</f>
        <v>43100</v>
      </c>
      <c r="DK3217" s="4" t="e">
        <f>INDEX(Sheet2!$AA$2:$AS$228,QUOTIENT(ROW()-1,19)+1,MOD(ROW()-2,19)+1)</f>
        <v>#N/A</v>
      </c>
      <c r="DL3217" t="str">
        <f>IFERROR(INDEX(Sheet2!$AU$2:$BM$228,QUOTIENT(ROW()-1,19)+1,MOD(ROW()-2,19)+1),NA())</f>
        <v/>
      </c>
      <c r="DM3217" s="4" t="e">
        <f t="shared" si="171"/>
        <v>#N/A</v>
      </c>
      <c r="DN3217" t="e">
        <f t="shared" si="172"/>
        <v>#N/A</v>
      </c>
      <c r="DO3217" t="e">
        <f t="shared" si="173"/>
        <v>#N/A</v>
      </c>
    </row>
    <row r="3218" spans="7:119" x14ac:dyDescent="0.25">
      <c r="G3218"/>
      <c r="DI3218" s="4">
        <f>INDEX(Sheet2!A:A,QUOTIENT(ROW()-1,19)+2)</f>
        <v>41626</v>
      </c>
      <c r="DJ3218" s="4">
        <f>INDEX(Sheet2!C:C,QUOTIENT(ROW()-1,19)+2)</f>
        <v>43100</v>
      </c>
      <c r="DK3218" s="4" t="e">
        <f>INDEX(Sheet2!$AA$2:$AS$228,QUOTIENT(ROW()-1,19)+1,MOD(ROW()-2,19)+1)</f>
        <v>#N/A</v>
      </c>
      <c r="DL3218" t="str">
        <f>IFERROR(INDEX(Sheet2!$AU$2:$BM$228,QUOTIENT(ROW()-1,19)+1,MOD(ROW()-2,19)+1),NA())</f>
        <v/>
      </c>
      <c r="DM3218" s="4" t="e">
        <f t="shared" si="171"/>
        <v>#N/A</v>
      </c>
      <c r="DN3218" t="e">
        <f t="shared" si="172"/>
        <v>#N/A</v>
      </c>
      <c r="DO3218" t="e">
        <f t="shared" si="173"/>
        <v>#N/A</v>
      </c>
    </row>
    <row r="3219" spans="7:119" x14ac:dyDescent="0.25">
      <c r="G3219"/>
      <c r="DI3219" s="4">
        <f>INDEX(Sheet2!A:A,QUOTIENT(ROW()-1,19)+2)</f>
        <v>41626</v>
      </c>
      <c r="DJ3219" s="4">
        <f>INDEX(Sheet2!C:C,QUOTIENT(ROW()-1,19)+2)</f>
        <v>43100</v>
      </c>
      <c r="DK3219" s="4" t="e">
        <f>INDEX(Sheet2!$AA$2:$AS$228,QUOTIENT(ROW()-1,19)+1,MOD(ROW()-2,19)+1)</f>
        <v>#N/A</v>
      </c>
      <c r="DL3219" t="str">
        <f>IFERROR(INDEX(Sheet2!$AU$2:$BM$228,QUOTIENT(ROW()-1,19)+1,MOD(ROW()-2,19)+1),NA())</f>
        <v/>
      </c>
      <c r="DM3219" s="4" t="e">
        <f t="shared" si="171"/>
        <v>#N/A</v>
      </c>
      <c r="DN3219" t="e">
        <f t="shared" si="172"/>
        <v>#N/A</v>
      </c>
      <c r="DO3219" t="e">
        <f t="shared" si="173"/>
        <v>#N/A</v>
      </c>
    </row>
    <row r="3220" spans="7:119" x14ac:dyDescent="0.25">
      <c r="G3220"/>
      <c r="DI3220" s="4">
        <f>INDEX(Sheet2!A:A,QUOTIENT(ROW()-1,19)+2)</f>
        <v>41626</v>
      </c>
      <c r="DJ3220" s="4">
        <f>INDEX(Sheet2!C:C,QUOTIENT(ROW()-1,19)+2)</f>
        <v>43100</v>
      </c>
      <c r="DK3220" s="4" t="e">
        <f>INDEX(Sheet2!$AA$2:$AS$228,QUOTIENT(ROW()-1,19)+1,MOD(ROW()-2,19)+1)</f>
        <v>#N/A</v>
      </c>
      <c r="DL3220" t="str">
        <f>IFERROR(INDEX(Sheet2!$AU$2:$BM$228,QUOTIENT(ROW()-1,19)+1,MOD(ROW()-2,19)+1),NA())</f>
        <v/>
      </c>
      <c r="DM3220" s="4" t="e">
        <f t="shared" si="171"/>
        <v>#N/A</v>
      </c>
      <c r="DN3220" t="e">
        <f t="shared" si="172"/>
        <v>#N/A</v>
      </c>
      <c r="DO3220" t="e">
        <f t="shared" si="173"/>
        <v>#N/A</v>
      </c>
    </row>
    <row r="3221" spans="7:119" x14ac:dyDescent="0.25">
      <c r="G3221"/>
      <c r="DI3221" s="4">
        <f>INDEX(Sheet2!A:A,QUOTIENT(ROW()-1,19)+2)</f>
        <v>41626</v>
      </c>
      <c r="DJ3221" s="4">
        <f>INDEX(Sheet2!C:C,QUOTIENT(ROW()-1,19)+2)</f>
        <v>43100</v>
      </c>
      <c r="DK3221" s="4" t="e">
        <f>INDEX(Sheet2!$AA$2:$AS$228,QUOTIENT(ROW()-1,19)+1,MOD(ROW()-2,19)+1)</f>
        <v>#N/A</v>
      </c>
      <c r="DL3221" t="str">
        <f>IFERROR(INDEX(Sheet2!$AU$2:$BM$228,QUOTIENT(ROW()-1,19)+1,MOD(ROW()-2,19)+1),NA())</f>
        <v/>
      </c>
      <c r="DM3221" s="4" t="e">
        <f t="shared" si="171"/>
        <v>#N/A</v>
      </c>
      <c r="DN3221" t="e">
        <f t="shared" si="172"/>
        <v>#N/A</v>
      </c>
      <c r="DO3221" t="e">
        <f t="shared" si="173"/>
        <v>#N/A</v>
      </c>
    </row>
    <row r="3222" spans="7:119" x14ac:dyDescent="0.25">
      <c r="G3222"/>
      <c r="DI3222" s="4">
        <f>INDEX(Sheet2!A:A,QUOTIENT(ROW()-1,19)+2)</f>
        <v>41626</v>
      </c>
      <c r="DJ3222" s="4">
        <f>INDEX(Sheet2!C:C,QUOTIENT(ROW()-1,19)+2)</f>
        <v>43100</v>
      </c>
      <c r="DK3222" s="4" t="e">
        <f>INDEX(Sheet2!$AA$2:$AS$228,QUOTIENT(ROW()-1,19)+1,MOD(ROW()-2,19)+1)</f>
        <v>#N/A</v>
      </c>
      <c r="DL3222" t="str">
        <f>IFERROR(INDEX(Sheet2!$AU$2:$BM$228,QUOTIENT(ROW()-1,19)+1,MOD(ROW()-2,19)+1),NA())</f>
        <v/>
      </c>
      <c r="DM3222" s="4" t="e">
        <f t="shared" si="171"/>
        <v>#N/A</v>
      </c>
      <c r="DN3222" t="e">
        <f t="shared" si="172"/>
        <v>#N/A</v>
      </c>
      <c r="DO3222" t="e">
        <f t="shared" si="173"/>
        <v>#N/A</v>
      </c>
    </row>
    <row r="3223" spans="7:119" x14ac:dyDescent="0.25">
      <c r="G3223"/>
      <c r="DI3223" s="4">
        <f>INDEX(Sheet2!A:A,QUOTIENT(ROW()-1,19)+2)</f>
        <v>41626</v>
      </c>
      <c r="DJ3223" s="4">
        <f>INDEX(Sheet2!C:C,QUOTIENT(ROW()-1,19)+2)</f>
        <v>43100</v>
      </c>
      <c r="DK3223" s="4" t="e">
        <f>INDEX(Sheet2!$AA$2:$AS$228,QUOTIENT(ROW()-1,19)+1,MOD(ROW()-2,19)+1)</f>
        <v>#N/A</v>
      </c>
      <c r="DL3223" t="str">
        <f>IFERROR(INDEX(Sheet2!$AU$2:$BM$228,QUOTIENT(ROW()-1,19)+1,MOD(ROW()-2,19)+1),NA())</f>
        <v/>
      </c>
      <c r="DM3223" s="4" t="e">
        <f t="shared" si="171"/>
        <v>#N/A</v>
      </c>
      <c r="DN3223" t="e">
        <f t="shared" si="172"/>
        <v>#N/A</v>
      </c>
      <c r="DO3223" t="e">
        <f t="shared" si="173"/>
        <v>#N/A</v>
      </c>
    </row>
    <row r="3224" spans="7:119" x14ac:dyDescent="0.25">
      <c r="G3224"/>
      <c r="DI3224" s="4">
        <f>INDEX(Sheet2!A:A,QUOTIENT(ROW()-1,19)+2)</f>
        <v>41626</v>
      </c>
      <c r="DJ3224" s="4">
        <f>INDEX(Sheet2!C:C,QUOTIENT(ROW()-1,19)+2)</f>
        <v>43100</v>
      </c>
      <c r="DK3224" s="4" t="e">
        <f>INDEX(Sheet2!$AA$2:$AS$228,QUOTIENT(ROW()-1,19)+1,MOD(ROW()-2,19)+1)</f>
        <v>#N/A</v>
      </c>
      <c r="DL3224" t="str">
        <f>IFERROR(INDEX(Sheet2!$AU$2:$BM$228,QUOTIENT(ROW()-1,19)+1,MOD(ROW()-2,19)+1),NA())</f>
        <v/>
      </c>
      <c r="DM3224" s="4" t="e">
        <f t="shared" si="171"/>
        <v>#N/A</v>
      </c>
      <c r="DN3224" t="e">
        <f t="shared" si="172"/>
        <v>#N/A</v>
      </c>
      <c r="DO3224" t="e">
        <f t="shared" si="173"/>
        <v>#N/A</v>
      </c>
    </row>
    <row r="3225" spans="7:119" x14ac:dyDescent="0.25">
      <c r="G3225"/>
      <c r="DI3225" s="4">
        <f>INDEX(Sheet2!A:A,QUOTIENT(ROW()-1,19)+2)</f>
        <v>41626</v>
      </c>
      <c r="DJ3225" s="4">
        <f>INDEX(Sheet2!C:C,QUOTIENT(ROW()-1,19)+2)</f>
        <v>43100</v>
      </c>
      <c r="DK3225" s="4" t="e">
        <f>INDEX(Sheet2!$AA$2:$AS$228,QUOTIENT(ROW()-1,19)+1,MOD(ROW()-2,19)+1)</f>
        <v>#N/A</v>
      </c>
      <c r="DL3225" t="str">
        <f>IFERROR(INDEX(Sheet2!$AU$2:$BM$228,QUOTIENT(ROW()-1,19)+1,MOD(ROW()-2,19)+1),NA())</f>
        <v/>
      </c>
      <c r="DM3225" s="4" t="e">
        <f t="shared" si="171"/>
        <v>#N/A</v>
      </c>
      <c r="DN3225" t="e">
        <f t="shared" si="172"/>
        <v>#N/A</v>
      </c>
      <c r="DO3225" t="e">
        <f t="shared" si="173"/>
        <v>#N/A</v>
      </c>
    </row>
    <row r="3226" spans="7:119" x14ac:dyDescent="0.25">
      <c r="G3226"/>
      <c r="DI3226" s="4">
        <f>INDEX(Sheet2!A:A,QUOTIENT(ROW()-1,19)+2)</f>
        <v>41626</v>
      </c>
      <c r="DJ3226" s="4">
        <f>INDEX(Sheet2!C:C,QUOTIENT(ROW()-1,19)+2)</f>
        <v>43100</v>
      </c>
      <c r="DK3226" s="4" t="e">
        <f>INDEX(Sheet2!$AA$2:$AS$228,QUOTIENT(ROW()-1,19)+1,MOD(ROW()-2,19)+1)</f>
        <v>#N/A</v>
      </c>
      <c r="DL3226" t="str">
        <f>IFERROR(INDEX(Sheet2!$AU$2:$BM$228,QUOTIENT(ROW()-1,19)+1,MOD(ROW()-2,19)+1),NA())</f>
        <v/>
      </c>
      <c r="DM3226" s="4" t="e">
        <f t="shared" si="171"/>
        <v>#N/A</v>
      </c>
      <c r="DN3226" t="e">
        <f t="shared" si="172"/>
        <v>#N/A</v>
      </c>
      <c r="DO3226" t="e">
        <f t="shared" si="173"/>
        <v>#N/A</v>
      </c>
    </row>
    <row r="3227" spans="7:119" x14ac:dyDescent="0.25">
      <c r="G3227"/>
      <c r="DI3227" s="4">
        <f>INDEX(Sheet2!A:A,QUOTIENT(ROW()-1,19)+2)</f>
        <v>41626</v>
      </c>
      <c r="DJ3227" s="4">
        <f>INDEX(Sheet2!C:C,QUOTIENT(ROW()-1,19)+2)</f>
        <v>43100</v>
      </c>
      <c r="DK3227" s="4" t="e">
        <f>INDEX(Sheet2!$AA$2:$AS$228,QUOTIENT(ROW()-1,19)+1,MOD(ROW()-2,19)+1)</f>
        <v>#N/A</v>
      </c>
      <c r="DL3227" t="str">
        <f>IFERROR(INDEX(Sheet2!$AU$2:$BM$228,QUOTIENT(ROW()-1,19)+1,MOD(ROW()-2,19)+1),NA())</f>
        <v/>
      </c>
      <c r="DM3227" s="4" t="e">
        <f t="shared" si="171"/>
        <v>#N/A</v>
      </c>
      <c r="DN3227" t="e">
        <f t="shared" si="172"/>
        <v>#N/A</v>
      </c>
      <c r="DO3227" t="e">
        <f t="shared" si="173"/>
        <v>#N/A</v>
      </c>
    </row>
    <row r="3228" spans="7:119" x14ac:dyDescent="0.25">
      <c r="G3228"/>
      <c r="DI3228" s="4">
        <f>INDEX(Sheet2!A:A,QUOTIENT(ROW()-1,19)+2)</f>
        <v>41626</v>
      </c>
      <c r="DJ3228" s="4">
        <f>INDEX(Sheet2!C:C,QUOTIENT(ROW()-1,19)+2)</f>
        <v>43100</v>
      </c>
      <c r="DK3228" s="4" t="e">
        <f>INDEX(Sheet2!$AA$2:$AS$228,QUOTIENT(ROW()-1,19)+1,MOD(ROW()-2,19)+1)</f>
        <v>#N/A</v>
      </c>
      <c r="DL3228" t="str">
        <f>IFERROR(INDEX(Sheet2!$AU$2:$BM$228,QUOTIENT(ROW()-1,19)+1,MOD(ROW()-2,19)+1),NA())</f>
        <v/>
      </c>
      <c r="DM3228" s="4" t="e">
        <f t="shared" si="171"/>
        <v>#N/A</v>
      </c>
      <c r="DN3228" t="e">
        <f t="shared" si="172"/>
        <v>#N/A</v>
      </c>
      <c r="DO3228" t="e">
        <f t="shared" si="173"/>
        <v>#N/A</v>
      </c>
    </row>
    <row r="3229" spans="7:119" x14ac:dyDescent="0.25">
      <c r="G3229"/>
      <c r="DI3229" s="4">
        <f>INDEX(Sheet2!A:A,QUOTIENT(ROW()-1,19)+2)</f>
        <v>41626</v>
      </c>
      <c r="DJ3229" s="4">
        <f>INDEX(Sheet2!C:C,QUOTIENT(ROW()-1,19)+2)</f>
        <v>43100</v>
      </c>
      <c r="DK3229" s="4" t="e">
        <f>INDEX(Sheet2!$AA$2:$AS$228,QUOTIENT(ROW()-1,19)+1,MOD(ROW()-2,19)+1)</f>
        <v>#N/A</v>
      </c>
      <c r="DL3229" t="str">
        <f>IFERROR(INDEX(Sheet2!$AU$2:$BM$228,QUOTIENT(ROW()-1,19)+1,MOD(ROW()-2,19)+1),NA())</f>
        <v/>
      </c>
      <c r="DM3229" s="4" t="e">
        <f t="shared" si="171"/>
        <v>#N/A</v>
      </c>
      <c r="DN3229" t="e">
        <f t="shared" si="172"/>
        <v>#N/A</v>
      </c>
      <c r="DO3229" t="e">
        <f t="shared" si="173"/>
        <v>#N/A</v>
      </c>
    </row>
    <row r="3230" spans="7:119" x14ac:dyDescent="0.25">
      <c r="G3230"/>
      <c r="DI3230" s="4">
        <f>INDEX(Sheet2!A:A,QUOTIENT(ROW()-1,19)+2)</f>
        <v>41626</v>
      </c>
      <c r="DJ3230" s="4">
        <f>INDEX(Sheet2!C:C,QUOTIENT(ROW()-1,19)+2)</f>
        <v>43100</v>
      </c>
      <c r="DK3230" s="4" t="e">
        <f>INDEX(Sheet2!$AA$2:$AS$228,QUOTIENT(ROW()-1,19)+1,MOD(ROW()-2,19)+1)</f>
        <v>#N/A</v>
      </c>
      <c r="DL3230" t="str">
        <f>IFERROR(INDEX(Sheet2!$AU$2:$BM$228,QUOTIENT(ROW()-1,19)+1,MOD(ROW()-2,19)+1),NA())</f>
        <v/>
      </c>
      <c r="DM3230" s="4" t="e">
        <f t="shared" si="171"/>
        <v>#N/A</v>
      </c>
      <c r="DN3230" t="e">
        <f t="shared" si="172"/>
        <v>#N/A</v>
      </c>
      <c r="DO3230" t="e">
        <f t="shared" si="173"/>
        <v>#N/A</v>
      </c>
    </row>
    <row r="3231" spans="7:119" x14ac:dyDescent="0.25">
      <c r="G3231"/>
      <c r="DI3231" s="4">
        <f>INDEX(Sheet2!A:A,QUOTIENT(ROW()-1,19)+2)</f>
        <v>41626</v>
      </c>
      <c r="DJ3231" s="4">
        <f>INDEX(Sheet2!C:C,QUOTIENT(ROW()-1,19)+2)</f>
        <v>43100</v>
      </c>
      <c r="DK3231" s="4" t="e">
        <f>INDEX(Sheet2!$AA$2:$AS$228,QUOTIENT(ROW()-1,19)+1,MOD(ROW()-2,19)+1)</f>
        <v>#N/A</v>
      </c>
      <c r="DL3231" t="str">
        <f>IFERROR(INDEX(Sheet2!$AU$2:$BM$228,QUOTIENT(ROW()-1,19)+1,MOD(ROW()-2,19)+1),NA())</f>
        <v/>
      </c>
      <c r="DM3231" s="4" t="e">
        <f t="shared" si="171"/>
        <v>#N/A</v>
      </c>
      <c r="DN3231" t="e">
        <f t="shared" si="172"/>
        <v>#N/A</v>
      </c>
      <c r="DO3231" t="e">
        <f t="shared" si="173"/>
        <v>#N/A</v>
      </c>
    </row>
    <row r="3232" spans="7:119" x14ac:dyDescent="0.25">
      <c r="G3232"/>
      <c r="DI3232" s="4">
        <f>INDEX(Sheet2!A:A,QUOTIENT(ROW()-1,19)+2)</f>
        <v>41626</v>
      </c>
      <c r="DJ3232" s="4">
        <f>INDEX(Sheet2!C:C,QUOTIENT(ROW()-1,19)+2)</f>
        <v>43100</v>
      </c>
      <c r="DK3232" s="4">
        <f>INDEX(Sheet2!$AA$2:$AS$228,QUOTIENT(ROW()-1,19)+1,MOD(ROW()-2,19)+1)</f>
        <v>43009.662499999999</v>
      </c>
      <c r="DL3232">
        <f>IFERROR(INDEX(Sheet2!$AU$2:$BM$228,QUOTIENT(ROW()-1,19)+1,MOD(ROW()-2,19)+1),NA())</f>
        <v>4</v>
      </c>
      <c r="DM3232" s="4" t="e">
        <f t="shared" si="171"/>
        <v>#N/A</v>
      </c>
      <c r="DN3232" t="e">
        <f t="shared" si="172"/>
        <v>#N/A</v>
      </c>
      <c r="DO3232" t="e">
        <f t="shared" si="173"/>
        <v>#N/A</v>
      </c>
    </row>
    <row r="3233" spans="7:119" x14ac:dyDescent="0.25">
      <c r="G3233"/>
      <c r="DI3233" s="4">
        <f>INDEX(Sheet2!A:A,QUOTIENT(ROW()-1,19)+2)</f>
        <v>41626</v>
      </c>
      <c r="DJ3233" s="4">
        <f>INDEX(Sheet2!C:C,QUOTIENT(ROW()-1,19)+2)</f>
        <v>43100</v>
      </c>
      <c r="DK3233" s="4">
        <f>INDEX(Sheet2!$AA$2:$AS$228,QUOTIENT(ROW()-1,19)+1,MOD(ROW()-2,19)+1)</f>
        <v>43029.737500000003</v>
      </c>
      <c r="DL3233">
        <f>IFERROR(INDEX(Sheet2!$AU$2:$BM$228,QUOTIENT(ROW()-1,19)+1,MOD(ROW()-2,19)+1),NA())</f>
        <v>4</v>
      </c>
      <c r="DM3233" s="4" t="e">
        <f t="shared" si="171"/>
        <v>#N/A</v>
      </c>
      <c r="DN3233" t="e">
        <f t="shared" si="172"/>
        <v>#N/A</v>
      </c>
      <c r="DO3233" t="e">
        <f t="shared" si="173"/>
        <v>#N/A</v>
      </c>
    </row>
    <row r="3234" spans="7:119" x14ac:dyDescent="0.25">
      <c r="G3234"/>
      <c r="DI3234" s="4">
        <f>INDEX(Sheet2!A:A,QUOTIENT(ROW()-1,19)+2)</f>
        <v>41626</v>
      </c>
      <c r="DJ3234" s="4">
        <f>INDEX(Sheet2!C:C,QUOTIENT(ROW()-1,19)+2)</f>
        <v>43100</v>
      </c>
      <c r="DK3234" s="4">
        <f>INDEX(Sheet2!$AA$2:$AS$228,QUOTIENT(ROW()-1,19)+1,MOD(ROW()-2,19)+1)</f>
        <v>43049.8125</v>
      </c>
      <c r="DL3234">
        <f>IFERROR(INDEX(Sheet2!$AU$2:$BM$228,QUOTIENT(ROW()-1,19)+1,MOD(ROW()-2,19)+1),NA())</f>
        <v>4</v>
      </c>
      <c r="DM3234" s="4" t="e">
        <f t="shared" si="171"/>
        <v>#N/A</v>
      </c>
      <c r="DN3234" t="e">
        <f t="shared" si="172"/>
        <v>#N/A</v>
      </c>
      <c r="DO3234" t="e">
        <f t="shared" si="173"/>
        <v>#N/A</v>
      </c>
    </row>
    <row r="3235" spans="7:119" x14ac:dyDescent="0.25">
      <c r="G3235"/>
      <c r="DI3235" s="4">
        <f>INDEX(Sheet2!A:A,QUOTIENT(ROW()-1,19)+2)</f>
        <v>41626</v>
      </c>
      <c r="DJ3235" s="4">
        <f>INDEX(Sheet2!C:C,QUOTIENT(ROW()-1,19)+2)</f>
        <v>43100</v>
      </c>
      <c r="DK3235" s="4">
        <f>INDEX(Sheet2!$AA$2:$AS$228,QUOTIENT(ROW()-1,19)+1,MOD(ROW()-2,19)+1)</f>
        <v>43069.887500000004</v>
      </c>
      <c r="DL3235">
        <f>IFERROR(INDEX(Sheet2!$AU$2:$BM$228,QUOTIENT(ROW()-1,19)+1,MOD(ROW()-2,19)+1),NA())</f>
        <v>4</v>
      </c>
      <c r="DM3235" s="4" t="e">
        <f t="shared" si="171"/>
        <v>#N/A</v>
      </c>
      <c r="DN3235" t="e">
        <f t="shared" si="172"/>
        <v>#N/A</v>
      </c>
      <c r="DO3235" t="e">
        <f t="shared" si="173"/>
        <v>#N/A</v>
      </c>
    </row>
    <row r="3236" spans="7:119" x14ac:dyDescent="0.25">
      <c r="G3236"/>
      <c r="DI3236" s="4">
        <f>INDEX(Sheet2!A:A,QUOTIENT(ROW()-1,19)+2)</f>
        <v>41626</v>
      </c>
      <c r="DJ3236" s="4">
        <f>INDEX(Sheet2!C:C,QUOTIENT(ROW()-1,19)+2)</f>
        <v>43100</v>
      </c>
      <c r="DK3236" s="4">
        <f>INDEX(Sheet2!$AA$2:$AS$228,QUOTIENT(ROW()-1,19)+1,MOD(ROW()-2,19)+1)</f>
        <v>43089.962500000001</v>
      </c>
      <c r="DL3236">
        <f>IFERROR(INDEX(Sheet2!$AU$2:$BM$228,QUOTIENT(ROW()-1,19)+1,MOD(ROW()-2,19)+1),NA())</f>
        <v>4</v>
      </c>
      <c r="DM3236" s="4" t="e">
        <f t="shared" si="171"/>
        <v>#N/A</v>
      </c>
      <c r="DN3236" t="e">
        <f t="shared" si="172"/>
        <v>#N/A</v>
      </c>
      <c r="DO3236" t="e">
        <f t="shared" si="173"/>
        <v>#N/A</v>
      </c>
    </row>
    <row r="3237" spans="7:119" x14ac:dyDescent="0.25">
      <c r="G3237"/>
      <c r="DI3237" s="4">
        <f>INDEX(Sheet2!A:A,QUOTIENT(ROW()-1,19)+2)</f>
        <v>41626</v>
      </c>
      <c r="DJ3237" s="4">
        <f>INDEX(Sheet2!C:C,QUOTIENT(ROW()-1,19)+2)</f>
        <v>43100</v>
      </c>
      <c r="DK3237" s="4">
        <f>INDEX(Sheet2!$AA$2:$AS$228,QUOTIENT(ROW()-1,19)+1,MOD(ROW()-2,19)+1)</f>
        <v>43110.037499999999</v>
      </c>
      <c r="DL3237">
        <f>IFERROR(INDEX(Sheet2!$AU$2:$BM$228,QUOTIENT(ROW()-1,19)+1,MOD(ROW()-2,19)+1),NA())</f>
        <v>4</v>
      </c>
      <c r="DM3237" s="4" t="e">
        <f t="shared" si="171"/>
        <v>#N/A</v>
      </c>
      <c r="DN3237" t="e">
        <f t="shared" si="172"/>
        <v>#N/A</v>
      </c>
      <c r="DO3237" t="e">
        <f t="shared" si="173"/>
        <v>#N/A</v>
      </c>
    </row>
    <row r="3238" spans="7:119" x14ac:dyDescent="0.25">
      <c r="G3238"/>
      <c r="DI3238" s="4">
        <f>INDEX(Sheet2!A:A,QUOTIENT(ROW()-1,19)+2)</f>
        <v>41626</v>
      </c>
      <c r="DJ3238" s="4">
        <f>INDEX(Sheet2!C:C,QUOTIENT(ROW()-1,19)+2)</f>
        <v>43100</v>
      </c>
      <c r="DK3238" s="4">
        <f>INDEX(Sheet2!$AA$2:$AS$228,QUOTIENT(ROW()-1,19)+1,MOD(ROW()-2,19)+1)</f>
        <v>43130.112500000003</v>
      </c>
      <c r="DL3238">
        <f>IFERROR(INDEX(Sheet2!$AU$2:$BM$228,QUOTIENT(ROW()-1,19)+1,MOD(ROW()-2,19)+1),NA())</f>
        <v>4</v>
      </c>
      <c r="DM3238" s="4" t="e">
        <f t="shared" si="171"/>
        <v>#N/A</v>
      </c>
      <c r="DN3238" t="e">
        <f t="shared" si="172"/>
        <v>#N/A</v>
      </c>
      <c r="DO3238" t="e">
        <f t="shared" si="173"/>
        <v>#N/A</v>
      </c>
    </row>
    <row r="3239" spans="7:119" x14ac:dyDescent="0.25">
      <c r="G3239"/>
      <c r="DI3239" s="4">
        <f>INDEX(Sheet2!A:A,QUOTIENT(ROW()-1,19)+2)</f>
        <v>41626</v>
      </c>
      <c r="DJ3239" s="4">
        <f>INDEX(Sheet2!C:C,QUOTIENT(ROW()-1,19)+2)</f>
        <v>43100</v>
      </c>
      <c r="DK3239" s="4">
        <f>INDEX(Sheet2!$AA$2:$AS$228,QUOTIENT(ROW()-1,19)+1,MOD(ROW()-2,19)+1)</f>
        <v>43150.1875</v>
      </c>
      <c r="DL3239">
        <f>IFERROR(INDEX(Sheet2!$AU$2:$BM$228,QUOTIENT(ROW()-1,19)+1,MOD(ROW()-2,19)+1),NA())</f>
        <v>4</v>
      </c>
      <c r="DM3239" s="4" t="e">
        <f t="shared" si="171"/>
        <v>#N/A</v>
      </c>
      <c r="DN3239" t="e">
        <f t="shared" si="172"/>
        <v>#N/A</v>
      </c>
      <c r="DO3239" t="e">
        <f t="shared" si="173"/>
        <v>#N/A</v>
      </c>
    </row>
    <row r="3240" spans="7:119" x14ac:dyDescent="0.25">
      <c r="G3240"/>
      <c r="DI3240" s="4">
        <f>INDEX(Sheet2!A:A,QUOTIENT(ROW()-1,19)+2)</f>
        <v>41626</v>
      </c>
      <c r="DJ3240" s="4">
        <f>INDEX(Sheet2!C:C,QUOTIENT(ROW()-1,19)+2)</f>
        <v>43100</v>
      </c>
      <c r="DK3240" s="4">
        <f>INDEX(Sheet2!$AA$2:$AS$228,QUOTIENT(ROW()-1,19)+1,MOD(ROW()-2,19)+1)</f>
        <v>43170.262500000004</v>
      </c>
      <c r="DL3240">
        <f>IFERROR(INDEX(Sheet2!$AU$2:$BM$228,QUOTIENT(ROW()-1,19)+1,MOD(ROW()-2,19)+1),NA())</f>
        <v>4</v>
      </c>
      <c r="DM3240" s="4" t="e">
        <f t="shared" si="171"/>
        <v>#N/A</v>
      </c>
      <c r="DN3240" t="e">
        <f t="shared" si="172"/>
        <v>#N/A</v>
      </c>
      <c r="DO3240" t="e">
        <f t="shared" si="173"/>
        <v>#N/A</v>
      </c>
    </row>
    <row r="3241" spans="7:119" x14ac:dyDescent="0.25">
      <c r="G3241"/>
      <c r="DI3241" s="4">
        <f>INDEX(Sheet2!A:A,QUOTIENT(ROW()-1,19)+2)</f>
        <v>41626</v>
      </c>
      <c r="DJ3241" s="4">
        <f>INDEX(Sheet2!C:C,QUOTIENT(ROW()-1,19)+2)</f>
        <v>43100</v>
      </c>
      <c r="DK3241" s="4">
        <f>INDEX(Sheet2!$AA$2:$AS$228,QUOTIENT(ROW()-1,19)+1,MOD(ROW()-2,19)+1)</f>
        <v>43190.337500000001</v>
      </c>
      <c r="DL3241">
        <f>IFERROR(INDEX(Sheet2!$AU$2:$BM$228,QUOTIENT(ROW()-1,19)+1,MOD(ROW()-2,19)+1),NA())</f>
        <v>4</v>
      </c>
      <c r="DM3241" s="4" t="e">
        <f t="shared" si="171"/>
        <v>#N/A</v>
      </c>
      <c r="DN3241" t="e">
        <f t="shared" si="172"/>
        <v>#N/A</v>
      </c>
      <c r="DO3241" t="e">
        <f t="shared" si="173"/>
        <v>#N/A</v>
      </c>
    </row>
    <row r="3242" spans="7:119" x14ac:dyDescent="0.25">
      <c r="G3242"/>
      <c r="DI3242" s="4">
        <f>INDEX(Sheet2!A:A,QUOTIENT(ROW()-1,19)+2)</f>
        <v>41626</v>
      </c>
      <c r="DJ3242" s="4">
        <f>INDEX(Sheet2!C:C,QUOTIENT(ROW()-1,19)+2)</f>
        <v>43100</v>
      </c>
      <c r="DK3242" s="4" t="e">
        <f>INDEX(Sheet2!$AA$2:$AS$228,QUOTIENT(ROW()-1,19)+1,MOD(ROW()-2,19)+1)</f>
        <v>#N/A</v>
      </c>
      <c r="DL3242" t="str">
        <f>IFERROR(INDEX(Sheet2!$AU$2:$BM$228,QUOTIENT(ROW()-1,19)+1,MOD(ROW()-2,19)+1),NA())</f>
        <v/>
      </c>
      <c r="DM3242" s="4" t="e">
        <f t="shared" si="171"/>
        <v>#N/A</v>
      </c>
      <c r="DN3242" t="e">
        <f t="shared" si="172"/>
        <v>#N/A</v>
      </c>
      <c r="DO3242" t="e">
        <f t="shared" si="173"/>
        <v>#N/A</v>
      </c>
    </row>
    <row r="3243" spans="7:119" x14ac:dyDescent="0.25">
      <c r="G3243"/>
      <c r="DI3243" s="4">
        <f>INDEX(Sheet2!A:A,QUOTIENT(ROW()-1,19)+2)</f>
        <v>41626</v>
      </c>
      <c r="DJ3243" s="4">
        <f>INDEX(Sheet2!C:C,QUOTIENT(ROW()-1,19)+2)</f>
        <v>43100</v>
      </c>
      <c r="DK3243" s="4" t="e">
        <f>INDEX(Sheet2!$AA$2:$AS$228,QUOTIENT(ROW()-1,19)+1,MOD(ROW()-2,19)+1)</f>
        <v>#N/A</v>
      </c>
      <c r="DL3243" t="str">
        <f>IFERROR(INDEX(Sheet2!$AU$2:$BM$228,QUOTIENT(ROW()-1,19)+1,MOD(ROW()-2,19)+1),NA())</f>
        <v/>
      </c>
      <c r="DM3243" s="4" t="e">
        <f t="shared" si="171"/>
        <v>#N/A</v>
      </c>
      <c r="DN3243" t="e">
        <f t="shared" si="172"/>
        <v>#N/A</v>
      </c>
      <c r="DO3243" t="e">
        <f t="shared" si="173"/>
        <v>#N/A</v>
      </c>
    </row>
    <row r="3244" spans="7:119" x14ac:dyDescent="0.25">
      <c r="G3244"/>
      <c r="DI3244" s="4">
        <f>INDEX(Sheet2!A:A,QUOTIENT(ROW()-1,19)+2)</f>
        <v>41626</v>
      </c>
      <c r="DJ3244" s="4">
        <f>INDEX(Sheet2!C:C,QUOTIENT(ROW()-1,19)+2)</f>
        <v>43100</v>
      </c>
      <c r="DK3244" s="4" t="e">
        <f>INDEX(Sheet2!$AA$2:$AS$228,QUOTIENT(ROW()-1,19)+1,MOD(ROW()-2,19)+1)</f>
        <v>#N/A</v>
      </c>
      <c r="DL3244" t="str">
        <f>IFERROR(INDEX(Sheet2!$AU$2:$BM$228,QUOTIENT(ROW()-1,19)+1,MOD(ROW()-2,19)+1),NA())</f>
        <v/>
      </c>
      <c r="DM3244" s="4" t="e">
        <f t="shared" si="171"/>
        <v>#N/A</v>
      </c>
      <c r="DN3244" t="e">
        <f t="shared" si="172"/>
        <v>#N/A</v>
      </c>
      <c r="DO3244" t="e">
        <f t="shared" si="173"/>
        <v>#N/A</v>
      </c>
    </row>
    <row r="3245" spans="7:119" x14ac:dyDescent="0.25">
      <c r="G3245"/>
      <c r="DI3245" s="4">
        <f>INDEX(Sheet2!A:A,QUOTIENT(ROW()-1,19)+2)</f>
        <v>41626</v>
      </c>
      <c r="DJ3245" s="4">
        <f>INDEX(Sheet2!C:C,QUOTIENT(ROW()-1,19)+2)</f>
        <v>43100</v>
      </c>
      <c r="DK3245" s="4" t="e">
        <f>INDEX(Sheet2!$AA$2:$AS$228,QUOTIENT(ROW()-1,19)+1,MOD(ROW()-2,19)+1)</f>
        <v>#N/A</v>
      </c>
      <c r="DL3245" t="str">
        <f>IFERROR(INDEX(Sheet2!$AU$2:$BM$228,QUOTIENT(ROW()-1,19)+1,MOD(ROW()-2,19)+1),NA())</f>
        <v/>
      </c>
      <c r="DM3245" s="4" t="e">
        <f t="shared" si="171"/>
        <v>#N/A</v>
      </c>
      <c r="DN3245" t="e">
        <f t="shared" si="172"/>
        <v>#N/A</v>
      </c>
      <c r="DO3245" t="e">
        <f t="shared" si="173"/>
        <v>#N/A</v>
      </c>
    </row>
    <row r="3246" spans="7:119" x14ac:dyDescent="0.25">
      <c r="G3246"/>
      <c r="DI3246" s="4">
        <f>INDEX(Sheet2!A:A,QUOTIENT(ROW()-1,19)+2)</f>
        <v>41626</v>
      </c>
      <c r="DJ3246" s="4">
        <f>INDEX(Sheet2!C:C,QUOTIENT(ROW()-1,19)+2)</f>
        <v>43100</v>
      </c>
      <c r="DK3246" s="4" t="e">
        <f>INDEX(Sheet2!$AA$2:$AS$228,QUOTIENT(ROW()-1,19)+1,MOD(ROW()-2,19)+1)</f>
        <v>#N/A</v>
      </c>
      <c r="DL3246" t="str">
        <f>IFERROR(INDEX(Sheet2!$AU$2:$BM$228,QUOTIENT(ROW()-1,19)+1,MOD(ROW()-2,19)+1),NA())</f>
        <v/>
      </c>
      <c r="DM3246" s="4" t="e">
        <f t="shared" si="171"/>
        <v>#N/A</v>
      </c>
      <c r="DN3246" t="e">
        <f t="shared" si="172"/>
        <v>#N/A</v>
      </c>
      <c r="DO3246" t="e">
        <f t="shared" si="173"/>
        <v>#N/A</v>
      </c>
    </row>
    <row r="3247" spans="7:119" x14ac:dyDescent="0.25">
      <c r="G3247"/>
      <c r="DI3247" s="4">
        <f>INDEX(Sheet2!A:A,QUOTIENT(ROW()-1,19)+2)</f>
        <v>41626</v>
      </c>
      <c r="DJ3247" s="4">
        <f>INDEX(Sheet2!C:C,QUOTIENT(ROW()-1,19)+2)</f>
        <v>43100</v>
      </c>
      <c r="DK3247" s="4" t="e">
        <f>INDEX(Sheet2!$AA$2:$AS$228,QUOTIENT(ROW()-1,19)+1,MOD(ROW()-2,19)+1)</f>
        <v>#N/A</v>
      </c>
      <c r="DL3247" t="str">
        <f>IFERROR(INDEX(Sheet2!$AU$2:$BM$228,QUOTIENT(ROW()-1,19)+1,MOD(ROW()-2,19)+1),NA())</f>
        <v/>
      </c>
      <c r="DM3247" s="4" t="e">
        <f t="shared" si="171"/>
        <v>#N/A</v>
      </c>
      <c r="DN3247" t="e">
        <f t="shared" si="172"/>
        <v>#N/A</v>
      </c>
      <c r="DO3247" t="e">
        <f t="shared" si="173"/>
        <v>#N/A</v>
      </c>
    </row>
    <row r="3248" spans="7:119" x14ac:dyDescent="0.25">
      <c r="G3248"/>
      <c r="DI3248" s="4">
        <f>INDEX(Sheet2!A:A,QUOTIENT(ROW()-1,19)+2)</f>
        <v>41626</v>
      </c>
      <c r="DJ3248" s="4">
        <f>INDEX(Sheet2!C:C,QUOTIENT(ROW()-1,19)+2)</f>
        <v>43100</v>
      </c>
      <c r="DK3248" s="4" t="e">
        <f>INDEX(Sheet2!$AA$2:$AS$228,QUOTIENT(ROW()-1,19)+1,MOD(ROW()-2,19)+1)</f>
        <v>#N/A</v>
      </c>
      <c r="DL3248" t="str">
        <f>IFERROR(INDEX(Sheet2!$AU$2:$BM$228,QUOTIENT(ROW()-1,19)+1,MOD(ROW()-2,19)+1),NA())</f>
        <v/>
      </c>
      <c r="DM3248" s="4" t="e">
        <f t="shared" si="171"/>
        <v>#N/A</v>
      </c>
      <c r="DN3248" t="e">
        <f t="shared" si="172"/>
        <v>#N/A</v>
      </c>
      <c r="DO3248" t="e">
        <f t="shared" si="173"/>
        <v>#N/A</v>
      </c>
    </row>
    <row r="3249" spans="7:119" x14ac:dyDescent="0.25">
      <c r="G3249"/>
      <c r="DI3249" s="4">
        <f>INDEX(Sheet2!A:A,QUOTIENT(ROW()-1,19)+2)</f>
        <v>41626</v>
      </c>
      <c r="DJ3249" s="4">
        <f>INDEX(Sheet2!C:C,QUOTIENT(ROW()-1,19)+2)</f>
        <v>43100</v>
      </c>
      <c r="DK3249" s="4" t="e">
        <f>INDEX(Sheet2!$AA$2:$AS$228,QUOTIENT(ROW()-1,19)+1,MOD(ROW()-2,19)+1)</f>
        <v>#N/A</v>
      </c>
      <c r="DL3249" t="str">
        <f>IFERROR(INDEX(Sheet2!$AU$2:$BM$228,QUOTIENT(ROW()-1,19)+1,MOD(ROW()-2,19)+1),NA())</f>
        <v/>
      </c>
      <c r="DM3249" s="4" t="e">
        <f t="shared" si="171"/>
        <v>#N/A</v>
      </c>
      <c r="DN3249" t="e">
        <f t="shared" si="172"/>
        <v>#N/A</v>
      </c>
      <c r="DO3249" t="e">
        <f t="shared" si="173"/>
        <v>#N/A</v>
      </c>
    </row>
    <row r="3250" spans="7:119" x14ac:dyDescent="0.25">
      <c r="G3250"/>
      <c r="DI3250" s="4">
        <f>INDEX(Sheet2!A:A,QUOTIENT(ROW()-1,19)+2)</f>
        <v>41626</v>
      </c>
      <c r="DJ3250" s="4">
        <f>INDEX(Sheet2!C:C,QUOTIENT(ROW()-1,19)+2)</f>
        <v>43100</v>
      </c>
      <c r="DK3250" s="4" t="e">
        <f>INDEX(Sheet2!$AA$2:$AS$228,QUOTIENT(ROW()-1,19)+1,MOD(ROW()-2,19)+1)</f>
        <v>#N/A</v>
      </c>
      <c r="DL3250" t="str">
        <f>IFERROR(INDEX(Sheet2!$AU$2:$BM$228,QUOTIENT(ROW()-1,19)+1,MOD(ROW()-2,19)+1),NA())</f>
        <v/>
      </c>
      <c r="DM3250" s="4" t="e">
        <f t="shared" si="171"/>
        <v>#N/A</v>
      </c>
      <c r="DN3250" t="e">
        <f t="shared" si="172"/>
        <v>#N/A</v>
      </c>
      <c r="DO3250" t="e">
        <f t="shared" si="173"/>
        <v>#N/A</v>
      </c>
    </row>
    <row r="3251" spans="7:119" x14ac:dyDescent="0.25">
      <c r="G3251"/>
      <c r="DI3251" s="4">
        <f>INDEX(Sheet2!A:A,QUOTIENT(ROW()-1,19)+2)</f>
        <v>41626</v>
      </c>
      <c r="DJ3251" s="4">
        <f>INDEX(Sheet2!C:C,QUOTIENT(ROW()-1,19)+2)</f>
        <v>43100</v>
      </c>
      <c r="DK3251" s="4">
        <f>INDEX(Sheet2!$AA$2:$AS$228,QUOTIENT(ROW()-1,19)+1,MOD(ROW()-2,19)+1)</f>
        <v>43089.962500000001</v>
      </c>
      <c r="DL3251">
        <f>IFERROR(INDEX(Sheet2!$AU$2:$BM$228,QUOTIENT(ROW()-1,19)+1,MOD(ROW()-2,19)+1),NA())</f>
        <v>4.25</v>
      </c>
      <c r="DM3251" s="4" t="e">
        <f t="shared" si="171"/>
        <v>#N/A</v>
      </c>
      <c r="DN3251" t="e">
        <f t="shared" si="172"/>
        <v>#N/A</v>
      </c>
      <c r="DO3251" t="e">
        <f t="shared" si="173"/>
        <v>#N/A</v>
      </c>
    </row>
    <row r="3252" spans="7:119" x14ac:dyDescent="0.25">
      <c r="G3252"/>
      <c r="DI3252" s="4">
        <f>INDEX(Sheet2!A:A,QUOTIENT(ROW()-1,19)+2)</f>
        <v>41626</v>
      </c>
      <c r="DJ3252" s="4">
        <f>INDEX(Sheet2!C:C,QUOTIENT(ROW()-1,19)+2)</f>
        <v>43100</v>
      </c>
      <c r="DK3252" s="4">
        <f>INDEX(Sheet2!$AA$2:$AS$228,QUOTIENT(ROW()-1,19)+1,MOD(ROW()-2,19)+1)</f>
        <v>43110.037500000006</v>
      </c>
      <c r="DL3252">
        <f>IFERROR(INDEX(Sheet2!$AU$2:$BM$228,QUOTIENT(ROW()-1,19)+1,MOD(ROW()-2,19)+1),NA())</f>
        <v>4.25</v>
      </c>
      <c r="DM3252" s="4" t="e">
        <f t="shared" si="171"/>
        <v>#N/A</v>
      </c>
      <c r="DN3252" t="e">
        <f t="shared" si="172"/>
        <v>#N/A</v>
      </c>
      <c r="DO3252" t="e">
        <f t="shared" si="173"/>
        <v>#N/A</v>
      </c>
    </row>
    <row r="3253" spans="7:119" x14ac:dyDescent="0.25">
      <c r="G3253"/>
      <c r="DI3253" s="4">
        <f>INDEX(Sheet2!A:A,QUOTIENT(ROW()-1,19)+2)</f>
        <v>41626</v>
      </c>
      <c r="DJ3253" s="4">
        <f>INDEX(Sheet2!C:C,QUOTIENT(ROW()-1,19)+2)</f>
        <v>43100</v>
      </c>
      <c r="DK3253" s="4" t="e">
        <f>INDEX(Sheet2!$AA$2:$AS$228,QUOTIENT(ROW()-1,19)+1,MOD(ROW()-2,19)+1)</f>
        <v>#N/A</v>
      </c>
      <c r="DL3253" t="str">
        <f>IFERROR(INDEX(Sheet2!$AU$2:$BM$228,QUOTIENT(ROW()-1,19)+1,MOD(ROW()-2,19)+1),NA())</f>
        <v/>
      </c>
      <c r="DM3253" s="4" t="e">
        <f t="shared" si="171"/>
        <v>#N/A</v>
      </c>
      <c r="DN3253" t="e">
        <f t="shared" si="172"/>
        <v>#N/A</v>
      </c>
      <c r="DO3253" t="e">
        <f t="shared" si="173"/>
        <v>#N/A</v>
      </c>
    </row>
    <row r="3254" spans="7:119" x14ac:dyDescent="0.25">
      <c r="G3254"/>
      <c r="DI3254" s="4">
        <f>INDEX(Sheet2!A:A,QUOTIENT(ROW()-1,19)+2)</f>
        <v>41626</v>
      </c>
      <c r="DJ3254" s="4">
        <f>INDEX(Sheet2!C:C,QUOTIENT(ROW()-1,19)+2)</f>
        <v>43100</v>
      </c>
      <c r="DK3254" s="4" t="e">
        <f>INDEX(Sheet2!$AA$2:$AS$228,QUOTIENT(ROW()-1,19)+1,MOD(ROW()-2,19)+1)</f>
        <v>#N/A</v>
      </c>
      <c r="DL3254" t="str">
        <f>IFERROR(INDEX(Sheet2!$AU$2:$BM$228,QUOTIENT(ROW()-1,19)+1,MOD(ROW()-2,19)+1),NA())</f>
        <v/>
      </c>
      <c r="DM3254" s="4" t="e">
        <f t="shared" si="171"/>
        <v>#N/A</v>
      </c>
      <c r="DN3254" t="e">
        <f t="shared" si="172"/>
        <v>#N/A</v>
      </c>
      <c r="DO3254" t="e">
        <f t="shared" si="173"/>
        <v>#N/A</v>
      </c>
    </row>
    <row r="3255" spans="7:119" x14ac:dyDescent="0.25">
      <c r="G3255"/>
      <c r="DI3255" s="4">
        <f>INDEX(Sheet2!A:A,QUOTIENT(ROW()-1,19)+2)</f>
        <v>41626</v>
      </c>
      <c r="DJ3255" s="4">
        <f>INDEX(Sheet2!C:C,QUOTIENT(ROW()-1,19)+2)</f>
        <v>43100</v>
      </c>
      <c r="DK3255" s="4" t="e">
        <f>INDEX(Sheet2!$AA$2:$AS$228,QUOTIENT(ROW()-1,19)+1,MOD(ROW()-2,19)+1)</f>
        <v>#N/A</v>
      </c>
      <c r="DL3255" t="str">
        <f>IFERROR(INDEX(Sheet2!$AU$2:$BM$228,QUOTIENT(ROW()-1,19)+1,MOD(ROW()-2,19)+1),NA())</f>
        <v/>
      </c>
      <c r="DM3255" s="4" t="e">
        <f t="shared" si="171"/>
        <v>#N/A</v>
      </c>
      <c r="DN3255" t="e">
        <f t="shared" si="172"/>
        <v>#N/A</v>
      </c>
      <c r="DO3255" t="e">
        <f t="shared" si="173"/>
        <v>#N/A</v>
      </c>
    </row>
    <row r="3256" spans="7:119" x14ac:dyDescent="0.25">
      <c r="G3256"/>
      <c r="DI3256" s="4">
        <f>INDEX(Sheet2!A:A,QUOTIENT(ROW()-1,19)+2)</f>
        <v>41626</v>
      </c>
      <c r="DJ3256" s="4">
        <f>INDEX(Sheet2!C:C,QUOTIENT(ROW()-1,19)+2)</f>
        <v>43100</v>
      </c>
      <c r="DK3256" s="4" t="e">
        <f>INDEX(Sheet2!$AA$2:$AS$228,QUOTIENT(ROW()-1,19)+1,MOD(ROW()-2,19)+1)</f>
        <v>#N/A</v>
      </c>
      <c r="DL3256" t="str">
        <f>IFERROR(INDEX(Sheet2!$AU$2:$BM$228,QUOTIENT(ROW()-1,19)+1,MOD(ROW()-2,19)+1),NA())</f>
        <v/>
      </c>
      <c r="DM3256" s="4" t="e">
        <f t="shared" si="171"/>
        <v>#N/A</v>
      </c>
      <c r="DN3256" t="e">
        <f t="shared" si="172"/>
        <v>#N/A</v>
      </c>
      <c r="DO3256" t="e">
        <f t="shared" si="173"/>
        <v>#N/A</v>
      </c>
    </row>
    <row r="3257" spans="7:119" x14ac:dyDescent="0.25">
      <c r="G3257"/>
      <c r="DI3257" s="4">
        <f>INDEX(Sheet2!A:A,QUOTIENT(ROW()-1,19)+2)</f>
        <v>41626</v>
      </c>
      <c r="DJ3257" s="4">
        <f>INDEX(Sheet2!C:C,QUOTIENT(ROW()-1,19)+2)</f>
        <v>43100</v>
      </c>
      <c r="DK3257" s="4" t="e">
        <f>INDEX(Sheet2!$AA$2:$AS$228,QUOTIENT(ROW()-1,19)+1,MOD(ROW()-2,19)+1)</f>
        <v>#N/A</v>
      </c>
      <c r="DL3257" t="str">
        <f>IFERROR(INDEX(Sheet2!$AU$2:$BM$228,QUOTIENT(ROW()-1,19)+1,MOD(ROW()-2,19)+1),NA())</f>
        <v/>
      </c>
      <c r="DM3257" s="4" t="e">
        <f t="shared" si="171"/>
        <v>#N/A</v>
      </c>
      <c r="DN3257" t="e">
        <f t="shared" si="172"/>
        <v>#N/A</v>
      </c>
      <c r="DO3257" t="e">
        <f t="shared" si="173"/>
        <v>#N/A</v>
      </c>
    </row>
    <row r="3258" spans="7:119" x14ac:dyDescent="0.25">
      <c r="G3258"/>
      <c r="DI3258" s="4">
        <f>INDEX(Sheet2!A:A,QUOTIENT(ROW()-1,19)+2)</f>
        <v>41626</v>
      </c>
      <c r="DJ3258" s="4">
        <f>INDEX(Sheet2!C:C,QUOTIENT(ROW()-1,19)+2)</f>
        <v>43100</v>
      </c>
      <c r="DK3258" s="4" t="e">
        <f>INDEX(Sheet2!$AA$2:$AS$228,QUOTIENT(ROW()-1,19)+1,MOD(ROW()-2,19)+1)</f>
        <v>#N/A</v>
      </c>
      <c r="DL3258" t="str">
        <f>IFERROR(INDEX(Sheet2!$AU$2:$BM$228,QUOTIENT(ROW()-1,19)+1,MOD(ROW()-2,19)+1),NA())</f>
        <v/>
      </c>
      <c r="DM3258" s="4" t="e">
        <f t="shared" si="171"/>
        <v>#N/A</v>
      </c>
      <c r="DN3258" t="e">
        <f t="shared" si="172"/>
        <v>#N/A</v>
      </c>
      <c r="DO3258" t="e">
        <f t="shared" si="173"/>
        <v>#N/A</v>
      </c>
    </row>
    <row r="3259" spans="7:119" x14ac:dyDescent="0.25">
      <c r="G3259"/>
      <c r="DI3259" s="4">
        <f>INDEX(Sheet2!A:A,QUOTIENT(ROW()-1,19)+2)</f>
        <v>41626</v>
      </c>
      <c r="DJ3259" s="4">
        <f>INDEX(Sheet2!C:C,QUOTIENT(ROW()-1,19)+2)</f>
        <v>43100</v>
      </c>
      <c r="DK3259" s="4" t="e">
        <f>INDEX(Sheet2!$AA$2:$AS$228,QUOTIENT(ROW()-1,19)+1,MOD(ROW()-2,19)+1)</f>
        <v>#N/A</v>
      </c>
      <c r="DL3259" t="str">
        <f>IFERROR(INDEX(Sheet2!$AU$2:$BM$228,QUOTIENT(ROW()-1,19)+1,MOD(ROW()-2,19)+1),NA())</f>
        <v/>
      </c>
      <c r="DM3259" s="4" t="e">
        <f t="shared" si="171"/>
        <v>#N/A</v>
      </c>
      <c r="DN3259" t="e">
        <f t="shared" si="172"/>
        <v>#N/A</v>
      </c>
      <c r="DO3259" t="e">
        <f t="shared" si="173"/>
        <v>#N/A</v>
      </c>
    </row>
    <row r="3260" spans="7:119" x14ac:dyDescent="0.25">
      <c r="G3260"/>
      <c r="DI3260" s="4">
        <f>INDEX(Sheet2!A:A,QUOTIENT(ROW()-1,19)+2)</f>
        <v>41626</v>
      </c>
      <c r="DJ3260" s="4">
        <f>INDEX(Sheet2!C:C,QUOTIENT(ROW()-1,19)+2)</f>
        <v>43100</v>
      </c>
      <c r="DK3260" s="4" t="e">
        <f>INDEX(Sheet2!$AA$2:$AS$228,QUOTIENT(ROW()-1,19)+1,MOD(ROW()-2,19)+1)</f>
        <v>#N/A</v>
      </c>
      <c r="DL3260" t="str">
        <f>IFERROR(INDEX(Sheet2!$AU$2:$BM$228,QUOTIENT(ROW()-1,19)+1,MOD(ROW()-2,19)+1),NA())</f>
        <v/>
      </c>
      <c r="DM3260" s="4" t="e">
        <f t="shared" si="171"/>
        <v>#N/A</v>
      </c>
      <c r="DN3260" t="e">
        <f t="shared" si="172"/>
        <v>#N/A</v>
      </c>
      <c r="DO3260" t="e">
        <f t="shared" si="173"/>
        <v>#N/A</v>
      </c>
    </row>
    <row r="3261" spans="7:119" x14ac:dyDescent="0.25">
      <c r="G3261"/>
      <c r="DI3261" s="4">
        <f>INDEX(Sheet2!A:A,QUOTIENT(ROW()-1,19)+2)</f>
        <v>41626</v>
      </c>
      <c r="DJ3261" s="4">
        <f>INDEX(Sheet2!C:C,QUOTIENT(ROW()-1,19)+2)</f>
        <v>43100</v>
      </c>
      <c r="DK3261" s="4" t="e">
        <f>INDEX(Sheet2!$AA$2:$AS$228,QUOTIENT(ROW()-1,19)+1,MOD(ROW()-2,19)+1)</f>
        <v>#N/A</v>
      </c>
      <c r="DL3261" t="str">
        <f>IFERROR(INDEX(Sheet2!$AU$2:$BM$228,QUOTIENT(ROW()-1,19)+1,MOD(ROW()-2,19)+1),NA())</f>
        <v/>
      </c>
      <c r="DM3261" s="4" t="e">
        <f t="shared" si="171"/>
        <v>#N/A</v>
      </c>
      <c r="DN3261" t="e">
        <f t="shared" si="172"/>
        <v>#N/A</v>
      </c>
      <c r="DO3261" t="e">
        <f t="shared" si="173"/>
        <v>#N/A</v>
      </c>
    </row>
    <row r="3262" spans="7:119" x14ac:dyDescent="0.25">
      <c r="G3262"/>
      <c r="DI3262" s="4">
        <f>INDEX(Sheet2!A:A,QUOTIENT(ROW()-1,19)+2)</f>
        <v>41626</v>
      </c>
      <c r="DJ3262" s="4">
        <f>INDEX(Sheet2!C:C,QUOTIENT(ROW()-1,19)+2)</f>
        <v>43100</v>
      </c>
      <c r="DK3262" s="4" t="e">
        <f>INDEX(Sheet2!$AA$2:$AS$228,QUOTIENT(ROW()-1,19)+1,MOD(ROW()-2,19)+1)</f>
        <v>#N/A</v>
      </c>
      <c r="DL3262" t="str">
        <f>IFERROR(INDEX(Sheet2!$AU$2:$BM$228,QUOTIENT(ROW()-1,19)+1,MOD(ROW()-2,19)+1),NA())</f>
        <v/>
      </c>
      <c r="DM3262" s="4" t="e">
        <f t="shared" si="171"/>
        <v>#N/A</v>
      </c>
      <c r="DN3262" t="e">
        <f t="shared" si="172"/>
        <v>#N/A</v>
      </c>
      <c r="DO3262" t="e">
        <f t="shared" si="173"/>
        <v>#N/A</v>
      </c>
    </row>
    <row r="3263" spans="7:119" x14ac:dyDescent="0.25">
      <c r="G3263"/>
      <c r="DI3263" s="4">
        <f>INDEX(Sheet2!A:A,QUOTIENT(ROW()-1,19)+2)</f>
        <v>41626</v>
      </c>
      <c r="DJ3263" s="4">
        <f>INDEX(Sheet2!C:C,QUOTIENT(ROW()-1,19)+2)</f>
        <v>43100</v>
      </c>
      <c r="DK3263" s="4" t="e">
        <f>INDEX(Sheet2!$AA$2:$AS$228,QUOTIENT(ROW()-1,19)+1,MOD(ROW()-2,19)+1)</f>
        <v>#N/A</v>
      </c>
      <c r="DL3263" t="str">
        <f>IFERROR(INDEX(Sheet2!$AU$2:$BM$228,QUOTIENT(ROW()-1,19)+1,MOD(ROW()-2,19)+1),NA())</f>
        <v/>
      </c>
      <c r="DM3263" s="4" t="e">
        <f t="shared" si="171"/>
        <v>#N/A</v>
      </c>
      <c r="DN3263" t="e">
        <f t="shared" si="172"/>
        <v>#N/A</v>
      </c>
      <c r="DO3263" t="e">
        <f t="shared" si="173"/>
        <v>#N/A</v>
      </c>
    </row>
    <row r="3264" spans="7:119" x14ac:dyDescent="0.25">
      <c r="G3264"/>
      <c r="DI3264" s="4">
        <f>INDEX(Sheet2!A:A,QUOTIENT(ROW()-1,19)+2)</f>
        <v>41626</v>
      </c>
      <c r="DJ3264" s="4">
        <f>INDEX(Sheet2!C:C,QUOTIENT(ROW()-1,19)+2)</f>
        <v>43100</v>
      </c>
      <c r="DK3264" s="4" t="e">
        <f>INDEX(Sheet2!$AA$2:$AS$228,QUOTIENT(ROW()-1,19)+1,MOD(ROW()-2,19)+1)</f>
        <v>#N/A</v>
      </c>
      <c r="DL3264" t="str">
        <f>IFERROR(INDEX(Sheet2!$AU$2:$BM$228,QUOTIENT(ROW()-1,19)+1,MOD(ROW()-2,19)+1),NA())</f>
        <v/>
      </c>
      <c r="DM3264" s="4" t="e">
        <f t="shared" si="171"/>
        <v>#N/A</v>
      </c>
      <c r="DN3264" t="e">
        <f t="shared" si="172"/>
        <v>#N/A</v>
      </c>
      <c r="DO3264" t="e">
        <f t="shared" si="173"/>
        <v>#N/A</v>
      </c>
    </row>
    <row r="3265" spans="7:119" x14ac:dyDescent="0.25">
      <c r="G3265"/>
      <c r="DI3265" s="4">
        <f>INDEX(Sheet2!A:A,QUOTIENT(ROW()-1,19)+2)</f>
        <v>41626</v>
      </c>
      <c r="DJ3265" s="4">
        <f>INDEX(Sheet2!C:C,QUOTIENT(ROW()-1,19)+2)</f>
        <v>43100</v>
      </c>
      <c r="DK3265" s="4" t="e">
        <f>INDEX(Sheet2!$AA$2:$AS$228,QUOTIENT(ROW()-1,19)+1,MOD(ROW()-2,19)+1)</f>
        <v>#N/A</v>
      </c>
      <c r="DL3265" t="str">
        <f>IFERROR(INDEX(Sheet2!$AU$2:$BM$228,QUOTIENT(ROW()-1,19)+1,MOD(ROW()-2,19)+1),NA())</f>
        <v/>
      </c>
      <c r="DM3265" s="4" t="e">
        <f t="shared" si="171"/>
        <v>#N/A</v>
      </c>
      <c r="DN3265" t="e">
        <f t="shared" si="172"/>
        <v>#N/A</v>
      </c>
      <c r="DO3265" t="e">
        <f t="shared" si="173"/>
        <v>#N/A</v>
      </c>
    </row>
    <row r="3266" spans="7:119" x14ac:dyDescent="0.25">
      <c r="G3266"/>
      <c r="DI3266" s="4">
        <f>INDEX(Sheet2!A:A,QUOTIENT(ROW()-1,19)+2)</f>
        <v>41626</v>
      </c>
      <c r="DJ3266" s="4">
        <f>INDEX(Sheet2!C:C,QUOTIENT(ROW()-1,19)+2)</f>
        <v>43100</v>
      </c>
      <c r="DK3266" s="4" t="e">
        <f>INDEX(Sheet2!$AA$2:$AS$228,QUOTIENT(ROW()-1,19)+1,MOD(ROW()-2,19)+1)</f>
        <v>#N/A</v>
      </c>
      <c r="DL3266" t="str">
        <f>IFERROR(INDEX(Sheet2!$AU$2:$BM$228,QUOTIENT(ROW()-1,19)+1,MOD(ROW()-2,19)+1),NA())</f>
        <v/>
      </c>
      <c r="DM3266" s="4" t="e">
        <f t="shared" ref="DM3266:DM3329" si="174">+IF($C$2=$DI3266,DK3266,NA())</f>
        <v>#N/A</v>
      </c>
      <c r="DN3266" t="e">
        <f t="shared" ref="DN3266:DN3329" si="175">+IF($C$2=$DI3266,DL3266,NA())</f>
        <v>#N/A</v>
      </c>
      <c r="DO3266" t="e">
        <f t="shared" si="173"/>
        <v>#N/A</v>
      </c>
    </row>
    <row r="3267" spans="7:119" x14ac:dyDescent="0.25">
      <c r="G3267"/>
      <c r="DI3267" s="4">
        <f>INDEX(Sheet2!A:A,QUOTIENT(ROW()-1,19)+2)</f>
        <v>41626</v>
      </c>
      <c r="DJ3267" s="4">
        <f>INDEX(Sheet2!C:C,QUOTIENT(ROW()-1,19)+2)</f>
        <v>43100</v>
      </c>
      <c r="DK3267" s="4" t="e">
        <f>INDEX(Sheet2!$AA$2:$AS$228,QUOTIENT(ROW()-1,19)+1,MOD(ROW()-2,19)+1)</f>
        <v>#N/A</v>
      </c>
      <c r="DL3267" t="str">
        <f>IFERROR(INDEX(Sheet2!$AU$2:$BM$228,QUOTIENT(ROW()-1,19)+1,MOD(ROW()-2,19)+1),NA())</f>
        <v/>
      </c>
      <c r="DM3267" s="4" t="e">
        <f t="shared" si="174"/>
        <v>#N/A</v>
      </c>
      <c r="DN3267" t="e">
        <f t="shared" si="175"/>
        <v>#N/A</v>
      </c>
      <c r="DO3267" t="e">
        <f t="shared" ref="DO3267:DO3330" si="176">IF(DN3267="",NA(),DN3267)</f>
        <v>#N/A</v>
      </c>
    </row>
    <row r="3268" spans="7:119" x14ac:dyDescent="0.25">
      <c r="G3268"/>
      <c r="DI3268" s="4">
        <f>INDEX(Sheet2!A:A,QUOTIENT(ROW()-1,19)+2)</f>
        <v>41626</v>
      </c>
      <c r="DJ3268" s="4">
        <f>INDEX(Sheet2!C:C,QUOTIENT(ROW()-1,19)+2)</f>
        <v>43100</v>
      </c>
      <c r="DK3268" s="4" t="e">
        <f>INDEX(Sheet2!$AA$2:$AS$228,QUOTIENT(ROW()-1,19)+1,MOD(ROW()-2,19)+1)</f>
        <v>#N/A</v>
      </c>
      <c r="DL3268" t="str">
        <f>IFERROR(INDEX(Sheet2!$AU$2:$BM$228,QUOTIENT(ROW()-1,19)+1,MOD(ROW()-2,19)+1),NA())</f>
        <v/>
      </c>
      <c r="DM3268" s="4" t="e">
        <f t="shared" si="174"/>
        <v>#N/A</v>
      </c>
      <c r="DN3268" t="e">
        <f t="shared" si="175"/>
        <v>#N/A</v>
      </c>
      <c r="DO3268" t="e">
        <f t="shared" si="176"/>
        <v>#N/A</v>
      </c>
    </row>
    <row r="3269" spans="7:119" x14ac:dyDescent="0.25">
      <c r="G3269"/>
      <c r="DI3269" s="4">
        <f>INDEX(Sheet2!A:A,QUOTIENT(ROW()-1,19)+2)</f>
        <v>41717</v>
      </c>
      <c r="DJ3269" s="4">
        <f>INDEX(Sheet2!C:C,QUOTIENT(ROW()-1,19)+2)</f>
        <v>42004</v>
      </c>
      <c r="DK3269" s="4" t="e">
        <f>INDEX(Sheet2!$AA$2:$AS$228,QUOTIENT(ROW()-1,19)+1,MOD(ROW()-2,19)+1)</f>
        <v>#N/A</v>
      </c>
      <c r="DL3269" t="str">
        <f>IFERROR(INDEX(Sheet2!$AU$2:$BM$228,QUOTIENT(ROW()-1,19)+1,MOD(ROW()-2,19)+1),NA())</f>
        <v/>
      </c>
      <c r="DM3269" s="4" t="e">
        <f t="shared" si="174"/>
        <v>#N/A</v>
      </c>
      <c r="DN3269" t="e">
        <f t="shared" si="175"/>
        <v>#N/A</v>
      </c>
      <c r="DO3269" t="e">
        <f t="shared" si="176"/>
        <v>#N/A</v>
      </c>
    </row>
    <row r="3270" spans="7:119" x14ac:dyDescent="0.25">
      <c r="G3270"/>
      <c r="DI3270" s="4">
        <f>INDEX(Sheet2!A:A,QUOTIENT(ROW()-1,19)+2)</f>
        <v>41717</v>
      </c>
      <c r="DJ3270" s="4">
        <f>INDEX(Sheet2!C:C,QUOTIENT(ROW()-1,19)+2)</f>
        <v>42004</v>
      </c>
      <c r="DK3270" s="4">
        <f>INDEX(Sheet2!$AA$2:$AS$228,QUOTIENT(ROW()-1,19)+1,MOD(ROW()-2,19)+1)</f>
        <v>41863.474999999999</v>
      </c>
      <c r="DL3270">
        <f>IFERROR(INDEX(Sheet2!$AU$2:$BM$228,QUOTIENT(ROW()-1,19)+1,MOD(ROW()-2,19)+1),NA())</f>
        <v>0.25</v>
      </c>
      <c r="DM3270" s="4" t="e">
        <f t="shared" si="174"/>
        <v>#N/A</v>
      </c>
      <c r="DN3270" t="e">
        <f t="shared" si="175"/>
        <v>#N/A</v>
      </c>
      <c r="DO3270" t="e">
        <f t="shared" si="176"/>
        <v>#N/A</v>
      </c>
    </row>
    <row r="3271" spans="7:119" x14ac:dyDescent="0.25">
      <c r="G3271"/>
      <c r="DI3271" s="4">
        <f>INDEX(Sheet2!A:A,QUOTIENT(ROW()-1,19)+2)</f>
        <v>41717</v>
      </c>
      <c r="DJ3271" s="4">
        <f>INDEX(Sheet2!C:C,QUOTIENT(ROW()-1,19)+2)</f>
        <v>42004</v>
      </c>
      <c r="DK3271" s="4">
        <f>INDEX(Sheet2!$AA$2:$AS$228,QUOTIENT(ROW()-1,19)+1,MOD(ROW()-2,19)+1)</f>
        <v>41883.550000000003</v>
      </c>
      <c r="DL3271">
        <f>IFERROR(INDEX(Sheet2!$AU$2:$BM$228,QUOTIENT(ROW()-1,19)+1,MOD(ROW()-2,19)+1),NA())</f>
        <v>0.25</v>
      </c>
      <c r="DM3271" s="4" t="e">
        <f t="shared" si="174"/>
        <v>#N/A</v>
      </c>
      <c r="DN3271" t="e">
        <f t="shared" si="175"/>
        <v>#N/A</v>
      </c>
      <c r="DO3271" t="e">
        <f t="shared" si="176"/>
        <v>#N/A</v>
      </c>
    </row>
    <row r="3272" spans="7:119" x14ac:dyDescent="0.25">
      <c r="G3272"/>
      <c r="DI3272" s="4">
        <f>INDEX(Sheet2!A:A,QUOTIENT(ROW()-1,19)+2)</f>
        <v>41717</v>
      </c>
      <c r="DJ3272" s="4">
        <f>INDEX(Sheet2!C:C,QUOTIENT(ROW()-1,19)+2)</f>
        <v>42004</v>
      </c>
      <c r="DK3272" s="4">
        <f>INDEX(Sheet2!$AA$2:$AS$228,QUOTIENT(ROW()-1,19)+1,MOD(ROW()-2,19)+1)</f>
        <v>41903.625</v>
      </c>
      <c r="DL3272">
        <f>IFERROR(INDEX(Sheet2!$AU$2:$BM$228,QUOTIENT(ROW()-1,19)+1,MOD(ROW()-2,19)+1),NA())</f>
        <v>0.25</v>
      </c>
      <c r="DM3272" s="4" t="e">
        <f t="shared" si="174"/>
        <v>#N/A</v>
      </c>
      <c r="DN3272" t="e">
        <f t="shared" si="175"/>
        <v>#N/A</v>
      </c>
      <c r="DO3272" t="e">
        <f t="shared" si="176"/>
        <v>#N/A</v>
      </c>
    </row>
    <row r="3273" spans="7:119" x14ac:dyDescent="0.25">
      <c r="G3273"/>
      <c r="DI3273" s="4">
        <f>INDEX(Sheet2!A:A,QUOTIENT(ROW()-1,19)+2)</f>
        <v>41717</v>
      </c>
      <c r="DJ3273" s="4">
        <f>INDEX(Sheet2!C:C,QUOTIENT(ROW()-1,19)+2)</f>
        <v>42004</v>
      </c>
      <c r="DK3273" s="4">
        <f>INDEX(Sheet2!$AA$2:$AS$228,QUOTIENT(ROW()-1,19)+1,MOD(ROW()-2,19)+1)</f>
        <v>41923.700000000004</v>
      </c>
      <c r="DL3273">
        <f>IFERROR(INDEX(Sheet2!$AU$2:$BM$228,QUOTIENT(ROW()-1,19)+1,MOD(ROW()-2,19)+1),NA())</f>
        <v>0.25</v>
      </c>
      <c r="DM3273" s="4" t="e">
        <f t="shared" si="174"/>
        <v>#N/A</v>
      </c>
      <c r="DN3273" t="e">
        <f t="shared" si="175"/>
        <v>#N/A</v>
      </c>
      <c r="DO3273" t="e">
        <f t="shared" si="176"/>
        <v>#N/A</v>
      </c>
    </row>
    <row r="3274" spans="7:119" x14ac:dyDescent="0.25">
      <c r="G3274"/>
      <c r="DI3274" s="4">
        <f>INDEX(Sheet2!A:A,QUOTIENT(ROW()-1,19)+2)</f>
        <v>41717</v>
      </c>
      <c r="DJ3274" s="4">
        <f>INDEX(Sheet2!C:C,QUOTIENT(ROW()-1,19)+2)</f>
        <v>42004</v>
      </c>
      <c r="DK3274" s="4">
        <f>INDEX(Sheet2!$AA$2:$AS$228,QUOTIENT(ROW()-1,19)+1,MOD(ROW()-2,19)+1)</f>
        <v>41943.775000000001</v>
      </c>
      <c r="DL3274">
        <f>IFERROR(INDEX(Sheet2!$AU$2:$BM$228,QUOTIENT(ROW()-1,19)+1,MOD(ROW()-2,19)+1),NA())</f>
        <v>0.25</v>
      </c>
      <c r="DM3274" s="4" t="e">
        <f t="shared" si="174"/>
        <v>#N/A</v>
      </c>
      <c r="DN3274" t="e">
        <f t="shared" si="175"/>
        <v>#N/A</v>
      </c>
      <c r="DO3274" t="e">
        <f t="shared" si="176"/>
        <v>#N/A</v>
      </c>
    </row>
    <row r="3275" spans="7:119" x14ac:dyDescent="0.25">
      <c r="G3275"/>
      <c r="DI3275" s="4">
        <f>INDEX(Sheet2!A:A,QUOTIENT(ROW()-1,19)+2)</f>
        <v>41717</v>
      </c>
      <c r="DJ3275" s="4">
        <f>INDEX(Sheet2!C:C,QUOTIENT(ROW()-1,19)+2)</f>
        <v>42004</v>
      </c>
      <c r="DK3275" s="4">
        <f>INDEX(Sheet2!$AA$2:$AS$228,QUOTIENT(ROW()-1,19)+1,MOD(ROW()-2,19)+1)</f>
        <v>41963.85</v>
      </c>
      <c r="DL3275">
        <f>IFERROR(INDEX(Sheet2!$AU$2:$BM$228,QUOTIENT(ROW()-1,19)+1,MOD(ROW()-2,19)+1),NA())</f>
        <v>0.25</v>
      </c>
      <c r="DM3275" s="4" t="e">
        <f t="shared" si="174"/>
        <v>#N/A</v>
      </c>
      <c r="DN3275" t="e">
        <f t="shared" si="175"/>
        <v>#N/A</v>
      </c>
      <c r="DO3275" t="e">
        <f t="shared" si="176"/>
        <v>#N/A</v>
      </c>
    </row>
    <row r="3276" spans="7:119" x14ac:dyDescent="0.25">
      <c r="G3276"/>
      <c r="DI3276" s="4">
        <f>INDEX(Sheet2!A:A,QUOTIENT(ROW()-1,19)+2)</f>
        <v>41717</v>
      </c>
      <c r="DJ3276" s="4">
        <f>INDEX(Sheet2!C:C,QUOTIENT(ROW()-1,19)+2)</f>
        <v>42004</v>
      </c>
      <c r="DK3276" s="4">
        <f>INDEX(Sheet2!$AA$2:$AS$228,QUOTIENT(ROW()-1,19)+1,MOD(ROW()-2,19)+1)</f>
        <v>41983.925000000003</v>
      </c>
      <c r="DL3276">
        <f>IFERROR(INDEX(Sheet2!$AU$2:$BM$228,QUOTIENT(ROW()-1,19)+1,MOD(ROW()-2,19)+1),NA())</f>
        <v>0.25</v>
      </c>
      <c r="DM3276" s="4" t="e">
        <f t="shared" si="174"/>
        <v>#N/A</v>
      </c>
      <c r="DN3276" t="e">
        <f t="shared" si="175"/>
        <v>#N/A</v>
      </c>
      <c r="DO3276" t="e">
        <f t="shared" si="176"/>
        <v>#N/A</v>
      </c>
    </row>
    <row r="3277" spans="7:119" x14ac:dyDescent="0.25">
      <c r="G3277"/>
      <c r="DI3277" s="4">
        <f>INDEX(Sheet2!A:A,QUOTIENT(ROW()-1,19)+2)</f>
        <v>41717</v>
      </c>
      <c r="DJ3277" s="4">
        <f>INDEX(Sheet2!C:C,QUOTIENT(ROW()-1,19)+2)</f>
        <v>42004</v>
      </c>
      <c r="DK3277" s="4">
        <f>INDEX(Sheet2!$AA$2:$AS$228,QUOTIENT(ROW()-1,19)+1,MOD(ROW()-2,19)+1)</f>
        <v>42004</v>
      </c>
      <c r="DL3277">
        <f>IFERROR(INDEX(Sheet2!$AU$2:$BM$228,QUOTIENT(ROW()-1,19)+1,MOD(ROW()-2,19)+1),NA())</f>
        <v>0.25</v>
      </c>
      <c r="DM3277" s="4" t="e">
        <f t="shared" si="174"/>
        <v>#N/A</v>
      </c>
      <c r="DN3277" t="e">
        <f t="shared" si="175"/>
        <v>#N/A</v>
      </c>
      <c r="DO3277" t="e">
        <f t="shared" si="176"/>
        <v>#N/A</v>
      </c>
    </row>
    <row r="3278" spans="7:119" x14ac:dyDescent="0.25">
      <c r="G3278"/>
      <c r="DI3278" s="4">
        <f>INDEX(Sheet2!A:A,QUOTIENT(ROW()-1,19)+2)</f>
        <v>41717</v>
      </c>
      <c r="DJ3278" s="4">
        <f>INDEX(Sheet2!C:C,QUOTIENT(ROW()-1,19)+2)</f>
        <v>42004</v>
      </c>
      <c r="DK3278" s="4">
        <f>INDEX(Sheet2!$AA$2:$AS$228,QUOTIENT(ROW()-1,19)+1,MOD(ROW()-2,19)+1)</f>
        <v>42024.075000000004</v>
      </c>
      <c r="DL3278">
        <f>IFERROR(INDEX(Sheet2!$AU$2:$BM$228,QUOTIENT(ROW()-1,19)+1,MOD(ROW()-2,19)+1),NA())</f>
        <v>0.25</v>
      </c>
      <c r="DM3278" s="4" t="e">
        <f t="shared" si="174"/>
        <v>#N/A</v>
      </c>
      <c r="DN3278" t="e">
        <f t="shared" si="175"/>
        <v>#N/A</v>
      </c>
      <c r="DO3278" t="e">
        <f t="shared" si="176"/>
        <v>#N/A</v>
      </c>
    </row>
    <row r="3279" spans="7:119" x14ac:dyDescent="0.25">
      <c r="G3279"/>
      <c r="DI3279" s="4">
        <f>INDEX(Sheet2!A:A,QUOTIENT(ROW()-1,19)+2)</f>
        <v>41717</v>
      </c>
      <c r="DJ3279" s="4">
        <f>INDEX(Sheet2!C:C,QUOTIENT(ROW()-1,19)+2)</f>
        <v>42004</v>
      </c>
      <c r="DK3279" s="4">
        <f>INDEX(Sheet2!$AA$2:$AS$228,QUOTIENT(ROW()-1,19)+1,MOD(ROW()-2,19)+1)</f>
        <v>42044.15</v>
      </c>
      <c r="DL3279">
        <f>IFERROR(INDEX(Sheet2!$AU$2:$BM$228,QUOTIENT(ROW()-1,19)+1,MOD(ROW()-2,19)+1),NA())</f>
        <v>0.25</v>
      </c>
      <c r="DM3279" s="4" t="e">
        <f t="shared" si="174"/>
        <v>#N/A</v>
      </c>
      <c r="DN3279" t="e">
        <f t="shared" si="175"/>
        <v>#N/A</v>
      </c>
      <c r="DO3279" t="e">
        <f t="shared" si="176"/>
        <v>#N/A</v>
      </c>
    </row>
    <row r="3280" spans="7:119" x14ac:dyDescent="0.25">
      <c r="G3280"/>
      <c r="DI3280" s="4">
        <f>INDEX(Sheet2!A:A,QUOTIENT(ROW()-1,19)+2)</f>
        <v>41717</v>
      </c>
      <c r="DJ3280" s="4">
        <f>INDEX(Sheet2!C:C,QUOTIENT(ROW()-1,19)+2)</f>
        <v>42004</v>
      </c>
      <c r="DK3280" s="4">
        <f>INDEX(Sheet2!$AA$2:$AS$228,QUOTIENT(ROW()-1,19)+1,MOD(ROW()-2,19)+1)</f>
        <v>42064.224999999999</v>
      </c>
      <c r="DL3280">
        <f>IFERROR(INDEX(Sheet2!$AU$2:$BM$228,QUOTIENT(ROW()-1,19)+1,MOD(ROW()-2,19)+1),NA())</f>
        <v>0.25</v>
      </c>
      <c r="DM3280" s="4" t="e">
        <f t="shared" si="174"/>
        <v>#N/A</v>
      </c>
      <c r="DN3280" t="e">
        <f t="shared" si="175"/>
        <v>#N/A</v>
      </c>
      <c r="DO3280" t="e">
        <f t="shared" si="176"/>
        <v>#N/A</v>
      </c>
    </row>
    <row r="3281" spans="7:119" x14ac:dyDescent="0.25">
      <c r="G3281"/>
      <c r="DI3281" s="4">
        <f>INDEX(Sheet2!A:A,QUOTIENT(ROW()-1,19)+2)</f>
        <v>41717</v>
      </c>
      <c r="DJ3281" s="4">
        <f>INDEX(Sheet2!C:C,QUOTIENT(ROW()-1,19)+2)</f>
        <v>42004</v>
      </c>
      <c r="DK3281" s="4">
        <f>INDEX(Sheet2!$AA$2:$AS$228,QUOTIENT(ROW()-1,19)+1,MOD(ROW()-2,19)+1)</f>
        <v>42084.3</v>
      </c>
      <c r="DL3281">
        <f>IFERROR(INDEX(Sheet2!$AU$2:$BM$228,QUOTIENT(ROW()-1,19)+1,MOD(ROW()-2,19)+1),NA())</f>
        <v>0.25</v>
      </c>
      <c r="DM3281" s="4" t="e">
        <f t="shared" si="174"/>
        <v>#N/A</v>
      </c>
      <c r="DN3281" t="e">
        <f t="shared" si="175"/>
        <v>#N/A</v>
      </c>
      <c r="DO3281" t="e">
        <f t="shared" si="176"/>
        <v>#N/A</v>
      </c>
    </row>
    <row r="3282" spans="7:119" x14ac:dyDescent="0.25">
      <c r="G3282"/>
      <c r="DI3282" s="4">
        <f>INDEX(Sheet2!A:A,QUOTIENT(ROW()-1,19)+2)</f>
        <v>41717</v>
      </c>
      <c r="DJ3282" s="4">
        <f>INDEX(Sheet2!C:C,QUOTIENT(ROW()-1,19)+2)</f>
        <v>42004</v>
      </c>
      <c r="DK3282" s="4">
        <f>INDEX(Sheet2!$AA$2:$AS$228,QUOTIENT(ROW()-1,19)+1,MOD(ROW()-2,19)+1)</f>
        <v>42104.375</v>
      </c>
      <c r="DL3282">
        <f>IFERROR(INDEX(Sheet2!$AU$2:$BM$228,QUOTIENT(ROW()-1,19)+1,MOD(ROW()-2,19)+1),NA())</f>
        <v>0.25</v>
      </c>
      <c r="DM3282" s="4" t="e">
        <f t="shared" si="174"/>
        <v>#N/A</v>
      </c>
      <c r="DN3282" t="e">
        <f t="shared" si="175"/>
        <v>#N/A</v>
      </c>
      <c r="DO3282" t="e">
        <f t="shared" si="176"/>
        <v>#N/A</v>
      </c>
    </row>
    <row r="3283" spans="7:119" x14ac:dyDescent="0.25">
      <c r="G3283"/>
      <c r="DI3283" s="4">
        <f>INDEX(Sheet2!A:A,QUOTIENT(ROW()-1,19)+2)</f>
        <v>41717</v>
      </c>
      <c r="DJ3283" s="4">
        <f>INDEX(Sheet2!C:C,QUOTIENT(ROW()-1,19)+2)</f>
        <v>42004</v>
      </c>
      <c r="DK3283" s="4">
        <f>INDEX(Sheet2!$AA$2:$AS$228,QUOTIENT(ROW()-1,19)+1,MOD(ROW()-2,19)+1)</f>
        <v>42124.450000000004</v>
      </c>
      <c r="DL3283">
        <f>IFERROR(INDEX(Sheet2!$AU$2:$BM$228,QUOTIENT(ROW()-1,19)+1,MOD(ROW()-2,19)+1),NA())</f>
        <v>0.25</v>
      </c>
      <c r="DM3283" s="4" t="e">
        <f t="shared" si="174"/>
        <v>#N/A</v>
      </c>
      <c r="DN3283" t="e">
        <f t="shared" si="175"/>
        <v>#N/A</v>
      </c>
      <c r="DO3283" t="e">
        <f t="shared" si="176"/>
        <v>#N/A</v>
      </c>
    </row>
    <row r="3284" spans="7:119" x14ac:dyDescent="0.25">
      <c r="G3284"/>
      <c r="DI3284" s="4">
        <f>INDEX(Sheet2!A:A,QUOTIENT(ROW()-1,19)+2)</f>
        <v>41717</v>
      </c>
      <c r="DJ3284" s="4">
        <f>INDEX(Sheet2!C:C,QUOTIENT(ROW()-1,19)+2)</f>
        <v>42004</v>
      </c>
      <c r="DK3284" s="4">
        <f>INDEX(Sheet2!$AA$2:$AS$228,QUOTIENT(ROW()-1,19)+1,MOD(ROW()-2,19)+1)</f>
        <v>42144.525000000001</v>
      </c>
      <c r="DL3284">
        <f>IFERROR(INDEX(Sheet2!$AU$2:$BM$228,QUOTIENT(ROW()-1,19)+1,MOD(ROW()-2,19)+1),NA())</f>
        <v>0.25</v>
      </c>
      <c r="DM3284" s="4" t="e">
        <f t="shared" si="174"/>
        <v>#N/A</v>
      </c>
      <c r="DN3284" t="e">
        <f t="shared" si="175"/>
        <v>#N/A</v>
      </c>
      <c r="DO3284" t="e">
        <f t="shared" si="176"/>
        <v>#N/A</v>
      </c>
    </row>
    <row r="3285" spans="7:119" x14ac:dyDescent="0.25">
      <c r="G3285"/>
      <c r="DI3285" s="4">
        <f>INDEX(Sheet2!A:A,QUOTIENT(ROW()-1,19)+2)</f>
        <v>41717</v>
      </c>
      <c r="DJ3285" s="4">
        <f>INDEX(Sheet2!C:C,QUOTIENT(ROW()-1,19)+2)</f>
        <v>42004</v>
      </c>
      <c r="DK3285" s="4" t="e">
        <f>INDEX(Sheet2!$AA$2:$AS$228,QUOTIENT(ROW()-1,19)+1,MOD(ROW()-2,19)+1)</f>
        <v>#N/A</v>
      </c>
      <c r="DL3285" t="str">
        <f>IFERROR(INDEX(Sheet2!$AU$2:$BM$228,QUOTIENT(ROW()-1,19)+1,MOD(ROW()-2,19)+1),NA())</f>
        <v/>
      </c>
      <c r="DM3285" s="4" t="e">
        <f t="shared" si="174"/>
        <v>#N/A</v>
      </c>
      <c r="DN3285" t="e">
        <f t="shared" si="175"/>
        <v>#N/A</v>
      </c>
      <c r="DO3285" t="e">
        <f t="shared" si="176"/>
        <v>#N/A</v>
      </c>
    </row>
    <row r="3286" spans="7:119" x14ac:dyDescent="0.25">
      <c r="G3286"/>
      <c r="DI3286" s="4">
        <f>INDEX(Sheet2!A:A,QUOTIENT(ROW()-1,19)+2)</f>
        <v>41717</v>
      </c>
      <c r="DJ3286" s="4">
        <f>INDEX(Sheet2!C:C,QUOTIENT(ROW()-1,19)+2)</f>
        <v>42004</v>
      </c>
      <c r="DK3286" s="4" t="e">
        <f>INDEX(Sheet2!$AA$2:$AS$228,QUOTIENT(ROW()-1,19)+1,MOD(ROW()-2,19)+1)</f>
        <v>#N/A</v>
      </c>
      <c r="DL3286" t="str">
        <f>IFERROR(INDEX(Sheet2!$AU$2:$BM$228,QUOTIENT(ROW()-1,19)+1,MOD(ROW()-2,19)+1),NA())</f>
        <v/>
      </c>
      <c r="DM3286" s="4" t="e">
        <f t="shared" si="174"/>
        <v>#N/A</v>
      </c>
      <c r="DN3286" t="e">
        <f t="shared" si="175"/>
        <v>#N/A</v>
      </c>
      <c r="DO3286" t="e">
        <f t="shared" si="176"/>
        <v>#N/A</v>
      </c>
    </row>
    <row r="3287" spans="7:119" x14ac:dyDescent="0.25">
      <c r="G3287"/>
      <c r="DI3287" s="4">
        <f>INDEX(Sheet2!A:A,QUOTIENT(ROW()-1,19)+2)</f>
        <v>41717</v>
      </c>
      <c r="DJ3287" s="4">
        <f>INDEX(Sheet2!C:C,QUOTIENT(ROW()-1,19)+2)</f>
        <v>42004</v>
      </c>
      <c r="DK3287" s="4" t="e">
        <f>INDEX(Sheet2!$AA$2:$AS$228,QUOTIENT(ROW()-1,19)+1,MOD(ROW()-2,19)+1)</f>
        <v>#N/A</v>
      </c>
      <c r="DL3287" t="str">
        <f>IFERROR(INDEX(Sheet2!$AU$2:$BM$228,QUOTIENT(ROW()-1,19)+1,MOD(ROW()-2,19)+1),NA())</f>
        <v/>
      </c>
      <c r="DM3287" s="4" t="e">
        <f t="shared" si="174"/>
        <v>#N/A</v>
      </c>
      <c r="DN3287" t="e">
        <f t="shared" si="175"/>
        <v>#N/A</v>
      </c>
      <c r="DO3287" t="e">
        <f t="shared" si="176"/>
        <v>#N/A</v>
      </c>
    </row>
    <row r="3288" spans="7:119" x14ac:dyDescent="0.25">
      <c r="G3288"/>
      <c r="DI3288" s="4">
        <f>INDEX(Sheet2!A:A,QUOTIENT(ROW()-1,19)+2)</f>
        <v>41717</v>
      </c>
      <c r="DJ3288" s="4">
        <f>INDEX(Sheet2!C:C,QUOTIENT(ROW()-1,19)+2)</f>
        <v>42004</v>
      </c>
      <c r="DK3288" s="4" t="e">
        <f>INDEX(Sheet2!$AA$2:$AS$228,QUOTIENT(ROW()-1,19)+1,MOD(ROW()-2,19)+1)</f>
        <v>#N/A</v>
      </c>
      <c r="DL3288" t="str">
        <f>IFERROR(INDEX(Sheet2!$AU$2:$BM$228,QUOTIENT(ROW()-1,19)+1,MOD(ROW()-2,19)+1),NA())</f>
        <v/>
      </c>
      <c r="DM3288" s="4" t="e">
        <f t="shared" si="174"/>
        <v>#N/A</v>
      </c>
      <c r="DN3288" t="e">
        <f t="shared" si="175"/>
        <v>#N/A</v>
      </c>
      <c r="DO3288" t="e">
        <f t="shared" si="176"/>
        <v>#N/A</v>
      </c>
    </row>
    <row r="3289" spans="7:119" x14ac:dyDescent="0.25">
      <c r="G3289"/>
      <c r="DI3289" s="4">
        <f>INDEX(Sheet2!A:A,QUOTIENT(ROW()-1,19)+2)</f>
        <v>41717</v>
      </c>
      <c r="DJ3289" s="4">
        <f>INDEX(Sheet2!C:C,QUOTIENT(ROW()-1,19)+2)</f>
        <v>42004</v>
      </c>
      <c r="DK3289" s="4">
        <f>INDEX(Sheet2!$AA$2:$AS$228,QUOTIENT(ROW()-1,19)+1,MOD(ROW()-2,19)+1)</f>
        <v>42004</v>
      </c>
      <c r="DL3289">
        <f>IFERROR(INDEX(Sheet2!$AU$2:$BM$228,QUOTIENT(ROW()-1,19)+1,MOD(ROW()-2,19)+1),NA())</f>
        <v>0.5</v>
      </c>
      <c r="DM3289" s="4" t="e">
        <f t="shared" si="174"/>
        <v>#N/A</v>
      </c>
      <c r="DN3289" t="e">
        <f t="shared" si="175"/>
        <v>#N/A</v>
      </c>
      <c r="DO3289" t="e">
        <f t="shared" si="176"/>
        <v>#N/A</v>
      </c>
    </row>
    <row r="3290" spans="7:119" x14ac:dyDescent="0.25">
      <c r="G3290"/>
      <c r="DI3290" s="4">
        <f>INDEX(Sheet2!A:A,QUOTIENT(ROW()-1,19)+2)</f>
        <v>41717</v>
      </c>
      <c r="DJ3290" s="4">
        <f>INDEX(Sheet2!C:C,QUOTIENT(ROW()-1,19)+2)</f>
        <v>42004</v>
      </c>
      <c r="DK3290" s="4" t="e">
        <f>INDEX(Sheet2!$AA$2:$AS$228,QUOTIENT(ROW()-1,19)+1,MOD(ROW()-2,19)+1)</f>
        <v>#N/A</v>
      </c>
      <c r="DL3290" t="str">
        <f>IFERROR(INDEX(Sheet2!$AU$2:$BM$228,QUOTIENT(ROW()-1,19)+1,MOD(ROW()-2,19)+1),NA())</f>
        <v/>
      </c>
      <c r="DM3290" s="4" t="e">
        <f t="shared" si="174"/>
        <v>#N/A</v>
      </c>
      <c r="DN3290" t="e">
        <f t="shared" si="175"/>
        <v>#N/A</v>
      </c>
      <c r="DO3290" t="e">
        <f t="shared" si="176"/>
        <v>#N/A</v>
      </c>
    </row>
    <row r="3291" spans="7:119" x14ac:dyDescent="0.25">
      <c r="G3291"/>
      <c r="DI3291" s="4">
        <f>INDEX(Sheet2!A:A,QUOTIENT(ROW()-1,19)+2)</f>
        <v>41717</v>
      </c>
      <c r="DJ3291" s="4">
        <f>INDEX(Sheet2!C:C,QUOTIENT(ROW()-1,19)+2)</f>
        <v>42004</v>
      </c>
      <c r="DK3291" s="4" t="e">
        <f>INDEX(Sheet2!$AA$2:$AS$228,QUOTIENT(ROW()-1,19)+1,MOD(ROW()-2,19)+1)</f>
        <v>#N/A</v>
      </c>
      <c r="DL3291" t="str">
        <f>IFERROR(INDEX(Sheet2!$AU$2:$BM$228,QUOTIENT(ROW()-1,19)+1,MOD(ROW()-2,19)+1),NA())</f>
        <v/>
      </c>
      <c r="DM3291" s="4" t="e">
        <f t="shared" si="174"/>
        <v>#N/A</v>
      </c>
      <c r="DN3291" t="e">
        <f t="shared" si="175"/>
        <v>#N/A</v>
      </c>
      <c r="DO3291" t="e">
        <f t="shared" si="176"/>
        <v>#N/A</v>
      </c>
    </row>
    <row r="3292" spans="7:119" x14ac:dyDescent="0.25">
      <c r="G3292"/>
      <c r="DI3292" s="4">
        <f>INDEX(Sheet2!A:A,QUOTIENT(ROW()-1,19)+2)</f>
        <v>41717</v>
      </c>
      <c r="DJ3292" s="4">
        <f>INDEX(Sheet2!C:C,QUOTIENT(ROW()-1,19)+2)</f>
        <v>42004</v>
      </c>
      <c r="DK3292" s="4" t="e">
        <f>INDEX(Sheet2!$AA$2:$AS$228,QUOTIENT(ROW()-1,19)+1,MOD(ROW()-2,19)+1)</f>
        <v>#N/A</v>
      </c>
      <c r="DL3292" t="str">
        <f>IFERROR(INDEX(Sheet2!$AU$2:$BM$228,QUOTIENT(ROW()-1,19)+1,MOD(ROW()-2,19)+1),NA())</f>
        <v/>
      </c>
      <c r="DM3292" s="4" t="e">
        <f t="shared" si="174"/>
        <v>#N/A</v>
      </c>
      <c r="DN3292" t="e">
        <f t="shared" si="175"/>
        <v>#N/A</v>
      </c>
      <c r="DO3292" t="e">
        <f t="shared" si="176"/>
        <v>#N/A</v>
      </c>
    </row>
    <row r="3293" spans="7:119" x14ac:dyDescent="0.25">
      <c r="G3293"/>
      <c r="DI3293" s="4">
        <f>INDEX(Sheet2!A:A,QUOTIENT(ROW()-1,19)+2)</f>
        <v>41717</v>
      </c>
      <c r="DJ3293" s="4">
        <f>INDEX(Sheet2!C:C,QUOTIENT(ROW()-1,19)+2)</f>
        <v>42004</v>
      </c>
      <c r="DK3293" s="4" t="e">
        <f>INDEX(Sheet2!$AA$2:$AS$228,QUOTIENT(ROW()-1,19)+1,MOD(ROW()-2,19)+1)</f>
        <v>#N/A</v>
      </c>
      <c r="DL3293" t="str">
        <f>IFERROR(INDEX(Sheet2!$AU$2:$BM$228,QUOTIENT(ROW()-1,19)+1,MOD(ROW()-2,19)+1),NA())</f>
        <v/>
      </c>
      <c r="DM3293" s="4" t="e">
        <f t="shared" si="174"/>
        <v>#N/A</v>
      </c>
      <c r="DN3293" t="e">
        <f t="shared" si="175"/>
        <v>#N/A</v>
      </c>
      <c r="DO3293" t="e">
        <f t="shared" si="176"/>
        <v>#N/A</v>
      </c>
    </row>
    <row r="3294" spans="7:119" x14ac:dyDescent="0.25">
      <c r="G3294"/>
      <c r="DI3294" s="4">
        <f>INDEX(Sheet2!A:A,QUOTIENT(ROW()-1,19)+2)</f>
        <v>41717</v>
      </c>
      <c r="DJ3294" s="4">
        <f>INDEX(Sheet2!C:C,QUOTIENT(ROW()-1,19)+2)</f>
        <v>42004</v>
      </c>
      <c r="DK3294" s="4" t="e">
        <f>INDEX(Sheet2!$AA$2:$AS$228,QUOTIENT(ROW()-1,19)+1,MOD(ROW()-2,19)+1)</f>
        <v>#N/A</v>
      </c>
      <c r="DL3294" t="str">
        <f>IFERROR(INDEX(Sheet2!$AU$2:$BM$228,QUOTIENT(ROW()-1,19)+1,MOD(ROW()-2,19)+1),NA())</f>
        <v/>
      </c>
      <c r="DM3294" s="4" t="e">
        <f t="shared" si="174"/>
        <v>#N/A</v>
      </c>
      <c r="DN3294" t="e">
        <f t="shared" si="175"/>
        <v>#N/A</v>
      </c>
      <c r="DO3294" t="e">
        <f t="shared" si="176"/>
        <v>#N/A</v>
      </c>
    </row>
    <row r="3295" spans="7:119" x14ac:dyDescent="0.25">
      <c r="G3295"/>
      <c r="DI3295" s="4">
        <f>INDEX(Sheet2!A:A,QUOTIENT(ROW()-1,19)+2)</f>
        <v>41717</v>
      </c>
      <c r="DJ3295" s="4">
        <f>INDEX(Sheet2!C:C,QUOTIENT(ROW()-1,19)+2)</f>
        <v>42004</v>
      </c>
      <c r="DK3295" s="4" t="e">
        <f>INDEX(Sheet2!$AA$2:$AS$228,QUOTIENT(ROW()-1,19)+1,MOD(ROW()-2,19)+1)</f>
        <v>#N/A</v>
      </c>
      <c r="DL3295" t="str">
        <f>IFERROR(INDEX(Sheet2!$AU$2:$BM$228,QUOTIENT(ROW()-1,19)+1,MOD(ROW()-2,19)+1),NA())</f>
        <v/>
      </c>
      <c r="DM3295" s="4" t="e">
        <f t="shared" si="174"/>
        <v>#N/A</v>
      </c>
      <c r="DN3295" t="e">
        <f t="shared" si="175"/>
        <v>#N/A</v>
      </c>
      <c r="DO3295" t="e">
        <f t="shared" si="176"/>
        <v>#N/A</v>
      </c>
    </row>
    <row r="3296" spans="7:119" x14ac:dyDescent="0.25">
      <c r="G3296"/>
      <c r="DI3296" s="4">
        <f>INDEX(Sheet2!A:A,QUOTIENT(ROW()-1,19)+2)</f>
        <v>41717</v>
      </c>
      <c r="DJ3296" s="4">
        <f>INDEX(Sheet2!C:C,QUOTIENT(ROW()-1,19)+2)</f>
        <v>42004</v>
      </c>
      <c r="DK3296" s="4" t="e">
        <f>INDEX(Sheet2!$AA$2:$AS$228,QUOTIENT(ROW()-1,19)+1,MOD(ROW()-2,19)+1)</f>
        <v>#N/A</v>
      </c>
      <c r="DL3296" t="str">
        <f>IFERROR(INDEX(Sheet2!$AU$2:$BM$228,QUOTIENT(ROW()-1,19)+1,MOD(ROW()-2,19)+1),NA())</f>
        <v/>
      </c>
      <c r="DM3296" s="4" t="e">
        <f t="shared" si="174"/>
        <v>#N/A</v>
      </c>
      <c r="DN3296" t="e">
        <f t="shared" si="175"/>
        <v>#N/A</v>
      </c>
      <c r="DO3296" t="e">
        <f t="shared" si="176"/>
        <v>#N/A</v>
      </c>
    </row>
    <row r="3297" spans="7:119" x14ac:dyDescent="0.25">
      <c r="G3297"/>
      <c r="DI3297" s="4">
        <f>INDEX(Sheet2!A:A,QUOTIENT(ROW()-1,19)+2)</f>
        <v>41717</v>
      </c>
      <c r="DJ3297" s="4">
        <f>INDEX(Sheet2!C:C,QUOTIENT(ROW()-1,19)+2)</f>
        <v>42004</v>
      </c>
      <c r="DK3297" s="4" t="e">
        <f>INDEX(Sheet2!$AA$2:$AS$228,QUOTIENT(ROW()-1,19)+1,MOD(ROW()-2,19)+1)</f>
        <v>#N/A</v>
      </c>
      <c r="DL3297" t="str">
        <f>IFERROR(INDEX(Sheet2!$AU$2:$BM$228,QUOTIENT(ROW()-1,19)+1,MOD(ROW()-2,19)+1),NA())</f>
        <v/>
      </c>
      <c r="DM3297" s="4" t="e">
        <f t="shared" si="174"/>
        <v>#N/A</v>
      </c>
      <c r="DN3297" t="e">
        <f t="shared" si="175"/>
        <v>#N/A</v>
      </c>
      <c r="DO3297" t="e">
        <f t="shared" si="176"/>
        <v>#N/A</v>
      </c>
    </row>
    <row r="3298" spans="7:119" x14ac:dyDescent="0.25">
      <c r="G3298"/>
      <c r="DI3298" s="4">
        <f>INDEX(Sheet2!A:A,QUOTIENT(ROW()-1,19)+2)</f>
        <v>41717</v>
      </c>
      <c r="DJ3298" s="4">
        <f>INDEX(Sheet2!C:C,QUOTIENT(ROW()-1,19)+2)</f>
        <v>42004</v>
      </c>
      <c r="DK3298" s="4" t="e">
        <f>INDEX(Sheet2!$AA$2:$AS$228,QUOTIENT(ROW()-1,19)+1,MOD(ROW()-2,19)+1)</f>
        <v>#N/A</v>
      </c>
      <c r="DL3298" t="str">
        <f>IFERROR(INDEX(Sheet2!$AU$2:$BM$228,QUOTIENT(ROW()-1,19)+1,MOD(ROW()-2,19)+1),NA())</f>
        <v/>
      </c>
      <c r="DM3298" s="4" t="e">
        <f t="shared" si="174"/>
        <v>#N/A</v>
      </c>
      <c r="DN3298" t="e">
        <f t="shared" si="175"/>
        <v>#N/A</v>
      </c>
      <c r="DO3298" t="e">
        <f t="shared" si="176"/>
        <v>#N/A</v>
      </c>
    </row>
    <row r="3299" spans="7:119" x14ac:dyDescent="0.25">
      <c r="G3299"/>
      <c r="DI3299" s="4">
        <f>INDEX(Sheet2!A:A,QUOTIENT(ROW()-1,19)+2)</f>
        <v>41717</v>
      </c>
      <c r="DJ3299" s="4">
        <f>INDEX(Sheet2!C:C,QUOTIENT(ROW()-1,19)+2)</f>
        <v>42004</v>
      </c>
      <c r="DK3299" s="4" t="e">
        <f>INDEX(Sheet2!$AA$2:$AS$228,QUOTIENT(ROW()-1,19)+1,MOD(ROW()-2,19)+1)</f>
        <v>#N/A</v>
      </c>
      <c r="DL3299" t="str">
        <f>IFERROR(INDEX(Sheet2!$AU$2:$BM$228,QUOTIENT(ROW()-1,19)+1,MOD(ROW()-2,19)+1),NA())</f>
        <v/>
      </c>
      <c r="DM3299" s="4" t="e">
        <f t="shared" si="174"/>
        <v>#N/A</v>
      </c>
      <c r="DN3299" t="e">
        <f t="shared" si="175"/>
        <v>#N/A</v>
      </c>
      <c r="DO3299" t="e">
        <f t="shared" si="176"/>
        <v>#N/A</v>
      </c>
    </row>
    <row r="3300" spans="7:119" x14ac:dyDescent="0.25">
      <c r="G3300"/>
      <c r="DI3300" s="4">
        <f>INDEX(Sheet2!A:A,QUOTIENT(ROW()-1,19)+2)</f>
        <v>41717</v>
      </c>
      <c r="DJ3300" s="4">
        <f>INDEX(Sheet2!C:C,QUOTIENT(ROW()-1,19)+2)</f>
        <v>42004</v>
      </c>
      <c r="DK3300" s="4" t="e">
        <f>INDEX(Sheet2!$AA$2:$AS$228,QUOTIENT(ROW()-1,19)+1,MOD(ROW()-2,19)+1)</f>
        <v>#N/A</v>
      </c>
      <c r="DL3300" t="str">
        <f>IFERROR(INDEX(Sheet2!$AU$2:$BM$228,QUOTIENT(ROW()-1,19)+1,MOD(ROW()-2,19)+1),NA())</f>
        <v/>
      </c>
      <c r="DM3300" s="4" t="e">
        <f t="shared" si="174"/>
        <v>#N/A</v>
      </c>
      <c r="DN3300" t="e">
        <f t="shared" si="175"/>
        <v>#N/A</v>
      </c>
      <c r="DO3300" t="e">
        <f t="shared" si="176"/>
        <v>#N/A</v>
      </c>
    </row>
    <row r="3301" spans="7:119" x14ac:dyDescent="0.25">
      <c r="G3301"/>
      <c r="DI3301" s="4">
        <f>INDEX(Sheet2!A:A,QUOTIENT(ROW()-1,19)+2)</f>
        <v>41717</v>
      </c>
      <c r="DJ3301" s="4">
        <f>INDEX(Sheet2!C:C,QUOTIENT(ROW()-1,19)+2)</f>
        <v>42004</v>
      </c>
      <c r="DK3301" s="4" t="e">
        <f>INDEX(Sheet2!$AA$2:$AS$228,QUOTIENT(ROW()-1,19)+1,MOD(ROW()-2,19)+1)</f>
        <v>#N/A</v>
      </c>
      <c r="DL3301" t="str">
        <f>IFERROR(INDEX(Sheet2!$AU$2:$BM$228,QUOTIENT(ROW()-1,19)+1,MOD(ROW()-2,19)+1),NA())</f>
        <v/>
      </c>
      <c r="DM3301" s="4" t="e">
        <f t="shared" si="174"/>
        <v>#N/A</v>
      </c>
      <c r="DN3301" t="e">
        <f t="shared" si="175"/>
        <v>#N/A</v>
      </c>
      <c r="DO3301" t="e">
        <f t="shared" si="176"/>
        <v>#N/A</v>
      </c>
    </row>
    <row r="3302" spans="7:119" x14ac:dyDescent="0.25">
      <c r="G3302"/>
      <c r="DI3302" s="4">
        <f>INDEX(Sheet2!A:A,QUOTIENT(ROW()-1,19)+2)</f>
        <v>41717</v>
      </c>
      <c r="DJ3302" s="4">
        <f>INDEX(Sheet2!C:C,QUOTIENT(ROW()-1,19)+2)</f>
        <v>42004</v>
      </c>
      <c r="DK3302" s="4" t="e">
        <f>INDEX(Sheet2!$AA$2:$AS$228,QUOTIENT(ROW()-1,19)+1,MOD(ROW()-2,19)+1)</f>
        <v>#N/A</v>
      </c>
      <c r="DL3302" t="str">
        <f>IFERROR(INDEX(Sheet2!$AU$2:$BM$228,QUOTIENT(ROW()-1,19)+1,MOD(ROW()-2,19)+1),NA())</f>
        <v/>
      </c>
      <c r="DM3302" s="4" t="e">
        <f t="shared" si="174"/>
        <v>#N/A</v>
      </c>
      <c r="DN3302" t="e">
        <f t="shared" si="175"/>
        <v>#N/A</v>
      </c>
      <c r="DO3302" t="e">
        <f t="shared" si="176"/>
        <v>#N/A</v>
      </c>
    </row>
    <row r="3303" spans="7:119" x14ac:dyDescent="0.25">
      <c r="G3303"/>
      <c r="DI3303" s="4">
        <f>INDEX(Sheet2!A:A,QUOTIENT(ROW()-1,19)+2)</f>
        <v>41717</v>
      </c>
      <c r="DJ3303" s="4">
        <f>INDEX(Sheet2!C:C,QUOTIENT(ROW()-1,19)+2)</f>
        <v>42004</v>
      </c>
      <c r="DK3303" s="4" t="e">
        <f>INDEX(Sheet2!$AA$2:$AS$228,QUOTIENT(ROW()-1,19)+1,MOD(ROW()-2,19)+1)</f>
        <v>#N/A</v>
      </c>
      <c r="DL3303" t="str">
        <f>IFERROR(INDEX(Sheet2!$AU$2:$BM$228,QUOTIENT(ROW()-1,19)+1,MOD(ROW()-2,19)+1),NA())</f>
        <v/>
      </c>
      <c r="DM3303" s="4" t="e">
        <f t="shared" si="174"/>
        <v>#N/A</v>
      </c>
      <c r="DN3303" t="e">
        <f t="shared" si="175"/>
        <v>#N/A</v>
      </c>
      <c r="DO3303" t="e">
        <f t="shared" si="176"/>
        <v>#N/A</v>
      </c>
    </row>
    <row r="3304" spans="7:119" x14ac:dyDescent="0.25">
      <c r="G3304"/>
      <c r="DI3304" s="4">
        <f>INDEX(Sheet2!A:A,QUOTIENT(ROW()-1,19)+2)</f>
        <v>41717</v>
      </c>
      <c r="DJ3304" s="4">
        <f>INDEX(Sheet2!C:C,QUOTIENT(ROW()-1,19)+2)</f>
        <v>42004</v>
      </c>
      <c r="DK3304" s="4" t="e">
        <f>INDEX(Sheet2!$AA$2:$AS$228,QUOTIENT(ROW()-1,19)+1,MOD(ROW()-2,19)+1)</f>
        <v>#N/A</v>
      </c>
      <c r="DL3304" t="str">
        <f>IFERROR(INDEX(Sheet2!$AU$2:$BM$228,QUOTIENT(ROW()-1,19)+1,MOD(ROW()-2,19)+1),NA())</f>
        <v/>
      </c>
      <c r="DM3304" s="4" t="e">
        <f t="shared" si="174"/>
        <v>#N/A</v>
      </c>
      <c r="DN3304" t="e">
        <f t="shared" si="175"/>
        <v>#N/A</v>
      </c>
      <c r="DO3304" t="e">
        <f t="shared" si="176"/>
        <v>#N/A</v>
      </c>
    </row>
    <row r="3305" spans="7:119" x14ac:dyDescent="0.25">
      <c r="G3305"/>
      <c r="DI3305" s="4">
        <f>INDEX(Sheet2!A:A,QUOTIENT(ROW()-1,19)+2)</f>
        <v>41717</v>
      </c>
      <c r="DJ3305" s="4">
        <f>INDEX(Sheet2!C:C,QUOTIENT(ROW()-1,19)+2)</f>
        <v>42004</v>
      </c>
      <c r="DK3305" s="4" t="e">
        <f>INDEX(Sheet2!$AA$2:$AS$228,QUOTIENT(ROW()-1,19)+1,MOD(ROW()-2,19)+1)</f>
        <v>#N/A</v>
      </c>
      <c r="DL3305" t="str">
        <f>IFERROR(INDEX(Sheet2!$AU$2:$BM$228,QUOTIENT(ROW()-1,19)+1,MOD(ROW()-2,19)+1),NA())</f>
        <v/>
      </c>
      <c r="DM3305" s="4" t="e">
        <f t="shared" si="174"/>
        <v>#N/A</v>
      </c>
      <c r="DN3305" t="e">
        <f t="shared" si="175"/>
        <v>#N/A</v>
      </c>
      <c r="DO3305" t="e">
        <f t="shared" si="176"/>
        <v>#N/A</v>
      </c>
    </row>
    <row r="3306" spans="7:119" x14ac:dyDescent="0.25">
      <c r="G3306"/>
      <c r="DI3306" s="4">
        <f>INDEX(Sheet2!A:A,QUOTIENT(ROW()-1,19)+2)</f>
        <v>41717</v>
      </c>
      <c r="DJ3306" s="4">
        <f>INDEX(Sheet2!C:C,QUOTIENT(ROW()-1,19)+2)</f>
        <v>42004</v>
      </c>
      <c r="DK3306" s="4" t="e">
        <f>INDEX(Sheet2!$AA$2:$AS$228,QUOTIENT(ROW()-1,19)+1,MOD(ROW()-2,19)+1)</f>
        <v>#N/A</v>
      </c>
      <c r="DL3306" t="str">
        <f>IFERROR(INDEX(Sheet2!$AU$2:$BM$228,QUOTIENT(ROW()-1,19)+1,MOD(ROW()-2,19)+1),NA())</f>
        <v/>
      </c>
      <c r="DM3306" s="4" t="e">
        <f t="shared" si="174"/>
        <v>#N/A</v>
      </c>
      <c r="DN3306" t="e">
        <f t="shared" si="175"/>
        <v>#N/A</v>
      </c>
      <c r="DO3306" t="e">
        <f t="shared" si="176"/>
        <v>#N/A</v>
      </c>
    </row>
    <row r="3307" spans="7:119" x14ac:dyDescent="0.25">
      <c r="G3307"/>
      <c r="DI3307" s="4">
        <f>INDEX(Sheet2!A:A,QUOTIENT(ROW()-1,19)+2)</f>
        <v>41717</v>
      </c>
      <c r="DJ3307" s="4">
        <f>INDEX(Sheet2!C:C,QUOTIENT(ROW()-1,19)+2)</f>
        <v>42369</v>
      </c>
      <c r="DK3307" s="4" t="e">
        <f>INDEX(Sheet2!$AA$2:$AS$228,QUOTIENT(ROW()-1,19)+1,MOD(ROW()-2,19)+1)</f>
        <v>#N/A</v>
      </c>
      <c r="DL3307" t="str">
        <f>IFERROR(INDEX(Sheet2!$AU$2:$BM$228,QUOTIENT(ROW()-1,19)+1,MOD(ROW()-2,19)+1),NA())</f>
        <v/>
      </c>
      <c r="DM3307" s="4" t="e">
        <f t="shared" si="174"/>
        <v>#N/A</v>
      </c>
      <c r="DN3307" t="e">
        <f t="shared" si="175"/>
        <v>#N/A</v>
      </c>
      <c r="DO3307" t="e">
        <f t="shared" si="176"/>
        <v>#N/A</v>
      </c>
    </row>
    <row r="3308" spans="7:119" x14ac:dyDescent="0.25">
      <c r="G3308"/>
      <c r="DI3308" s="4">
        <f>INDEX(Sheet2!A:A,QUOTIENT(ROW()-1,19)+2)</f>
        <v>41717</v>
      </c>
      <c r="DJ3308" s="4">
        <f>INDEX(Sheet2!C:C,QUOTIENT(ROW()-1,19)+2)</f>
        <v>42369</v>
      </c>
      <c r="DK3308" s="4">
        <f>INDEX(Sheet2!$AA$2:$AS$228,QUOTIENT(ROW()-1,19)+1,MOD(ROW()-2,19)+1)</f>
        <v>42358.962500000001</v>
      </c>
      <c r="DL3308">
        <f>IFERROR(INDEX(Sheet2!$AU$2:$BM$228,QUOTIENT(ROW()-1,19)+1,MOD(ROW()-2,19)+1),NA())</f>
        <v>0.25</v>
      </c>
      <c r="DM3308" s="4" t="e">
        <f t="shared" si="174"/>
        <v>#N/A</v>
      </c>
      <c r="DN3308" t="e">
        <f t="shared" si="175"/>
        <v>#N/A</v>
      </c>
      <c r="DO3308" t="e">
        <f t="shared" si="176"/>
        <v>#N/A</v>
      </c>
    </row>
    <row r="3309" spans="7:119" x14ac:dyDescent="0.25">
      <c r="G3309"/>
      <c r="DI3309" s="4">
        <f>INDEX(Sheet2!A:A,QUOTIENT(ROW()-1,19)+2)</f>
        <v>41717</v>
      </c>
      <c r="DJ3309" s="4">
        <f>INDEX(Sheet2!C:C,QUOTIENT(ROW()-1,19)+2)</f>
        <v>42369</v>
      </c>
      <c r="DK3309" s="4">
        <f>INDEX(Sheet2!$AA$2:$AS$228,QUOTIENT(ROW()-1,19)+1,MOD(ROW()-2,19)+1)</f>
        <v>42379.037500000006</v>
      </c>
      <c r="DL3309">
        <f>IFERROR(INDEX(Sheet2!$AU$2:$BM$228,QUOTIENT(ROW()-1,19)+1,MOD(ROW()-2,19)+1),NA())</f>
        <v>0.25</v>
      </c>
      <c r="DM3309" s="4" t="e">
        <f t="shared" si="174"/>
        <v>#N/A</v>
      </c>
      <c r="DN3309" t="e">
        <f t="shared" si="175"/>
        <v>#N/A</v>
      </c>
      <c r="DO3309" t="e">
        <f t="shared" si="176"/>
        <v>#N/A</v>
      </c>
    </row>
    <row r="3310" spans="7:119" x14ac:dyDescent="0.25">
      <c r="G3310"/>
      <c r="DI3310" s="4">
        <f>INDEX(Sheet2!A:A,QUOTIENT(ROW()-1,19)+2)</f>
        <v>41717</v>
      </c>
      <c r="DJ3310" s="4">
        <f>INDEX(Sheet2!C:C,QUOTIENT(ROW()-1,19)+2)</f>
        <v>42369</v>
      </c>
      <c r="DK3310" s="4" t="e">
        <f>INDEX(Sheet2!$AA$2:$AS$228,QUOTIENT(ROW()-1,19)+1,MOD(ROW()-2,19)+1)</f>
        <v>#N/A</v>
      </c>
      <c r="DL3310" t="str">
        <f>IFERROR(INDEX(Sheet2!$AU$2:$BM$228,QUOTIENT(ROW()-1,19)+1,MOD(ROW()-2,19)+1),NA())</f>
        <v/>
      </c>
      <c r="DM3310" s="4" t="e">
        <f t="shared" si="174"/>
        <v>#N/A</v>
      </c>
      <c r="DN3310" t="e">
        <f t="shared" si="175"/>
        <v>#N/A</v>
      </c>
      <c r="DO3310" t="e">
        <f t="shared" si="176"/>
        <v>#N/A</v>
      </c>
    </row>
    <row r="3311" spans="7:119" x14ac:dyDescent="0.25">
      <c r="G3311"/>
      <c r="DI3311" s="4">
        <f>INDEX(Sheet2!A:A,QUOTIENT(ROW()-1,19)+2)</f>
        <v>41717</v>
      </c>
      <c r="DJ3311" s="4">
        <f>INDEX(Sheet2!C:C,QUOTIENT(ROW()-1,19)+2)</f>
        <v>42369</v>
      </c>
      <c r="DK3311" s="4" t="e">
        <f>INDEX(Sheet2!$AA$2:$AS$228,QUOTIENT(ROW()-1,19)+1,MOD(ROW()-2,19)+1)</f>
        <v>#N/A</v>
      </c>
      <c r="DL3311" t="str">
        <f>IFERROR(INDEX(Sheet2!$AU$2:$BM$228,QUOTIENT(ROW()-1,19)+1,MOD(ROW()-2,19)+1),NA())</f>
        <v/>
      </c>
      <c r="DM3311" s="4" t="e">
        <f t="shared" si="174"/>
        <v>#N/A</v>
      </c>
      <c r="DN3311" t="e">
        <f t="shared" si="175"/>
        <v>#N/A</v>
      </c>
      <c r="DO3311" t="e">
        <f t="shared" si="176"/>
        <v>#N/A</v>
      </c>
    </row>
    <row r="3312" spans="7:119" x14ac:dyDescent="0.25">
      <c r="G3312"/>
      <c r="DI3312" s="4">
        <f>INDEX(Sheet2!A:A,QUOTIENT(ROW()-1,19)+2)</f>
        <v>41717</v>
      </c>
      <c r="DJ3312" s="4">
        <f>INDEX(Sheet2!C:C,QUOTIENT(ROW()-1,19)+2)</f>
        <v>42369</v>
      </c>
      <c r="DK3312" s="4" t="e">
        <f>INDEX(Sheet2!$AA$2:$AS$228,QUOTIENT(ROW()-1,19)+1,MOD(ROW()-2,19)+1)</f>
        <v>#N/A</v>
      </c>
      <c r="DL3312" t="str">
        <f>IFERROR(INDEX(Sheet2!$AU$2:$BM$228,QUOTIENT(ROW()-1,19)+1,MOD(ROW()-2,19)+1),NA())</f>
        <v/>
      </c>
      <c r="DM3312" s="4" t="e">
        <f t="shared" si="174"/>
        <v>#N/A</v>
      </c>
      <c r="DN3312" t="e">
        <f t="shared" si="175"/>
        <v>#N/A</v>
      </c>
      <c r="DO3312" t="e">
        <f t="shared" si="176"/>
        <v>#N/A</v>
      </c>
    </row>
    <row r="3313" spans="7:119" x14ac:dyDescent="0.25">
      <c r="G3313"/>
      <c r="DI3313" s="4">
        <f>INDEX(Sheet2!A:A,QUOTIENT(ROW()-1,19)+2)</f>
        <v>41717</v>
      </c>
      <c r="DJ3313" s="4">
        <f>INDEX(Sheet2!C:C,QUOTIENT(ROW()-1,19)+2)</f>
        <v>42369</v>
      </c>
      <c r="DK3313" s="4" t="e">
        <f>INDEX(Sheet2!$AA$2:$AS$228,QUOTIENT(ROW()-1,19)+1,MOD(ROW()-2,19)+1)</f>
        <v>#N/A</v>
      </c>
      <c r="DL3313" t="str">
        <f>IFERROR(INDEX(Sheet2!$AU$2:$BM$228,QUOTIENT(ROW()-1,19)+1,MOD(ROW()-2,19)+1),NA())</f>
        <v/>
      </c>
      <c r="DM3313" s="4" t="e">
        <f t="shared" si="174"/>
        <v>#N/A</v>
      </c>
      <c r="DN3313" t="e">
        <f t="shared" si="175"/>
        <v>#N/A</v>
      </c>
      <c r="DO3313" t="e">
        <f t="shared" si="176"/>
        <v>#N/A</v>
      </c>
    </row>
    <row r="3314" spans="7:119" x14ac:dyDescent="0.25">
      <c r="G3314"/>
      <c r="DI3314" s="4">
        <f>INDEX(Sheet2!A:A,QUOTIENT(ROW()-1,19)+2)</f>
        <v>41717</v>
      </c>
      <c r="DJ3314" s="4">
        <f>INDEX(Sheet2!C:C,QUOTIENT(ROW()-1,19)+2)</f>
        <v>42369</v>
      </c>
      <c r="DK3314" s="4" t="e">
        <f>INDEX(Sheet2!$AA$2:$AS$228,QUOTIENT(ROW()-1,19)+1,MOD(ROW()-2,19)+1)</f>
        <v>#N/A</v>
      </c>
      <c r="DL3314" t="str">
        <f>IFERROR(INDEX(Sheet2!$AU$2:$BM$228,QUOTIENT(ROW()-1,19)+1,MOD(ROW()-2,19)+1),NA())</f>
        <v/>
      </c>
      <c r="DM3314" s="4" t="e">
        <f t="shared" si="174"/>
        <v>#N/A</v>
      </c>
      <c r="DN3314" t="e">
        <f t="shared" si="175"/>
        <v>#N/A</v>
      </c>
      <c r="DO3314" t="e">
        <f t="shared" si="176"/>
        <v>#N/A</v>
      </c>
    </row>
    <row r="3315" spans="7:119" x14ac:dyDescent="0.25">
      <c r="G3315"/>
      <c r="DI3315" s="4">
        <f>INDEX(Sheet2!A:A,QUOTIENT(ROW()-1,19)+2)</f>
        <v>41717</v>
      </c>
      <c r="DJ3315" s="4">
        <f>INDEX(Sheet2!C:C,QUOTIENT(ROW()-1,19)+2)</f>
        <v>42369</v>
      </c>
      <c r="DK3315" s="4" t="e">
        <f>INDEX(Sheet2!$AA$2:$AS$228,QUOTIENT(ROW()-1,19)+1,MOD(ROW()-2,19)+1)</f>
        <v>#N/A</v>
      </c>
      <c r="DL3315" t="str">
        <f>IFERROR(INDEX(Sheet2!$AU$2:$BM$228,QUOTIENT(ROW()-1,19)+1,MOD(ROW()-2,19)+1),NA())</f>
        <v/>
      </c>
      <c r="DM3315" s="4" t="e">
        <f t="shared" si="174"/>
        <v>#N/A</v>
      </c>
      <c r="DN3315" t="e">
        <f t="shared" si="175"/>
        <v>#N/A</v>
      </c>
      <c r="DO3315" t="e">
        <f t="shared" si="176"/>
        <v>#N/A</v>
      </c>
    </row>
    <row r="3316" spans="7:119" x14ac:dyDescent="0.25">
      <c r="G3316"/>
      <c r="DI3316" s="4">
        <f>INDEX(Sheet2!A:A,QUOTIENT(ROW()-1,19)+2)</f>
        <v>41717</v>
      </c>
      <c r="DJ3316" s="4">
        <f>INDEX(Sheet2!C:C,QUOTIENT(ROW()-1,19)+2)</f>
        <v>42369</v>
      </c>
      <c r="DK3316" s="4" t="e">
        <f>INDEX(Sheet2!$AA$2:$AS$228,QUOTIENT(ROW()-1,19)+1,MOD(ROW()-2,19)+1)</f>
        <v>#N/A</v>
      </c>
      <c r="DL3316" t="str">
        <f>IFERROR(INDEX(Sheet2!$AU$2:$BM$228,QUOTIENT(ROW()-1,19)+1,MOD(ROW()-2,19)+1),NA())</f>
        <v/>
      </c>
      <c r="DM3316" s="4" t="e">
        <f t="shared" si="174"/>
        <v>#N/A</v>
      </c>
      <c r="DN3316" t="e">
        <f t="shared" si="175"/>
        <v>#N/A</v>
      </c>
      <c r="DO3316" t="e">
        <f t="shared" si="176"/>
        <v>#N/A</v>
      </c>
    </row>
    <row r="3317" spans="7:119" x14ac:dyDescent="0.25">
      <c r="G3317"/>
      <c r="DI3317" s="4">
        <f>INDEX(Sheet2!A:A,QUOTIENT(ROW()-1,19)+2)</f>
        <v>41717</v>
      </c>
      <c r="DJ3317" s="4">
        <f>INDEX(Sheet2!C:C,QUOTIENT(ROW()-1,19)+2)</f>
        <v>42369</v>
      </c>
      <c r="DK3317" s="4" t="e">
        <f>INDEX(Sheet2!$AA$2:$AS$228,QUOTIENT(ROW()-1,19)+1,MOD(ROW()-2,19)+1)</f>
        <v>#N/A</v>
      </c>
      <c r="DL3317" t="str">
        <f>IFERROR(INDEX(Sheet2!$AU$2:$BM$228,QUOTIENT(ROW()-1,19)+1,MOD(ROW()-2,19)+1),NA())</f>
        <v/>
      </c>
      <c r="DM3317" s="4" t="e">
        <f t="shared" si="174"/>
        <v>#N/A</v>
      </c>
      <c r="DN3317" t="e">
        <f t="shared" si="175"/>
        <v>#N/A</v>
      </c>
      <c r="DO3317" t="e">
        <f t="shared" si="176"/>
        <v>#N/A</v>
      </c>
    </row>
    <row r="3318" spans="7:119" x14ac:dyDescent="0.25">
      <c r="G3318"/>
      <c r="DI3318" s="4">
        <f>INDEX(Sheet2!A:A,QUOTIENT(ROW()-1,19)+2)</f>
        <v>41717</v>
      </c>
      <c r="DJ3318" s="4">
        <f>INDEX(Sheet2!C:C,QUOTIENT(ROW()-1,19)+2)</f>
        <v>42369</v>
      </c>
      <c r="DK3318" s="4" t="e">
        <f>INDEX(Sheet2!$AA$2:$AS$228,QUOTIENT(ROW()-1,19)+1,MOD(ROW()-2,19)+1)</f>
        <v>#N/A</v>
      </c>
      <c r="DL3318" t="str">
        <f>IFERROR(INDEX(Sheet2!$AU$2:$BM$228,QUOTIENT(ROW()-1,19)+1,MOD(ROW()-2,19)+1),NA())</f>
        <v/>
      </c>
      <c r="DM3318" s="4" t="e">
        <f t="shared" si="174"/>
        <v>#N/A</v>
      </c>
      <c r="DN3318" t="e">
        <f t="shared" si="175"/>
        <v>#N/A</v>
      </c>
      <c r="DO3318" t="e">
        <f t="shared" si="176"/>
        <v>#N/A</v>
      </c>
    </row>
    <row r="3319" spans="7:119" x14ac:dyDescent="0.25">
      <c r="G3319"/>
      <c r="DI3319" s="4">
        <f>INDEX(Sheet2!A:A,QUOTIENT(ROW()-1,19)+2)</f>
        <v>41717</v>
      </c>
      <c r="DJ3319" s="4">
        <f>INDEX(Sheet2!C:C,QUOTIENT(ROW()-1,19)+2)</f>
        <v>42369</v>
      </c>
      <c r="DK3319" s="4" t="e">
        <f>INDEX(Sheet2!$AA$2:$AS$228,QUOTIENT(ROW()-1,19)+1,MOD(ROW()-2,19)+1)</f>
        <v>#N/A</v>
      </c>
      <c r="DL3319" t="str">
        <f>IFERROR(INDEX(Sheet2!$AU$2:$BM$228,QUOTIENT(ROW()-1,19)+1,MOD(ROW()-2,19)+1),NA())</f>
        <v/>
      </c>
      <c r="DM3319" s="4" t="e">
        <f t="shared" si="174"/>
        <v>#N/A</v>
      </c>
      <c r="DN3319" t="e">
        <f t="shared" si="175"/>
        <v>#N/A</v>
      </c>
      <c r="DO3319" t="e">
        <f t="shared" si="176"/>
        <v>#N/A</v>
      </c>
    </row>
    <row r="3320" spans="7:119" x14ac:dyDescent="0.25">
      <c r="G3320"/>
      <c r="DI3320" s="4">
        <f>INDEX(Sheet2!A:A,QUOTIENT(ROW()-1,19)+2)</f>
        <v>41717</v>
      </c>
      <c r="DJ3320" s="4">
        <f>INDEX(Sheet2!C:C,QUOTIENT(ROW()-1,19)+2)</f>
        <v>42369</v>
      </c>
      <c r="DK3320" s="4" t="e">
        <f>INDEX(Sheet2!$AA$2:$AS$228,QUOTIENT(ROW()-1,19)+1,MOD(ROW()-2,19)+1)</f>
        <v>#N/A</v>
      </c>
      <c r="DL3320" t="str">
        <f>IFERROR(INDEX(Sheet2!$AU$2:$BM$228,QUOTIENT(ROW()-1,19)+1,MOD(ROW()-2,19)+1),NA())</f>
        <v/>
      </c>
      <c r="DM3320" s="4" t="e">
        <f t="shared" si="174"/>
        <v>#N/A</v>
      </c>
      <c r="DN3320" t="e">
        <f t="shared" si="175"/>
        <v>#N/A</v>
      </c>
      <c r="DO3320" t="e">
        <f t="shared" si="176"/>
        <v>#N/A</v>
      </c>
    </row>
    <row r="3321" spans="7:119" x14ac:dyDescent="0.25">
      <c r="G3321"/>
      <c r="DI3321" s="4">
        <f>INDEX(Sheet2!A:A,QUOTIENT(ROW()-1,19)+2)</f>
        <v>41717</v>
      </c>
      <c r="DJ3321" s="4">
        <f>INDEX(Sheet2!C:C,QUOTIENT(ROW()-1,19)+2)</f>
        <v>42369</v>
      </c>
      <c r="DK3321" s="4" t="e">
        <f>INDEX(Sheet2!$AA$2:$AS$228,QUOTIENT(ROW()-1,19)+1,MOD(ROW()-2,19)+1)</f>
        <v>#N/A</v>
      </c>
      <c r="DL3321" t="str">
        <f>IFERROR(INDEX(Sheet2!$AU$2:$BM$228,QUOTIENT(ROW()-1,19)+1,MOD(ROW()-2,19)+1),NA())</f>
        <v/>
      </c>
      <c r="DM3321" s="4" t="e">
        <f t="shared" si="174"/>
        <v>#N/A</v>
      </c>
      <c r="DN3321" t="e">
        <f t="shared" si="175"/>
        <v>#N/A</v>
      </c>
      <c r="DO3321" t="e">
        <f t="shared" si="176"/>
        <v>#N/A</v>
      </c>
    </row>
    <row r="3322" spans="7:119" x14ac:dyDescent="0.25">
      <c r="G3322"/>
      <c r="DI3322" s="4">
        <f>INDEX(Sheet2!A:A,QUOTIENT(ROW()-1,19)+2)</f>
        <v>41717</v>
      </c>
      <c r="DJ3322" s="4">
        <f>INDEX(Sheet2!C:C,QUOTIENT(ROW()-1,19)+2)</f>
        <v>42369</v>
      </c>
      <c r="DK3322" s="4" t="e">
        <f>INDEX(Sheet2!$AA$2:$AS$228,QUOTIENT(ROW()-1,19)+1,MOD(ROW()-2,19)+1)</f>
        <v>#N/A</v>
      </c>
      <c r="DL3322" t="str">
        <f>IFERROR(INDEX(Sheet2!$AU$2:$BM$228,QUOTIENT(ROW()-1,19)+1,MOD(ROW()-2,19)+1),NA())</f>
        <v/>
      </c>
      <c r="DM3322" s="4" t="e">
        <f t="shared" si="174"/>
        <v>#N/A</v>
      </c>
      <c r="DN3322" t="e">
        <f t="shared" si="175"/>
        <v>#N/A</v>
      </c>
      <c r="DO3322" t="e">
        <f t="shared" si="176"/>
        <v>#N/A</v>
      </c>
    </row>
    <row r="3323" spans="7:119" x14ac:dyDescent="0.25">
      <c r="G3323"/>
      <c r="DI3323" s="4">
        <f>INDEX(Sheet2!A:A,QUOTIENT(ROW()-1,19)+2)</f>
        <v>41717</v>
      </c>
      <c r="DJ3323" s="4">
        <f>INDEX(Sheet2!C:C,QUOTIENT(ROW()-1,19)+2)</f>
        <v>42369</v>
      </c>
      <c r="DK3323" s="4" t="e">
        <f>INDEX(Sheet2!$AA$2:$AS$228,QUOTIENT(ROW()-1,19)+1,MOD(ROW()-2,19)+1)</f>
        <v>#N/A</v>
      </c>
      <c r="DL3323" t="str">
        <f>IFERROR(INDEX(Sheet2!$AU$2:$BM$228,QUOTIENT(ROW()-1,19)+1,MOD(ROW()-2,19)+1),NA())</f>
        <v/>
      </c>
      <c r="DM3323" s="4" t="e">
        <f t="shared" si="174"/>
        <v>#N/A</v>
      </c>
      <c r="DN3323" t="e">
        <f t="shared" si="175"/>
        <v>#N/A</v>
      </c>
      <c r="DO3323" t="e">
        <f t="shared" si="176"/>
        <v>#N/A</v>
      </c>
    </row>
    <row r="3324" spans="7:119" x14ac:dyDescent="0.25">
      <c r="G3324"/>
      <c r="DI3324" s="4">
        <f>INDEX(Sheet2!A:A,QUOTIENT(ROW()-1,19)+2)</f>
        <v>41717</v>
      </c>
      <c r="DJ3324" s="4">
        <f>INDEX(Sheet2!C:C,QUOTIENT(ROW()-1,19)+2)</f>
        <v>42369</v>
      </c>
      <c r="DK3324" s="4" t="e">
        <f>INDEX(Sheet2!$AA$2:$AS$228,QUOTIENT(ROW()-1,19)+1,MOD(ROW()-2,19)+1)</f>
        <v>#N/A</v>
      </c>
      <c r="DL3324" t="str">
        <f>IFERROR(INDEX(Sheet2!$AU$2:$BM$228,QUOTIENT(ROW()-1,19)+1,MOD(ROW()-2,19)+1),NA())</f>
        <v/>
      </c>
      <c r="DM3324" s="4" t="e">
        <f t="shared" si="174"/>
        <v>#N/A</v>
      </c>
      <c r="DN3324" t="e">
        <f t="shared" si="175"/>
        <v>#N/A</v>
      </c>
      <c r="DO3324" t="e">
        <f t="shared" si="176"/>
        <v>#N/A</v>
      </c>
    </row>
    <row r="3325" spans="7:119" x14ac:dyDescent="0.25">
      <c r="G3325"/>
      <c r="DI3325" s="4">
        <f>INDEX(Sheet2!A:A,QUOTIENT(ROW()-1,19)+2)</f>
        <v>41717</v>
      </c>
      <c r="DJ3325" s="4">
        <f>INDEX(Sheet2!C:C,QUOTIENT(ROW()-1,19)+2)</f>
        <v>42369</v>
      </c>
      <c r="DK3325" s="4" t="e">
        <f>INDEX(Sheet2!$AA$2:$AS$228,QUOTIENT(ROW()-1,19)+1,MOD(ROW()-2,19)+1)</f>
        <v>#N/A</v>
      </c>
      <c r="DL3325" t="str">
        <f>IFERROR(INDEX(Sheet2!$AU$2:$BM$228,QUOTIENT(ROW()-1,19)+1,MOD(ROW()-2,19)+1),NA())</f>
        <v/>
      </c>
      <c r="DM3325" s="4" t="e">
        <f t="shared" si="174"/>
        <v>#N/A</v>
      </c>
      <c r="DN3325" t="e">
        <f t="shared" si="175"/>
        <v>#N/A</v>
      </c>
      <c r="DO3325" t="e">
        <f t="shared" si="176"/>
        <v>#N/A</v>
      </c>
    </row>
    <row r="3326" spans="7:119" x14ac:dyDescent="0.25">
      <c r="G3326"/>
      <c r="DI3326" s="4">
        <f>INDEX(Sheet2!A:A,QUOTIENT(ROW()-1,19)+2)</f>
        <v>41717</v>
      </c>
      <c r="DJ3326" s="4">
        <f>INDEX(Sheet2!C:C,QUOTIENT(ROW()-1,19)+2)</f>
        <v>42369</v>
      </c>
      <c r="DK3326" s="4" t="e">
        <f>INDEX(Sheet2!$AA$2:$AS$228,QUOTIENT(ROW()-1,19)+1,MOD(ROW()-2,19)+1)</f>
        <v>#N/A</v>
      </c>
      <c r="DL3326" t="str">
        <f>IFERROR(INDEX(Sheet2!$AU$2:$BM$228,QUOTIENT(ROW()-1,19)+1,MOD(ROW()-2,19)+1),NA())</f>
        <v/>
      </c>
      <c r="DM3326" s="4" t="e">
        <f t="shared" si="174"/>
        <v>#N/A</v>
      </c>
      <c r="DN3326" t="e">
        <f t="shared" si="175"/>
        <v>#N/A</v>
      </c>
      <c r="DO3326" t="e">
        <f t="shared" si="176"/>
        <v>#N/A</v>
      </c>
    </row>
    <row r="3327" spans="7:119" x14ac:dyDescent="0.25">
      <c r="G3327"/>
      <c r="DI3327" s="4">
        <f>INDEX(Sheet2!A:A,QUOTIENT(ROW()-1,19)+2)</f>
        <v>41717</v>
      </c>
      <c r="DJ3327" s="4">
        <f>INDEX(Sheet2!C:C,QUOTIENT(ROW()-1,19)+2)</f>
        <v>42369</v>
      </c>
      <c r="DK3327" s="4">
        <f>INDEX(Sheet2!$AA$2:$AS$228,QUOTIENT(ROW()-1,19)+1,MOD(ROW()-2,19)+1)</f>
        <v>42358.962500000001</v>
      </c>
      <c r="DL3327">
        <f>IFERROR(INDEX(Sheet2!$AU$2:$BM$228,QUOTIENT(ROW()-1,19)+1,MOD(ROW()-2,19)+1),NA())</f>
        <v>0.5</v>
      </c>
      <c r="DM3327" s="4" t="e">
        <f t="shared" si="174"/>
        <v>#N/A</v>
      </c>
      <c r="DN3327" t="e">
        <f t="shared" si="175"/>
        <v>#N/A</v>
      </c>
      <c r="DO3327" t="e">
        <f t="shared" si="176"/>
        <v>#N/A</v>
      </c>
    </row>
    <row r="3328" spans="7:119" x14ac:dyDescent="0.25">
      <c r="G3328"/>
      <c r="DI3328" s="4">
        <f>INDEX(Sheet2!A:A,QUOTIENT(ROW()-1,19)+2)</f>
        <v>41717</v>
      </c>
      <c r="DJ3328" s="4">
        <f>INDEX(Sheet2!C:C,QUOTIENT(ROW()-1,19)+2)</f>
        <v>42369</v>
      </c>
      <c r="DK3328" s="4">
        <f>INDEX(Sheet2!$AA$2:$AS$228,QUOTIENT(ROW()-1,19)+1,MOD(ROW()-2,19)+1)</f>
        <v>42379.037500000006</v>
      </c>
      <c r="DL3328">
        <f>IFERROR(INDEX(Sheet2!$AU$2:$BM$228,QUOTIENT(ROW()-1,19)+1,MOD(ROW()-2,19)+1),NA())</f>
        <v>0.5</v>
      </c>
      <c r="DM3328" s="4" t="e">
        <f t="shared" si="174"/>
        <v>#N/A</v>
      </c>
      <c r="DN3328" t="e">
        <f t="shared" si="175"/>
        <v>#N/A</v>
      </c>
      <c r="DO3328" t="e">
        <f t="shared" si="176"/>
        <v>#N/A</v>
      </c>
    </row>
    <row r="3329" spans="7:119" x14ac:dyDescent="0.25">
      <c r="G3329"/>
      <c r="DI3329" s="4">
        <f>INDEX(Sheet2!A:A,QUOTIENT(ROW()-1,19)+2)</f>
        <v>41717</v>
      </c>
      <c r="DJ3329" s="4">
        <f>INDEX(Sheet2!C:C,QUOTIENT(ROW()-1,19)+2)</f>
        <v>42369</v>
      </c>
      <c r="DK3329" s="4" t="e">
        <f>INDEX(Sheet2!$AA$2:$AS$228,QUOTIENT(ROW()-1,19)+1,MOD(ROW()-2,19)+1)</f>
        <v>#N/A</v>
      </c>
      <c r="DL3329" t="str">
        <f>IFERROR(INDEX(Sheet2!$AU$2:$BM$228,QUOTIENT(ROW()-1,19)+1,MOD(ROW()-2,19)+1),NA())</f>
        <v/>
      </c>
      <c r="DM3329" s="4" t="e">
        <f t="shared" si="174"/>
        <v>#N/A</v>
      </c>
      <c r="DN3329" t="e">
        <f t="shared" si="175"/>
        <v>#N/A</v>
      </c>
      <c r="DO3329" t="e">
        <f t="shared" si="176"/>
        <v>#N/A</v>
      </c>
    </row>
    <row r="3330" spans="7:119" x14ac:dyDescent="0.25">
      <c r="G3330"/>
      <c r="DI3330" s="4">
        <f>INDEX(Sheet2!A:A,QUOTIENT(ROW()-1,19)+2)</f>
        <v>41717</v>
      </c>
      <c r="DJ3330" s="4">
        <f>INDEX(Sheet2!C:C,QUOTIENT(ROW()-1,19)+2)</f>
        <v>42369</v>
      </c>
      <c r="DK3330" s="4" t="e">
        <f>INDEX(Sheet2!$AA$2:$AS$228,QUOTIENT(ROW()-1,19)+1,MOD(ROW()-2,19)+1)</f>
        <v>#N/A</v>
      </c>
      <c r="DL3330" t="str">
        <f>IFERROR(INDEX(Sheet2!$AU$2:$BM$228,QUOTIENT(ROW()-1,19)+1,MOD(ROW()-2,19)+1),NA())</f>
        <v/>
      </c>
      <c r="DM3330" s="4" t="e">
        <f t="shared" ref="DM3330:DM3393" si="177">+IF($C$2=$DI3330,DK3330,NA())</f>
        <v>#N/A</v>
      </c>
      <c r="DN3330" t="e">
        <f t="shared" ref="DN3330:DN3393" si="178">+IF($C$2=$DI3330,DL3330,NA())</f>
        <v>#N/A</v>
      </c>
      <c r="DO3330" t="e">
        <f t="shared" si="176"/>
        <v>#N/A</v>
      </c>
    </row>
    <row r="3331" spans="7:119" x14ac:dyDescent="0.25">
      <c r="G3331"/>
      <c r="DI3331" s="4">
        <f>INDEX(Sheet2!A:A,QUOTIENT(ROW()-1,19)+2)</f>
        <v>41717</v>
      </c>
      <c r="DJ3331" s="4">
        <f>INDEX(Sheet2!C:C,QUOTIENT(ROW()-1,19)+2)</f>
        <v>42369</v>
      </c>
      <c r="DK3331" s="4" t="e">
        <f>INDEX(Sheet2!$AA$2:$AS$228,QUOTIENT(ROW()-1,19)+1,MOD(ROW()-2,19)+1)</f>
        <v>#N/A</v>
      </c>
      <c r="DL3331" t="str">
        <f>IFERROR(INDEX(Sheet2!$AU$2:$BM$228,QUOTIENT(ROW()-1,19)+1,MOD(ROW()-2,19)+1),NA())</f>
        <v/>
      </c>
      <c r="DM3331" s="4" t="e">
        <f t="shared" si="177"/>
        <v>#N/A</v>
      </c>
      <c r="DN3331" t="e">
        <f t="shared" si="178"/>
        <v>#N/A</v>
      </c>
      <c r="DO3331" t="e">
        <f t="shared" ref="DO3331:DO3394" si="179">IF(DN3331="",NA(),DN3331)</f>
        <v>#N/A</v>
      </c>
    </row>
    <row r="3332" spans="7:119" x14ac:dyDescent="0.25">
      <c r="G3332"/>
      <c r="DI3332" s="4">
        <f>INDEX(Sheet2!A:A,QUOTIENT(ROW()-1,19)+2)</f>
        <v>41717</v>
      </c>
      <c r="DJ3332" s="4">
        <f>INDEX(Sheet2!C:C,QUOTIENT(ROW()-1,19)+2)</f>
        <v>42369</v>
      </c>
      <c r="DK3332" s="4" t="e">
        <f>INDEX(Sheet2!$AA$2:$AS$228,QUOTIENT(ROW()-1,19)+1,MOD(ROW()-2,19)+1)</f>
        <v>#N/A</v>
      </c>
      <c r="DL3332" t="str">
        <f>IFERROR(INDEX(Sheet2!$AU$2:$BM$228,QUOTIENT(ROW()-1,19)+1,MOD(ROW()-2,19)+1),NA())</f>
        <v/>
      </c>
      <c r="DM3332" s="4" t="e">
        <f t="shared" si="177"/>
        <v>#N/A</v>
      </c>
      <c r="DN3332" t="e">
        <f t="shared" si="178"/>
        <v>#N/A</v>
      </c>
      <c r="DO3332" t="e">
        <f t="shared" si="179"/>
        <v>#N/A</v>
      </c>
    </row>
    <row r="3333" spans="7:119" x14ac:dyDescent="0.25">
      <c r="G3333"/>
      <c r="DI3333" s="4">
        <f>INDEX(Sheet2!A:A,QUOTIENT(ROW()-1,19)+2)</f>
        <v>41717</v>
      </c>
      <c r="DJ3333" s="4">
        <f>INDEX(Sheet2!C:C,QUOTIENT(ROW()-1,19)+2)</f>
        <v>42369</v>
      </c>
      <c r="DK3333" s="4" t="e">
        <f>INDEX(Sheet2!$AA$2:$AS$228,QUOTIENT(ROW()-1,19)+1,MOD(ROW()-2,19)+1)</f>
        <v>#N/A</v>
      </c>
      <c r="DL3333" t="str">
        <f>IFERROR(INDEX(Sheet2!$AU$2:$BM$228,QUOTIENT(ROW()-1,19)+1,MOD(ROW()-2,19)+1),NA())</f>
        <v/>
      </c>
      <c r="DM3333" s="4" t="e">
        <f t="shared" si="177"/>
        <v>#N/A</v>
      </c>
      <c r="DN3333" t="e">
        <f t="shared" si="178"/>
        <v>#N/A</v>
      </c>
      <c r="DO3333" t="e">
        <f t="shared" si="179"/>
        <v>#N/A</v>
      </c>
    </row>
    <row r="3334" spans="7:119" x14ac:dyDescent="0.25">
      <c r="G3334"/>
      <c r="DI3334" s="4">
        <f>INDEX(Sheet2!A:A,QUOTIENT(ROW()-1,19)+2)</f>
        <v>41717</v>
      </c>
      <c r="DJ3334" s="4">
        <f>INDEX(Sheet2!C:C,QUOTIENT(ROW()-1,19)+2)</f>
        <v>42369</v>
      </c>
      <c r="DK3334" s="4" t="e">
        <f>INDEX(Sheet2!$AA$2:$AS$228,QUOTIENT(ROW()-1,19)+1,MOD(ROW()-2,19)+1)</f>
        <v>#N/A</v>
      </c>
      <c r="DL3334" t="str">
        <f>IFERROR(INDEX(Sheet2!$AU$2:$BM$228,QUOTIENT(ROW()-1,19)+1,MOD(ROW()-2,19)+1),NA())</f>
        <v/>
      </c>
      <c r="DM3334" s="4" t="e">
        <f t="shared" si="177"/>
        <v>#N/A</v>
      </c>
      <c r="DN3334" t="e">
        <f t="shared" si="178"/>
        <v>#N/A</v>
      </c>
      <c r="DO3334" t="e">
        <f t="shared" si="179"/>
        <v>#N/A</v>
      </c>
    </row>
    <row r="3335" spans="7:119" x14ac:dyDescent="0.25">
      <c r="G3335"/>
      <c r="DI3335" s="4">
        <f>INDEX(Sheet2!A:A,QUOTIENT(ROW()-1,19)+2)</f>
        <v>41717</v>
      </c>
      <c r="DJ3335" s="4">
        <f>INDEX(Sheet2!C:C,QUOTIENT(ROW()-1,19)+2)</f>
        <v>42369</v>
      </c>
      <c r="DK3335" s="4" t="e">
        <f>INDEX(Sheet2!$AA$2:$AS$228,QUOTIENT(ROW()-1,19)+1,MOD(ROW()-2,19)+1)</f>
        <v>#N/A</v>
      </c>
      <c r="DL3335" t="str">
        <f>IFERROR(INDEX(Sheet2!$AU$2:$BM$228,QUOTIENT(ROW()-1,19)+1,MOD(ROW()-2,19)+1),NA())</f>
        <v/>
      </c>
      <c r="DM3335" s="4" t="e">
        <f t="shared" si="177"/>
        <v>#N/A</v>
      </c>
      <c r="DN3335" t="e">
        <f t="shared" si="178"/>
        <v>#N/A</v>
      </c>
      <c r="DO3335" t="e">
        <f t="shared" si="179"/>
        <v>#N/A</v>
      </c>
    </row>
    <row r="3336" spans="7:119" x14ac:dyDescent="0.25">
      <c r="G3336"/>
      <c r="DI3336" s="4">
        <f>INDEX(Sheet2!A:A,QUOTIENT(ROW()-1,19)+2)</f>
        <v>41717</v>
      </c>
      <c r="DJ3336" s="4">
        <f>INDEX(Sheet2!C:C,QUOTIENT(ROW()-1,19)+2)</f>
        <v>42369</v>
      </c>
      <c r="DK3336" s="4" t="e">
        <f>INDEX(Sheet2!$AA$2:$AS$228,QUOTIENT(ROW()-1,19)+1,MOD(ROW()-2,19)+1)</f>
        <v>#N/A</v>
      </c>
      <c r="DL3336" t="str">
        <f>IFERROR(INDEX(Sheet2!$AU$2:$BM$228,QUOTIENT(ROW()-1,19)+1,MOD(ROW()-2,19)+1),NA())</f>
        <v/>
      </c>
      <c r="DM3336" s="4" t="e">
        <f t="shared" si="177"/>
        <v>#N/A</v>
      </c>
      <c r="DN3336" t="e">
        <f t="shared" si="178"/>
        <v>#N/A</v>
      </c>
      <c r="DO3336" t="e">
        <f t="shared" si="179"/>
        <v>#N/A</v>
      </c>
    </row>
    <row r="3337" spans="7:119" x14ac:dyDescent="0.25">
      <c r="G3337"/>
      <c r="DI3337" s="4">
        <f>INDEX(Sheet2!A:A,QUOTIENT(ROW()-1,19)+2)</f>
        <v>41717</v>
      </c>
      <c r="DJ3337" s="4">
        <f>INDEX(Sheet2!C:C,QUOTIENT(ROW()-1,19)+2)</f>
        <v>42369</v>
      </c>
      <c r="DK3337" s="4" t="e">
        <f>INDEX(Sheet2!$AA$2:$AS$228,QUOTIENT(ROW()-1,19)+1,MOD(ROW()-2,19)+1)</f>
        <v>#N/A</v>
      </c>
      <c r="DL3337" t="str">
        <f>IFERROR(INDEX(Sheet2!$AU$2:$BM$228,QUOTIENT(ROW()-1,19)+1,MOD(ROW()-2,19)+1),NA())</f>
        <v/>
      </c>
      <c r="DM3337" s="4" t="e">
        <f t="shared" si="177"/>
        <v>#N/A</v>
      </c>
      <c r="DN3337" t="e">
        <f t="shared" si="178"/>
        <v>#N/A</v>
      </c>
      <c r="DO3337" t="e">
        <f t="shared" si="179"/>
        <v>#N/A</v>
      </c>
    </row>
    <row r="3338" spans="7:119" x14ac:dyDescent="0.25">
      <c r="G3338"/>
      <c r="DI3338" s="4">
        <f>INDEX(Sheet2!A:A,QUOTIENT(ROW()-1,19)+2)</f>
        <v>41717</v>
      </c>
      <c r="DJ3338" s="4">
        <f>INDEX(Sheet2!C:C,QUOTIENT(ROW()-1,19)+2)</f>
        <v>42369</v>
      </c>
      <c r="DK3338" s="4" t="e">
        <f>INDEX(Sheet2!$AA$2:$AS$228,QUOTIENT(ROW()-1,19)+1,MOD(ROW()-2,19)+1)</f>
        <v>#N/A</v>
      </c>
      <c r="DL3338" t="str">
        <f>IFERROR(INDEX(Sheet2!$AU$2:$BM$228,QUOTIENT(ROW()-1,19)+1,MOD(ROW()-2,19)+1),NA())</f>
        <v/>
      </c>
      <c r="DM3338" s="4" t="e">
        <f t="shared" si="177"/>
        <v>#N/A</v>
      </c>
      <c r="DN3338" t="e">
        <f t="shared" si="178"/>
        <v>#N/A</v>
      </c>
      <c r="DO3338" t="e">
        <f t="shared" si="179"/>
        <v>#N/A</v>
      </c>
    </row>
    <row r="3339" spans="7:119" x14ac:dyDescent="0.25">
      <c r="G3339"/>
      <c r="DI3339" s="4">
        <f>INDEX(Sheet2!A:A,QUOTIENT(ROW()-1,19)+2)</f>
        <v>41717</v>
      </c>
      <c r="DJ3339" s="4">
        <f>INDEX(Sheet2!C:C,QUOTIENT(ROW()-1,19)+2)</f>
        <v>42369</v>
      </c>
      <c r="DK3339" s="4" t="e">
        <f>INDEX(Sheet2!$AA$2:$AS$228,QUOTIENT(ROW()-1,19)+1,MOD(ROW()-2,19)+1)</f>
        <v>#N/A</v>
      </c>
      <c r="DL3339" t="str">
        <f>IFERROR(INDEX(Sheet2!$AU$2:$BM$228,QUOTIENT(ROW()-1,19)+1,MOD(ROW()-2,19)+1),NA())</f>
        <v/>
      </c>
      <c r="DM3339" s="4" t="e">
        <f t="shared" si="177"/>
        <v>#N/A</v>
      </c>
      <c r="DN3339" t="e">
        <f t="shared" si="178"/>
        <v>#N/A</v>
      </c>
      <c r="DO3339" t="e">
        <f t="shared" si="179"/>
        <v>#N/A</v>
      </c>
    </row>
    <row r="3340" spans="7:119" x14ac:dyDescent="0.25">
      <c r="G3340"/>
      <c r="DI3340" s="4">
        <f>INDEX(Sheet2!A:A,QUOTIENT(ROW()-1,19)+2)</f>
        <v>41717</v>
      </c>
      <c r="DJ3340" s="4">
        <f>INDEX(Sheet2!C:C,QUOTIENT(ROW()-1,19)+2)</f>
        <v>42369</v>
      </c>
      <c r="DK3340" s="4" t="e">
        <f>INDEX(Sheet2!$AA$2:$AS$228,QUOTIENT(ROW()-1,19)+1,MOD(ROW()-2,19)+1)</f>
        <v>#N/A</v>
      </c>
      <c r="DL3340" t="str">
        <f>IFERROR(INDEX(Sheet2!$AU$2:$BM$228,QUOTIENT(ROW()-1,19)+1,MOD(ROW()-2,19)+1),NA())</f>
        <v/>
      </c>
      <c r="DM3340" s="4" t="e">
        <f t="shared" si="177"/>
        <v>#N/A</v>
      </c>
      <c r="DN3340" t="e">
        <f t="shared" si="178"/>
        <v>#N/A</v>
      </c>
      <c r="DO3340" t="e">
        <f t="shared" si="179"/>
        <v>#N/A</v>
      </c>
    </row>
    <row r="3341" spans="7:119" x14ac:dyDescent="0.25">
      <c r="G3341"/>
      <c r="DI3341" s="4">
        <f>INDEX(Sheet2!A:A,QUOTIENT(ROW()-1,19)+2)</f>
        <v>41717</v>
      </c>
      <c r="DJ3341" s="4">
        <f>INDEX(Sheet2!C:C,QUOTIENT(ROW()-1,19)+2)</f>
        <v>42369</v>
      </c>
      <c r="DK3341" s="4" t="e">
        <f>INDEX(Sheet2!$AA$2:$AS$228,QUOTIENT(ROW()-1,19)+1,MOD(ROW()-2,19)+1)</f>
        <v>#N/A</v>
      </c>
      <c r="DL3341" t="str">
        <f>IFERROR(INDEX(Sheet2!$AU$2:$BM$228,QUOTIENT(ROW()-1,19)+1,MOD(ROW()-2,19)+1),NA())</f>
        <v/>
      </c>
      <c r="DM3341" s="4" t="e">
        <f t="shared" si="177"/>
        <v>#N/A</v>
      </c>
      <c r="DN3341" t="e">
        <f t="shared" si="178"/>
        <v>#N/A</v>
      </c>
      <c r="DO3341" t="e">
        <f t="shared" si="179"/>
        <v>#N/A</v>
      </c>
    </row>
    <row r="3342" spans="7:119" x14ac:dyDescent="0.25">
      <c r="G3342"/>
      <c r="DI3342" s="4">
        <f>INDEX(Sheet2!A:A,QUOTIENT(ROW()-1,19)+2)</f>
        <v>41717</v>
      </c>
      <c r="DJ3342" s="4">
        <f>INDEX(Sheet2!C:C,QUOTIENT(ROW()-1,19)+2)</f>
        <v>42369</v>
      </c>
      <c r="DK3342" s="4" t="e">
        <f>INDEX(Sheet2!$AA$2:$AS$228,QUOTIENT(ROW()-1,19)+1,MOD(ROW()-2,19)+1)</f>
        <v>#N/A</v>
      </c>
      <c r="DL3342" t="str">
        <f>IFERROR(INDEX(Sheet2!$AU$2:$BM$228,QUOTIENT(ROW()-1,19)+1,MOD(ROW()-2,19)+1),NA())</f>
        <v/>
      </c>
      <c r="DM3342" s="4" t="e">
        <f t="shared" si="177"/>
        <v>#N/A</v>
      </c>
      <c r="DN3342" t="e">
        <f t="shared" si="178"/>
        <v>#N/A</v>
      </c>
      <c r="DO3342" t="e">
        <f t="shared" si="179"/>
        <v>#N/A</v>
      </c>
    </row>
    <row r="3343" spans="7:119" x14ac:dyDescent="0.25">
      <c r="G3343"/>
      <c r="DI3343" s="4">
        <f>INDEX(Sheet2!A:A,QUOTIENT(ROW()-1,19)+2)</f>
        <v>41717</v>
      </c>
      <c r="DJ3343" s="4">
        <f>INDEX(Sheet2!C:C,QUOTIENT(ROW()-1,19)+2)</f>
        <v>42369</v>
      </c>
      <c r="DK3343" s="4" t="e">
        <f>INDEX(Sheet2!$AA$2:$AS$228,QUOTIENT(ROW()-1,19)+1,MOD(ROW()-2,19)+1)</f>
        <v>#N/A</v>
      </c>
      <c r="DL3343" t="str">
        <f>IFERROR(INDEX(Sheet2!$AU$2:$BM$228,QUOTIENT(ROW()-1,19)+1,MOD(ROW()-2,19)+1),NA())</f>
        <v/>
      </c>
      <c r="DM3343" s="4" t="e">
        <f t="shared" si="177"/>
        <v>#N/A</v>
      </c>
      <c r="DN3343" t="e">
        <f t="shared" si="178"/>
        <v>#N/A</v>
      </c>
      <c r="DO3343" t="e">
        <f t="shared" si="179"/>
        <v>#N/A</v>
      </c>
    </row>
    <row r="3344" spans="7:119" x14ac:dyDescent="0.25">
      <c r="G3344"/>
      <c r="DI3344" s="4">
        <f>INDEX(Sheet2!A:A,QUOTIENT(ROW()-1,19)+2)</f>
        <v>41717</v>
      </c>
      <c r="DJ3344" s="4">
        <f>INDEX(Sheet2!C:C,QUOTIENT(ROW()-1,19)+2)</f>
        <v>42369</v>
      </c>
      <c r="DK3344" s="4" t="e">
        <f>INDEX(Sheet2!$AA$2:$AS$228,QUOTIENT(ROW()-1,19)+1,MOD(ROW()-2,19)+1)</f>
        <v>#N/A</v>
      </c>
      <c r="DL3344" t="str">
        <f>IFERROR(INDEX(Sheet2!$AU$2:$BM$228,QUOTIENT(ROW()-1,19)+1,MOD(ROW()-2,19)+1),NA())</f>
        <v/>
      </c>
      <c r="DM3344" s="4" t="e">
        <f t="shared" si="177"/>
        <v>#N/A</v>
      </c>
      <c r="DN3344" t="e">
        <f t="shared" si="178"/>
        <v>#N/A</v>
      </c>
      <c r="DO3344" t="e">
        <f t="shared" si="179"/>
        <v>#N/A</v>
      </c>
    </row>
    <row r="3345" spans="7:119" x14ac:dyDescent="0.25">
      <c r="G3345"/>
      <c r="DI3345" s="4">
        <f>INDEX(Sheet2!A:A,QUOTIENT(ROW()-1,19)+2)</f>
        <v>41717</v>
      </c>
      <c r="DJ3345" s="4">
        <f>INDEX(Sheet2!C:C,QUOTIENT(ROW()-1,19)+2)</f>
        <v>42369</v>
      </c>
      <c r="DK3345" s="4" t="e">
        <f>INDEX(Sheet2!$AA$2:$AS$228,QUOTIENT(ROW()-1,19)+1,MOD(ROW()-2,19)+1)</f>
        <v>#N/A</v>
      </c>
      <c r="DL3345" t="str">
        <f>IFERROR(INDEX(Sheet2!$AU$2:$BM$228,QUOTIENT(ROW()-1,19)+1,MOD(ROW()-2,19)+1),NA())</f>
        <v/>
      </c>
      <c r="DM3345" s="4" t="e">
        <f t="shared" si="177"/>
        <v>#N/A</v>
      </c>
      <c r="DN3345" t="e">
        <f t="shared" si="178"/>
        <v>#N/A</v>
      </c>
      <c r="DO3345" t="e">
        <f t="shared" si="179"/>
        <v>#N/A</v>
      </c>
    </row>
    <row r="3346" spans="7:119" x14ac:dyDescent="0.25">
      <c r="G3346"/>
      <c r="DI3346" s="4">
        <f>INDEX(Sheet2!A:A,QUOTIENT(ROW()-1,19)+2)</f>
        <v>41717</v>
      </c>
      <c r="DJ3346" s="4">
        <f>INDEX(Sheet2!C:C,QUOTIENT(ROW()-1,19)+2)</f>
        <v>42369</v>
      </c>
      <c r="DK3346" s="4">
        <f>INDEX(Sheet2!$AA$2:$AS$228,QUOTIENT(ROW()-1,19)+1,MOD(ROW()-2,19)+1)</f>
        <v>42358.962500000001</v>
      </c>
      <c r="DL3346">
        <f>IFERROR(INDEX(Sheet2!$AU$2:$BM$228,QUOTIENT(ROW()-1,19)+1,MOD(ROW()-2,19)+1),NA())</f>
        <v>0.75</v>
      </c>
      <c r="DM3346" s="4" t="e">
        <f t="shared" si="177"/>
        <v>#N/A</v>
      </c>
      <c r="DN3346" t="e">
        <f t="shared" si="178"/>
        <v>#N/A</v>
      </c>
      <c r="DO3346" t="e">
        <f t="shared" si="179"/>
        <v>#N/A</v>
      </c>
    </row>
    <row r="3347" spans="7:119" x14ac:dyDescent="0.25">
      <c r="G3347"/>
      <c r="DI3347" s="4">
        <f>INDEX(Sheet2!A:A,QUOTIENT(ROW()-1,19)+2)</f>
        <v>41717</v>
      </c>
      <c r="DJ3347" s="4">
        <f>INDEX(Sheet2!C:C,QUOTIENT(ROW()-1,19)+2)</f>
        <v>42369</v>
      </c>
      <c r="DK3347" s="4">
        <f>INDEX(Sheet2!$AA$2:$AS$228,QUOTIENT(ROW()-1,19)+1,MOD(ROW()-2,19)+1)</f>
        <v>42379.037500000006</v>
      </c>
      <c r="DL3347">
        <f>IFERROR(INDEX(Sheet2!$AU$2:$BM$228,QUOTIENT(ROW()-1,19)+1,MOD(ROW()-2,19)+1),NA())</f>
        <v>0.75</v>
      </c>
      <c r="DM3347" s="4" t="e">
        <f t="shared" si="177"/>
        <v>#N/A</v>
      </c>
      <c r="DN3347" t="e">
        <f t="shared" si="178"/>
        <v>#N/A</v>
      </c>
      <c r="DO3347" t="e">
        <f t="shared" si="179"/>
        <v>#N/A</v>
      </c>
    </row>
    <row r="3348" spans="7:119" x14ac:dyDescent="0.25">
      <c r="G3348"/>
      <c r="DI3348" s="4">
        <f>INDEX(Sheet2!A:A,QUOTIENT(ROW()-1,19)+2)</f>
        <v>41717</v>
      </c>
      <c r="DJ3348" s="4">
        <f>INDEX(Sheet2!C:C,QUOTIENT(ROW()-1,19)+2)</f>
        <v>42369</v>
      </c>
      <c r="DK3348" s="4" t="e">
        <f>INDEX(Sheet2!$AA$2:$AS$228,QUOTIENT(ROW()-1,19)+1,MOD(ROW()-2,19)+1)</f>
        <v>#N/A</v>
      </c>
      <c r="DL3348" t="str">
        <f>IFERROR(INDEX(Sheet2!$AU$2:$BM$228,QUOTIENT(ROW()-1,19)+1,MOD(ROW()-2,19)+1),NA())</f>
        <v/>
      </c>
      <c r="DM3348" s="4" t="e">
        <f t="shared" si="177"/>
        <v>#N/A</v>
      </c>
      <c r="DN3348" t="e">
        <f t="shared" si="178"/>
        <v>#N/A</v>
      </c>
      <c r="DO3348" t="e">
        <f t="shared" si="179"/>
        <v>#N/A</v>
      </c>
    </row>
    <row r="3349" spans="7:119" x14ac:dyDescent="0.25">
      <c r="G3349"/>
      <c r="DI3349" s="4">
        <f>INDEX(Sheet2!A:A,QUOTIENT(ROW()-1,19)+2)</f>
        <v>41717</v>
      </c>
      <c r="DJ3349" s="4">
        <f>INDEX(Sheet2!C:C,QUOTIENT(ROW()-1,19)+2)</f>
        <v>42369</v>
      </c>
      <c r="DK3349" s="4" t="e">
        <f>INDEX(Sheet2!$AA$2:$AS$228,QUOTIENT(ROW()-1,19)+1,MOD(ROW()-2,19)+1)</f>
        <v>#N/A</v>
      </c>
      <c r="DL3349" t="str">
        <f>IFERROR(INDEX(Sheet2!$AU$2:$BM$228,QUOTIENT(ROW()-1,19)+1,MOD(ROW()-2,19)+1),NA())</f>
        <v/>
      </c>
      <c r="DM3349" s="4" t="e">
        <f t="shared" si="177"/>
        <v>#N/A</v>
      </c>
      <c r="DN3349" t="e">
        <f t="shared" si="178"/>
        <v>#N/A</v>
      </c>
      <c r="DO3349" t="e">
        <f t="shared" si="179"/>
        <v>#N/A</v>
      </c>
    </row>
    <row r="3350" spans="7:119" x14ac:dyDescent="0.25">
      <c r="G3350"/>
      <c r="DI3350" s="4">
        <f>INDEX(Sheet2!A:A,QUOTIENT(ROW()-1,19)+2)</f>
        <v>41717</v>
      </c>
      <c r="DJ3350" s="4">
        <f>INDEX(Sheet2!C:C,QUOTIENT(ROW()-1,19)+2)</f>
        <v>42369</v>
      </c>
      <c r="DK3350" s="4" t="e">
        <f>INDEX(Sheet2!$AA$2:$AS$228,QUOTIENT(ROW()-1,19)+1,MOD(ROW()-2,19)+1)</f>
        <v>#N/A</v>
      </c>
      <c r="DL3350" t="str">
        <f>IFERROR(INDEX(Sheet2!$AU$2:$BM$228,QUOTIENT(ROW()-1,19)+1,MOD(ROW()-2,19)+1),NA())</f>
        <v/>
      </c>
      <c r="DM3350" s="4" t="e">
        <f t="shared" si="177"/>
        <v>#N/A</v>
      </c>
      <c r="DN3350" t="e">
        <f t="shared" si="178"/>
        <v>#N/A</v>
      </c>
      <c r="DO3350" t="e">
        <f t="shared" si="179"/>
        <v>#N/A</v>
      </c>
    </row>
    <row r="3351" spans="7:119" x14ac:dyDescent="0.25">
      <c r="G3351"/>
      <c r="DI3351" s="4">
        <f>INDEX(Sheet2!A:A,QUOTIENT(ROW()-1,19)+2)</f>
        <v>41717</v>
      </c>
      <c r="DJ3351" s="4">
        <f>INDEX(Sheet2!C:C,QUOTIENT(ROW()-1,19)+2)</f>
        <v>42369</v>
      </c>
      <c r="DK3351" s="4" t="e">
        <f>INDEX(Sheet2!$AA$2:$AS$228,QUOTIENT(ROW()-1,19)+1,MOD(ROW()-2,19)+1)</f>
        <v>#N/A</v>
      </c>
      <c r="DL3351" t="str">
        <f>IFERROR(INDEX(Sheet2!$AU$2:$BM$228,QUOTIENT(ROW()-1,19)+1,MOD(ROW()-2,19)+1),NA())</f>
        <v/>
      </c>
      <c r="DM3351" s="4" t="e">
        <f t="shared" si="177"/>
        <v>#N/A</v>
      </c>
      <c r="DN3351" t="e">
        <f t="shared" si="178"/>
        <v>#N/A</v>
      </c>
      <c r="DO3351" t="e">
        <f t="shared" si="179"/>
        <v>#N/A</v>
      </c>
    </row>
    <row r="3352" spans="7:119" x14ac:dyDescent="0.25">
      <c r="G3352"/>
      <c r="DI3352" s="4">
        <f>INDEX(Sheet2!A:A,QUOTIENT(ROW()-1,19)+2)</f>
        <v>41717</v>
      </c>
      <c r="DJ3352" s="4">
        <f>INDEX(Sheet2!C:C,QUOTIENT(ROW()-1,19)+2)</f>
        <v>42369</v>
      </c>
      <c r="DK3352" s="4" t="e">
        <f>INDEX(Sheet2!$AA$2:$AS$228,QUOTIENT(ROW()-1,19)+1,MOD(ROW()-2,19)+1)</f>
        <v>#N/A</v>
      </c>
      <c r="DL3352" t="str">
        <f>IFERROR(INDEX(Sheet2!$AU$2:$BM$228,QUOTIENT(ROW()-1,19)+1,MOD(ROW()-2,19)+1),NA())</f>
        <v/>
      </c>
      <c r="DM3352" s="4" t="e">
        <f t="shared" si="177"/>
        <v>#N/A</v>
      </c>
      <c r="DN3352" t="e">
        <f t="shared" si="178"/>
        <v>#N/A</v>
      </c>
      <c r="DO3352" t="e">
        <f t="shared" si="179"/>
        <v>#N/A</v>
      </c>
    </row>
    <row r="3353" spans="7:119" x14ac:dyDescent="0.25">
      <c r="G3353"/>
      <c r="DI3353" s="4">
        <f>INDEX(Sheet2!A:A,QUOTIENT(ROW()-1,19)+2)</f>
        <v>41717</v>
      </c>
      <c r="DJ3353" s="4">
        <f>INDEX(Sheet2!C:C,QUOTIENT(ROW()-1,19)+2)</f>
        <v>42369</v>
      </c>
      <c r="DK3353" s="4" t="e">
        <f>INDEX(Sheet2!$AA$2:$AS$228,QUOTIENT(ROW()-1,19)+1,MOD(ROW()-2,19)+1)</f>
        <v>#N/A</v>
      </c>
      <c r="DL3353" t="str">
        <f>IFERROR(INDEX(Sheet2!$AU$2:$BM$228,QUOTIENT(ROW()-1,19)+1,MOD(ROW()-2,19)+1),NA())</f>
        <v/>
      </c>
      <c r="DM3353" s="4" t="e">
        <f t="shared" si="177"/>
        <v>#N/A</v>
      </c>
      <c r="DN3353" t="e">
        <f t="shared" si="178"/>
        <v>#N/A</v>
      </c>
      <c r="DO3353" t="e">
        <f t="shared" si="179"/>
        <v>#N/A</v>
      </c>
    </row>
    <row r="3354" spans="7:119" x14ac:dyDescent="0.25">
      <c r="G3354"/>
      <c r="DI3354" s="4">
        <f>INDEX(Sheet2!A:A,QUOTIENT(ROW()-1,19)+2)</f>
        <v>41717</v>
      </c>
      <c r="DJ3354" s="4">
        <f>INDEX(Sheet2!C:C,QUOTIENT(ROW()-1,19)+2)</f>
        <v>42369</v>
      </c>
      <c r="DK3354" s="4" t="e">
        <f>INDEX(Sheet2!$AA$2:$AS$228,QUOTIENT(ROW()-1,19)+1,MOD(ROW()-2,19)+1)</f>
        <v>#N/A</v>
      </c>
      <c r="DL3354" t="str">
        <f>IFERROR(INDEX(Sheet2!$AU$2:$BM$228,QUOTIENT(ROW()-1,19)+1,MOD(ROW()-2,19)+1),NA())</f>
        <v/>
      </c>
      <c r="DM3354" s="4" t="e">
        <f t="shared" si="177"/>
        <v>#N/A</v>
      </c>
      <c r="DN3354" t="e">
        <f t="shared" si="178"/>
        <v>#N/A</v>
      </c>
      <c r="DO3354" t="e">
        <f t="shared" si="179"/>
        <v>#N/A</v>
      </c>
    </row>
    <row r="3355" spans="7:119" x14ac:dyDescent="0.25">
      <c r="G3355"/>
      <c r="DI3355" s="4">
        <f>INDEX(Sheet2!A:A,QUOTIENT(ROW()-1,19)+2)</f>
        <v>41717</v>
      </c>
      <c r="DJ3355" s="4">
        <f>INDEX(Sheet2!C:C,QUOTIENT(ROW()-1,19)+2)</f>
        <v>42369</v>
      </c>
      <c r="DK3355" s="4" t="e">
        <f>INDEX(Sheet2!$AA$2:$AS$228,QUOTIENT(ROW()-1,19)+1,MOD(ROW()-2,19)+1)</f>
        <v>#N/A</v>
      </c>
      <c r="DL3355" t="str">
        <f>IFERROR(INDEX(Sheet2!$AU$2:$BM$228,QUOTIENT(ROW()-1,19)+1,MOD(ROW()-2,19)+1),NA())</f>
        <v/>
      </c>
      <c r="DM3355" s="4" t="e">
        <f t="shared" si="177"/>
        <v>#N/A</v>
      </c>
      <c r="DN3355" t="e">
        <f t="shared" si="178"/>
        <v>#N/A</v>
      </c>
      <c r="DO3355" t="e">
        <f t="shared" si="179"/>
        <v>#N/A</v>
      </c>
    </row>
    <row r="3356" spans="7:119" x14ac:dyDescent="0.25">
      <c r="G3356"/>
      <c r="DI3356" s="4">
        <f>INDEX(Sheet2!A:A,QUOTIENT(ROW()-1,19)+2)</f>
        <v>41717</v>
      </c>
      <c r="DJ3356" s="4">
        <f>INDEX(Sheet2!C:C,QUOTIENT(ROW()-1,19)+2)</f>
        <v>42369</v>
      </c>
      <c r="DK3356" s="4" t="e">
        <f>INDEX(Sheet2!$AA$2:$AS$228,QUOTIENT(ROW()-1,19)+1,MOD(ROW()-2,19)+1)</f>
        <v>#N/A</v>
      </c>
      <c r="DL3356" t="str">
        <f>IFERROR(INDEX(Sheet2!$AU$2:$BM$228,QUOTIENT(ROW()-1,19)+1,MOD(ROW()-2,19)+1),NA())</f>
        <v/>
      </c>
      <c r="DM3356" s="4" t="e">
        <f t="shared" si="177"/>
        <v>#N/A</v>
      </c>
      <c r="DN3356" t="e">
        <f t="shared" si="178"/>
        <v>#N/A</v>
      </c>
      <c r="DO3356" t="e">
        <f t="shared" si="179"/>
        <v>#N/A</v>
      </c>
    </row>
    <row r="3357" spans="7:119" x14ac:dyDescent="0.25">
      <c r="G3357"/>
      <c r="DI3357" s="4">
        <f>INDEX(Sheet2!A:A,QUOTIENT(ROW()-1,19)+2)</f>
        <v>41717</v>
      </c>
      <c r="DJ3357" s="4">
        <f>INDEX(Sheet2!C:C,QUOTIENT(ROW()-1,19)+2)</f>
        <v>42369</v>
      </c>
      <c r="DK3357" s="4" t="e">
        <f>INDEX(Sheet2!$AA$2:$AS$228,QUOTIENT(ROW()-1,19)+1,MOD(ROW()-2,19)+1)</f>
        <v>#N/A</v>
      </c>
      <c r="DL3357" t="str">
        <f>IFERROR(INDEX(Sheet2!$AU$2:$BM$228,QUOTIENT(ROW()-1,19)+1,MOD(ROW()-2,19)+1),NA())</f>
        <v/>
      </c>
      <c r="DM3357" s="4" t="e">
        <f t="shared" si="177"/>
        <v>#N/A</v>
      </c>
      <c r="DN3357" t="e">
        <f t="shared" si="178"/>
        <v>#N/A</v>
      </c>
      <c r="DO3357" t="e">
        <f t="shared" si="179"/>
        <v>#N/A</v>
      </c>
    </row>
    <row r="3358" spans="7:119" x14ac:dyDescent="0.25">
      <c r="G3358"/>
      <c r="DI3358" s="4">
        <f>INDEX(Sheet2!A:A,QUOTIENT(ROW()-1,19)+2)</f>
        <v>41717</v>
      </c>
      <c r="DJ3358" s="4">
        <f>INDEX(Sheet2!C:C,QUOTIENT(ROW()-1,19)+2)</f>
        <v>42369</v>
      </c>
      <c r="DK3358" s="4" t="e">
        <f>INDEX(Sheet2!$AA$2:$AS$228,QUOTIENT(ROW()-1,19)+1,MOD(ROW()-2,19)+1)</f>
        <v>#N/A</v>
      </c>
      <c r="DL3358" t="str">
        <f>IFERROR(INDEX(Sheet2!$AU$2:$BM$228,QUOTIENT(ROW()-1,19)+1,MOD(ROW()-2,19)+1),NA())</f>
        <v/>
      </c>
      <c r="DM3358" s="4" t="e">
        <f t="shared" si="177"/>
        <v>#N/A</v>
      </c>
      <c r="DN3358" t="e">
        <f t="shared" si="178"/>
        <v>#N/A</v>
      </c>
      <c r="DO3358" t="e">
        <f t="shared" si="179"/>
        <v>#N/A</v>
      </c>
    </row>
    <row r="3359" spans="7:119" x14ac:dyDescent="0.25">
      <c r="G3359"/>
      <c r="DI3359" s="4">
        <f>INDEX(Sheet2!A:A,QUOTIENT(ROW()-1,19)+2)</f>
        <v>41717</v>
      </c>
      <c r="DJ3359" s="4">
        <f>INDEX(Sheet2!C:C,QUOTIENT(ROW()-1,19)+2)</f>
        <v>42369</v>
      </c>
      <c r="DK3359" s="4" t="e">
        <f>INDEX(Sheet2!$AA$2:$AS$228,QUOTIENT(ROW()-1,19)+1,MOD(ROW()-2,19)+1)</f>
        <v>#N/A</v>
      </c>
      <c r="DL3359" t="str">
        <f>IFERROR(INDEX(Sheet2!$AU$2:$BM$228,QUOTIENT(ROW()-1,19)+1,MOD(ROW()-2,19)+1),NA())</f>
        <v/>
      </c>
      <c r="DM3359" s="4" t="e">
        <f t="shared" si="177"/>
        <v>#N/A</v>
      </c>
      <c r="DN3359" t="e">
        <f t="shared" si="178"/>
        <v>#N/A</v>
      </c>
      <c r="DO3359" t="e">
        <f t="shared" si="179"/>
        <v>#N/A</v>
      </c>
    </row>
    <row r="3360" spans="7:119" x14ac:dyDescent="0.25">
      <c r="G3360"/>
      <c r="DI3360" s="4">
        <f>INDEX(Sheet2!A:A,QUOTIENT(ROW()-1,19)+2)</f>
        <v>41717</v>
      </c>
      <c r="DJ3360" s="4">
        <f>INDEX(Sheet2!C:C,QUOTIENT(ROW()-1,19)+2)</f>
        <v>42369</v>
      </c>
      <c r="DK3360" s="4" t="e">
        <f>INDEX(Sheet2!$AA$2:$AS$228,QUOTIENT(ROW()-1,19)+1,MOD(ROW()-2,19)+1)</f>
        <v>#N/A</v>
      </c>
      <c r="DL3360" t="str">
        <f>IFERROR(INDEX(Sheet2!$AU$2:$BM$228,QUOTIENT(ROW()-1,19)+1,MOD(ROW()-2,19)+1),NA())</f>
        <v/>
      </c>
      <c r="DM3360" s="4" t="e">
        <f t="shared" si="177"/>
        <v>#N/A</v>
      </c>
      <c r="DN3360" t="e">
        <f t="shared" si="178"/>
        <v>#N/A</v>
      </c>
      <c r="DO3360" t="e">
        <f t="shared" si="179"/>
        <v>#N/A</v>
      </c>
    </row>
    <row r="3361" spans="7:119" x14ac:dyDescent="0.25">
      <c r="G3361"/>
      <c r="DI3361" s="4">
        <f>INDEX(Sheet2!A:A,QUOTIENT(ROW()-1,19)+2)</f>
        <v>41717</v>
      </c>
      <c r="DJ3361" s="4">
        <f>INDEX(Sheet2!C:C,QUOTIENT(ROW()-1,19)+2)</f>
        <v>42369</v>
      </c>
      <c r="DK3361" s="4" t="e">
        <f>INDEX(Sheet2!$AA$2:$AS$228,QUOTIENT(ROW()-1,19)+1,MOD(ROW()-2,19)+1)</f>
        <v>#N/A</v>
      </c>
      <c r="DL3361" t="str">
        <f>IFERROR(INDEX(Sheet2!$AU$2:$BM$228,QUOTIENT(ROW()-1,19)+1,MOD(ROW()-2,19)+1),NA())</f>
        <v/>
      </c>
      <c r="DM3361" s="4" t="e">
        <f t="shared" si="177"/>
        <v>#N/A</v>
      </c>
      <c r="DN3361" t="e">
        <f t="shared" si="178"/>
        <v>#N/A</v>
      </c>
      <c r="DO3361" t="e">
        <f t="shared" si="179"/>
        <v>#N/A</v>
      </c>
    </row>
    <row r="3362" spans="7:119" x14ac:dyDescent="0.25">
      <c r="G3362"/>
      <c r="DI3362" s="4">
        <f>INDEX(Sheet2!A:A,QUOTIENT(ROW()-1,19)+2)</f>
        <v>41717</v>
      </c>
      <c r="DJ3362" s="4">
        <f>INDEX(Sheet2!C:C,QUOTIENT(ROW()-1,19)+2)</f>
        <v>42369</v>
      </c>
      <c r="DK3362" s="4" t="e">
        <f>INDEX(Sheet2!$AA$2:$AS$228,QUOTIENT(ROW()-1,19)+1,MOD(ROW()-2,19)+1)</f>
        <v>#N/A</v>
      </c>
      <c r="DL3362" t="str">
        <f>IFERROR(INDEX(Sheet2!$AU$2:$BM$228,QUOTIENT(ROW()-1,19)+1,MOD(ROW()-2,19)+1),NA())</f>
        <v/>
      </c>
      <c r="DM3362" s="4" t="e">
        <f t="shared" si="177"/>
        <v>#N/A</v>
      </c>
      <c r="DN3362" t="e">
        <f t="shared" si="178"/>
        <v>#N/A</v>
      </c>
      <c r="DO3362" t="e">
        <f t="shared" si="179"/>
        <v>#N/A</v>
      </c>
    </row>
    <row r="3363" spans="7:119" x14ac:dyDescent="0.25">
      <c r="G3363"/>
      <c r="DI3363" s="4">
        <f>INDEX(Sheet2!A:A,QUOTIENT(ROW()-1,19)+2)</f>
        <v>41717</v>
      </c>
      <c r="DJ3363" s="4">
        <f>INDEX(Sheet2!C:C,QUOTIENT(ROW()-1,19)+2)</f>
        <v>42369</v>
      </c>
      <c r="DK3363" s="4" t="e">
        <f>INDEX(Sheet2!$AA$2:$AS$228,QUOTIENT(ROW()-1,19)+1,MOD(ROW()-2,19)+1)</f>
        <v>#N/A</v>
      </c>
      <c r="DL3363" t="str">
        <f>IFERROR(INDEX(Sheet2!$AU$2:$BM$228,QUOTIENT(ROW()-1,19)+1,MOD(ROW()-2,19)+1),NA())</f>
        <v/>
      </c>
      <c r="DM3363" s="4" t="e">
        <f t="shared" si="177"/>
        <v>#N/A</v>
      </c>
      <c r="DN3363" t="e">
        <f t="shared" si="178"/>
        <v>#N/A</v>
      </c>
      <c r="DO3363" t="e">
        <f t="shared" si="179"/>
        <v>#N/A</v>
      </c>
    </row>
    <row r="3364" spans="7:119" x14ac:dyDescent="0.25">
      <c r="G3364"/>
      <c r="DI3364" s="4">
        <f>INDEX(Sheet2!A:A,QUOTIENT(ROW()-1,19)+2)</f>
        <v>41717</v>
      </c>
      <c r="DJ3364" s="4">
        <f>INDEX(Sheet2!C:C,QUOTIENT(ROW()-1,19)+2)</f>
        <v>42369</v>
      </c>
      <c r="DK3364" s="4" t="e">
        <f>INDEX(Sheet2!$AA$2:$AS$228,QUOTIENT(ROW()-1,19)+1,MOD(ROW()-2,19)+1)</f>
        <v>#N/A</v>
      </c>
      <c r="DL3364" t="str">
        <f>IFERROR(INDEX(Sheet2!$AU$2:$BM$228,QUOTIENT(ROW()-1,19)+1,MOD(ROW()-2,19)+1),NA())</f>
        <v/>
      </c>
      <c r="DM3364" s="4" t="e">
        <f t="shared" si="177"/>
        <v>#N/A</v>
      </c>
      <c r="DN3364" t="e">
        <f t="shared" si="178"/>
        <v>#N/A</v>
      </c>
      <c r="DO3364" t="e">
        <f t="shared" si="179"/>
        <v>#N/A</v>
      </c>
    </row>
    <row r="3365" spans="7:119" x14ac:dyDescent="0.25">
      <c r="G3365"/>
      <c r="DI3365" s="4">
        <f>INDEX(Sheet2!A:A,QUOTIENT(ROW()-1,19)+2)</f>
        <v>41717</v>
      </c>
      <c r="DJ3365" s="4">
        <f>INDEX(Sheet2!C:C,QUOTIENT(ROW()-1,19)+2)</f>
        <v>42369</v>
      </c>
      <c r="DK3365" s="4">
        <f>INDEX(Sheet2!$AA$2:$AS$228,QUOTIENT(ROW()-1,19)+1,MOD(ROW()-2,19)+1)</f>
        <v>42328.85</v>
      </c>
      <c r="DL3365">
        <f>IFERROR(INDEX(Sheet2!$AU$2:$BM$228,QUOTIENT(ROW()-1,19)+1,MOD(ROW()-2,19)+1),NA())</f>
        <v>1</v>
      </c>
      <c r="DM3365" s="4" t="e">
        <f t="shared" si="177"/>
        <v>#N/A</v>
      </c>
      <c r="DN3365" t="e">
        <f t="shared" si="178"/>
        <v>#N/A</v>
      </c>
      <c r="DO3365" t="e">
        <f t="shared" si="179"/>
        <v>#N/A</v>
      </c>
    </row>
    <row r="3366" spans="7:119" x14ac:dyDescent="0.25">
      <c r="G3366"/>
      <c r="DI3366" s="4">
        <f>INDEX(Sheet2!A:A,QUOTIENT(ROW()-1,19)+2)</f>
        <v>41717</v>
      </c>
      <c r="DJ3366" s="4">
        <f>INDEX(Sheet2!C:C,QUOTIENT(ROW()-1,19)+2)</f>
        <v>42369</v>
      </c>
      <c r="DK3366" s="4">
        <f>INDEX(Sheet2!$AA$2:$AS$228,QUOTIENT(ROW()-1,19)+1,MOD(ROW()-2,19)+1)</f>
        <v>42348.925000000003</v>
      </c>
      <c r="DL3366">
        <f>IFERROR(INDEX(Sheet2!$AU$2:$BM$228,QUOTIENT(ROW()-1,19)+1,MOD(ROW()-2,19)+1),NA())</f>
        <v>1</v>
      </c>
      <c r="DM3366" s="4" t="e">
        <f t="shared" si="177"/>
        <v>#N/A</v>
      </c>
      <c r="DN3366" t="e">
        <f t="shared" si="178"/>
        <v>#N/A</v>
      </c>
      <c r="DO3366" t="e">
        <f t="shared" si="179"/>
        <v>#N/A</v>
      </c>
    </row>
    <row r="3367" spans="7:119" x14ac:dyDescent="0.25">
      <c r="G3367"/>
      <c r="DI3367" s="4">
        <f>INDEX(Sheet2!A:A,QUOTIENT(ROW()-1,19)+2)</f>
        <v>41717</v>
      </c>
      <c r="DJ3367" s="4">
        <f>INDEX(Sheet2!C:C,QUOTIENT(ROW()-1,19)+2)</f>
        <v>42369</v>
      </c>
      <c r="DK3367" s="4">
        <f>INDEX(Sheet2!$AA$2:$AS$228,QUOTIENT(ROW()-1,19)+1,MOD(ROW()-2,19)+1)</f>
        <v>42369</v>
      </c>
      <c r="DL3367">
        <f>IFERROR(INDEX(Sheet2!$AU$2:$BM$228,QUOTIENT(ROW()-1,19)+1,MOD(ROW()-2,19)+1),NA())</f>
        <v>1</v>
      </c>
      <c r="DM3367" s="4" t="e">
        <f t="shared" si="177"/>
        <v>#N/A</v>
      </c>
      <c r="DN3367" t="e">
        <f t="shared" si="178"/>
        <v>#N/A</v>
      </c>
      <c r="DO3367" t="e">
        <f t="shared" si="179"/>
        <v>#N/A</v>
      </c>
    </row>
    <row r="3368" spans="7:119" x14ac:dyDescent="0.25">
      <c r="G3368"/>
      <c r="DI3368" s="4">
        <f>INDEX(Sheet2!A:A,QUOTIENT(ROW()-1,19)+2)</f>
        <v>41717</v>
      </c>
      <c r="DJ3368" s="4">
        <f>INDEX(Sheet2!C:C,QUOTIENT(ROW()-1,19)+2)</f>
        <v>42369</v>
      </c>
      <c r="DK3368" s="4">
        <f>INDEX(Sheet2!$AA$2:$AS$228,QUOTIENT(ROW()-1,19)+1,MOD(ROW()-2,19)+1)</f>
        <v>42389.075000000004</v>
      </c>
      <c r="DL3368">
        <f>IFERROR(INDEX(Sheet2!$AU$2:$BM$228,QUOTIENT(ROW()-1,19)+1,MOD(ROW()-2,19)+1),NA())</f>
        <v>1</v>
      </c>
      <c r="DM3368" s="4" t="e">
        <f t="shared" si="177"/>
        <v>#N/A</v>
      </c>
      <c r="DN3368" t="e">
        <f t="shared" si="178"/>
        <v>#N/A</v>
      </c>
      <c r="DO3368" t="e">
        <f t="shared" si="179"/>
        <v>#N/A</v>
      </c>
    </row>
    <row r="3369" spans="7:119" x14ac:dyDescent="0.25">
      <c r="G3369"/>
      <c r="DI3369" s="4">
        <f>INDEX(Sheet2!A:A,QUOTIENT(ROW()-1,19)+2)</f>
        <v>41717</v>
      </c>
      <c r="DJ3369" s="4">
        <f>INDEX(Sheet2!C:C,QUOTIENT(ROW()-1,19)+2)</f>
        <v>42369</v>
      </c>
      <c r="DK3369" s="4">
        <f>INDEX(Sheet2!$AA$2:$AS$228,QUOTIENT(ROW()-1,19)+1,MOD(ROW()-2,19)+1)</f>
        <v>42409.15</v>
      </c>
      <c r="DL3369">
        <f>IFERROR(INDEX(Sheet2!$AU$2:$BM$228,QUOTIENT(ROW()-1,19)+1,MOD(ROW()-2,19)+1),NA())</f>
        <v>1</v>
      </c>
      <c r="DM3369" s="4" t="e">
        <f t="shared" si="177"/>
        <v>#N/A</v>
      </c>
      <c r="DN3369" t="e">
        <f t="shared" si="178"/>
        <v>#N/A</v>
      </c>
      <c r="DO3369" t="e">
        <f t="shared" si="179"/>
        <v>#N/A</v>
      </c>
    </row>
    <row r="3370" spans="7:119" x14ac:dyDescent="0.25">
      <c r="G3370"/>
      <c r="DI3370" s="4">
        <f>INDEX(Sheet2!A:A,QUOTIENT(ROW()-1,19)+2)</f>
        <v>41717</v>
      </c>
      <c r="DJ3370" s="4">
        <f>INDEX(Sheet2!C:C,QUOTIENT(ROW()-1,19)+2)</f>
        <v>42369</v>
      </c>
      <c r="DK3370" s="4" t="e">
        <f>INDEX(Sheet2!$AA$2:$AS$228,QUOTIENT(ROW()-1,19)+1,MOD(ROW()-2,19)+1)</f>
        <v>#N/A</v>
      </c>
      <c r="DL3370" t="str">
        <f>IFERROR(INDEX(Sheet2!$AU$2:$BM$228,QUOTIENT(ROW()-1,19)+1,MOD(ROW()-2,19)+1),NA())</f>
        <v/>
      </c>
      <c r="DM3370" s="4" t="e">
        <f t="shared" si="177"/>
        <v>#N/A</v>
      </c>
      <c r="DN3370" t="e">
        <f t="shared" si="178"/>
        <v>#N/A</v>
      </c>
      <c r="DO3370" t="e">
        <f t="shared" si="179"/>
        <v>#N/A</v>
      </c>
    </row>
    <row r="3371" spans="7:119" x14ac:dyDescent="0.25">
      <c r="G3371"/>
      <c r="DI3371" s="4">
        <f>INDEX(Sheet2!A:A,QUOTIENT(ROW()-1,19)+2)</f>
        <v>41717</v>
      </c>
      <c r="DJ3371" s="4">
        <f>INDEX(Sheet2!C:C,QUOTIENT(ROW()-1,19)+2)</f>
        <v>42369</v>
      </c>
      <c r="DK3371" s="4" t="e">
        <f>INDEX(Sheet2!$AA$2:$AS$228,QUOTIENT(ROW()-1,19)+1,MOD(ROW()-2,19)+1)</f>
        <v>#N/A</v>
      </c>
      <c r="DL3371" t="str">
        <f>IFERROR(INDEX(Sheet2!$AU$2:$BM$228,QUOTIENT(ROW()-1,19)+1,MOD(ROW()-2,19)+1),NA())</f>
        <v/>
      </c>
      <c r="DM3371" s="4" t="e">
        <f t="shared" si="177"/>
        <v>#N/A</v>
      </c>
      <c r="DN3371" t="e">
        <f t="shared" si="178"/>
        <v>#N/A</v>
      </c>
      <c r="DO3371" t="e">
        <f t="shared" si="179"/>
        <v>#N/A</v>
      </c>
    </row>
    <row r="3372" spans="7:119" x14ac:dyDescent="0.25">
      <c r="G3372"/>
      <c r="DI3372" s="4">
        <f>INDEX(Sheet2!A:A,QUOTIENT(ROW()-1,19)+2)</f>
        <v>41717</v>
      </c>
      <c r="DJ3372" s="4">
        <f>INDEX(Sheet2!C:C,QUOTIENT(ROW()-1,19)+2)</f>
        <v>42369</v>
      </c>
      <c r="DK3372" s="4" t="e">
        <f>INDEX(Sheet2!$AA$2:$AS$228,QUOTIENT(ROW()-1,19)+1,MOD(ROW()-2,19)+1)</f>
        <v>#N/A</v>
      </c>
      <c r="DL3372" t="str">
        <f>IFERROR(INDEX(Sheet2!$AU$2:$BM$228,QUOTIENT(ROW()-1,19)+1,MOD(ROW()-2,19)+1),NA())</f>
        <v/>
      </c>
      <c r="DM3372" s="4" t="e">
        <f t="shared" si="177"/>
        <v>#N/A</v>
      </c>
      <c r="DN3372" t="e">
        <f t="shared" si="178"/>
        <v>#N/A</v>
      </c>
      <c r="DO3372" t="e">
        <f t="shared" si="179"/>
        <v>#N/A</v>
      </c>
    </row>
    <row r="3373" spans="7:119" x14ac:dyDescent="0.25">
      <c r="G3373"/>
      <c r="DI3373" s="4">
        <f>INDEX(Sheet2!A:A,QUOTIENT(ROW()-1,19)+2)</f>
        <v>41717</v>
      </c>
      <c r="DJ3373" s="4">
        <f>INDEX(Sheet2!C:C,QUOTIENT(ROW()-1,19)+2)</f>
        <v>42369</v>
      </c>
      <c r="DK3373" s="4" t="e">
        <f>INDEX(Sheet2!$AA$2:$AS$228,QUOTIENT(ROW()-1,19)+1,MOD(ROW()-2,19)+1)</f>
        <v>#N/A</v>
      </c>
      <c r="DL3373" t="str">
        <f>IFERROR(INDEX(Sheet2!$AU$2:$BM$228,QUOTIENT(ROW()-1,19)+1,MOD(ROW()-2,19)+1),NA())</f>
        <v/>
      </c>
      <c r="DM3373" s="4" t="e">
        <f t="shared" si="177"/>
        <v>#N/A</v>
      </c>
      <c r="DN3373" t="e">
        <f t="shared" si="178"/>
        <v>#N/A</v>
      </c>
      <c r="DO3373" t="e">
        <f t="shared" si="179"/>
        <v>#N/A</v>
      </c>
    </row>
    <row r="3374" spans="7:119" x14ac:dyDescent="0.25">
      <c r="G3374"/>
      <c r="DI3374" s="4">
        <f>INDEX(Sheet2!A:A,QUOTIENT(ROW()-1,19)+2)</f>
        <v>41717</v>
      </c>
      <c r="DJ3374" s="4">
        <f>INDEX(Sheet2!C:C,QUOTIENT(ROW()-1,19)+2)</f>
        <v>42369</v>
      </c>
      <c r="DK3374" s="4" t="e">
        <f>INDEX(Sheet2!$AA$2:$AS$228,QUOTIENT(ROW()-1,19)+1,MOD(ROW()-2,19)+1)</f>
        <v>#N/A</v>
      </c>
      <c r="DL3374" t="str">
        <f>IFERROR(INDEX(Sheet2!$AU$2:$BM$228,QUOTIENT(ROW()-1,19)+1,MOD(ROW()-2,19)+1),NA())</f>
        <v/>
      </c>
      <c r="DM3374" s="4" t="e">
        <f t="shared" si="177"/>
        <v>#N/A</v>
      </c>
      <c r="DN3374" t="e">
        <f t="shared" si="178"/>
        <v>#N/A</v>
      </c>
      <c r="DO3374" t="e">
        <f t="shared" si="179"/>
        <v>#N/A</v>
      </c>
    </row>
    <row r="3375" spans="7:119" x14ac:dyDescent="0.25">
      <c r="G3375"/>
      <c r="DI3375" s="4">
        <f>INDEX(Sheet2!A:A,QUOTIENT(ROW()-1,19)+2)</f>
        <v>41717</v>
      </c>
      <c r="DJ3375" s="4">
        <f>INDEX(Sheet2!C:C,QUOTIENT(ROW()-1,19)+2)</f>
        <v>42369</v>
      </c>
      <c r="DK3375" s="4" t="e">
        <f>INDEX(Sheet2!$AA$2:$AS$228,QUOTIENT(ROW()-1,19)+1,MOD(ROW()-2,19)+1)</f>
        <v>#N/A</v>
      </c>
      <c r="DL3375" t="str">
        <f>IFERROR(INDEX(Sheet2!$AU$2:$BM$228,QUOTIENT(ROW()-1,19)+1,MOD(ROW()-2,19)+1),NA())</f>
        <v/>
      </c>
      <c r="DM3375" s="4" t="e">
        <f t="shared" si="177"/>
        <v>#N/A</v>
      </c>
      <c r="DN3375" t="e">
        <f t="shared" si="178"/>
        <v>#N/A</v>
      </c>
      <c r="DO3375" t="e">
        <f t="shared" si="179"/>
        <v>#N/A</v>
      </c>
    </row>
    <row r="3376" spans="7:119" x14ac:dyDescent="0.25">
      <c r="G3376"/>
      <c r="DI3376" s="4">
        <f>INDEX(Sheet2!A:A,QUOTIENT(ROW()-1,19)+2)</f>
        <v>41717</v>
      </c>
      <c r="DJ3376" s="4">
        <f>INDEX(Sheet2!C:C,QUOTIENT(ROW()-1,19)+2)</f>
        <v>42369</v>
      </c>
      <c r="DK3376" s="4" t="e">
        <f>INDEX(Sheet2!$AA$2:$AS$228,QUOTIENT(ROW()-1,19)+1,MOD(ROW()-2,19)+1)</f>
        <v>#N/A</v>
      </c>
      <c r="DL3376" t="str">
        <f>IFERROR(INDEX(Sheet2!$AU$2:$BM$228,QUOTIENT(ROW()-1,19)+1,MOD(ROW()-2,19)+1),NA())</f>
        <v/>
      </c>
      <c r="DM3376" s="4" t="e">
        <f t="shared" si="177"/>
        <v>#N/A</v>
      </c>
      <c r="DN3376" t="e">
        <f t="shared" si="178"/>
        <v>#N/A</v>
      </c>
      <c r="DO3376" t="e">
        <f t="shared" si="179"/>
        <v>#N/A</v>
      </c>
    </row>
    <row r="3377" spans="7:119" x14ac:dyDescent="0.25">
      <c r="G3377"/>
      <c r="DI3377" s="4">
        <f>INDEX(Sheet2!A:A,QUOTIENT(ROW()-1,19)+2)</f>
        <v>41717</v>
      </c>
      <c r="DJ3377" s="4">
        <f>INDEX(Sheet2!C:C,QUOTIENT(ROW()-1,19)+2)</f>
        <v>42369</v>
      </c>
      <c r="DK3377" s="4" t="e">
        <f>INDEX(Sheet2!$AA$2:$AS$228,QUOTIENT(ROW()-1,19)+1,MOD(ROW()-2,19)+1)</f>
        <v>#N/A</v>
      </c>
      <c r="DL3377" t="str">
        <f>IFERROR(INDEX(Sheet2!$AU$2:$BM$228,QUOTIENT(ROW()-1,19)+1,MOD(ROW()-2,19)+1),NA())</f>
        <v/>
      </c>
      <c r="DM3377" s="4" t="e">
        <f t="shared" si="177"/>
        <v>#N/A</v>
      </c>
      <c r="DN3377" t="e">
        <f t="shared" si="178"/>
        <v>#N/A</v>
      </c>
      <c r="DO3377" t="e">
        <f t="shared" si="179"/>
        <v>#N/A</v>
      </c>
    </row>
    <row r="3378" spans="7:119" x14ac:dyDescent="0.25">
      <c r="G3378"/>
      <c r="DI3378" s="4">
        <f>INDEX(Sheet2!A:A,QUOTIENT(ROW()-1,19)+2)</f>
        <v>41717</v>
      </c>
      <c r="DJ3378" s="4">
        <f>INDEX(Sheet2!C:C,QUOTIENT(ROW()-1,19)+2)</f>
        <v>42369</v>
      </c>
      <c r="DK3378" s="4" t="e">
        <f>INDEX(Sheet2!$AA$2:$AS$228,QUOTIENT(ROW()-1,19)+1,MOD(ROW()-2,19)+1)</f>
        <v>#N/A</v>
      </c>
      <c r="DL3378" t="str">
        <f>IFERROR(INDEX(Sheet2!$AU$2:$BM$228,QUOTIENT(ROW()-1,19)+1,MOD(ROW()-2,19)+1),NA())</f>
        <v/>
      </c>
      <c r="DM3378" s="4" t="e">
        <f t="shared" si="177"/>
        <v>#N/A</v>
      </c>
      <c r="DN3378" t="e">
        <f t="shared" si="178"/>
        <v>#N/A</v>
      </c>
      <c r="DO3378" t="e">
        <f t="shared" si="179"/>
        <v>#N/A</v>
      </c>
    </row>
    <row r="3379" spans="7:119" x14ac:dyDescent="0.25">
      <c r="G3379"/>
      <c r="DI3379" s="4">
        <f>INDEX(Sheet2!A:A,QUOTIENT(ROW()-1,19)+2)</f>
        <v>41717</v>
      </c>
      <c r="DJ3379" s="4">
        <f>INDEX(Sheet2!C:C,QUOTIENT(ROW()-1,19)+2)</f>
        <v>42369</v>
      </c>
      <c r="DK3379" s="4" t="e">
        <f>INDEX(Sheet2!$AA$2:$AS$228,QUOTIENT(ROW()-1,19)+1,MOD(ROW()-2,19)+1)</f>
        <v>#N/A</v>
      </c>
      <c r="DL3379" t="str">
        <f>IFERROR(INDEX(Sheet2!$AU$2:$BM$228,QUOTIENT(ROW()-1,19)+1,MOD(ROW()-2,19)+1),NA())</f>
        <v/>
      </c>
      <c r="DM3379" s="4" t="e">
        <f t="shared" si="177"/>
        <v>#N/A</v>
      </c>
      <c r="DN3379" t="e">
        <f t="shared" si="178"/>
        <v>#N/A</v>
      </c>
      <c r="DO3379" t="e">
        <f t="shared" si="179"/>
        <v>#N/A</v>
      </c>
    </row>
    <row r="3380" spans="7:119" x14ac:dyDescent="0.25">
      <c r="G3380"/>
      <c r="DI3380" s="4">
        <f>INDEX(Sheet2!A:A,QUOTIENT(ROW()-1,19)+2)</f>
        <v>41717</v>
      </c>
      <c r="DJ3380" s="4">
        <f>INDEX(Sheet2!C:C,QUOTIENT(ROW()-1,19)+2)</f>
        <v>42369</v>
      </c>
      <c r="DK3380" s="4" t="e">
        <f>INDEX(Sheet2!$AA$2:$AS$228,QUOTIENT(ROW()-1,19)+1,MOD(ROW()-2,19)+1)</f>
        <v>#N/A</v>
      </c>
      <c r="DL3380" t="str">
        <f>IFERROR(INDEX(Sheet2!$AU$2:$BM$228,QUOTIENT(ROW()-1,19)+1,MOD(ROW()-2,19)+1),NA())</f>
        <v/>
      </c>
      <c r="DM3380" s="4" t="e">
        <f t="shared" si="177"/>
        <v>#N/A</v>
      </c>
      <c r="DN3380" t="e">
        <f t="shared" si="178"/>
        <v>#N/A</v>
      </c>
      <c r="DO3380" t="e">
        <f t="shared" si="179"/>
        <v>#N/A</v>
      </c>
    </row>
    <row r="3381" spans="7:119" x14ac:dyDescent="0.25">
      <c r="G3381"/>
      <c r="DI3381" s="4">
        <f>INDEX(Sheet2!A:A,QUOTIENT(ROW()-1,19)+2)</f>
        <v>41717</v>
      </c>
      <c r="DJ3381" s="4">
        <f>INDEX(Sheet2!C:C,QUOTIENT(ROW()-1,19)+2)</f>
        <v>42369</v>
      </c>
      <c r="DK3381" s="4" t="e">
        <f>INDEX(Sheet2!$AA$2:$AS$228,QUOTIENT(ROW()-1,19)+1,MOD(ROW()-2,19)+1)</f>
        <v>#N/A</v>
      </c>
      <c r="DL3381" t="str">
        <f>IFERROR(INDEX(Sheet2!$AU$2:$BM$228,QUOTIENT(ROW()-1,19)+1,MOD(ROW()-2,19)+1),NA())</f>
        <v/>
      </c>
      <c r="DM3381" s="4" t="e">
        <f t="shared" si="177"/>
        <v>#N/A</v>
      </c>
      <c r="DN3381" t="e">
        <f t="shared" si="178"/>
        <v>#N/A</v>
      </c>
      <c r="DO3381" t="e">
        <f t="shared" si="179"/>
        <v>#N/A</v>
      </c>
    </row>
    <row r="3382" spans="7:119" x14ac:dyDescent="0.25">
      <c r="G3382"/>
      <c r="DI3382" s="4">
        <f>INDEX(Sheet2!A:A,QUOTIENT(ROW()-1,19)+2)</f>
        <v>41717</v>
      </c>
      <c r="DJ3382" s="4">
        <f>INDEX(Sheet2!C:C,QUOTIENT(ROW()-1,19)+2)</f>
        <v>42369</v>
      </c>
      <c r="DK3382" s="4" t="e">
        <f>INDEX(Sheet2!$AA$2:$AS$228,QUOTIENT(ROW()-1,19)+1,MOD(ROW()-2,19)+1)</f>
        <v>#N/A</v>
      </c>
      <c r="DL3382" t="str">
        <f>IFERROR(INDEX(Sheet2!$AU$2:$BM$228,QUOTIENT(ROW()-1,19)+1,MOD(ROW()-2,19)+1),NA())</f>
        <v/>
      </c>
      <c r="DM3382" s="4" t="e">
        <f t="shared" si="177"/>
        <v>#N/A</v>
      </c>
      <c r="DN3382" t="e">
        <f t="shared" si="178"/>
        <v>#N/A</v>
      </c>
      <c r="DO3382" t="e">
        <f t="shared" si="179"/>
        <v>#N/A</v>
      </c>
    </row>
    <row r="3383" spans="7:119" x14ac:dyDescent="0.25">
      <c r="G3383"/>
      <c r="DI3383" s="4">
        <f>INDEX(Sheet2!A:A,QUOTIENT(ROW()-1,19)+2)</f>
        <v>41717</v>
      </c>
      <c r="DJ3383" s="4">
        <f>INDEX(Sheet2!C:C,QUOTIENT(ROW()-1,19)+2)</f>
        <v>42369</v>
      </c>
      <c r="DK3383" s="4" t="e">
        <f>INDEX(Sheet2!$AA$2:$AS$228,QUOTIENT(ROW()-1,19)+1,MOD(ROW()-2,19)+1)</f>
        <v>#N/A</v>
      </c>
      <c r="DL3383" t="str">
        <f>IFERROR(INDEX(Sheet2!$AU$2:$BM$228,QUOTIENT(ROW()-1,19)+1,MOD(ROW()-2,19)+1),NA())</f>
        <v/>
      </c>
      <c r="DM3383" s="4" t="e">
        <f t="shared" si="177"/>
        <v>#N/A</v>
      </c>
      <c r="DN3383" t="e">
        <f t="shared" si="178"/>
        <v>#N/A</v>
      </c>
      <c r="DO3383" t="e">
        <f t="shared" si="179"/>
        <v>#N/A</v>
      </c>
    </row>
    <row r="3384" spans="7:119" x14ac:dyDescent="0.25">
      <c r="G3384"/>
      <c r="DI3384" s="4">
        <f>INDEX(Sheet2!A:A,QUOTIENT(ROW()-1,19)+2)</f>
        <v>41717</v>
      </c>
      <c r="DJ3384" s="4">
        <f>INDEX(Sheet2!C:C,QUOTIENT(ROW()-1,19)+2)</f>
        <v>42369</v>
      </c>
      <c r="DK3384" s="4">
        <f>INDEX(Sheet2!$AA$2:$AS$228,QUOTIENT(ROW()-1,19)+1,MOD(ROW()-2,19)+1)</f>
        <v>42369</v>
      </c>
      <c r="DL3384">
        <f>IFERROR(INDEX(Sheet2!$AU$2:$BM$228,QUOTIENT(ROW()-1,19)+1,MOD(ROW()-2,19)+1),NA())</f>
        <v>1.25</v>
      </c>
      <c r="DM3384" s="4" t="e">
        <f t="shared" si="177"/>
        <v>#N/A</v>
      </c>
      <c r="DN3384" t="e">
        <f t="shared" si="178"/>
        <v>#N/A</v>
      </c>
      <c r="DO3384" t="e">
        <f t="shared" si="179"/>
        <v>#N/A</v>
      </c>
    </row>
    <row r="3385" spans="7:119" x14ac:dyDescent="0.25">
      <c r="G3385"/>
      <c r="DI3385" s="4">
        <f>INDEX(Sheet2!A:A,QUOTIENT(ROW()-1,19)+2)</f>
        <v>41717</v>
      </c>
      <c r="DJ3385" s="4">
        <f>INDEX(Sheet2!C:C,QUOTIENT(ROW()-1,19)+2)</f>
        <v>42369</v>
      </c>
      <c r="DK3385" s="4" t="e">
        <f>INDEX(Sheet2!$AA$2:$AS$228,QUOTIENT(ROW()-1,19)+1,MOD(ROW()-2,19)+1)</f>
        <v>#N/A</v>
      </c>
      <c r="DL3385" t="str">
        <f>IFERROR(INDEX(Sheet2!$AU$2:$BM$228,QUOTIENT(ROW()-1,19)+1,MOD(ROW()-2,19)+1),NA())</f>
        <v/>
      </c>
      <c r="DM3385" s="4" t="e">
        <f t="shared" si="177"/>
        <v>#N/A</v>
      </c>
      <c r="DN3385" t="e">
        <f t="shared" si="178"/>
        <v>#N/A</v>
      </c>
      <c r="DO3385" t="e">
        <f t="shared" si="179"/>
        <v>#N/A</v>
      </c>
    </row>
    <row r="3386" spans="7:119" x14ac:dyDescent="0.25">
      <c r="G3386"/>
      <c r="DI3386" s="4">
        <f>INDEX(Sheet2!A:A,QUOTIENT(ROW()-1,19)+2)</f>
        <v>41717</v>
      </c>
      <c r="DJ3386" s="4">
        <f>INDEX(Sheet2!C:C,QUOTIENT(ROW()-1,19)+2)</f>
        <v>42369</v>
      </c>
      <c r="DK3386" s="4" t="e">
        <f>INDEX(Sheet2!$AA$2:$AS$228,QUOTIENT(ROW()-1,19)+1,MOD(ROW()-2,19)+1)</f>
        <v>#N/A</v>
      </c>
      <c r="DL3386" t="str">
        <f>IFERROR(INDEX(Sheet2!$AU$2:$BM$228,QUOTIENT(ROW()-1,19)+1,MOD(ROW()-2,19)+1),NA())</f>
        <v/>
      </c>
      <c r="DM3386" s="4" t="e">
        <f t="shared" si="177"/>
        <v>#N/A</v>
      </c>
      <c r="DN3386" t="e">
        <f t="shared" si="178"/>
        <v>#N/A</v>
      </c>
      <c r="DO3386" t="e">
        <f t="shared" si="179"/>
        <v>#N/A</v>
      </c>
    </row>
    <row r="3387" spans="7:119" x14ac:dyDescent="0.25">
      <c r="G3387"/>
      <c r="DI3387" s="4">
        <f>INDEX(Sheet2!A:A,QUOTIENT(ROW()-1,19)+2)</f>
        <v>41717</v>
      </c>
      <c r="DJ3387" s="4">
        <f>INDEX(Sheet2!C:C,QUOTIENT(ROW()-1,19)+2)</f>
        <v>42369</v>
      </c>
      <c r="DK3387" s="4" t="e">
        <f>INDEX(Sheet2!$AA$2:$AS$228,QUOTIENT(ROW()-1,19)+1,MOD(ROW()-2,19)+1)</f>
        <v>#N/A</v>
      </c>
      <c r="DL3387" t="str">
        <f>IFERROR(INDEX(Sheet2!$AU$2:$BM$228,QUOTIENT(ROW()-1,19)+1,MOD(ROW()-2,19)+1),NA())</f>
        <v/>
      </c>
      <c r="DM3387" s="4" t="e">
        <f t="shared" si="177"/>
        <v>#N/A</v>
      </c>
      <c r="DN3387" t="e">
        <f t="shared" si="178"/>
        <v>#N/A</v>
      </c>
      <c r="DO3387" t="e">
        <f t="shared" si="179"/>
        <v>#N/A</v>
      </c>
    </row>
    <row r="3388" spans="7:119" x14ac:dyDescent="0.25">
      <c r="G3388"/>
      <c r="DI3388" s="4">
        <f>INDEX(Sheet2!A:A,QUOTIENT(ROW()-1,19)+2)</f>
        <v>41717</v>
      </c>
      <c r="DJ3388" s="4">
        <f>INDEX(Sheet2!C:C,QUOTIENT(ROW()-1,19)+2)</f>
        <v>42369</v>
      </c>
      <c r="DK3388" s="4" t="e">
        <f>INDEX(Sheet2!$AA$2:$AS$228,QUOTIENT(ROW()-1,19)+1,MOD(ROW()-2,19)+1)</f>
        <v>#N/A</v>
      </c>
      <c r="DL3388" t="str">
        <f>IFERROR(INDEX(Sheet2!$AU$2:$BM$228,QUOTIENT(ROW()-1,19)+1,MOD(ROW()-2,19)+1),NA())</f>
        <v/>
      </c>
      <c r="DM3388" s="4" t="e">
        <f t="shared" si="177"/>
        <v>#N/A</v>
      </c>
      <c r="DN3388" t="e">
        <f t="shared" si="178"/>
        <v>#N/A</v>
      </c>
      <c r="DO3388" t="e">
        <f t="shared" si="179"/>
        <v>#N/A</v>
      </c>
    </row>
    <row r="3389" spans="7:119" x14ac:dyDescent="0.25">
      <c r="G3389"/>
      <c r="DI3389" s="4">
        <f>INDEX(Sheet2!A:A,QUOTIENT(ROW()-1,19)+2)</f>
        <v>41717</v>
      </c>
      <c r="DJ3389" s="4">
        <f>INDEX(Sheet2!C:C,QUOTIENT(ROW()-1,19)+2)</f>
        <v>42369</v>
      </c>
      <c r="DK3389" s="4" t="e">
        <f>INDEX(Sheet2!$AA$2:$AS$228,QUOTIENT(ROW()-1,19)+1,MOD(ROW()-2,19)+1)</f>
        <v>#N/A</v>
      </c>
      <c r="DL3389" t="str">
        <f>IFERROR(INDEX(Sheet2!$AU$2:$BM$228,QUOTIENT(ROW()-1,19)+1,MOD(ROW()-2,19)+1),NA())</f>
        <v/>
      </c>
      <c r="DM3389" s="4" t="e">
        <f t="shared" si="177"/>
        <v>#N/A</v>
      </c>
      <c r="DN3389" t="e">
        <f t="shared" si="178"/>
        <v>#N/A</v>
      </c>
      <c r="DO3389" t="e">
        <f t="shared" si="179"/>
        <v>#N/A</v>
      </c>
    </row>
    <row r="3390" spans="7:119" x14ac:dyDescent="0.25">
      <c r="G3390"/>
      <c r="DI3390" s="4">
        <f>INDEX(Sheet2!A:A,QUOTIENT(ROW()-1,19)+2)</f>
        <v>41717</v>
      </c>
      <c r="DJ3390" s="4">
        <f>INDEX(Sheet2!C:C,QUOTIENT(ROW()-1,19)+2)</f>
        <v>42369</v>
      </c>
      <c r="DK3390" s="4" t="e">
        <f>INDEX(Sheet2!$AA$2:$AS$228,QUOTIENT(ROW()-1,19)+1,MOD(ROW()-2,19)+1)</f>
        <v>#N/A</v>
      </c>
      <c r="DL3390" t="str">
        <f>IFERROR(INDEX(Sheet2!$AU$2:$BM$228,QUOTIENT(ROW()-1,19)+1,MOD(ROW()-2,19)+1),NA())</f>
        <v/>
      </c>
      <c r="DM3390" s="4" t="e">
        <f t="shared" si="177"/>
        <v>#N/A</v>
      </c>
      <c r="DN3390" t="e">
        <f t="shared" si="178"/>
        <v>#N/A</v>
      </c>
      <c r="DO3390" t="e">
        <f t="shared" si="179"/>
        <v>#N/A</v>
      </c>
    </row>
    <row r="3391" spans="7:119" x14ac:dyDescent="0.25">
      <c r="G3391"/>
      <c r="DI3391" s="4">
        <f>INDEX(Sheet2!A:A,QUOTIENT(ROW()-1,19)+2)</f>
        <v>41717</v>
      </c>
      <c r="DJ3391" s="4">
        <f>INDEX(Sheet2!C:C,QUOTIENT(ROW()-1,19)+2)</f>
        <v>42369</v>
      </c>
      <c r="DK3391" s="4" t="e">
        <f>INDEX(Sheet2!$AA$2:$AS$228,QUOTIENT(ROW()-1,19)+1,MOD(ROW()-2,19)+1)</f>
        <v>#N/A</v>
      </c>
      <c r="DL3391" t="str">
        <f>IFERROR(INDEX(Sheet2!$AU$2:$BM$228,QUOTIENT(ROW()-1,19)+1,MOD(ROW()-2,19)+1),NA())</f>
        <v/>
      </c>
      <c r="DM3391" s="4" t="e">
        <f t="shared" si="177"/>
        <v>#N/A</v>
      </c>
      <c r="DN3391" t="e">
        <f t="shared" si="178"/>
        <v>#N/A</v>
      </c>
      <c r="DO3391" t="e">
        <f t="shared" si="179"/>
        <v>#N/A</v>
      </c>
    </row>
    <row r="3392" spans="7:119" x14ac:dyDescent="0.25">
      <c r="G3392"/>
      <c r="DI3392" s="4">
        <f>INDEX(Sheet2!A:A,QUOTIENT(ROW()-1,19)+2)</f>
        <v>41717</v>
      </c>
      <c r="DJ3392" s="4">
        <f>INDEX(Sheet2!C:C,QUOTIENT(ROW()-1,19)+2)</f>
        <v>42369</v>
      </c>
      <c r="DK3392" s="4" t="e">
        <f>INDEX(Sheet2!$AA$2:$AS$228,QUOTIENT(ROW()-1,19)+1,MOD(ROW()-2,19)+1)</f>
        <v>#N/A</v>
      </c>
      <c r="DL3392" t="str">
        <f>IFERROR(INDEX(Sheet2!$AU$2:$BM$228,QUOTIENT(ROW()-1,19)+1,MOD(ROW()-2,19)+1),NA())</f>
        <v/>
      </c>
      <c r="DM3392" s="4" t="e">
        <f t="shared" si="177"/>
        <v>#N/A</v>
      </c>
      <c r="DN3392" t="e">
        <f t="shared" si="178"/>
        <v>#N/A</v>
      </c>
      <c r="DO3392" t="e">
        <f t="shared" si="179"/>
        <v>#N/A</v>
      </c>
    </row>
    <row r="3393" spans="7:119" x14ac:dyDescent="0.25">
      <c r="G3393"/>
      <c r="DI3393" s="4">
        <f>INDEX(Sheet2!A:A,QUOTIENT(ROW()-1,19)+2)</f>
        <v>41717</v>
      </c>
      <c r="DJ3393" s="4">
        <f>INDEX(Sheet2!C:C,QUOTIENT(ROW()-1,19)+2)</f>
        <v>42369</v>
      </c>
      <c r="DK3393" s="4" t="e">
        <f>INDEX(Sheet2!$AA$2:$AS$228,QUOTIENT(ROW()-1,19)+1,MOD(ROW()-2,19)+1)</f>
        <v>#N/A</v>
      </c>
      <c r="DL3393" t="str">
        <f>IFERROR(INDEX(Sheet2!$AU$2:$BM$228,QUOTIENT(ROW()-1,19)+1,MOD(ROW()-2,19)+1),NA())</f>
        <v/>
      </c>
      <c r="DM3393" s="4" t="e">
        <f t="shared" si="177"/>
        <v>#N/A</v>
      </c>
      <c r="DN3393" t="e">
        <f t="shared" si="178"/>
        <v>#N/A</v>
      </c>
      <c r="DO3393" t="e">
        <f t="shared" si="179"/>
        <v>#N/A</v>
      </c>
    </row>
    <row r="3394" spans="7:119" x14ac:dyDescent="0.25">
      <c r="G3394"/>
      <c r="DI3394" s="4">
        <f>INDEX(Sheet2!A:A,QUOTIENT(ROW()-1,19)+2)</f>
        <v>41717</v>
      </c>
      <c r="DJ3394" s="4">
        <f>INDEX(Sheet2!C:C,QUOTIENT(ROW()-1,19)+2)</f>
        <v>42369</v>
      </c>
      <c r="DK3394" s="4" t="e">
        <f>INDEX(Sheet2!$AA$2:$AS$228,QUOTIENT(ROW()-1,19)+1,MOD(ROW()-2,19)+1)</f>
        <v>#N/A</v>
      </c>
      <c r="DL3394" t="str">
        <f>IFERROR(INDEX(Sheet2!$AU$2:$BM$228,QUOTIENT(ROW()-1,19)+1,MOD(ROW()-2,19)+1),NA())</f>
        <v/>
      </c>
      <c r="DM3394" s="4" t="e">
        <f t="shared" ref="DM3394:DM3457" si="180">+IF($C$2=$DI3394,DK3394,NA())</f>
        <v>#N/A</v>
      </c>
      <c r="DN3394" t="e">
        <f t="shared" ref="DN3394:DN3457" si="181">+IF($C$2=$DI3394,DL3394,NA())</f>
        <v>#N/A</v>
      </c>
      <c r="DO3394" t="e">
        <f t="shared" si="179"/>
        <v>#N/A</v>
      </c>
    </row>
    <row r="3395" spans="7:119" x14ac:dyDescent="0.25">
      <c r="G3395"/>
      <c r="DI3395" s="4">
        <f>INDEX(Sheet2!A:A,QUOTIENT(ROW()-1,19)+2)</f>
        <v>41717</v>
      </c>
      <c r="DJ3395" s="4">
        <f>INDEX(Sheet2!C:C,QUOTIENT(ROW()-1,19)+2)</f>
        <v>42369</v>
      </c>
      <c r="DK3395" s="4" t="e">
        <f>INDEX(Sheet2!$AA$2:$AS$228,QUOTIENT(ROW()-1,19)+1,MOD(ROW()-2,19)+1)</f>
        <v>#N/A</v>
      </c>
      <c r="DL3395" t="str">
        <f>IFERROR(INDEX(Sheet2!$AU$2:$BM$228,QUOTIENT(ROW()-1,19)+1,MOD(ROW()-2,19)+1),NA())</f>
        <v/>
      </c>
      <c r="DM3395" s="4" t="e">
        <f t="shared" si="180"/>
        <v>#N/A</v>
      </c>
      <c r="DN3395" t="e">
        <f t="shared" si="181"/>
        <v>#N/A</v>
      </c>
      <c r="DO3395" t="e">
        <f t="shared" ref="DO3395:DO3458" si="182">IF(DN3395="",NA(),DN3395)</f>
        <v>#N/A</v>
      </c>
    </row>
    <row r="3396" spans="7:119" x14ac:dyDescent="0.25">
      <c r="G3396"/>
      <c r="DI3396" s="4">
        <f>INDEX(Sheet2!A:A,QUOTIENT(ROW()-1,19)+2)</f>
        <v>41717</v>
      </c>
      <c r="DJ3396" s="4">
        <f>INDEX(Sheet2!C:C,QUOTIENT(ROW()-1,19)+2)</f>
        <v>42369</v>
      </c>
      <c r="DK3396" s="4" t="e">
        <f>INDEX(Sheet2!$AA$2:$AS$228,QUOTIENT(ROW()-1,19)+1,MOD(ROW()-2,19)+1)</f>
        <v>#N/A</v>
      </c>
      <c r="DL3396" t="str">
        <f>IFERROR(INDEX(Sheet2!$AU$2:$BM$228,QUOTIENT(ROW()-1,19)+1,MOD(ROW()-2,19)+1),NA())</f>
        <v/>
      </c>
      <c r="DM3396" s="4" t="e">
        <f t="shared" si="180"/>
        <v>#N/A</v>
      </c>
      <c r="DN3396" t="e">
        <f t="shared" si="181"/>
        <v>#N/A</v>
      </c>
      <c r="DO3396" t="e">
        <f t="shared" si="182"/>
        <v>#N/A</v>
      </c>
    </row>
    <row r="3397" spans="7:119" x14ac:dyDescent="0.25">
      <c r="G3397"/>
      <c r="DI3397" s="4">
        <f>INDEX(Sheet2!A:A,QUOTIENT(ROW()-1,19)+2)</f>
        <v>41717</v>
      </c>
      <c r="DJ3397" s="4">
        <f>INDEX(Sheet2!C:C,QUOTIENT(ROW()-1,19)+2)</f>
        <v>42369</v>
      </c>
      <c r="DK3397" s="4" t="e">
        <f>INDEX(Sheet2!$AA$2:$AS$228,QUOTIENT(ROW()-1,19)+1,MOD(ROW()-2,19)+1)</f>
        <v>#N/A</v>
      </c>
      <c r="DL3397" t="str">
        <f>IFERROR(INDEX(Sheet2!$AU$2:$BM$228,QUOTIENT(ROW()-1,19)+1,MOD(ROW()-2,19)+1),NA())</f>
        <v/>
      </c>
      <c r="DM3397" s="4" t="e">
        <f t="shared" si="180"/>
        <v>#N/A</v>
      </c>
      <c r="DN3397" t="e">
        <f t="shared" si="181"/>
        <v>#N/A</v>
      </c>
      <c r="DO3397" t="e">
        <f t="shared" si="182"/>
        <v>#N/A</v>
      </c>
    </row>
    <row r="3398" spans="7:119" x14ac:dyDescent="0.25">
      <c r="G3398"/>
      <c r="DI3398" s="4">
        <f>INDEX(Sheet2!A:A,QUOTIENT(ROW()-1,19)+2)</f>
        <v>41717</v>
      </c>
      <c r="DJ3398" s="4">
        <f>INDEX(Sheet2!C:C,QUOTIENT(ROW()-1,19)+2)</f>
        <v>42369</v>
      </c>
      <c r="DK3398" s="4" t="e">
        <f>INDEX(Sheet2!$AA$2:$AS$228,QUOTIENT(ROW()-1,19)+1,MOD(ROW()-2,19)+1)</f>
        <v>#N/A</v>
      </c>
      <c r="DL3398" t="str">
        <f>IFERROR(INDEX(Sheet2!$AU$2:$BM$228,QUOTIENT(ROW()-1,19)+1,MOD(ROW()-2,19)+1),NA())</f>
        <v/>
      </c>
      <c r="DM3398" s="4" t="e">
        <f t="shared" si="180"/>
        <v>#N/A</v>
      </c>
      <c r="DN3398" t="e">
        <f t="shared" si="181"/>
        <v>#N/A</v>
      </c>
      <c r="DO3398" t="e">
        <f t="shared" si="182"/>
        <v>#N/A</v>
      </c>
    </row>
    <row r="3399" spans="7:119" x14ac:dyDescent="0.25">
      <c r="G3399"/>
      <c r="DI3399" s="4">
        <f>INDEX(Sheet2!A:A,QUOTIENT(ROW()-1,19)+2)</f>
        <v>41717</v>
      </c>
      <c r="DJ3399" s="4">
        <f>INDEX(Sheet2!C:C,QUOTIENT(ROW()-1,19)+2)</f>
        <v>42369</v>
      </c>
      <c r="DK3399" s="4" t="e">
        <f>INDEX(Sheet2!$AA$2:$AS$228,QUOTIENT(ROW()-1,19)+1,MOD(ROW()-2,19)+1)</f>
        <v>#N/A</v>
      </c>
      <c r="DL3399" t="str">
        <f>IFERROR(INDEX(Sheet2!$AU$2:$BM$228,QUOTIENT(ROW()-1,19)+1,MOD(ROW()-2,19)+1),NA())</f>
        <v/>
      </c>
      <c r="DM3399" s="4" t="e">
        <f t="shared" si="180"/>
        <v>#N/A</v>
      </c>
      <c r="DN3399" t="e">
        <f t="shared" si="181"/>
        <v>#N/A</v>
      </c>
      <c r="DO3399" t="e">
        <f t="shared" si="182"/>
        <v>#N/A</v>
      </c>
    </row>
    <row r="3400" spans="7:119" x14ac:dyDescent="0.25">
      <c r="G3400"/>
      <c r="DI3400" s="4">
        <f>INDEX(Sheet2!A:A,QUOTIENT(ROW()-1,19)+2)</f>
        <v>41717</v>
      </c>
      <c r="DJ3400" s="4">
        <f>INDEX(Sheet2!C:C,QUOTIENT(ROW()-1,19)+2)</f>
        <v>42369</v>
      </c>
      <c r="DK3400" s="4" t="e">
        <f>INDEX(Sheet2!$AA$2:$AS$228,QUOTIENT(ROW()-1,19)+1,MOD(ROW()-2,19)+1)</f>
        <v>#N/A</v>
      </c>
      <c r="DL3400" t="str">
        <f>IFERROR(INDEX(Sheet2!$AU$2:$BM$228,QUOTIENT(ROW()-1,19)+1,MOD(ROW()-2,19)+1),NA())</f>
        <v/>
      </c>
      <c r="DM3400" s="4" t="e">
        <f t="shared" si="180"/>
        <v>#N/A</v>
      </c>
      <c r="DN3400" t="e">
        <f t="shared" si="181"/>
        <v>#N/A</v>
      </c>
      <c r="DO3400" t="e">
        <f t="shared" si="182"/>
        <v>#N/A</v>
      </c>
    </row>
    <row r="3401" spans="7:119" x14ac:dyDescent="0.25">
      <c r="G3401"/>
      <c r="DI3401" s="4">
        <f>INDEX(Sheet2!A:A,QUOTIENT(ROW()-1,19)+2)</f>
        <v>41717</v>
      </c>
      <c r="DJ3401" s="4">
        <f>INDEX(Sheet2!C:C,QUOTIENT(ROW()-1,19)+2)</f>
        <v>42369</v>
      </c>
      <c r="DK3401" s="4" t="e">
        <f>INDEX(Sheet2!$AA$2:$AS$228,QUOTIENT(ROW()-1,19)+1,MOD(ROW()-2,19)+1)</f>
        <v>#N/A</v>
      </c>
      <c r="DL3401" t="str">
        <f>IFERROR(INDEX(Sheet2!$AU$2:$BM$228,QUOTIENT(ROW()-1,19)+1,MOD(ROW()-2,19)+1),NA())</f>
        <v/>
      </c>
      <c r="DM3401" s="4" t="e">
        <f t="shared" si="180"/>
        <v>#N/A</v>
      </c>
      <c r="DN3401" t="e">
        <f t="shared" si="181"/>
        <v>#N/A</v>
      </c>
      <c r="DO3401" t="e">
        <f t="shared" si="182"/>
        <v>#N/A</v>
      </c>
    </row>
    <row r="3402" spans="7:119" x14ac:dyDescent="0.25">
      <c r="G3402"/>
      <c r="DI3402" s="4">
        <f>INDEX(Sheet2!A:A,QUOTIENT(ROW()-1,19)+2)</f>
        <v>41717</v>
      </c>
      <c r="DJ3402" s="4">
        <f>INDEX(Sheet2!C:C,QUOTIENT(ROW()-1,19)+2)</f>
        <v>42369</v>
      </c>
      <c r="DK3402" s="4" t="e">
        <f>INDEX(Sheet2!$AA$2:$AS$228,QUOTIENT(ROW()-1,19)+1,MOD(ROW()-2,19)+1)</f>
        <v>#N/A</v>
      </c>
      <c r="DL3402" t="str">
        <f>IFERROR(INDEX(Sheet2!$AU$2:$BM$228,QUOTIENT(ROW()-1,19)+1,MOD(ROW()-2,19)+1),NA())</f>
        <v/>
      </c>
      <c r="DM3402" s="4" t="e">
        <f t="shared" si="180"/>
        <v>#N/A</v>
      </c>
      <c r="DN3402" t="e">
        <f t="shared" si="181"/>
        <v>#N/A</v>
      </c>
      <c r="DO3402" t="e">
        <f t="shared" si="182"/>
        <v>#N/A</v>
      </c>
    </row>
    <row r="3403" spans="7:119" x14ac:dyDescent="0.25">
      <c r="G3403"/>
      <c r="DI3403" s="4">
        <f>INDEX(Sheet2!A:A,QUOTIENT(ROW()-1,19)+2)</f>
        <v>41717</v>
      </c>
      <c r="DJ3403" s="4">
        <f>INDEX(Sheet2!C:C,QUOTIENT(ROW()-1,19)+2)</f>
        <v>42369</v>
      </c>
      <c r="DK3403" s="4">
        <f>INDEX(Sheet2!$AA$2:$AS$228,QUOTIENT(ROW()-1,19)+1,MOD(ROW()-2,19)+1)</f>
        <v>42369</v>
      </c>
      <c r="DL3403">
        <f>IFERROR(INDEX(Sheet2!$AU$2:$BM$228,QUOTIENT(ROW()-1,19)+1,MOD(ROW()-2,19)+1),NA())</f>
        <v>1.5</v>
      </c>
      <c r="DM3403" s="4" t="e">
        <f t="shared" si="180"/>
        <v>#N/A</v>
      </c>
      <c r="DN3403" t="e">
        <f t="shared" si="181"/>
        <v>#N/A</v>
      </c>
      <c r="DO3403" t="e">
        <f t="shared" si="182"/>
        <v>#N/A</v>
      </c>
    </row>
    <row r="3404" spans="7:119" x14ac:dyDescent="0.25">
      <c r="G3404"/>
      <c r="DI3404" s="4">
        <f>INDEX(Sheet2!A:A,QUOTIENT(ROW()-1,19)+2)</f>
        <v>41717</v>
      </c>
      <c r="DJ3404" s="4">
        <f>INDEX(Sheet2!C:C,QUOTIENT(ROW()-1,19)+2)</f>
        <v>42369</v>
      </c>
      <c r="DK3404" s="4" t="e">
        <f>INDEX(Sheet2!$AA$2:$AS$228,QUOTIENT(ROW()-1,19)+1,MOD(ROW()-2,19)+1)</f>
        <v>#N/A</v>
      </c>
      <c r="DL3404" t="str">
        <f>IFERROR(INDEX(Sheet2!$AU$2:$BM$228,QUOTIENT(ROW()-1,19)+1,MOD(ROW()-2,19)+1),NA())</f>
        <v/>
      </c>
      <c r="DM3404" s="4" t="e">
        <f t="shared" si="180"/>
        <v>#N/A</v>
      </c>
      <c r="DN3404" t="e">
        <f t="shared" si="181"/>
        <v>#N/A</v>
      </c>
      <c r="DO3404" t="e">
        <f t="shared" si="182"/>
        <v>#N/A</v>
      </c>
    </row>
    <row r="3405" spans="7:119" x14ac:dyDescent="0.25">
      <c r="G3405"/>
      <c r="DI3405" s="4">
        <f>INDEX(Sheet2!A:A,QUOTIENT(ROW()-1,19)+2)</f>
        <v>41717</v>
      </c>
      <c r="DJ3405" s="4">
        <f>INDEX(Sheet2!C:C,QUOTIENT(ROW()-1,19)+2)</f>
        <v>42369</v>
      </c>
      <c r="DK3405" s="4" t="e">
        <f>INDEX(Sheet2!$AA$2:$AS$228,QUOTIENT(ROW()-1,19)+1,MOD(ROW()-2,19)+1)</f>
        <v>#N/A</v>
      </c>
      <c r="DL3405" t="str">
        <f>IFERROR(INDEX(Sheet2!$AU$2:$BM$228,QUOTIENT(ROW()-1,19)+1,MOD(ROW()-2,19)+1),NA())</f>
        <v/>
      </c>
      <c r="DM3405" s="4" t="e">
        <f t="shared" si="180"/>
        <v>#N/A</v>
      </c>
      <c r="DN3405" t="e">
        <f t="shared" si="181"/>
        <v>#N/A</v>
      </c>
      <c r="DO3405" t="e">
        <f t="shared" si="182"/>
        <v>#N/A</v>
      </c>
    </row>
    <row r="3406" spans="7:119" x14ac:dyDescent="0.25">
      <c r="G3406"/>
      <c r="DI3406" s="4">
        <f>INDEX(Sheet2!A:A,QUOTIENT(ROW()-1,19)+2)</f>
        <v>41717</v>
      </c>
      <c r="DJ3406" s="4">
        <f>INDEX(Sheet2!C:C,QUOTIENT(ROW()-1,19)+2)</f>
        <v>42369</v>
      </c>
      <c r="DK3406" s="4" t="e">
        <f>INDEX(Sheet2!$AA$2:$AS$228,QUOTIENT(ROW()-1,19)+1,MOD(ROW()-2,19)+1)</f>
        <v>#N/A</v>
      </c>
      <c r="DL3406" t="str">
        <f>IFERROR(INDEX(Sheet2!$AU$2:$BM$228,QUOTIENT(ROW()-1,19)+1,MOD(ROW()-2,19)+1),NA())</f>
        <v/>
      </c>
      <c r="DM3406" s="4" t="e">
        <f t="shared" si="180"/>
        <v>#N/A</v>
      </c>
      <c r="DN3406" t="e">
        <f t="shared" si="181"/>
        <v>#N/A</v>
      </c>
      <c r="DO3406" t="e">
        <f t="shared" si="182"/>
        <v>#N/A</v>
      </c>
    </row>
    <row r="3407" spans="7:119" x14ac:dyDescent="0.25">
      <c r="G3407"/>
      <c r="DI3407" s="4">
        <f>INDEX(Sheet2!A:A,QUOTIENT(ROW()-1,19)+2)</f>
        <v>41717</v>
      </c>
      <c r="DJ3407" s="4">
        <f>INDEX(Sheet2!C:C,QUOTIENT(ROW()-1,19)+2)</f>
        <v>42369</v>
      </c>
      <c r="DK3407" s="4" t="e">
        <f>INDEX(Sheet2!$AA$2:$AS$228,QUOTIENT(ROW()-1,19)+1,MOD(ROW()-2,19)+1)</f>
        <v>#N/A</v>
      </c>
      <c r="DL3407" t="str">
        <f>IFERROR(INDEX(Sheet2!$AU$2:$BM$228,QUOTIENT(ROW()-1,19)+1,MOD(ROW()-2,19)+1),NA())</f>
        <v/>
      </c>
      <c r="DM3407" s="4" t="e">
        <f t="shared" si="180"/>
        <v>#N/A</v>
      </c>
      <c r="DN3407" t="e">
        <f t="shared" si="181"/>
        <v>#N/A</v>
      </c>
      <c r="DO3407" t="e">
        <f t="shared" si="182"/>
        <v>#N/A</v>
      </c>
    </row>
    <row r="3408" spans="7:119" x14ac:dyDescent="0.25">
      <c r="G3408"/>
      <c r="DI3408" s="4">
        <f>INDEX(Sheet2!A:A,QUOTIENT(ROW()-1,19)+2)</f>
        <v>41717</v>
      </c>
      <c r="DJ3408" s="4">
        <f>INDEX(Sheet2!C:C,QUOTIENT(ROW()-1,19)+2)</f>
        <v>42369</v>
      </c>
      <c r="DK3408" s="4" t="e">
        <f>INDEX(Sheet2!$AA$2:$AS$228,QUOTIENT(ROW()-1,19)+1,MOD(ROW()-2,19)+1)</f>
        <v>#N/A</v>
      </c>
      <c r="DL3408" t="str">
        <f>IFERROR(INDEX(Sheet2!$AU$2:$BM$228,QUOTIENT(ROW()-1,19)+1,MOD(ROW()-2,19)+1),NA())</f>
        <v/>
      </c>
      <c r="DM3408" s="4" t="e">
        <f t="shared" si="180"/>
        <v>#N/A</v>
      </c>
      <c r="DN3408" t="e">
        <f t="shared" si="181"/>
        <v>#N/A</v>
      </c>
      <c r="DO3408" t="e">
        <f t="shared" si="182"/>
        <v>#N/A</v>
      </c>
    </row>
    <row r="3409" spans="7:119" x14ac:dyDescent="0.25">
      <c r="G3409"/>
      <c r="DI3409" s="4">
        <f>INDEX(Sheet2!A:A,QUOTIENT(ROW()-1,19)+2)</f>
        <v>41717</v>
      </c>
      <c r="DJ3409" s="4">
        <f>INDEX(Sheet2!C:C,QUOTIENT(ROW()-1,19)+2)</f>
        <v>42369</v>
      </c>
      <c r="DK3409" s="4" t="e">
        <f>INDEX(Sheet2!$AA$2:$AS$228,QUOTIENT(ROW()-1,19)+1,MOD(ROW()-2,19)+1)</f>
        <v>#N/A</v>
      </c>
      <c r="DL3409" t="str">
        <f>IFERROR(INDEX(Sheet2!$AU$2:$BM$228,QUOTIENT(ROW()-1,19)+1,MOD(ROW()-2,19)+1),NA())</f>
        <v/>
      </c>
      <c r="DM3409" s="4" t="e">
        <f t="shared" si="180"/>
        <v>#N/A</v>
      </c>
      <c r="DN3409" t="e">
        <f t="shared" si="181"/>
        <v>#N/A</v>
      </c>
      <c r="DO3409" t="e">
        <f t="shared" si="182"/>
        <v>#N/A</v>
      </c>
    </row>
    <row r="3410" spans="7:119" x14ac:dyDescent="0.25">
      <c r="G3410"/>
      <c r="DI3410" s="4">
        <f>INDEX(Sheet2!A:A,QUOTIENT(ROW()-1,19)+2)</f>
        <v>41717</v>
      </c>
      <c r="DJ3410" s="4">
        <f>INDEX(Sheet2!C:C,QUOTIENT(ROW()-1,19)+2)</f>
        <v>42369</v>
      </c>
      <c r="DK3410" s="4" t="e">
        <f>INDEX(Sheet2!$AA$2:$AS$228,QUOTIENT(ROW()-1,19)+1,MOD(ROW()-2,19)+1)</f>
        <v>#N/A</v>
      </c>
      <c r="DL3410" t="str">
        <f>IFERROR(INDEX(Sheet2!$AU$2:$BM$228,QUOTIENT(ROW()-1,19)+1,MOD(ROW()-2,19)+1),NA())</f>
        <v/>
      </c>
      <c r="DM3410" s="4" t="e">
        <f t="shared" si="180"/>
        <v>#N/A</v>
      </c>
      <c r="DN3410" t="e">
        <f t="shared" si="181"/>
        <v>#N/A</v>
      </c>
      <c r="DO3410" t="e">
        <f t="shared" si="182"/>
        <v>#N/A</v>
      </c>
    </row>
    <row r="3411" spans="7:119" x14ac:dyDescent="0.25">
      <c r="G3411"/>
      <c r="DI3411" s="4">
        <f>INDEX(Sheet2!A:A,QUOTIENT(ROW()-1,19)+2)</f>
        <v>41717</v>
      </c>
      <c r="DJ3411" s="4">
        <f>INDEX(Sheet2!C:C,QUOTIENT(ROW()-1,19)+2)</f>
        <v>42369</v>
      </c>
      <c r="DK3411" s="4" t="e">
        <f>INDEX(Sheet2!$AA$2:$AS$228,QUOTIENT(ROW()-1,19)+1,MOD(ROW()-2,19)+1)</f>
        <v>#N/A</v>
      </c>
      <c r="DL3411" t="str">
        <f>IFERROR(INDEX(Sheet2!$AU$2:$BM$228,QUOTIENT(ROW()-1,19)+1,MOD(ROW()-2,19)+1),NA())</f>
        <v/>
      </c>
      <c r="DM3411" s="4" t="e">
        <f t="shared" si="180"/>
        <v>#N/A</v>
      </c>
      <c r="DN3411" t="e">
        <f t="shared" si="181"/>
        <v>#N/A</v>
      </c>
      <c r="DO3411" t="e">
        <f t="shared" si="182"/>
        <v>#N/A</v>
      </c>
    </row>
    <row r="3412" spans="7:119" x14ac:dyDescent="0.25">
      <c r="G3412"/>
      <c r="DI3412" s="4">
        <f>INDEX(Sheet2!A:A,QUOTIENT(ROW()-1,19)+2)</f>
        <v>41717</v>
      </c>
      <c r="DJ3412" s="4">
        <f>INDEX(Sheet2!C:C,QUOTIENT(ROW()-1,19)+2)</f>
        <v>42369</v>
      </c>
      <c r="DK3412" s="4" t="e">
        <f>INDEX(Sheet2!$AA$2:$AS$228,QUOTIENT(ROW()-1,19)+1,MOD(ROW()-2,19)+1)</f>
        <v>#N/A</v>
      </c>
      <c r="DL3412" t="str">
        <f>IFERROR(INDEX(Sheet2!$AU$2:$BM$228,QUOTIENT(ROW()-1,19)+1,MOD(ROW()-2,19)+1),NA())</f>
        <v/>
      </c>
      <c r="DM3412" s="4" t="e">
        <f t="shared" si="180"/>
        <v>#N/A</v>
      </c>
      <c r="DN3412" t="e">
        <f t="shared" si="181"/>
        <v>#N/A</v>
      </c>
      <c r="DO3412" t="e">
        <f t="shared" si="182"/>
        <v>#N/A</v>
      </c>
    </row>
    <row r="3413" spans="7:119" x14ac:dyDescent="0.25">
      <c r="G3413"/>
      <c r="DI3413" s="4">
        <f>INDEX(Sheet2!A:A,QUOTIENT(ROW()-1,19)+2)</f>
        <v>41717</v>
      </c>
      <c r="DJ3413" s="4">
        <f>INDEX(Sheet2!C:C,QUOTIENT(ROW()-1,19)+2)</f>
        <v>42369</v>
      </c>
      <c r="DK3413" s="4" t="e">
        <f>INDEX(Sheet2!$AA$2:$AS$228,QUOTIENT(ROW()-1,19)+1,MOD(ROW()-2,19)+1)</f>
        <v>#N/A</v>
      </c>
      <c r="DL3413" t="str">
        <f>IFERROR(INDEX(Sheet2!$AU$2:$BM$228,QUOTIENT(ROW()-1,19)+1,MOD(ROW()-2,19)+1),NA())</f>
        <v/>
      </c>
      <c r="DM3413" s="4" t="e">
        <f t="shared" si="180"/>
        <v>#N/A</v>
      </c>
      <c r="DN3413" t="e">
        <f t="shared" si="181"/>
        <v>#N/A</v>
      </c>
      <c r="DO3413" t="e">
        <f t="shared" si="182"/>
        <v>#N/A</v>
      </c>
    </row>
    <row r="3414" spans="7:119" x14ac:dyDescent="0.25">
      <c r="G3414"/>
      <c r="DI3414" s="4">
        <f>INDEX(Sheet2!A:A,QUOTIENT(ROW()-1,19)+2)</f>
        <v>41717</v>
      </c>
      <c r="DJ3414" s="4">
        <f>INDEX(Sheet2!C:C,QUOTIENT(ROW()-1,19)+2)</f>
        <v>42369</v>
      </c>
      <c r="DK3414" s="4" t="e">
        <f>INDEX(Sheet2!$AA$2:$AS$228,QUOTIENT(ROW()-1,19)+1,MOD(ROW()-2,19)+1)</f>
        <v>#N/A</v>
      </c>
      <c r="DL3414" t="str">
        <f>IFERROR(INDEX(Sheet2!$AU$2:$BM$228,QUOTIENT(ROW()-1,19)+1,MOD(ROW()-2,19)+1),NA())</f>
        <v/>
      </c>
      <c r="DM3414" s="4" t="e">
        <f t="shared" si="180"/>
        <v>#N/A</v>
      </c>
      <c r="DN3414" t="e">
        <f t="shared" si="181"/>
        <v>#N/A</v>
      </c>
      <c r="DO3414" t="e">
        <f t="shared" si="182"/>
        <v>#N/A</v>
      </c>
    </row>
    <row r="3415" spans="7:119" x14ac:dyDescent="0.25">
      <c r="G3415"/>
      <c r="DI3415" s="4">
        <f>INDEX(Sheet2!A:A,QUOTIENT(ROW()-1,19)+2)</f>
        <v>41717</v>
      </c>
      <c r="DJ3415" s="4">
        <f>INDEX(Sheet2!C:C,QUOTIENT(ROW()-1,19)+2)</f>
        <v>42369</v>
      </c>
      <c r="DK3415" s="4" t="e">
        <f>INDEX(Sheet2!$AA$2:$AS$228,QUOTIENT(ROW()-1,19)+1,MOD(ROW()-2,19)+1)</f>
        <v>#N/A</v>
      </c>
      <c r="DL3415" t="str">
        <f>IFERROR(INDEX(Sheet2!$AU$2:$BM$228,QUOTIENT(ROW()-1,19)+1,MOD(ROW()-2,19)+1),NA())</f>
        <v/>
      </c>
      <c r="DM3415" s="4" t="e">
        <f t="shared" si="180"/>
        <v>#N/A</v>
      </c>
      <c r="DN3415" t="e">
        <f t="shared" si="181"/>
        <v>#N/A</v>
      </c>
      <c r="DO3415" t="e">
        <f t="shared" si="182"/>
        <v>#N/A</v>
      </c>
    </row>
    <row r="3416" spans="7:119" x14ac:dyDescent="0.25">
      <c r="G3416"/>
      <c r="DI3416" s="4">
        <f>INDEX(Sheet2!A:A,QUOTIENT(ROW()-1,19)+2)</f>
        <v>41717</v>
      </c>
      <c r="DJ3416" s="4">
        <f>INDEX(Sheet2!C:C,QUOTIENT(ROW()-1,19)+2)</f>
        <v>42369</v>
      </c>
      <c r="DK3416" s="4" t="e">
        <f>INDEX(Sheet2!$AA$2:$AS$228,QUOTIENT(ROW()-1,19)+1,MOD(ROW()-2,19)+1)</f>
        <v>#N/A</v>
      </c>
      <c r="DL3416" t="str">
        <f>IFERROR(INDEX(Sheet2!$AU$2:$BM$228,QUOTIENT(ROW()-1,19)+1,MOD(ROW()-2,19)+1),NA())</f>
        <v/>
      </c>
      <c r="DM3416" s="4" t="e">
        <f t="shared" si="180"/>
        <v>#N/A</v>
      </c>
      <c r="DN3416" t="e">
        <f t="shared" si="181"/>
        <v>#N/A</v>
      </c>
      <c r="DO3416" t="e">
        <f t="shared" si="182"/>
        <v>#N/A</v>
      </c>
    </row>
    <row r="3417" spans="7:119" x14ac:dyDescent="0.25">
      <c r="G3417"/>
      <c r="DI3417" s="4">
        <f>INDEX(Sheet2!A:A,QUOTIENT(ROW()-1,19)+2)</f>
        <v>41717</v>
      </c>
      <c r="DJ3417" s="4">
        <f>INDEX(Sheet2!C:C,QUOTIENT(ROW()-1,19)+2)</f>
        <v>42369</v>
      </c>
      <c r="DK3417" s="4" t="e">
        <f>INDEX(Sheet2!$AA$2:$AS$228,QUOTIENT(ROW()-1,19)+1,MOD(ROW()-2,19)+1)</f>
        <v>#N/A</v>
      </c>
      <c r="DL3417" t="str">
        <f>IFERROR(INDEX(Sheet2!$AU$2:$BM$228,QUOTIENT(ROW()-1,19)+1,MOD(ROW()-2,19)+1),NA())</f>
        <v/>
      </c>
      <c r="DM3417" s="4" t="e">
        <f t="shared" si="180"/>
        <v>#N/A</v>
      </c>
      <c r="DN3417" t="e">
        <f t="shared" si="181"/>
        <v>#N/A</v>
      </c>
      <c r="DO3417" t="e">
        <f t="shared" si="182"/>
        <v>#N/A</v>
      </c>
    </row>
    <row r="3418" spans="7:119" x14ac:dyDescent="0.25">
      <c r="G3418"/>
      <c r="DI3418" s="4">
        <f>INDEX(Sheet2!A:A,QUOTIENT(ROW()-1,19)+2)</f>
        <v>41717</v>
      </c>
      <c r="DJ3418" s="4">
        <f>INDEX(Sheet2!C:C,QUOTIENT(ROW()-1,19)+2)</f>
        <v>42369</v>
      </c>
      <c r="DK3418" s="4" t="e">
        <f>INDEX(Sheet2!$AA$2:$AS$228,QUOTIENT(ROW()-1,19)+1,MOD(ROW()-2,19)+1)</f>
        <v>#N/A</v>
      </c>
      <c r="DL3418" t="str">
        <f>IFERROR(INDEX(Sheet2!$AU$2:$BM$228,QUOTIENT(ROW()-1,19)+1,MOD(ROW()-2,19)+1),NA())</f>
        <v/>
      </c>
      <c r="DM3418" s="4" t="e">
        <f t="shared" si="180"/>
        <v>#N/A</v>
      </c>
      <c r="DN3418" t="e">
        <f t="shared" si="181"/>
        <v>#N/A</v>
      </c>
      <c r="DO3418" t="e">
        <f t="shared" si="182"/>
        <v>#N/A</v>
      </c>
    </row>
    <row r="3419" spans="7:119" x14ac:dyDescent="0.25">
      <c r="G3419"/>
      <c r="DI3419" s="4">
        <f>INDEX(Sheet2!A:A,QUOTIENT(ROW()-1,19)+2)</f>
        <v>41717</v>
      </c>
      <c r="DJ3419" s="4">
        <f>INDEX(Sheet2!C:C,QUOTIENT(ROW()-1,19)+2)</f>
        <v>42369</v>
      </c>
      <c r="DK3419" s="4" t="e">
        <f>INDEX(Sheet2!$AA$2:$AS$228,QUOTIENT(ROW()-1,19)+1,MOD(ROW()-2,19)+1)</f>
        <v>#N/A</v>
      </c>
      <c r="DL3419" t="str">
        <f>IFERROR(INDEX(Sheet2!$AU$2:$BM$228,QUOTIENT(ROW()-1,19)+1,MOD(ROW()-2,19)+1),NA())</f>
        <v/>
      </c>
      <c r="DM3419" s="4" t="e">
        <f t="shared" si="180"/>
        <v>#N/A</v>
      </c>
      <c r="DN3419" t="e">
        <f t="shared" si="181"/>
        <v>#N/A</v>
      </c>
      <c r="DO3419" t="e">
        <f t="shared" si="182"/>
        <v>#N/A</v>
      </c>
    </row>
    <row r="3420" spans="7:119" x14ac:dyDescent="0.25">
      <c r="G3420"/>
      <c r="DI3420" s="4">
        <f>INDEX(Sheet2!A:A,QUOTIENT(ROW()-1,19)+2)</f>
        <v>41717</v>
      </c>
      <c r="DJ3420" s="4">
        <f>INDEX(Sheet2!C:C,QUOTIENT(ROW()-1,19)+2)</f>
        <v>42369</v>
      </c>
      <c r="DK3420" s="4" t="e">
        <f>INDEX(Sheet2!$AA$2:$AS$228,QUOTIENT(ROW()-1,19)+1,MOD(ROW()-2,19)+1)</f>
        <v>#N/A</v>
      </c>
      <c r="DL3420" t="str">
        <f>IFERROR(INDEX(Sheet2!$AU$2:$BM$228,QUOTIENT(ROW()-1,19)+1,MOD(ROW()-2,19)+1),NA())</f>
        <v/>
      </c>
      <c r="DM3420" s="4" t="e">
        <f t="shared" si="180"/>
        <v>#N/A</v>
      </c>
      <c r="DN3420" t="e">
        <f t="shared" si="181"/>
        <v>#N/A</v>
      </c>
      <c r="DO3420" t="e">
        <f t="shared" si="182"/>
        <v>#N/A</v>
      </c>
    </row>
    <row r="3421" spans="7:119" x14ac:dyDescent="0.25">
      <c r="G3421"/>
      <c r="DI3421" s="4">
        <f>INDEX(Sheet2!A:A,QUOTIENT(ROW()-1,19)+2)</f>
        <v>41717</v>
      </c>
      <c r="DJ3421" s="4">
        <f>INDEX(Sheet2!C:C,QUOTIENT(ROW()-1,19)+2)</f>
        <v>42369</v>
      </c>
      <c r="DK3421" s="4" t="e">
        <f>INDEX(Sheet2!$AA$2:$AS$228,QUOTIENT(ROW()-1,19)+1,MOD(ROW()-2,19)+1)</f>
        <v>#N/A</v>
      </c>
      <c r="DL3421" t="str">
        <f>IFERROR(INDEX(Sheet2!$AU$2:$BM$228,QUOTIENT(ROW()-1,19)+1,MOD(ROW()-2,19)+1),NA())</f>
        <v/>
      </c>
      <c r="DM3421" s="4" t="e">
        <f t="shared" si="180"/>
        <v>#N/A</v>
      </c>
      <c r="DN3421" t="e">
        <f t="shared" si="181"/>
        <v>#N/A</v>
      </c>
      <c r="DO3421" t="e">
        <f t="shared" si="182"/>
        <v>#N/A</v>
      </c>
    </row>
    <row r="3422" spans="7:119" x14ac:dyDescent="0.25">
      <c r="G3422"/>
      <c r="DI3422" s="4">
        <f>INDEX(Sheet2!A:A,QUOTIENT(ROW()-1,19)+2)</f>
        <v>41717</v>
      </c>
      <c r="DJ3422" s="4">
        <f>INDEX(Sheet2!C:C,QUOTIENT(ROW()-1,19)+2)</f>
        <v>42369</v>
      </c>
      <c r="DK3422" s="4">
        <f>INDEX(Sheet2!$AA$2:$AS$228,QUOTIENT(ROW()-1,19)+1,MOD(ROW()-2,19)+1)</f>
        <v>42369</v>
      </c>
      <c r="DL3422">
        <f>IFERROR(INDEX(Sheet2!$AU$2:$BM$228,QUOTIENT(ROW()-1,19)+1,MOD(ROW()-2,19)+1),NA())</f>
        <v>2</v>
      </c>
      <c r="DM3422" s="4" t="e">
        <f t="shared" si="180"/>
        <v>#N/A</v>
      </c>
      <c r="DN3422" t="e">
        <f t="shared" si="181"/>
        <v>#N/A</v>
      </c>
      <c r="DO3422" t="e">
        <f t="shared" si="182"/>
        <v>#N/A</v>
      </c>
    </row>
    <row r="3423" spans="7:119" x14ac:dyDescent="0.25">
      <c r="G3423"/>
      <c r="DI3423" s="4">
        <f>INDEX(Sheet2!A:A,QUOTIENT(ROW()-1,19)+2)</f>
        <v>41717</v>
      </c>
      <c r="DJ3423" s="4">
        <f>INDEX(Sheet2!C:C,QUOTIENT(ROW()-1,19)+2)</f>
        <v>42369</v>
      </c>
      <c r="DK3423" s="4" t="e">
        <f>INDEX(Sheet2!$AA$2:$AS$228,QUOTIENT(ROW()-1,19)+1,MOD(ROW()-2,19)+1)</f>
        <v>#N/A</v>
      </c>
      <c r="DL3423" t="str">
        <f>IFERROR(INDEX(Sheet2!$AU$2:$BM$228,QUOTIENT(ROW()-1,19)+1,MOD(ROW()-2,19)+1),NA())</f>
        <v/>
      </c>
      <c r="DM3423" s="4" t="e">
        <f t="shared" si="180"/>
        <v>#N/A</v>
      </c>
      <c r="DN3423" t="e">
        <f t="shared" si="181"/>
        <v>#N/A</v>
      </c>
      <c r="DO3423" t="e">
        <f t="shared" si="182"/>
        <v>#N/A</v>
      </c>
    </row>
    <row r="3424" spans="7:119" x14ac:dyDescent="0.25">
      <c r="G3424"/>
      <c r="DI3424" s="4">
        <f>INDEX(Sheet2!A:A,QUOTIENT(ROW()-1,19)+2)</f>
        <v>41717</v>
      </c>
      <c r="DJ3424" s="4">
        <f>INDEX(Sheet2!C:C,QUOTIENT(ROW()-1,19)+2)</f>
        <v>42369</v>
      </c>
      <c r="DK3424" s="4" t="e">
        <f>INDEX(Sheet2!$AA$2:$AS$228,QUOTIENT(ROW()-1,19)+1,MOD(ROW()-2,19)+1)</f>
        <v>#N/A</v>
      </c>
      <c r="DL3424" t="str">
        <f>IFERROR(INDEX(Sheet2!$AU$2:$BM$228,QUOTIENT(ROW()-1,19)+1,MOD(ROW()-2,19)+1),NA())</f>
        <v/>
      </c>
      <c r="DM3424" s="4" t="e">
        <f t="shared" si="180"/>
        <v>#N/A</v>
      </c>
      <c r="DN3424" t="e">
        <f t="shared" si="181"/>
        <v>#N/A</v>
      </c>
      <c r="DO3424" t="e">
        <f t="shared" si="182"/>
        <v>#N/A</v>
      </c>
    </row>
    <row r="3425" spans="7:119" x14ac:dyDescent="0.25">
      <c r="G3425"/>
      <c r="DI3425" s="4">
        <f>INDEX(Sheet2!A:A,QUOTIENT(ROW()-1,19)+2)</f>
        <v>41717</v>
      </c>
      <c r="DJ3425" s="4">
        <f>INDEX(Sheet2!C:C,QUOTIENT(ROW()-1,19)+2)</f>
        <v>42369</v>
      </c>
      <c r="DK3425" s="4" t="e">
        <f>INDEX(Sheet2!$AA$2:$AS$228,QUOTIENT(ROW()-1,19)+1,MOD(ROW()-2,19)+1)</f>
        <v>#N/A</v>
      </c>
      <c r="DL3425" t="str">
        <f>IFERROR(INDEX(Sheet2!$AU$2:$BM$228,QUOTIENT(ROW()-1,19)+1,MOD(ROW()-2,19)+1),NA())</f>
        <v/>
      </c>
      <c r="DM3425" s="4" t="e">
        <f t="shared" si="180"/>
        <v>#N/A</v>
      </c>
      <c r="DN3425" t="e">
        <f t="shared" si="181"/>
        <v>#N/A</v>
      </c>
      <c r="DO3425" t="e">
        <f t="shared" si="182"/>
        <v>#N/A</v>
      </c>
    </row>
    <row r="3426" spans="7:119" x14ac:dyDescent="0.25">
      <c r="G3426"/>
      <c r="DI3426" s="4">
        <f>INDEX(Sheet2!A:A,QUOTIENT(ROW()-1,19)+2)</f>
        <v>41717</v>
      </c>
      <c r="DJ3426" s="4">
        <f>INDEX(Sheet2!C:C,QUOTIENT(ROW()-1,19)+2)</f>
        <v>42369</v>
      </c>
      <c r="DK3426" s="4" t="e">
        <f>INDEX(Sheet2!$AA$2:$AS$228,QUOTIENT(ROW()-1,19)+1,MOD(ROW()-2,19)+1)</f>
        <v>#N/A</v>
      </c>
      <c r="DL3426" t="str">
        <f>IFERROR(INDEX(Sheet2!$AU$2:$BM$228,QUOTIENT(ROW()-1,19)+1,MOD(ROW()-2,19)+1),NA())</f>
        <v/>
      </c>
      <c r="DM3426" s="4" t="e">
        <f t="shared" si="180"/>
        <v>#N/A</v>
      </c>
      <c r="DN3426" t="e">
        <f t="shared" si="181"/>
        <v>#N/A</v>
      </c>
      <c r="DO3426" t="e">
        <f t="shared" si="182"/>
        <v>#N/A</v>
      </c>
    </row>
    <row r="3427" spans="7:119" x14ac:dyDescent="0.25">
      <c r="G3427"/>
      <c r="DI3427" s="4">
        <f>INDEX(Sheet2!A:A,QUOTIENT(ROW()-1,19)+2)</f>
        <v>41717</v>
      </c>
      <c r="DJ3427" s="4">
        <f>INDEX(Sheet2!C:C,QUOTIENT(ROW()-1,19)+2)</f>
        <v>42369</v>
      </c>
      <c r="DK3427" s="4" t="e">
        <f>INDEX(Sheet2!$AA$2:$AS$228,QUOTIENT(ROW()-1,19)+1,MOD(ROW()-2,19)+1)</f>
        <v>#N/A</v>
      </c>
      <c r="DL3427" t="str">
        <f>IFERROR(INDEX(Sheet2!$AU$2:$BM$228,QUOTIENT(ROW()-1,19)+1,MOD(ROW()-2,19)+1),NA())</f>
        <v/>
      </c>
      <c r="DM3427" s="4" t="e">
        <f t="shared" si="180"/>
        <v>#N/A</v>
      </c>
      <c r="DN3427" t="e">
        <f t="shared" si="181"/>
        <v>#N/A</v>
      </c>
      <c r="DO3427" t="e">
        <f t="shared" si="182"/>
        <v>#N/A</v>
      </c>
    </row>
    <row r="3428" spans="7:119" x14ac:dyDescent="0.25">
      <c r="G3428"/>
      <c r="DI3428" s="4">
        <f>INDEX(Sheet2!A:A,QUOTIENT(ROW()-1,19)+2)</f>
        <v>41717</v>
      </c>
      <c r="DJ3428" s="4">
        <f>INDEX(Sheet2!C:C,QUOTIENT(ROW()-1,19)+2)</f>
        <v>42369</v>
      </c>
      <c r="DK3428" s="4" t="e">
        <f>INDEX(Sheet2!$AA$2:$AS$228,QUOTIENT(ROW()-1,19)+1,MOD(ROW()-2,19)+1)</f>
        <v>#N/A</v>
      </c>
      <c r="DL3428" t="str">
        <f>IFERROR(INDEX(Sheet2!$AU$2:$BM$228,QUOTIENT(ROW()-1,19)+1,MOD(ROW()-2,19)+1),NA())</f>
        <v/>
      </c>
      <c r="DM3428" s="4" t="e">
        <f t="shared" si="180"/>
        <v>#N/A</v>
      </c>
      <c r="DN3428" t="e">
        <f t="shared" si="181"/>
        <v>#N/A</v>
      </c>
      <c r="DO3428" t="e">
        <f t="shared" si="182"/>
        <v>#N/A</v>
      </c>
    </row>
    <row r="3429" spans="7:119" x14ac:dyDescent="0.25">
      <c r="G3429"/>
      <c r="DI3429" s="4">
        <f>INDEX(Sheet2!A:A,QUOTIENT(ROW()-1,19)+2)</f>
        <v>41717</v>
      </c>
      <c r="DJ3429" s="4">
        <f>INDEX(Sheet2!C:C,QUOTIENT(ROW()-1,19)+2)</f>
        <v>42369</v>
      </c>
      <c r="DK3429" s="4" t="e">
        <f>INDEX(Sheet2!$AA$2:$AS$228,QUOTIENT(ROW()-1,19)+1,MOD(ROW()-2,19)+1)</f>
        <v>#N/A</v>
      </c>
      <c r="DL3429" t="str">
        <f>IFERROR(INDEX(Sheet2!$AU$2:$BM$228,QUOTIENT(ROW()-1,19)+1,MOD(ROW()-2,19)+1),NA())</f>
        <v/>
      </c>
      <c r="DM3429" s="4" t="e">
        <f t="shared" si="180"/>
        <v>#N/A</v>
      </c>
      <c r="DN3429" t="e">
        <f t="shared" si="181"/>
        <v>#N/A</v>
      </c>
      <c r="DO3429" t="e">
        <f t="shared" si="182"/>
        <v>#N/A</v>
      </c>
    </row>
    <row r="3430" spans="7:119" x14ac:dyDescent="0.25">
      <c r="G3430"/>
      <c r="DI3430" s="4">
        <f>INDEX(Sheet2!A:A,QUOTIENT(ROW()-1,19)+2)</f>
        <v>41717</v>
      </c>
      <c r="DJ3430" s="4">
        <f>INDEX(Sheet2!C:C,QUOTIENT(ROW()-1,19)+2)</f>
        <v>42369</v>
      </c>
      <c r="DK3430" s="4" t="e">
        <f>INDEX(Sheet2!$AA$2:$AS$228,QUOTIENT(ROW()-1,19)+1,MOD(ROW()-2,19)+1)</f>
        <v>#N/A</v>
      </c>
      <c r="DL3430" t="str">
        <f>IFERROR(INDEX(Sheet2!$AU$2:$BM$228,QUOTIENT(ROW()-1,19)+1,MOD(ROW()-2,19)+1),NA())</f>
        <v/>
      </c>
      <c r="DM3430" s="4" t="e">
        <f t="shared" si="180"/>
        <v>#N/A</v>
      </c>
      <c r="DN3430" t="e">
        <f t="shared" si="181"/>
        <v>#N/A</v>
      </c>
      <c r="DO3430" t="e">
        <f t="shared" si="182"/>
        <v>#N/A</v>
      </c>
    </row>
    <row r="3431" spans="7:119" x14ac:dyDescent="0.25">
      <c r="G3431"/>
      <c r="DI3431" s="4">
        <f>INDEX(Sheet2!A:A,QUOTIENT(ROW()-1,19)+2)</f>
        <v>41717</v>
      </c>
      <c r="DJ3431" s="4">
        <f>INDEX(Sheet2!C:C,QUOTIENT(ROW()-1,19)+2)</f>
        <v>42369</v>
      </c>
      <c r="DK3431" s="4" t="e">
        <f>INDEX(Sheet2!$AA$2:$AS$228,QUOTIENT(ROW()-1,19)+1,MOD(ROW()-2,19)+1)</f>
        <v>#N/A</v>
      </c>
      <c r="DL3431" t="str">
        <f>IFERROR(INDEX(Sheet2!$AU$2:$BM$228,QUOTIENT(ROW()-1,19)+1,MOD(ROW()-2,19)+1),NA())</f>
        <v/>
      </c>
      <c r="DM3431" s="4" t="e">
        <f t="shared" si="180"/>
        <v>#N/A</v>
      </c>
      <c r="DN3431" t="e">
        <f t="shared" si="181"/>
        <v>#N/A</v>
      </c>
      <c r="DO3431" t="e">
        <f t="shared" si="182"/>
        <v>#N/A</v>
      </c>
    </row>
    <row r="3432" spans="7:119" x14ac:dyDescent="0.25">
      <c r="G3432"/>
      <c r="DI3432" s="4">
        <f>INDEX(Sheet2!A:A,QUOTIENT(ROW()-1,19)+2)</f>
        <v>41717</v>
      </c>
      <c r="DJ3432" s="4">
        <f>INDEX(Sheet2!C:C,QUOTIENT(ROW()-1,19)+2)</f>
        <v>42369</v>
      </c>
      <c r="DK3432" s="4" t="e">
        <f>INDEX(Sheet2!$AA$2:$AS$228,QUOTIENT(ROW()-1,19)+1,MOD(ROW()-2,19)+1)</f>
        <v>#N/A</v>
      </c>
      <c r="DL3432" t="str">
        <f>IFERROR(INDEX(Sheet2!$AU$2:$BM$228,QUOTIENT(ROW()-1,19)+1,MOD(ROW()-2,19)+1),NA())</f>
        <v/>
      </c>
      <c r="DM3432" s="4" t="e">
        <f t="shared" si="180"/>
        <v>#N/A</v>
      </c>
      <c r="DN3432" t="e">
        <f t="shared" si="181"/>
        <v>#N/A</v>
      </c>
      <c r="DO3432" t="e">
        <f t="shared" si="182"/>
        <v>#N/A</v>
      </c>
    </row>
    <row r="3433" spans="7:119" x14ac:dyDescent="0.25">
      <c r="G3433"/>
      <c r="DI3433" s="4">
        <f>INDEX(Sheet2!A:A,QUOTIENT(ROW()-1,19)+2)</f>
        <v>41717</v>
      </c>
      <c r="DJ3433" s="4">
        <f>INDEX(Sheet2!C:C,QUOTIENT(ROW()-1,19)+2)</f>
        <v>42369</v>
      </c>
      <c r="DK3433" s="4" t="e">
        <f>INDEX(Sheet2!$AA$2:$AS$228,QUOTIENT(ROW()-1,19)+1,MOD(ROW()-2,19)+1)</f>
        <v>#N/A</v>
      </c>
      <c r="DL3433" t="str">
        <f>IFERROR(INDEX(Sheet2!$AU$2:$BM$228,QUOTIENT(ROW()-1,19)+1,MOD(ROW()-2,19)+1),NA())</f>
        <v/>
      </c>
      <c r="DM3433" s="4" t="e">
        <f t="shared" si="180"/>
        <v>#N/A</v>
      </c>
      <c r="DN3433" t="e">
        <f t="shared" si="181"/>
        <v>#N/A</v>
      </c>
      <c r="DO3433" t="e">
        <f t="shared" si="182"/>
        <v>#N/A</v>
      </c>
    </row>
    <row r="3434" spans="7:119" x14ac:dyDescent="0.25">
      <c r="G3434"/>
      <c r="DI3434" s="4">
        <f>INDEX(Sheet2!A:A,QUOTIENT(ROW()-1,19)+2)</f>
        <v>41717</v>
      </c>
      <c r="DJ3434" s="4">
        <f>INDEX(Sheet2!C:C,QUOTIENT(ROW()-1,19)+2)</f>
        <v>42369</v>
      </c>
      <c r="DK3434" s="4" t="e">
        <f>INDEX(Sheet2!$AA$2:$AS$228,QUOTIENT(ROW()-1,19)+1,MOD(ROW()-2,19)+1)</f>
        <v>#N/A</v>
      </c>
      <c r="DL3434" t="str">
        <f>IFERROR(INDEX(Sheet2!$AU$2:$BM$228,QUOTIENT(ROW()-1,19)+1,MOD(ROW()-2,19)+1),NA())</f>
        <v/>
      </c>
      <c r="DM3434" s="4" t="e">
        <f t="shared" si="180"/>
        <v>#N/A</v>
      </c>
      <c r="DN3434" t="e">
        <f t="shared" si="181"/>
        <v>#N/A</v>
      </c>
      <c r="DO3434" t="e">
        <f t="shared" si="182"/>
        <v>#N/A</v>
      </c>
    </row>
    <row r="3435" spans="7:119" x14ac:dyDescent="0.25">
      <c r="G3435"/>
      <c r="DI3435" s="4">
        <f>INDEX(Sheet2!A:A,QUOTIENT(ROW()-1,19)+2)</f>
        <v>41717</v>
      </c>
      <c r="DJ3435" s="4">
        <f>INDEX(Sheet2!C:C,QUOTIENT(ROW()-1,19)+2)</f>
        <v>42369</v>
      </c>
      <c r="DK3435" s="4" t="e">
        <f>INDEX(Sheet2!$AA$2:$AS$228,QUOTIENT(ROW()-1,19)+1,MOD(ROW()-2,19)+1)</f>
        <v>#N/A</v>
      </c>
      <c r="DL3435" t="str">
        <f>IFERROR(INDEX(Sheet2!$AU$2:$BM$228,QUOTIENT(ROW()-1,19)+1,MOD(ROW()-2,19)+1),NA())</f>
        <v/>
      </c>
      <c r="DM3435" s="4" t="e">
        <f t="shared" si="180"/>
        <v>#N/A</v>
      </c>
      <c r="DN3435" t="e">
        <f t="shared" si="181"/>
        <v>#N/A</v>
      </c>
      <c r="DO3435" t="e">
        <f t="shared" si="182"/>
        <v>#N/A</v>
      </c>
    </row>
    <row r="3436" spans="7:119" x14ac:dyDescent="0.25">
      <c r="G3436"/>
      <c r="DI3436" s="4">
        <f>INDEX(Sheet2!A:A,QUOTIENT(ROW()-1,19)+2)</f>
        <v>41717</v>
      </c>
      <c r="DJ3436" s="4">
        <f>INDEX(Sheet2!C:C,QUOTIENT(ROW()-1,19)+2)</f>
        <v>42369</v>
      </c>
      <c r="DK3436" s="4" t="e">
        <f>INDEX(Sheet2!$AA$2:$AS$228,QUOTIENT(ROW()-1,19)+1,MOD(ROW()-2,19)+1)</f>
        <v>#N/A</v>
      </c>
      <c r="DL3436" t="str">
        <f>IFERROR(INDEX(Sheet2!$AU$2:$BM$228,QUOTIENT(ROW()-1,19)+1,MOD(ROW()-2,19)+1),NA())</f>
        <v/>
      </c>
      <c r="DM3436" s="4" t="e">
        <f t="shared" si="180"/>
        <v>#N/A</v>
      </c>
      <c r="DN3436" t="e">
        <f t="shared" si="181"/>
        <v>#N/A</v>
      </c>
      <c r="DO3436" t="e">
        <f t="shared" si="182"/>
        <v>#N/A</v>
      </c>
    </row>
    <row r="3437" spans="7:119" x14ac:dyDescent="0.25">
      <c r="G3437"/>
      <c r="DI3437" s="4">
        <f>INDEX(Sheet2!A:A,QUOTIENT(ROW()-1,19)+2)</f>
        <v>41717</v>
      </c>
      <c r="DJ3437" s="4">
        <f>INDEX(Sheet2!C:C,QUOTIENT(ROW()-1,19)+2)</f>
        <v>42369</v>
      </c>
      <c r="DK3437" s="4" t="e">
        <f>INDEX(Sheet2!$AA$2:$AS$228,QUOTIENT(ROW()-1,19)+1,MOD(ROW()-2,19)+1)</f>
        <v>#N/A</v>
      </c>
      <c r="DL3437" t="str">
        <f>IFERROR(INDEX(Sheet2!$AU$2:$BM$228,QUOTIENT(ROW()-1,19)+1,MOD(ROW()-2,19)+1),NA())</f>
        <v/>
      </c>
      <c r="DM3437" s="4" t="e">
        <f t="shared" si="180"/>
        <v>#N/A</v>
      </c>
      <c r="DN3437" t="e">
        <f t="shared" si="181"/>
        <v>#N/A</v>
      </c>
      <c r="DO3437" t="e">
        <f t="shared" si="182"/>
        <v>#N/A</v>
      </c>
    </row>
    <row r="3438" spans="7:119" x14ac:dyDescent="0.25">
      <c r="G3438"/>
      <c r="DI3438" s="4">
        <f>INDEX(Sheet2!A:A,QUOTIENT(ROW()-1,19)+2)</f>
        <v>41717</v>
      </c>
      <c r="DJ3438" s="4">
        <f>INDEX(Sheet2!C:C,QUOTIENT(ROW()-1,19)+2)</f>
        <v>42369</v>
      </c>
      <c r="DK3438" s="4" t="e">
        <f>INDEX(Sheet2!$AA$2:$AS$228,QUOTIENT(ROW()-1,19)+1,MOD(ROW()-2,19)+1)</f>
        <v>#N/A</v>
      </c>
      <c r="DL3438" t="str">
        <f>IFERROR(INDEX(Sheet2!$AU$2:$BM$228,QUOTIENT(ROW()-1,19)+1,MOD(ROW()-2,19)+1),NA())</f>
        <v/>
      </c>
      <c r="DM3438" s="4" t="e">
        <f t="shared" si="180"/>
        <v>#N/A</v>
      </c>
      <c r="DN3438" t="e">
        <f t="shared" si="181"/>
        <v>#N/A</v>
      </c>
      <c r="DO3438" t="e">
        <f t="shared" si="182"/>
        <v>#N/A</v>
      </c>
    </row>
    <row r="3439" spans="7:119" x14ac:dyDescent="0.25">
      <c r="G3439"/>
      <c r="DI3439" s="4">
        <f>INDEX(Sheet2!A:A,QUOTIENT(ROW()-1,19)+2)</f>
        <v>41717</v>
      </c>
      <c r="DJ3439" s="4">
        <f>INDEX(Sheet2!C:C,QUOTIENT(ROW()-1,19)+2)</f>
        <v>42369</v>
      </c>
      <c r="DK3439" s="4" t="e">
        <f>INDEX(Sheet2!$AA$2:$AS$228,QUOTIENT(ROW()-1,19)+1,MOD(ROW()-2,19)+1)</f>
        <v>#N/A</v>
      </c>
      <c r="DL3439" t="str">
        <f>IFERROR(INDEX(Sheet2!$AU$2:$BM$228,QUOTIENT(ROW()-1,19)+1,MOD(ROW()-2,19)+1),NA())</f>
        <v/>
      </c>
      <c r="DM3439" s="4" t="e">
        <f t="shared" si="180"/>
        <v>#N/A</v>
      </c>
      <c r="DN3439" t="e">
        <f t="shared" si="181"/>
        <v>#N/A</v>
      </c>
      <c r="DO3439" t="e">
        <f t="shared" si="182"/>
        <v>#N/A</v>
      </c>
    </row>
    <row r="3440" spans="7:119" x14ac:dyDescent="0.25">
      <c r="G3440"/>
      <c r="DI3440" s="4">
        <f>INDEX(Sheet2!A:A,QUOTIENT(ROW()-1,19)+2)</f>
        <v>41717</v>
      </c>
      <c r="DJ3440" s="4">
        <f>INDEX(Sheet2!C:C,QUOTIENT(ROW()-1,19)+2)</f>
        <v>42369</v>
      </c>
      <c r="DK3440" s="4" t="e">
        <f>INDEX(Sheet2!$AA$2:$AS$228,QUOTIENT(ROW()-1,19)+1,MOD(ROW()-2,19)+1)</f>
        <v>#N/A</v>
      </c>
      <c r="DL3440" t="str">
        <f>IFERROR(INDEX(Sheet2!$AU$2:$BM$228,QUOTIENT(ROW()-1,19)+1,MOD(ROW()-2,19)+1),NA())</f>
        <v/>
      </c>
      <c r="DM3440" s="4" t="e">
        <f t="shared" si="180"/>
        <v>#N/A</v>
      </c>
      <c r="DN3440" t="e">
        <f t="shared" si="181"/>
        <v>#N/A</v>
      </c>
      <c r="DO3440" t="e">
        <f t="shared" si="182"/>
        <v>#N/A</v>
      </c>
    </row>
    <row r="3441" spans="7:119" x14ac:dyDescent="0.25">
      <c r="G3441"/>
      <c r="DI3441" s="4">
        <f>INDEX(Sheet2!A:A,QUOTIENT(ROW()-1,19)+2)</f>
        <v>41717</v>
      </c>
      <c r="DJ3441" s="4">
        <f>INDEX(Sheet2!C:C,QUOTIENT(ROW()-1,19)+2)</f>
        <v>42369</v>
      </c>
      <c r="DK3441" s="4">
        <f>INDEX(Sheet2!$AA$2:$AS$228,QUOTIENT(ROW()-1,19)+1,MOD(ROW()-2,19)+1)</f>
        <v>42369</v>
      </c>
      <c r="DL3441">
        <f>IFERROR(INDEX(Sheet2!$AU$2:$BM$228,QUOTIENT(ROW()-1,19)+1,MOD(ROW()-2,19)+1),NA())</f>
        <v>2.25</v>
      </c>
      <c r="DM3441" s="4" t="e">
        <f t="shared" si="180"/>
        <v>#N/A</v>
      </c>
      <c r="DN3441" t="e">
        <f t="shared" si="181"/>
        <v>#N/A</v>
      </c>
      <c r="DO3441" t="e">
        <f t="shared" si="182"/>
        <v>#N/A</v>
      </c>
    </row>
    <row r="3442" spans="7:119" x14ac:dyDescent="0.25">
      <c r="G3442"/>
      <c r="DI3442" s="4">
        <f>INDEX(Sheet2!A:A,QUOTIENT(ROW()-1,19)+2)</f>
        <v>41717</v>
      </c>
      <c r="DJ3442" s="4">
        <f>INDEX(Sheet2!C:C,QUOTIENT(ROW()-1,19)+2)</f>
        <v>42369</v>
      </c>
      <c r="DK3442" s="4" t="e">
        <f>INDEX(Sheet2!$AA$2:$AS$228,QUOTIENT(ROW()-1,19)+1,MOD(ROW()-2,19)+1)</f>
        <v>#N/A</v>
      </c>
      <c r="DL3442" t="str">
        <f>IFERROR(INDEX(Sheet2!$AU$2:$BM$228,QUOTIENT(ROW()-1,19)+1,MOD(ROW()-2,19)+1),NA())</f>
        <v/>
      </c>
      <c r="DM3442" s="4" t="e">
        <f t="shared" si="180"/>
        <v>#N/A</v>
      </c>
      <c r="DN3442" t="e">
        <f t="shared" si="181"/>
        <v>#N/A</v>
      </c>
      <c r="DO3442" t="e">
        <f t="shared" si="182"/>
        <v>#N/A</v>
      </c>
    </row>
    <row r="3443" spans="7:119" x14ac:dyDescent="0.25">
      <c r="G3443"/>
      <c r="DI3443" s="4">
        <f>INDEX(Sheet2!A:A,QUOTIENT(ROW()-1,19)+2)</f>
        <v>41717</v>
      </c>
      <c r="DJ3443" s="4">
        <f>INDEX(Sheet2!C:C,QUOTIENT(ROW()-1,19)+2)</f>
        <v>42369</v>
      </c>
      <c r="DK3443" s="4" t="e">
        <f>INDEX(Sheet2!$AA$2:$AS$228,QUOTIENT(ROW()-1,19)+1,MOD(ROW()-2,19)+1)</f>
        <v>#N/A</v>
      </c>
      <c r="DL3443" t="str">
        <f>IFERROR(INDEX(Sheet2!$AU$2:$BM$228,QUOTIENT(ROW()-1,19)+1,MOD(ROW()-2,19)+1),NA())</f>
        <v/>
      </c>
      <c r="DM3443" s="4" t="e">
        <f t="shared" si="180"/>
        <v>#N/A</v>
      </c>
      <c r="DN3443" t="e">
        <f t="shared" si="181"/>
        <v>#N/A</v>
      </c>
      <c r="DO3443" t="e">
        <f t="shared" si="182"/>
        <v>#N/A</v>
      </c>
    </row>
    <row r="3444" spans="7:119" x14ac:dyDescent="0.25">
      <c r="G3444"/>
      <c r="DI3444" s="4">
        <f>INDEX(Sheet2!A:A,QUOTIENT(ROW()-1,19)+2)</f>
        <v>41717</v>
      </c>
      <c r="DJ3444" s="4">
        <f>INDEX(Sheet2!C:C,QUOTIENT(ROW()-1,19)+2)</f>
        <v>42369</v>
      </c>
      <c r="DK3444" s="4" t="e">
        <f>INDEX(Sheet2!$AA$2:$AS$228,QUOTIENT(ROW()-1,19)+1,MOD(ROW()-2,19)+1)</f>
        <v>#N/A</v>
      </c>
      <c r="DL3444" t="str">
        <f>IFERROR(INDEX(Sheet2!$AU$2:$BM$228,QUOTIENT(ROW()-1,19)+1,MOD(ROW()-2,19)+1),NA())</f>
        <v/>
      </c>
      <c r="DM3444" s="4" t="e">
        <f t="shared" si="180"/>
        <v>#N/A</v>
      </c>
      <c r="DN3444" t="e">
        <f t="shared" si="181"/>
        <v>#N/A</v>
      </c>
      <c r="DO3444" t="e">
        <f t="shared" si="182"/>
        <v>#N/A</v>
      </c>
    </row>
    <row r="3445" spans="7:119" x14ac:dyDescent="0.25">
      <c r="G3445"/>
      <c r="DI3445" s="4">
        <f>INDEX(Sheet2!A:A,QUOTIENT(ROW()-1,19)+2)</f>
        <v>41717</v>
      </c>
      <c r="DJ3445" s="4">
        <f>INDEX(Sheet2!C:C,QUOTIENT(ROW()-1,19)+2)</f>
        <v>42369</v>
      </c>
      <c r="DK3445" s="4" t="e">
        <f>INDEX(Sheet2!$AA$2:$AS$228,QUOTIENT(ROW()-1,19)+1,MOD(ROW()-2,19)+1)</f>
        <v>#N/A</v>
      </c>
      <c r="DL3445" t="str">
        <f>IFERROR(INDEX(Sheet2!$AU$2:$BM$228,QUOTIENT(ROW()-1,19)+1,MOD(ROW()-2,19)+1),NA())</f>
        <v/>
      </c>
      <c r="DM3445" s="4" t="e">
        <f t="shared" si="180"/>
        <v>#N/A</v>
      </c>
      <c r="DN3445" t="e">
        <f t="shared" si="181"/>
        <v>#N/A</v>
      </c>
      <c r="DO3445" t="e">
        <f t="shared" si="182"/>
        <v>#N/A</v>
      </c>
    </row>
    <row r="3446" spans="7:119" x14ac:dyDescent="0.25">
      <c r="G3446"/>
      <c r="DI3446" s="4">
        <f>INDEX(Sheet2!A:A,QUOTIENT(ROW()-1,19)+2)</f>
        <v>41717</v>
      </c>
      <c r="DJ3446" s="4">
        <f>INDEX(Sheet2!C:C,QUOTIENT(ROW()-1,19)+2)</f>
        <v>42369</v>
      </c>
      <c r="DK3446" s="4" t="e">
        <f>INDEX(Sheet2!$AA$2:$AS$228,QUOTIENT(ROW()-1,19)+1,MOD(ROW()-2,19)+1)</f>
        <v>#N/A</v>
      </c>
      <c r="DL3446" t="str">
        <f>IFERROR(INDEX(Sheet2!$AU$2:$BM$228,QUOTIENT(ROW()-1,19)+1,MOD(ROW()-2,19)+1),NA())</f>
        <v/>
      </c>
      <c r="DM3446" s="4" t="e">
        <f t="shared" si="180"/>
        <v>#N/A</v>
      </c>
      <c r="DN3446" t="e">
        <f t="shared" si="181"/>
        <v>#N/A</v>
      </c>
      <c r="DO3446" t="e">
        <f t="shared" si="182"/>
        <v>#N/A</v>
      </c>
    </row>
    <row r="3447" spans="7:119" x14ac:dyDescent="0.25">
      <c r="G3447"/>
      <c r="DI3447" s="4">
        <f>INDEX(Sheet2!A:A,QUOTIENT(ROW()-1,19)+2)</f>
        <v>41717</v>
      </c>
      <c r="DJ3447" s="4">
        <f>INDEX(Sheet2!C:C,QUOTIENT(ROW()-1,19)+2)</f>
        <v>42369</v>
      </c>
      <c r="DK3447" s="4" t="e">
        <f>INDEX(Sheet2!$AA$2:$AS$228,QUOTIENT(ROW()-1,19)+1,MOD(ROW()-2,19)+1)</f>
        <v>#N/A</v>
      </c>
      <c r="DL3447" t="str">
        <f>IFERROR(INDEX(Sheet2!$AU$2:$BM$228,QUOTIENT(ROW()-1,19)+1,MOD(ROW()-2,19)+1),NA())</f>
        <v/>
      </c>
      <c r="DM3447" s="4" t="e">
        <f t="shared" si="180"/>
        <v>#N/A</v>
      </c>
      <c r="DN3447" t="e">
        <f t="shared" si="181"/>
        <v>#N/A</v>
      </c>
      <c r="DO3447" t="e">
        <f t="shared" si="182"/>
        <v>#N/A</v>
      </c>
    </row>
    <row r="3448" spans="7:119" x14ac:dyDescent="0.25">
      <c r="G3448"/>
      <c r="DI3448" s="4">
        <f>INDEX(Sheet2!A:A,QUOTIENT(ROW()-1,19)+2)</f>
        <v>41717</v>
      </c>
      <c r="DJ3448" s="4">
        <f>INDEX(Sheet2!C:C,QUOTIENT(ROW()-1,19)+2)</f>
        <v>42369</v>
      </c>
      <c r="DK3448" s="4" t="e">
        <f>INDEX(Sheet2!$AA$2:$AS$228,QUOTIENT(ROW()-1,19)+1,MOD(ROW()-2,19)+1)</f>
        <v>#N/A</v>
      </c>
      <c r="DL3448" t="str">
        <f>IFERROR(INDEX(Sheet2!$AU$2:$BM$228,QUOTIENT(ROW()-1,19)+1,MOD(ROW()-2,19)+1),NA())</f>
        <v/>
      </c>
      <c r="DM3448" s="4" t="e">
        <f t="shared" si="180"/>
        <v>#N/A</v>
      </c>
      <c r="DN3448" t="e">
        <f t="shared" si="181"/>
        <v>#N/A</v>
      </c>
      <c r="DO3448" t="e">
        <f t="shared" si="182"/>
        <v>#N/A</v>
      </c>
    </row>
    <row r="3449" spans="7:119" x14ac:dyDescent="0.25">
      <c r="G3449"/>
      <c r="DI3449" s="4">
        <f>INDEX(Sheet2!A:A,QUOTIENT(ROW()-1,19)+2)</f>
        <v>41717</v>
      </c>
      <c r="DJ3449" s="4">
        <f>INDEX(Sheet2!C:C,QUOTIENT(ROW()-1,19)+2)</f>
        <v>42369</v>
      </c>
      <c r="DK3449" s="4" t="e">
        <f>INDEX(Sheet2!$AA$2:$AS$228,QUOTIENT(ROW()-1,19)+1,MOD(ROW()-2,19)+1)</f>
        <v>#N/A</v>
      </c>
      <c r="DL3449" t="str">
        <f>IFERROR(INDEX(Sheet2!$AU$2:$BM$228,QUOTIENT(ROW()-1,19)+1,MOD(ROW()-2,19)+1),NA())</f>
        <v/>
      </c>
      <c r="DM3449" s="4" t="e">
        <f t="shared" si="180"/>
        <v>#N/A</v>
      </c>
      <c r="DN3449" t="e">
        <f t="shared" si="181"/>
        <v>#N/A</v>
      </c>
      <c r="DO3449" t="e">
        <f t="shared" si="182"/>
        <v>#N/A</v>
      </c>
    </row>
    <row r="3450" spans="7:119" x14ac:dyDescent="0.25">
      <c r="G3450"/>
      <c r="DI3450" s="4">
        <f>INDEX(Sheet2!A:A,QUOTIENT(ROW()-1,19)+2)</f>
        <v>41717</v>
      </c>
      <c r="DJ3450" s="4">
        <f>INDEX(Sheet2!C:C,QUOTIENT(ROW()-1,19)+2)</f>
        <v>42369</v>
      </c>
      <c r="DK3450" s="4" t="e">
        <f>INDEX(Sheet2!$AA$2:$AS$228,QUOTIENT(ROW()-1,19)+1,MOD(ROW()-2,19)+1)</f>
        <v>#N/A</v>
      </c>
      <c r="DL3450" t="str">
        <f>IFERROR(INDEX(Sheet2!$AU$2:$BM$228,QUOTIENT(ROW()-1,19)+1,MOD(ROW()-2,19)+1),NA())</f>
        <v/>
      </c>
      <c r="DM3450" s="4" t="e">
        <f t="shared" si="180"/>
        <v>#N/A</v>
      </c>
      <c r="DN3450" t="e">
        <f t="shared" si="181"/>
        <v>#N/A</v>
      </c>
      <c r="DO3450" t="e">
        <f t="shared" si="182"/>
        <v>#N/A</v>
      </c>
    </row>
    <row r="3451" spans="7:119" x14ac:dyDescent="0.25">
      <c r="G3451"/>
      <c r="DI3451" s="4">
        <f>INDEX(Sheet2!A:A,QUOTIENT(ROW()-1,19)+2)</f>
        <v>41717</v>
      </c>
      <c r="DJ3451" s="4">
        <f>INDEX(Sheet2!C:C,QUOTIENT(ROW()-1,19)+2)</f>
        <v>42369</v>
      </c>
      <c r="DK3451" s="4" t="e">
        <f>INDEX(Sheet2!$AA$2:$AS$228,QUOTIENT(ROW()-1,19)+1,MOD(ROW()-2,19)+1)</f>
        <v>#N/A</v>
      </c>
      <c r="DL3451" t="str">
        <f>IFERROR(INDEX(Sheet2!$AU$2:$BM$228,QUOTIENT(ROW()-1,19)+1,MOD(ROW()-2,19)+1),NA())</f>
        <v/>
      </c>
      <c r="DM3451" s="4" t="e">
        <f t="shared" si="180"/>
        <v>#N/A</v>
      </c>
      <c r="DN3451" t="e">
        <f t="shared" si="181"/>
        <v>#N/A</v>
      </c>
      <c r="DO3451" t="e">
        <f t="shared" si="182"/>
        <v>#N/A</v>
      </c>
    </row>
    <row r="3452" spans="7:119" x14ac:dyDescent="0.25">
      <c r="G3452"/>
      <c r="DI3452" s="4">
        <f>INDEX(Sheet2!A:A,QUOTIENT(ROW()-1,19)+2)</f>
        <v>41717</v>
      </c>
      <c r="DJ3452" s="4">
        <f>INDEX(Sheet2!C:C,QUOTIENT(ROW()-1,19)+2)</f>
        <v>42369</v>
      </c>
      <c r="DK3452" s="4" t="e">
        <f>INDEX(Sheet2!$AA$2:$AS$228,QUOTIENT(ROW()-1,19)+1,MOD(ROW()-2,19)+1)</f>
        <v>#N/A</v>
      </c>
      <c r="DL3452" t="str">
        <f>IFERROR(INDEX(Sheet2!$AU$2:$BM$228,QUOTIENT(ROW()-1,19)+1,MOD(ROW()-2,19)+1),NA())</f>
        <v/>
      </c>
      <c r="DM3452" s="4" t="e">
        <f t="shared" si="180"/>
        <v>#N/A</v>
      </c>
      <c r="DN3452" t="e">
        <f t="shared" si="181"/>
        <v>#N/A</v>
      </c>
      <c r="DO3452" t="e">
        <f t="shared" si="182"/>
        <v>#N/A</v>
      </c>
    </row>
    <row r="3453" spans="7:119" x14ac:dyDescent="0.25">
      <c r="G3453"/>
      <c r="DI3453" s="4">
        <f>INDEX(Sheet2!A:A,QUOTIENT(ROW()-1,19)+2)</f>
        <v>41717</v>
      </c>
      <c r="DJ3453" s="4">
        <f>INDEX(Sheet2!C:C,QUOTIENT(ROW()-1,19)+2)</f>
        <v>42369</v>
      </c>
      <c r="DK3453" s="4" t="e">
        <f>INDEX(Sheet2!$AA$2:$AS$228,QUOTIENT(ROW()-1,19)+1,MOD(ROW()-2,19)+1)</f>
        <v>#N/A</v>
      </c>
      <c r="DL3453" t="str">
        <f>IFERROR(INDEX(Sheet2!$AU$2:$BM$228,QUOTIENT(ROW()-1,19)+1,MOD(ROW()-2,19)+1),NA())</f>
        <v/>
      </c>
      <c r="DM3453" s="4" t="e">
        <f t="shared" si="180"/>
        <v>#N/A</v>
      </c>
      <c r="DN3453" t="e">
        <f t="shared" si="181"/>
        <v>#N/A</v>
      </c>
      <c r="DO3453" t="e">
        <f t="shared" si="182"/>
        <v>#N/A</v>
      </c>
    </row>
    <row r="3454" spans="7:119" x14ac:dyDescent="0.25">
      <c r="G3454"/>
      <c r="DI3454" s="4">
        <f>INDEX(Sheet2!A:A,QUOTIENT(ROW()-1,19)+2)</f>
        <v>41717</v>
      </c>
      <c r="DJ3454" s="4">
        <f>INDEX(Sheet2!C:C,QUOTIENT(ROW()-1,19)+2)</f>
        <v>42369</v>
      </c>
      <c r="DK3454" s="4" t="e">
        <f>INDEX(Sheet2!$AA$2:$AS$228,QUOTIENT(ROW()-1,19)+1,MOD(ROW()-2,19)+1)</f>
        <v>#N/A</v>
      </c>
      <c r="DL3454" t="str">
        <f>IFERROR(INDEX(Sheet2!$AU$2:$BM$228,QUOTIENT(ROW()-1,19)+1,MOD(ROW()-2,19)+1),NA())</f>
        <v/>
      </c>
      <c r="DM3454" s="4" t="e">
        <f t="shared" si="180"/>
        <v>#N/A</v>
      </c>
      <c r="DN3454" t="e">
        <f t="shared" si="181"/>
        <v>#N/A</v>
      </c>
      <c r="DO3454" t="e">
        <f t="shared" si="182"/>
        <v>#N/A</v>
      </c>
    </row>
    <row r="3455" spans="7:119" x14ac:dyDescent="0.25">
      <c r="G3455"/>
      <c r="DI3455" s="4">
        <f>INDEX(Sheet2!A:A,QUOTIENT(ROW()-1,19)+2)</f>
        <v>41717</v>
      </c>
      <c r="DJ3455" s="4">
        <f>INDEX(Sheet2!C:C,QUOTIENT(ROW()-1,19)+2)</f>
        <v>42369</v>
      </c>
      <c r="DK3455" s="4" t="e">
        <f>INDEX(Sheet2!$AA$2:$AS$228,QUOTIENT(ROW()-1,19)+1,MOD(ROW()-2,19)+1)</f>
        <v>#N/A</v>
      </c>
      <c r="DL3455" t="str">
        <f>IFERROR(INDEX(Sheet2!$AU$2:$BM$228,QUOTIENT(ROW()-1,19)+1,MOD(ROW()-2,19)+1),NA())</f>
        <v/>
      </c>
      <c r="DM3455" s="4" t="e">
        <f t="shared" si="180"/>
        <v>#N/A</v>
      </c>
      <c r="DN3455" t="e">
        <f t="shared" si="181"/>
        <v>#N/A</v>
      </c>
      <c r="DO3455" t="e">
        <f t="shared" si="182"/>
        <v>#N/A</v>
      </c>
    </row>
    <row r="3456" spans="7:119" x14ac:dyDescent="0.25">
      <c r="G3456"/>
      <c r="DI3456" s="4">
        <f>INDEX(Sheet2!A:A,QUOTIENT(ROW()-1,19)+2)</f>
        <v>41717</v>
      </c>
      <c r="DJ3456" s="4">
        <f>INDEX(Sheet2!C:C,QUOTIENT(ROW()-1,19)+2)</f>
        <v>42369</v>
      </c>
      <c r="DK3456" s="4" t="e">
        <f>INDEX(Sheet2!$AA$2:$AS$228,QUOTIENT(ROW()-1,19)+1,MOD(ROW()-2,19)+1)</f>
        <v>#N/A</v>
      </c>
      <c r="DL3456" t="str">
        <f>IFERROR(INDEX(Sheet2!$AU$2:$BM$228,QUOTIENT(ROW()-1,19)+1,MOD(ROW()-2,19)+1),NA())</f>
        <v/>
      </c>
      <c r="DM3456" s="4" t="e">
        <f t="shared" si="180"/>
        <v>#N/A</v>
      </c>
      <c r="DN3456" t="e">
        <f t="shared" si="181"/>
        <v>#N/A</v>
      </c>
      <c r="DO3456" t="e">
        <f t="shared" si="182"/>
        <v>#N/A</v>
      </c>
    </row>
    <row r="3457" spans="7:119" x14ac:dyDescent="0.25">
      <c r="G3457"/>
      <c r="DI3457" s="4">
        <f>INDEX(Sheet2!A:A,QUOTIENT(ROW()-1,19)+2)</f>
        <v>41717</v>
      </c>
      <c r="DJ3457" s="4">
        <f>INDEX(Sheet2!C:C,QUOTIENT(ROW()-1,19)+2)</f>
        <v>42369</v>
      </c>
      <c r="DK3457" s="4" t="e">
        <f>INDEX(Sheet2!$AA$2:$AS$228,QUOTIENT(ROW()-1,19)+1,MOD(ROW()-2,19)+1)</f>
        <v>#N/A</v>
      </c>
      <c r="DL3457" t="str">
        <f>IFERROR(INDEX(Sheet2!$AU$2:$BM$228,QUOTIENT(ROW()-1,19)+1,MOD(ROW()-2,19)+1),NA())</f>
        <v/>
      </c>
      <c r="DM3457" s="4" t="e">
        <f t="shared" si="180"/>
        <v>#N/A</v>
      </c>
      <c r="DN3457" t="e">
        <f t="shared" si="181"/>
        <v>#N/A</v>
      </c>
      <c r="DO3457" t="e">
        <f t="shared" si="182"/>
        <v>#N/A</v>
      </c>
    </row>
    <row r="3458" spans="7:119" x14ac:dyDescent="0.25">
      <c r="G3458"/>
      <c r="DI3458" s="4">
        <f>INDEX(Sheet2!A:A,QUOTIENT(ROW()-1,19)+2)</f>
        <v>41717</v>
      </c>
      <c r="DJ3458" s="4">
        <f>INDEX(Sheet2!C:C,QUOTIENT(ROW()-1,19)+2)</f>
        <v>42369</v>
      </c>
      <c r="DK3458" s="4" t="e">
        <f>INDEX(Sheet2!$AA$2:$AS$228,QUOTIENT(ROW()-1,19)+1,MOD(ROW()-2,19)+1)</f>
        <v>#N/A</v>
      </c>
      <c r="DL3458" t="str">
        <f>IFERROR(INDEX(Sheet2!$AU$2:$BM$228,QUOTIENT(ROW()-1,19)+1,MOD(ROW()-2,19)+1),NA())</f>
        <v/>
      </c>
      <c r="DM3458" s="4" t="e">
        <f t="shared" ref="DM3458:DM3521" si="183">+IF($C$2=$DI3458,DK3458,NA())</f>
        <v>#N/A</v>
      </c>
      <c r="DN3458" t="e">
        <f t="shared" ref="DN3458:DN3521" si="184">+IF($C$2=$DI3458,DL3458,NA())</f>
        <v>#N/A</v>
      </c>
      <c r="DO3458" t="e">
        <f t="shared" si="182"/>
        <v>#N/A</v>
      </c>
    </row>
    <row r="3459" spans="7:119" x14ac:dyDescent="0.25">
      <c r="G3459"/>
      <c r="DI3459" s="4">
        <f>INDEX(Sheet2!A:A,QUOTIENT(ROW()-1,19)+2)</f>
        <v>41717</v>
      </c>
      <c r="DJ3459" s="4">
        <f>INDEX(Sheet2!C:C,QUOTIENT(ROW()-1,19)+2)</f>
        <v>42369</v>
      </c>
      <c r="DK3459" s="4" t="e">
        <f>INDEX(Sheet2!$AA$2:$AS$228,QUOTIENT(ROW()-1,19)+1,MOD(ROW()-2,19)+1)</f>
        <v>#N/A</v>
      </c>
      <c r="DL3459" t="str">
        <f>IFERROR(INDEX(Sheet2!$AU$2:$BM$228,QUOTIENT(ROW()-1,19)+1,MOD(ROW()-2,19)+1),NA())</f>
        <v/>
      </c>
      <c r="DM3459" s="4" t="e">
        <f t="shared" si="183"/>
        <v>#N/A</v>
      </c>
      <c r="DN3459" t="e">
        <f t="shared" si="184"/>
        <v>#N/A</v>
      </c>
      <c r="DO3459" t="e">
        <f t="shared" ref="DO3459:DO3522" si="185">IF(DN3459="",NA(),DN3459)</f>
        <v>#N/A</v>
      </c>
    </row>
    <row r="3460" spans="7:119" x14ac:dyDescent="0.25">
      <c r="G3460"/>
      <c r="DI3460" s="4">
        <f>INDEX(Sheet2!A:A,QUOTIENT(ROW()-1,19)+2)</f>
        <v>41717</v>
      </c>
      <c r="DJ3460" s="4">
        <f>INDEX(Sheet2!C:C,QUOTIENT(ROW()-1,19)+2)</f>
        <v>42369</v>
      </c>
      <c r="DK3460" s="4">
        <f>INDEX(Sheet2!$AA$2:$AS$228,QUOTIENT(ROW()-1,19)+1,MOD(ROW()-2,19)+1)</f>
        <v>42369</v>
      </c>
      <c r="DL3460">
        <f>IFERROR(INDEX(Sheet2!$AU$2:$BM$228,QUOTIENT(ROW()-1,19)+1,MOD(ROW()-2,19)+1),NA())</f>
        <v>3</v>
      </c>
      <c r="DM3460" s="4" t="e">
        <f t="shared" si="183"/>
        <v>#N/A</v>
      </c>
      <c r="DN3460" t="e">
        <f t="shared" si="184"/>
        <v>#N/A</v>
      </c>
      <c r="DO3460" t="e">
        <f t="shared" si="185"/>
        <v>#N/A</v>
      </c>
    </row>
    <row r="3461" spans="7:119" x14ac:dyDescent="0.25">
      <c r="G3461"/>
      <c r="DI3461" s="4">
        <f>INDEX(Sheet2!A:A,QUOTIENT(ROW()-1,19)+2)</f>
        <v>41717</v>
      </c>
      <c r="DJ3461" s="4">
        <f>INDEX(Sheet2!C:C,QUOTIENT(ROW()-1,19)+2)</f>
        <v>42369</v>
      </c>
      <c r="DK3461" s="4" t="e">
        <f>INDEX(Sheet2!$AA$2:$AS$228,QUOTIENT(ROW()-1,19)+1,MOD(ROW()-2,19)+1)</f>
        <v>#N/A</v>
      </c>
      <c r="DL3461" t="str">
        <f>IFERROR(INDEX(Sheet2!$AU$2:$BM$228,QUOTIENT(ROW()-1,19)+1,MOD(ROW()-2,19)+1),NA())</f>
        <v/>
      </c>
      <c r="DM3461" s="4" t="e">
        <f t="shared" si="183"/>
        <v>#N/A</v>
      </c>
      <c r="DN3461" t="e">
        <f t="shared" si="184"/>
        <v>#N/A</v>
      </c>
      <c r="DO3461" t="e">
        <f t="shared" si="185"/>
        <v>#N/A</v>
      </c>
    </row>
    <row r="3462" spans="7:119" x14ac:dyDescent="0.25">
      <c r="G3462"/>
      <c r="DI3462" s="4">
        <f>INDEX(Sheet2!A:A,QUOTIENT(ROW()-1,19)+2)</f>
        <v>41717</v>
      </c>
      <c r="DJ3462" s="4">
        <f>INDEX(Sheet2!C:C,QUOTIENT(ROW()-1,19)+2)</f>
        <v>42369</v>
      </c>
      <c r="DK3462" s="4" t="e">
        <f>INDEX(Sheet2!$AA$2:$AS$228,QUOTIENT(ROW()-1,19)+1,MOD(ROW()-2,19)+1)</f>
        <v>#N/A</v>
      </c>
      <c r="DL3462" t="str">
        <f>IFERROR(INDEX(Sheet2!$AU$2:$BM$228,QUOTIENT(ROW()-1,19)+1,MOD(ROW()-2,19)+1),NA())</f>
        <v/>
      </c>
      <c r="DM3462" s="4" t="e">
        <f t="shared" si="183"/>
        <v>#N/A</v>
      </c>
      <c r="DN3462" t="e">
        <f t="shared" si="184"/>
        <v>#N/A</v>
      </c>
      <c r="DO3462" t="e">
        <f t="shared" si="185"/>
        <v>#N/A</v>
      </c>
    </row>
    <row r="3463" spans="7:119" x14ac:dyDescent="0.25">
      <c r="G3463"/>
      <c r="DI3463" s="4">
        <f>INDEX(Sheet2!A:A,QUOTIENT(ROW()-1,19)+2)</f>
        <v>41717</v>
      </c>
      <c r="DJ3463" s="4">
        <f>INDEX(Sheet2!C:C,QUOTIENT(ROW()-1,19)+2)</f>
        <v>42369</v>
      </c>
      <c r="DK3463" s="4" t="e">
        <f>INDEX(Sheet2!$AA$2:$AS$228,QUOTIENT(ROW()-1,19)+1,MOD(ROW()-2,19)+1)</f>
        <v>#N/A</v>
      </c>
      <c r="DL3463" t="str">
        <f>IFERROR(INDEX(Sheet2!$AU$2:$BM$228,QUOTIENT(ROW()-1,19)+1,MOD(ROW()-2,19)+1),NA())</f>
        <v/>
      </c>
      <c r="DM3463" s="4" t="e">
        <f t="shared" si="183"/>
        <v>#N/A</v>
      </c>
      <c r="DN3463" t="e">
        <f t="shared" si="184"/>
        <v>#N/A</v>
      </c>
      <c r="DO3463" t="e">
        <f t="shared" si="185"/>
        <v>#N/A</v>
      </c>
    </row>
    <row r="3464" spans="7:119" x14ac:dyDescent="0.25">
      <c r="G3464"/>
      <c r="DI3464" s="4">
        <f>INDEX(Sheet2!A:A,QUOTIENT(ROW()-1,19)+2)</f>
        <v>41717</v>
      </c>
      <c r="DJ3464" s="4">
        <f>INDEX(Sheet2!C:C,QUOTIENT(ROW()-1,19)+2)</f>
        <v>42369</v>
      </c>
      <c r="DK3464" s="4" t="e">
        <f>INDEX(Sheet2!$AA$2:$AS$228,QUOTIENT(ROW()-1,19)+1,MOD(ROW()-2,19)+1)</f>
        <v>#N/A</v>
      </c>
      <c r="DL3464" t="str">
        <f>IFERROR(INDEX(Sheet2!$AU$2:$BM$228,QUOTIENT(ROW()-1,19)+1,MOD(ROW()-2,19)+1),NA())</f>
        <v/>
      </c>
      <c r="DM3464" s="4" t="e">
        <f t="shared" si="183"/>
        <v>#N/A</v>
      </c>
      <c r="DN3464" t="e">
        <f t="shared" si="184"/>
        <v>#N/A</v>
      </c>
      <c r="DO3464" t="e">
        <f t="shared" si="185"/>
        <v>#N/A</v>
      </c>
    </row>
    <row r="3465" spans="7:119" x14ac:dyDescent="0.25">
      <c r="G3465"/>
      <c r="DI3465" s="4">
        <f>INDEX(Sheet2!A:A,QUOTIENT(ROW()-1,19)+2)</f>
        <v>41717</v>
      </c>
      <c r="DJ3465" s="4">
        <f>INDEX(Sheet2!C:C,QUOTIENT(ROW()-1,19)+2)</f>
        <v>42369</v>
      </c>
      <c r="DK3465" s="4" t="e">
        <f>INDEX(Sheet2!$AA$2:$AS$228,QUOTIENT(ROW()-1,19)+1,MOD(ROW()-2,19)+1)</f>
        <v>#N/A</v>
      </c>
      <c r="DL3465" t="str">
        <f>IFERROR(INDEX(Sheet2!$AU$2:$BM$228,QUOTIENT(ROW()-1,19)+1,MOD(ROW()-2,19)+1),NA())</f>
        <v/>
      </c>
      <c r="DM3465" s="4" t="e">
        <f t="shared" si="183"/>
        <v>#N/A</v>
      </c>
      <c r="DN3465" t="e">
        <f t="shared" si="184"/>
        <v>#N/A</v>
      </c>
      <c r="DO3465" t="e">
        <f t="shared" si="185"/>
        <v>#N/A</v>
      </c>
    </row>
    <row r="3466" spans="7:119" x14ac:dyDescent="0.25">
      <c r="G3466"/>
      <c r="DI3466" s="4">
        <f>INDEX(Sheet2!A:A,QUOTIENT(ROW()-1,19)+2)</f>
        <v>41717</v>
      </c>
      <c r="DJ3466" s="4">
        <f>INDEX(Sheet2!C:C,QUOTIENT(ROW()-1,19)+2)</f>
        <v>42369</v>
      </c>
      <c r="DK3466" s="4" t="e">
        <f>INDEX(Sheet2!$AA$2:$AS$228,QUOTIENT(ROW()-1,19)+1,MOD(ROW()-2,19)+1)</f>
        <v>#N/A</v>
      </c>
      <c r="DL3466" t="str">
        <f>IFERROR(INDEX(Sheet2!$AU$2:$BM$228,QUOTIENT(ROW()-1,19)+1,MOD(ROW()-2,19)+1),NA())</f>
        <v/>
      </c>
      <c r="DM3466" s="4" t="e">
        <f t="shared" si="183"/>
        <v>#N/A</v>
      </c>
      <c r="DN3466" t="e">
        <f t="shared" si="184"/>
        <v>#N/A</v>
      </c>
      <c r="DO3466" t="e">
        <f t="shared" si="185"/>
        <v>#N/A</v>
      </c>
    </row>
    <row r="3467" spans="7:119" x14ac:dyDescent="0.25">
      <c r="G3467"/>
      <c r="DI3467" s="4">
        <f>INDEX(Sheet2!A:A,QUOTIENT(ROW()-1,19)+2)</f>
        <v>41717</v>
      </c>
      <c r="DJ3467" s="4">
        <f>INDEX(Sheet2!C:C,QUOTIENT(ROW()-1,19)+2)</f>
        <v>42369</v>
      </c>
      <c r="DK3467" s="4" t="e">
        <f>INDEX(Sheet2!$AA$2:$AS$228,QUOTIENT(ROW()-1,19)+1,MOD(ROW()-2,19)+1)</f>
        <v>#N/A</v>
      </c>
      <c r="DL3467" t="str">
        <f>IFERROR(INDEX(Sheet2!$AU$2:$BM$228,QUOTIENT(ROW()-1,19)+1,MOD(ROW()-2,19)+1),NA())</f>
        <v/>
      </c>
      <c r="DM3467" s="4" t="e">
        <f t="shared" si="183"/>
        <v>#N/A</v>
      </c>
      <c r="DN3467" t="e">
        <f t="shared" si="184"/>
        <v>#N/A</v>
      </c>
      <c r="DO3467" t="e">
        <f t="shared" si="185"/>
        <v>#N/A</v>
      </c>
    </row>
    <row r="3468" spans="7:119" x14ac:dyDescent="0.25">
      <c r="G3468"/>
      <c r="DI3468" s="4">
        <f>INDEX(Sheet2!A:A,QUOTIENT(ROW()-1,19)+2)</f>
        <v>41717</v>
      </c>
      <c r="DJ3468" s="4">
        <f>INDEX(Sheet2!C:C,QUOTIENT(ROW()-1,19)+2)</f>
        <v>42369</v>
      </c>
      <c r="DK3468" s="4" t="e">
        <f>INDEX(Sheet2!$AA$2:$AS$228,QUOTIENT(ROW()-1,19)+1,MOD(ROW()-2,19)+1)</f>
        <v>#N/A</v>
      </c>
      <c r="DL3468" t="str">
        <f>IFERROR(INDEX(Sheet2!$AU$2:$BM$228,QUOTIENT(ROW()-1,19)+1,MOD(ROW()-2,19)+1),NA())</f>
        <v/>
      </c>
      <c r="DM3468" s="4" t="e">
        <f t="shared" si="183"/>
        <v>#N/A</v>
      </c>
      <c r="DN3468" t="e">
        <f t="shared" si="184"/>
        <v>#N/A</v>
      </c>
      <c r="DO3468" t="e">
        <f t="shared" si="185"/>
        <v>#N/A</v>
      </c>
    </row>
    <row r="3469" spans="7:119" x14ac:dyDescent="0.25">
      <c r="G3469"/>
      <c r="DI3469" s="4">
        <f>INDEX(Sheet2!A:A,QUOTIENT(ROW()-1,19)+2)</f>
        <v>41717</v>
      </c>
      <c r="DJ3469" s="4">
        <f>INDEX(Sheet2!C:C,QUOTIENT(ROW()-1,19)+2)</f>
        <v>42369</v>
      </c>
      <c r="DK3469" s="4" t="e">
        <f>INDEX(Sheet2!$AA$2:$AS$228,QUOTIENT(ROW()-1,19)+1,MOD(ROW()-2,19)+1)</f>
        <v>#N/A</v>
      </c>
      <c r="DL3469" t="str">
        <f>IFERROR(INDEX(Sheet2!$AU$2:$BM$228,QUOTIENT(ROW()-1,19)+1,MOD(ROW()-2,19)+1),NA())</f>
        <v/>
      </c>
      <c r="DM3469" s="4" t="e">
        <f t="shared" si="183"/>
        <v>#N/A</v>
      </c>
      <c r="DN3469" t="e">
        <f t="shared" si="184"/>
        <v>#N/A</v>
      </c>
      <c r="DO3469" t="e">
        <f t="shared" si="185"/>
        <v>#N/A</v>
      </c>
    </row>
    <row r="3470" spans="7:119" x14ac:dyDescent="0.25">
      <c r="G3470"/>
      <c r="DI3470" s="4">
        <f>INDEX(Sheet2!A:A,QUOTIENT(ROW()-1,19)+2)</f>
        <v>41717</v>
      </c>
      <c r="DJ3470" s="4">
        <f>INDEX(Sheet2!C:C,QUOTIENT(ROW()-1,19)+2)</f>
        <v>42369</v>
      </c>
      <c r="DK3470" s="4" t="e">
        <f>INDEX(Sheet2!$AA$2:$AS$228,QUOTIENT(ROW()-1,19)+1,MOD(ROW()-2,19)+1)</f>
        <v>#N/A</v>
      </c>
      <c r="DL3470" t="str">
        <f>IFERROR(INDEX(Sheet2!$AU$2:$BM$228,QUOTIENT(ROW()-1,19)+1,MOD(ROW()-2,19)+1),NA())</f>
        <v/>
      </c>
      <c r="DM3470" s="4" t="e">
        <f t="shared" si="183"/>
        <v>#N/A</v>
      </c>
      <c r="DN3470" t="e">
        <f t="shared" si="184"/>
        <v>#N/A</v>
      </c>
      <c r="DO3470" t="e">
        <f t="shared" si="185"/>
        <v>#N/A</v>
      </c>
    </row>
    <row r="3471" spans="7:119" x14ac:dyDescent="0.25">
      <c r="G3471"/>
      <c r="DI3471" s="4">
        <f>INDEX(Sheet2!A:A,QUOTIENT(ROW()-1,19)+2)</f>
        <v>41717</v>
      </c>
      <c r="DJ3471" s="4">
        <f>INDEX(Sheet2!C:C,QUOTIENT(ROW()-1,19)+2)</f>
        <v>42369</v>
      </c>
      <c r="DK3471" s="4" t="e">
        <f>INDEX(Sheet2!$AA$2:$AS$228,QUOTIENT(ROW()-1,19)+1,MOD(ROW()-2,19)+1)</f>
        <v>#N/A</v>
      </c>
      <c r="DL3471" t="str">
        <f>IFERROR(INDEX(Sheet2!$AU$2:$BM$228,QUOTIENT(ROW()-1,19)+1,MOD(ROW()-2,19)+1),NA())</f>
        <v/>
      </c>
      <c r="DM3471" s="4" t="e">
        <f t="shared" si="183"/>
        <v>#N/A</v>
      </c>
      <c r="DN3471" t="e">
        <f t="shared" si="184"/>
        <v>#N/A</v>
      </c>
      <c r="DO3471" t="e">
        <f t="shared" si="185"/>
        <v>#N/A</v>
      </c>
    </row>
    <row r="3472" spans="7:119" x14ac:dyDescent="0.25">
      <c r="G3472"/>
      <c r="DI3472" s="4">
        <f>INDEX(Sheet2!A:A,QUOTIENT(ROW()-1,19)+2)</f>
        <v>41717</v>
      </c>
      <c r="DJ3472" s="4">
        <f>INDEX(Sheet2!C:C,QUOTIENT(ROW()-1,19)+2)</f>
        <v>42369</v>
      </c>
      <c r="DK3472" s="4" t="e">
        <f>INDEX(Sheet2!$AA$2:$AS$228,QUOTIENT(ROW()-1,19)+1,MOD(ROW()-2,19)+1)</f>
        <v>#N/A</v>
      </c>
      <c r="DL3472" t="str">
        <f>IFERROR(INDEX(Sheet2!$AU$2:$BM$228,QUOTIENT(ROW()-1,19)+1,MOD(ROW()-2,19)+1),NA())</f>
        <v/>
      </c>
      <c r="DM3472" s="4" t="e">
        <f t="shared" si="183"/>
        <v>#N/A</v>
      </c>
      <c r="DN3472" t="e">
        <f t="shared" si="184"/>
        <v>#N/A</v>
      </c>
      <c r="DO3472" t="e">
        <f t="shared" si="185"/>
        <v>#N/A</v>
      </c>
    </row>
    <row r="3473" spans="7:119" x14ac:dyDescent="0.25">
      <c r="G3473"/>
      <c r="DI3473" s="4">
        <f>INDEX(Sheet2!A:A,QUOTIENT(ROW()-1,19)+2)</f>
        <v>41717</v>
      </c>
      <c r="DJ3473" s="4">
        <f>INDEX(Sheet2!C:C,QUOTIENT(ROW()-1,19)+2)</f>
        <v>42369</v>
      </c>
      <c r="DK3473" s="4" t="e">
        <f>INDEX(Sheet2!$AA$2:$AS$228,QUOTIENT(ROW()-1,19)+1,MOD(ROW()-2,19)+1)</f>
        <v>#N/A</v>
      </c>
      <c r="DL3473" t="str">
        <f>IFERROR(INDEX(Sheet2!$AU$2:$BM$228,QUOTIENT(ROW()-1,19)+1,MOD(ROW()-2,19)+1),NA())</f>
        <v/>
      </c>
      <c r="DM3473" s="4" t="e">
        <f t="shared" si="183"/>
        <v>#N/A</v>
      </c>
      <c r="DN3473" t="e">
        <f t="shared" si="184"/>
        <v>#N/A</v>
      </c>
      <c r="DO3473" t="e">
        <f t="shared" si="185"/>
        <v>#N/A</v>
      </c>
    </row>
    <row r="3474" spans="7:119" x14ac:dyDescent="0.25">
      <c r="G3474"/>
      <c r="DI3474" s="4">
        <f>INDEX(Sheet2!A:A,QUOTIENT(ROW()-1,19)+2)</f>
        <v>41717</v>
      </c>
      <c r="DJ3474" s="4">
        <f>INDEX(Sheet2!C:C,QUOTIENT(ROW()-1,19)+2)</f>
        <v>42369</v>
      </c>
      <c r="DK3474" s="4" t="e">
        <f>INDEX(Sheet2!$AA$2:$AS$228,QUOTIENT(ROW()-1,19)+1,MOD(ROW()-2,19)+1)</f>
        <v>#N/A</v>
      </c>
      <c r="DL3474" t="str">
        <f>IFERROR(INDEX(Sheet2!$AU$2:$BM$228,QUOTIENT(ROW()-1,19)+1,MOD(ROW()-2,19)+1),NA())</f>
        <v/>
      </c>
      <c r="DM3474" s="4" t="e">
        <f t="shared" si="183"/>
        <v>#N/A</v>
      </c>
      <c r="DN3474" t="e">
        <f t="shared" si="184"/>
        <v>#N/A</v>
      </c>
      <c r="DO3474" t="e">
        <f t="shared" si="185"/>
        <v>#N/A</v>
      </c>
    </row>
    <row r="3475" spans="7:119" x14ac:dyDescent="0.25">
      <c r="G3475"/>
      <c r="DI3475" s="4">
        <f>INDEX(Sheet2!A:A,QUOTIENT(ROW()-1,19)+2)</f>
        <v>41717</v>
      </c>
      <c r="DJ3475" s="4">
        <f>INDEX(Sheet2!C:C,QUOTIENT(ROW()-1,19)+2)</f>
        <v>42369</v>
      </c>
      <c r="DK3475" s="4" t="e">
        <f>INDEX(Sheet2!$AA$2:$AS$228,QUOTIENT(ROW()-1,19)+1,MOD(ROW()-2,19)+1)</f>
        <v>#N/A</v>
      </c>
      <c r="DL3475" t="str">
        <f>IFERROR(INDEX(Sheet2!$AU$2:$BM$228,QUOTIENT(ROW()-1,19)+1,MOD(ROW()-2,19)+1),NA())</f>
        <v/>
      </c>
      <c r="DM3475" s="4" t="e">
        <f t="shared" si="183"/>
        <v>#N/A</v>
      </c>
      <c r="DN3475" t="e">
        <f t="shared" si="184"/>
        <v>#N/A</v>
      </c>
      <c r="DO3475" t="e">
        <f t="shared" si="185"/>
        <v>#N/A</v>
      </c>
    </row>
    <row r="3476" spans="7:119" x14ac:dyDescent="0.25">
      <c r="G3476"/>
      <c r="DI3476" s="4">
        <f>INDEX(Sheet2!A:A,QUOTIENT(ROW()-1,19)+2)</f>
        <v>41717</v>
      </c>
      <c r="DJ3476" s="4">
        <f>INDEX(Sheet2!C:C,QUOTIENT(ROW()-1,19)+2)</f>
        <v>42369</v>
      </c>
      <c r="DK3476" s="4" t="e">
        <f>INDEX(Sheet2!$AA$2:$AS$228,QUOTIENT(ROW()-1,19)+1,MOD(ROW()-2,19)+1)</f>
        <v>#N/A</v>
      </c>
      <c r="DL3476" t="str">
        <f>IFERROR(INDEX(Sheet2!$AU$2:$BM$228,QUOTIENT(ROW()-1,19)+1,MOD(ROW()-2,19)+1),NA())</f>
        <v/>
      </c>
      <c r="DM3476" s="4" t="e">
        <f t="shared" si="183"/>
        <v>#N/A</v>
      </c>
      <c r="DN3476" t="e">
        <f t="shared" si="184"/>
        <v>#N/A</v>
      </c>
      <c r="DO3476" t="e">
        <f t="shared" si="185"/>
        <v>#N/A</v>
      </c>
    </row>
    <row r="3477" spans="7:119" x14ac:dyDescent="0.25">
      <c r="G3477"/>
      <c r="DI3477" s="4">
        <f>INDEX(Sheet2!A:A,QUOTIENT(ROW()-1,19)+2)</f>
        <v>41717</v>
      </c>
      <c r="DJ3477" s="4">
        <f>INDEX(Sheet2!C:C,QUOTIENT(ROW()-1,19)+2)</f>
        <v>42369</v>
      </c>
      <c r="DK3477" s="4" t="e">
        <f>INDEX(Sheet2!$AA$2:$AS$228,QUOTIENT(ROW()-1,19)+1,MOD(ROW()-2,19)+1)</f>
        <v>#N/A</v>
      </c>
      <c r="DL3477" t="str">
        <f>IFERROR(INDEX(Sheet2!$AU$2:$BM$228,QUOTIENT(ROW()-1,19)+1,MOD(ROW()-2,19)+1),NA())</f>
        <v/>
      </c>
      <c r="DM3477" s="4" t="e">
        <f t="shared" si="183"/>
        <v>#N/A</v>
      </c>
      <c r="DN3477" t="e">
        <f t="shared" si="184"/>
        <v>#N/A</v>
      </c>
      <c r="DO3477" t="e">
        <f t="shared" si="185"/>
        <v>#N/A</v>
      </c>
    </row>
    <row r="3478" spans="7:119" x14ac:dyDescent="0.25">
      <c r="G3478"/>
      <c r="DI3478" s="4">
        <f>INDEX(Sheet2!A:A,QUOTIENT(ROW()-1,19)+2)</f>
        <v>41717</v>
      </c>
      <c r="DJ3478" s="4">
        <f>INDEX(Sheet2!C:C,QUOTIENT(ROW()-1,19)+2)</f>
        <v>42735</v>
      </c>
      <c r="DK3478" s="4" t="e">
        <f>INDEX(Sheet2!$AA$2:$AS$228,QUOTIENT(ROW()-1,19)+1,MOD(ROW()-2,19)+1)</f>
        <v>#N/A</v>
      </c>
      <c r="DL3478" t="str">
        <f>IFERROR(INDEX(Sheet2!$AU$2:$BM$228,QUOTIENT(ROW()-1,19)+1,MOD(ROW()-2,19)+1),NA())</f>
        <v/>
      </c>
      <c r="DM3478" s="4" t="e">
        <f t="shared" si="183"/>
        <v>#N/A</v>
      </c>
      <c r="DN3478" t="e">
        <f t="shared" si="184"/>
        <v>#N/A</v>
      </c>
      <c r="DO3478" t="e">
        <f t="shared" si="185"/>
        <v>#N/A</v>
      </c>
    </row>
    <row r="3479" spans="7:119" x14ac:dyDescent="0.25">
      <c r="G3479"/>
      <c r="DI3479" s="4">
        <f>INDEX(Sheet2!A:A,QUOTIENT(ROW()-1,19)+2)</f>
        <v>41717</v>
      </c>
      <c r="DJ3479" s="4">
        <f>INDEX(Sheet2!C:C,QUOTIENT(ROW()-1,19)+2)</f>
        <v>42735</v>
      </c>
      <c r="DK3479" s="4">
        <f>INDEX(Sheet2!$AA$2:$AS$228,QUOTIENT(ROW()-1,19)+1,MOD(ROW()-2,19)+1)</f>
        <v>42735</v>
      </c>
      <c r="DL3479">
        <f>IFERROR(INDEX(Sheet2!$AU$2:$BM$228,QUOTIENT(ROW()-1,19)+1,MOD(ROW()-2,19)+1),NA())</f>
        <v>0.75</v>
      </c>
      <c r="DM3479" s="4" t="e">
        <f t="shared" si="183"/>
        <v>#N/A</v>
      </c>
      <c r="DN3479" t="e">
        <f t="shared" si="184"/>
        <v>#N/A</v>
      </c>
      <c r="DO3479" t="e">
        <f t="shared" si="185"/>
        <v>#N/A</v>
      </c>
    </row>
    <row r="3480" spans="7:119" x14ac:dyDescent="0.25">
      <c r="G3480"/>
      <c r="DI3480" s="4">
        <f>INDEX(Sheet2!A:A,QUOTIENT(ROW()-1,19)+2)</f>
        <v>41717</v>
      </c>
      <c r="DJ3480" s="4">
        <f>INDEX(Sheet2!C:C,QUOTIENT(ROW()-1,19)+2)</f>
        <v>42735</v>
      </c>
      <c r="DK3480" s="4" t="e">
        <f>INDEX(Sheet2!$AA$2:$AS$228,QUOTIENT(ROW()-1,19)+1,MOD(ROW()-2,19)+1)</f>
        <v>#N/A</v>
      </c>
      <c r="DL3480" t="str">
        <f>IFERROR(INDEX(Sheet2!$AU$2:$BM$228,QUOTIENT(ROW()-1,19)+1,MOD(ROW()-2,19)+1),NA())</f>
        <v/>
      </c>
      <c r="DM3480" s="4" t="e">
        <f t="shared" si="183"/>
        <v>#N/A</v>
      </c>
      <c r="DN3480" t="e">
        <f t="shared" si="184"/>
        <v>#N/A</v>
      </c>
      <c r="DO3480" t="e">
        <f t="shared" si="185"/>
        <v>#N/A</v>
      </c>
    </row>
    <row r="3481" spans="7:119" x14ac:dyDescent="0.25">
      <c r="G3481"/>
      <c r="DI3481" s="4">
        <f>INDEX(Sheet2!A:A,QUOTIENT(ROW()-1,19)+2)</f>
        <v>41717</v>
      </c>
      <c r="DJ3481" s="4">
        <f>INDEX(Sheet2!C:C,QUOTIENT(ROW()-1,19)+2)</f>
        <v>42735</v>
      </c>
      <c r="DK3481" s="4" t="e">
        <f>INDEX(Sheet2!$AA$2:$AS$228,QUOTIENT(ROW()-1,19)+1,MOD(ROW()-2,19)+1)</f>
        <v>#N/A</v>
      </c>
      <c r="DL3481" t="str">
        <f>IFERROR(INDEX(Sheet2!$AU$2:$BM$228,QUOTIENT(ROW()-1,19)+1,MOD(ROW()-2,19)+1),NA())</f>
        <v/>
      </c>
      <c r="DM3481" s="4" t="e">
        <f t="shared" si="183"/>
        <v>#N/A</v>
      </c>
      <c r="DN3481" t="e">
        <f t="shared" si="184"/>
        <v>#N/A</v>
      </c>
      <c r="DO3481" t="e">
        <f t="shared" si="185"/>
        <v>#N/A</v>
      </c>
    </row>
    <row r="3482" spans="7:119" x14ac:dyDescent="0.25">
      <c r="G3482"/>
      <c r="DI3482" s="4">
        <f>INDEX(Sheet2!A:A,QUOTIENT(ROW()-1,19)+2)</f>
        <v>41717</v>
      </c>
      <c r="DJ3482" s="4">
        <f>INDEX(Sheet2!C:C,QUOTIENT(ROW()-1,19)+2)</f>
        <v>42735</v>
      </c>
      <c r="DK3482" s="4" t="e">
        <f>INDEX(Sheet2!$AA$2:$AS$228,QUOTIENT(ROW()-1,19)+1,MOD(ROW()-2,19)+1)</f>
        <v>#N/A</v>
      </c>
      <c r="DL3482" t="str">
        <f>IFERROR(INDEX(Sheet2!$AU$2:$BM$228,QUOTIENT(ROW()-1,19)+1,MOD(ROW()-2,19)+1),NA())</f>
        <v/>
      </c>
      <c r="DM3482" s="4" t="e">
        <f t="shared" si="183"/>
        <v>#N/A</v>
      </c>
      <c r="DN3482" t="e">
        <f t="shared" si="184"/>
        <v>#N/A</v>
      </c>
      <c r="DO3482" t="e">
        <f t="shared" si="185"/>
        <v>#N/A</v>
      </c>
    </row>
    <row r="3483" spans="7:119" x14ac:dyDescent="0.25">
      <c r="G3483"/>
      <c r="DI3483" s="4">
        <f>INDEX(Sheet2!A:A,QUOTIENT(ROW()-1,19)+2)</f>
        <v>41717</v>
      </c>
      <c r="DJ3483" s="4">
        <f>INDEX(Sheet2!C:C,QUOTIENT(ROW()-1,19)+2)</f>
        <v>42735</v>
      </c>
      <c r="DK3483" s="4" t="e">
        <f>INDEX(Sheet2!$AA$2:$AS$228,QUOTIENT(ROW()-1,19)+1,MOD(ROW()-2,19)+1)</f>
        <v>#N/A</v>
      </c>
      <c r="DL3483" t="str">
        <f>IFERROR(INDEX(Sheet2!$AU$2:$BM$228,QUOTIENT(ROW()-1,19)+1,MOD(ROW()-2,19)+1),NA())</f>
        <v/>
      </c>
      <c r="DM3483" s="4" t="e">
        <f t="shared" si="183"/>
        <v>#N/A</v>
      </c>
      <c r="DN3483" t="e">
        <f t="shared" si="184"/>
        <v>#N/A</v>
      </c>
      <c r="DO3483" t="e">
        <f t="shared" si="185"/>
        <v>#N/A</v>
      </c>
    </row>
    <row r="3484" spans="7:119" x14ac:dyDescent="0.25">
      <c r="G3484"/>
      <c r="DI3484" s="4">
        <f>INDEX(Sheet2!A:A,QUOTIENT(ROW()-1,19)+2)</f>
        <v>41717</v>
      </c>
      <c r="DJ3484" s="4">
        <f>INDEX(Sheet2!C:C,QUOTIENT(ROW()-1,19)+2)</f>
        <v>42735</v>
      </c>
      <c r="DK3484" s="4" t="e">
        <f>INDEX(Sheet2!$AA$2:$AS$228,QUOTIENT(ROW()-1,19)+1,MOD(ROW()-2,19)+1)</f>
        <v>#N/A</v>
      </c>
      <c r="DL3484" t="str">
        <f>IFERROR(INDEX(Sheet2!$AU$2:$BM$228,QUOTIENT(ROW()-1,19)+1,MOD(ROW()-2,19)+1),NA())</f>
        <v/>
      </c>
      <c r="DM3484" s="4" t="e">
        <f t="shared" si="183"/>
        <v>#N/A</v>
      </c>
      <c r="DN3484" t="e">
        <f t="shared" si="184"/>
        <v>#N/A</v>
      </c>
      <c r="DO3484" t="e">
        <f t="shared" si="185"/>
        <v>#N/A</v>
      </c>
    </row>
    <row r="3485" spans="7:119" x14ac:dyDescent="0.25">
      <c r="G3485"/>
      <c r="DI3485" s="4">
        <f>INDEX(Sheet2!A:A,QUOTIENT(ROW()-1,19)+2)</f>
        <v>41717</v>
      </c>
      <c r="DJ3485" s="4">
        <f>INDEX(Sheet2!C:C,QUOTIENT(ROW()-1,19)+2)</f>
        <v>42735</v>
      </c>
      <c r="DK3485" s="4" t="e">
        <f>INDEX(Sheet2!$AA$2:$AS$228,QUOTIENT(ROW()-1,19)+1,MOD(ROW()-2,19)+1)</f>
        <v>#N/A</v>
      </c>
      <c r="DL3485" t="str">
        <f>IFERROR(INDEX(Sheet2!$AU$2:$BM$228,QUOTIENT(ROW()-1,19)+1,MOD(ROW()-2,19)+1),NA())</f>
        <v/>
      </c>
      <c r="DM3485" s="4" t="e">
        <f t="shared" si="183"/>
        <v>#N/A</v>
      </c>
      <c r="DN3485" t="e">
        <f t="shared" si="184"/>
        <v>#N/A</v>
      </c>
      <c r="DO3485" t="e">
        <f t="shared" si="185"/>
        <v>#N/A</v>
      </c>
    </row>
    <row r="3486" spans="7:119" x14ac:dyDescent="0.25">
      <c r="G3486"/>
      <c r="DI3486" s="4">
        <f>INDEX(Sheet2!A:A,QUOTIENT(ROW()-1,19)+2)</f>
        <v>41717</v>
      </c>
      <c r="DJ3486" s="4">
        <f>INDEX(Sheet2!C:C,QUOTIENT(ROW()-1,19)+2)</f>
        <v>42735</v>
      </c>
      <c r="DK3486" s="4" t="e">
        <f>INDEX(Sheet2!$AA$2:$AS$228,QUOTIENT(ROW()-1,19)+1,MOD(ROW()-2,19)+1)</f>
        <v>#N/A</v>
      </c>
      <c r="DL3486" t="str">
        <f>IFERROR(INDEX(Sheet2!$AU$2:$BM$228,QUOTIENT(ROW()-1,19)+1,MOD(ROW()-2,19)+1),NA())</f>
        <v/>
      </c>
      <c r="DM3486" s="4" t="e">
        <f t="shared" si="183"/>
        <v>#N/A</v>
      </c>
      <c r="DN3486" t="e">
        <f t="shared" si="184"/>
        <v>#N/A</v>
      </c>
      <c r="DO3486" t="e">
        <f t="shared" si="185"/>
        <v>#N/A</v>
      </c>
    </row>
    <row r="3487" spans="7:119" x14ac:dyDescent="0.25">
      <c r="G3487"/>
      <c r="DI3487" s="4">
        <f>INDEX(Sheet2!A:A,QUOTIENT(ROW()-1,19)+2)</f>
        <v>41717</v>
      </c>
      <c r="DJ3487" s="4">
        <f>INDEX(Sheet2!C:C,QUOTIENT(ROW()-1,19)+2)</f>
        <v>42735</v>
      </c>
      <c r="DK3487" s="4" t="e">
        <f>INDEX(Sheet2!$AA$2:$AS$228,QUOTIENT(ROW()-1,19)+1,MOD(ROW()-2,19)+1)</f>
        <v>#N/A</v>
      </c>
      <c r="DL3487" t="str">
        <f>IFERROR(INDEX(Sheet2!$AU$2:$BM$228,QUOTIENT(ROW()-1,19)+1,MOD(ROW()-2,19)+1),NA())</f>
        <v/>
      </c>
      <c r="DM3487" s="4" t="e">
        <f t="shared" si="183"/>
        <v>#N/A</v>
      </c>
      <c r="DN3487" t="e">
        <f t="shared" si="184"/>
        <v>#N/A</v>
      </c>
      <c r="DO3487" t="e">
        <f t="shared" si="185"/>
        <v>#N/A</v>
      </c>
    </row>
    <row r="3488" spans="7:119" x14ac:dyDescent="0.25">
      <c r="G3488"/>
      <c r="DI3488" s="4">
        <f>INDEX(Sheet2!A:A,QUOTIENT(ROW()-1,19)+2)</f>
        <v>41717</v>
      </c>
      <c r="DJ3488" s="4">
        <f>INDEX(Sheet2!C:C,QUOTIENT(ROW()-1,19)+2)</f>
        <v>42735</v>
      </c>
      <c r="DK3488" s="4" t="e">
        <f>INDEX(Sheet2!$AA$2:$AS$228,QUOTIENT(ROW()-1,19)+1,MOD(ROW()-2,19)+1)</f>
        <v>#N/A</v>
      </c>
      <c r="DL3488" t="str">
        <f>IFERROR(INDEX(Sheet2!$AU$2:$BM$228,QUOTIENT(ROW()-1,19)+1,MOD(ROW()-2,19)+1),NA())</f>
        <v/>
      </c>
      <c r="DM3488" s="4" t="e">
        <f t="shared" si="183"/>
        <v>#N/A</v>
      </c>
      <c r="DN3488" t="e">
        <f t="shared" si="184"/>
        <v>#N/A</v>
      </c>
      <c r="DO3488" t="e">
        <f t="shared" si="185"/>
        <v>#N/A</v>
      </c>
    </row>
    <row r="3489" spans="7:119" x14ac:dyDescent="0.25">
      <c r="G3489"/>
      <c r="DI3489" s="4">
        <f>INDEX(Sheet2!A:A,QUOTIENT(ROW()-1,19)+2)</f>
        <v>41717</v>
      </c>
      <c r="DJ3489" s="4">
        <f>INDEX(Sheet2!C:C,QUOTIENT(ROW()-1,19)+2)</f>
        <v>42735</v>
      </c>
      <c r="DK3489" s="4" t="e">
        <f>INDEX(Sheet2!$AA$2:$AS$228,QUOTIENT(ROW()-1,19)+1,MOD(ROW()-2,19)+1)</f>
        <v>#N/A</v>
      </c>
      <c r="DL3489" t="str">
        <f>IFERROR(INDEX(Sheet2!$AU$2:$BM$228,QUOTIENT(ROW()-1,19)+1,MOD(ROW()-2,19)+1),NA())</f>
        <v/>
      </c>
      <c r="DM3489" s="4" t="e">
        <f t="shared" si="183"/>
        <v>#N/A</v>
      </c>
      <c r="DN3489" t="e">
        <f t="shared" si="184"/>
        <v>#N/A</v>
      </c>
      <c r="DO3489" t="e">
        <f t="shared" si="185"/>
        <v>#N/A</v>
      </c>
    </row>
    <row r="3490" spans="7:119" x14ac:dyDescent="0.25">
      <c r="G3490"/>
      <c r="DI3490" s="4">
        <f>INDEX(Sheet2!A:A,QUOTIENT(ROW()-1,19)+2)</f>
        <v>41717</v>
      </c>
      <c r="DJ3490" s="4">
        <f>INDEX(Sheet2!C:C,QUOTIENT(ROW()-1,19)+2)</f>
        <v>42735</v>
      </c>
      <c r="DK3490" s="4" t="e">
        <f>INDEX(Sheet2!$AA$2:$AS$228,QUOTIENT(ROW()-1,19)+1,MOD(ROW()-2,19)+1)</f>
        <v>#N/A</v>
      </c>
      <c r="DL3490" t="str">
        <f>IFERROR(INDEX(Sheet2!$AU$2:$BM$228,QUOTIENT(ROW()-1,19)+1,MOD(ROW()-2,19)+1),NA())</f>
        <v/>
      </c>
      <c r="DM3490" s="4" t="e">
        <f t="shared" si="183"/>
        <v>#N/A</v>
      </c>
      <c r="DN3490" t="e">
        <f t="shared" si="184"/>
        <v>#N/A</v>
      </c>
      <c r="DO3490" t="e">
        <f t="shared" si="185"/>
        <v>#N/A</v>
      </c>
    </row>
    <row r="3491" spans="7:119" x14ac:dyDescent="0.25">
      <c r="G3491"/>
      <c r="DI3491" s="4">
        <f>INDEX(Sheet2!A:A,QUOTIENT(ROW()-1,19)+2)</f>
        <v>41717</v>
      </c>
      <c r="DJ3491" s="4">
        <f>INDEX(Sheet2!C:C,QUOTIENT(ROW()-1,19)+2)</f>
        <v>42735</v>
      </c>
      <c r="DK3491" s="4" t="e">
        <f>INDEX(Sheet2!$AA$2:$AS$228,QUOTIENT(ROW()-1,19)+1,MOD(ROW()-2,19)+1)</f>
        <v>#N/A</v>
      </c>
      <c r="DL3491" t="str">
        <f>IFERROR(INDEX(Sheet2!$AU$2:$BM$228,QUOTIENT(ROW()-1,19)+1,MOD(ROW()-2,19)+1),NA())</f>
        <v/>
      </c>
      <c r="DM3491" s="4" t="e">
        <f t="shared" si="183"/>
        <v>#N/A</v>
      </c>
      <c r="DN3491" t="e">
        <f t="shared" si="184"/>
        <v>#N/A</v>
      </c>
      <c r="DO3491" t="e">
        <f t="shared" si="185"/>
        <v>#N/A</v>
      </c>
    </row>
    <row r="3492" spans="7:119" x14ac:dyDescent="0.25">
      <c r="G3492"/>
      <c r="DI3492" s="4">
        <f>INDEX(Sheet2!A:A,QUOTIENT(ROW()-1,19)+2)</f>
        <v>41717</v>
      </c>
      <c r="DJ3492" s="4">
        <f>INDEX(Sheet2!C:C,QUOTIENT(ROW()-1,19)+2)</f>
        <v>42735</v>
      </c>
      <c r="DK3492" s="4" t="e">
        <f>INDEX(Sheet2!$AA$2:$AS$228,QUOTIENT(ROW()-1,19)+1,MOD(ROW()-2,19)+1)</f>
        <v>#N/A</v>
      </c>
      <c r="DL3492" t="str">
        <f>IFERROR(INDEX(Sheet2!$AU$2:$BM$228,QUOTIENT(ROW()-1,19)+1,MOD(ROW()-2,19)+1),NA())</f>
        <v/>
      </c>
      <c r="DM3492" s="4" t="e">
        <f t="shared" si="183"/>
        <v>#N/A</v>
      </c>
      <c r="DN3492" t="e">
        <f t="shared" si="184"/>
        <v>#N/A</v>
      </c>
      <c r="DO3492" t="e">
        <f t="shared" si="185"/>
        <v>#N/A</v>
      </c>
    </row>
    <row r="3493" spans="7:119" x14ac:dyDescent="0.25">
      <c r="G3493"/>
      <c r="DI3493" s="4">
        <f>INDEX(Sheet2!A:A,QUOTIENT(ROW()-1,19)+2)</f>
        <v>41717</v>
      </c>
      <c r="DJ3493" s="4">
        <f>INDEX(Sheet2!C:C,QUOTIENT(ROW()-1,19)+2)</f>
        <v>42735</v>
      </c>
      <c r="DK3493" s="4" t="e">
        <f>INDEX(Sheet2!$AA$2:$AS$228,QUOTIENT(ROW()-1,19)+1,MOD(ROW()-2,19)+1)</f>
        <v>#N/A</v>
      </c>
      <c r="DL3493" t="str">
        <f>IFERROR(INDEX(Sheet2!$AU$2:$BM$228,QUOTIENT(ROW()-1,19)+1,MOD(ROW()-2,19)+1),NA())</f>
        <v/>
      </c>
      <c r="DM3493" s="4" t="e">
        <f t="shared" si="183"/>
        <v>#N/A</v>
      </c>
      <c r="DN3493" t="e">
        <f t="shared" si="184"/>
        <v>#N/A</v>
      </c>
      <c r="DO3493" t="e">
        <f t="shared" si="185"/>
        <v>#N/A</v>
      </c>
    </row>
    <row r="3494" spans="7:119" x14ac:dyDescent="0.25">
      <c r="G3494"/>
      <c r="DI3494" s="4">
        <f>INDEX(Sheet2!A:A,QUOTIENT(ROW()-1,19)+2)</f>
        <v>41717</v>
      </c>
      <c r="DJ3494" s="4">
        <f>INDEX(Sheet2!C:C,QUOTIENT(ROW()-1,19)+2)</f>
        <v>42735</v>
      </c>
      <c r="DK3494" s="4" t="e">
        <f>INDEX(Sheet2!$AA$2:$AS$228,QUOTIENT(ROW()-1,19)+1,MOD(ROW()-2,19)+1)</f>
        <v>#N/A</v>
      </c>
      <c r="DL3494" t="str">
        <f>IFERROR(INDEX(Sheet2!$AU$2:$BM$228,QUOTIENT(ROW()-1,19)+1,MOD(ROW()-2,19)+1),NA())</f>
        <v/>
      </c>
      <c r="DM3494" s="4" t="e">
        <f t="shared" si="183"/>
        <v>#N/A</v>
      </c>
      <c r="DN3494" t="e">
        <f t="shared" si="184"/>
        <v>#N/A</v>
      </c>
      <c r="DO3494" t="e">
        <f t="shared" si="185"/>
        <v>#N/A</v>
      </c>
    </row>
    <row r="3495" spans="7:119" x14ac:dyDescent="0.25">
      <c r="G3495"/>
      <c r="DI3495" s="4">
        <f>INDEX(Sheet2!A:A,QUOTIENT(ROW()-1,19)+2)</f>
        <v>41717</v>
      </c>
      <c r="DJ3495" s="4">
        <f>INDEX(Sheet2!C:C,QUOTIENT(ROW()-1,19)+2)</f>
        <v>42735</v>
      </c>
      <c r="DK3495" s="4" t="e">
        <f>INDEX(Sheet2!$AA$2:$AS$228,QUOTIENT(ROW()-1,19)+1,MOD(ROW()-2,19)+1)</f>
        <v>#N/A</v>
      </c>
      <c r="DL3495" t="str">
        <f>IFERROR(INDEX(Sheet2!$AU$2:$BM$228,QUOTIENT(ROW()-1,19)+1,MOD(ROW()-2,19)+1),NA())</f>
        <v/>
      </c>
      <c r="DM3495" s="4" t="e">
        <f t="shared" si="183"/>
        <v>#N/A</v>
      </c>
      <c r="DN3495" t="e">
        <f t="shared" si="184"/>
        <v>#N/A</v>
      </c>
      <c r="DO3495" t="e">
        <f t="shared" si="185"/>
        <v>#N/A</v>
      </c>
    </row>
    <row r="3496" spans="7:119" x14ac:dyDescent="0.25">
      <c r="G3496"/>
      <c r="DI3496" s="4">
        <f>INDEX(Sheet2!A:A,QUOTIENT(ROW()-1,19)+2)</f>
        <v>41717</v>
      </c>
      <c r="DJ3496" s="4">
        <f>INDEX(Sheet2!C:C,QUOTIENT(ROW()-1,19)+2)</f>
        <v>42735</v>
      </c>
      <c r="DK3496" s="4" t="e">
        <f>INDEX(Sheet2!$AA$2:$AS$228,QUOTIENT(ROW()-1,19)+1,MOD(ROW()-2,19)+1)</f>
        <v>#N/A</v>
      </c>
      <c r="DL3496" t="str">
        <f>IFERROR(INDEX(Sheet2!$AU$2:$BM$228,QUOTIENT(ROW()-1,19)+1,MOD(ROW()-2,19)+1),NA())</f>
        <v/>
      </c>
      <c r="DM3496" s="4" t="e">
        <f t="shared" si="183"/>
        <v>#N/A</v>
      </c>
      <c r="DN3496" t="e">
        <f t="shared" si="184"/>
        <v>#N/A</v>
      </c>
      <c r="DO3496" t="e">
        <f t="shared" si="185"/>
        <v>#N/A</v>
      </c>
    </row>
    <row r="3497" spans="7:119" x14ac:dyDescent="0.25">
      <c r="G3497"/>
      <c r="DI3497" s="4">
        <f>INDEX(Sheet2!A:A,QUOTIENT(ROW()-1,19)+2)</f>
        <v>41717</v>
      </c>
      <c r="DJ3497" s="4">
        <f>INDEX(Sheet2!C:C,QUOTIENT(ROW()-1,19)+2)</f>
        <v>42735</v>
      </c>
      <c r="DK3497" s="4" t="e">
        <f>INDEX(Sheet2!$AA$2:$AS$228,QUOTIENT(ROW()-1,19)+1,MOD(ROW()-2,19)+1)</f>
        <v>#N/A</v>
      </c>
      <c r="DL3497" t="str">
        <f>IFERROR(INDEX(Sheet2!$AU$2:$BM$228,QUOTIENT(ROW()-1,19)+1,MOD(ROW()-2,19)+1),NA())</f>
        <v/>
      </c>
      <c r="DM3497" s="4" t="e">
        <f t="shared" si="183"/>
        <v>#N/A</v>
      </c>
      <c r="DN3497" t="e">
        <f t="shared" si="184"/>
        <v>#N/A</v>
      </c>
      <c r="DO3497" t="e">
        <f t="shared" si="185"/>
        <v>#N/A</v>
      </c>
    </row>
    <row r="3498" spans="7:119" x14ac:dyDescent="0.25">
      <c r="G3498"/>
      <c r="DI3498" s="4">
        <f>INDEX(Sheet2!A:A,QUOTIENT(ROW()-1,19)+2)</f>
        <v>41717</v>
      </c>
      <c r="DJ3498" s="4">
        <f>INDEX(Sheet2!C:C,QUOTIENT(ROW()-1,19)+2)</f>
        <v>42735</v>
      </c>
      <c r="DK3498" s="4">
        <f>INDEX(Sheet2!$AA$2:$AS$228,QUOTIENT(ROW()-1,19)+1,MOD(ROW()-2,19)+1)</f>
        <v>42735</v>
      </c>
      <c r="DL3498">
        <f>IFERROR(INDEX(Sheet2!$AU$2:$BM$228,QUOTIENT(ROW()-1,19)+1,MOD(ROW()-2,19)+1),NA())</f>
        <v>1.25</v>
      </c>
      <c r="DM3498" s="4" t="e">
        <f t="shared" si="183"/>
        <v>#N/A</v>
      </c>
      <c r="DN3498" t="e">
        <f t="shared" si="184"/>
        <v>#N/A</v>
      </c>
      <c r="DO3498" t="e">
        <f t="shared" si="185"/>
        <v>#N/A</v>
      </c>
    </row>
    <row r="3499" spans="7:119" x14ac:dyDescent="0.25">
      <c r="G3499"/>
      <c r="DI3499" s="4">
        <f>INDEX(Sheet2!A:A,QUOTIENT(ROW()-1,19)+2)</f>
        <v>41717</v>
      </c>
      <c r="DJ3499" s="4">
        <f>INDEX(Sheet2!C:C,QUOTIENT(ROW()-1,19)+2)</f>
        <v>42735</v>
      </c>
      <c r="DK3499" s="4" t="e">
        <f>INDEX(Sheet2!$AA$2:$AS$228,QUOTIENT(ROW()-1,19)+1,MOD(ROW()-2,19)+1)</f>
        <v>#N/A</v>
      </c>
      <c r="DL3499" t="str">
        <f>IFERROR(INDEX(Sheet2!$AU$2:$BM$228,QUOTIENT(ROW()-1,19)+1,MOD(ROW()-2,19)+1),NA())</f>
        <v/>
      </c>
      <c r="DM3499" s="4" t="e">
        <f t="shared" si="183"/>
        <v>#N/A</v>
      </c>
      <c r="DN3499" t="e">
        <f t="shared" si="184"/>
        <v>#N/A</v>
      </c>
      <c r="DO3499" t="e">
        <f t="shared" si="185"/>
        <v>#N/A</v>
      </c>
    </row>
    <row r="3500" spans="7:119" x14ac:dyDescent="0.25">
      <c r="G3500"/>
      <c r="DI3500" s="4">
        <f>INDEX(Sheet2!A:A,QUOTIENT(ROW()-1,19)+2)</f>
        <v>41717</v>
      </c>
      <c r="DJ3500" s="4">
        <f>INDEX(Sheet2!C:C,QUOTIENT(ROW()-1,19)+2)</f>
        <v>42735</v>
      </c>
      <c r="DK3500" s="4" t="e">
        <f>INDEX(Sheet2!$AA$2:$AS$228,QUOTIENT(ROW()-1,19)+1,MOD(ROW()-2,19)+1)</f>
        <v>#N/A</v>
      </c>
      <c r="DL3500" t="str">
        <f>IFERROR(INDEX(Sheet2!$AU$2:$BM$228,QUOTIENT(ROW()-1,19)+1,MOD(ROW()-2,19)+1),NA())</f>
        <v/>
      </c>
      <c r="DM3500" s="4" t="e">
        <f t="shared" si="183"/>
        <v>#N/A</v>
      </c>
      <c r="DN3500" t="e">
        <f t="shared" si="184"/>
        <v>#N/A</v>
      </c>
      <c r="DO3500" t="e">
        <f t="shared" si="185"/>
        <v>#N/A</v>
      </c>
    </row>
    <row r="3501" spans="7:119" x14ac:dyDescent="0.25">
      <c r="G3501"/>
      <c r="DI3501" s="4">
        <f>INDEX(Sheet2!A:A,QUOTIENT(ROW()-1,19)+2)</f>
        <v>41717</v>
      </c>
      <c r="DJ3501" s="4">
        <f>INDEX(Sheet2!C:C,QUOTIENT(ROW()-1,19)+2)</f>
        <v>42735</v>
      </c>
      <c r="DK3501" s="4" t="e">
        <f>INDEX(Sheet2!$AA$2:$AS$228,QUOTIENT(ROW()-1,19)+1,MOD(ROW()-2,19)+1)</f>
        <v>#N/A</v>
      </c>
      <c r="DL3501" t="str">
        <f>IFERROR(INDEX(Sheet2!$AU$2:$BM$228,QUOTIENT(ROW()-1,19)+1,MOD(ROW()-2,19)+1),NA())</f>
        <v/>
      </c>
      <c r="DM3501" s="4" t="e">
        <f t="shared" si="183"/>
        <v>#N/A</v>
      </c>
      <c r="DN3501" t="e">
        <f t="shared" si="184"/>
        <v>#N/A</v>
      </c>
      <c r="DO3501" t="e">
        <f t="shared" si="185"/>
        <v>#N/A</v>
      </c>
    </row>
    <row r="3502" spans="7:119" x14ac:dyDescent="0.25">
      <c r="G3502"/>
      <c r="DI3502" s="4">
        <f>INDEX(Sheet2!A:A,QUOTIENT(ROW()-1,19)+2)</f>
        <v>41717</v>
      </c>
      <c r="DJ3502" s="4">
        <f>INDEX(Sheet2!C:C,QUOTIENT(ROW()-1,19)+2)</f>
        <v>42735</v>
      </c>
      <c r="DK3502" s="4" t="e">
        <f>INDEX(Sheet2!$AA$2:$AS$228,QUOTIENT(ROW()-1,19)+1,MOD(ROW()-2,19)+1)</f>
        <v>#N/A</v>
      </c>
      <c r="DL3502" t="str">
        <f>IFERROR(INDEX(Sheet2!$AU$2:$BM$228,QUOTIENT(ROW()-1,19)+1,MOD(ROW()-2,19)+1),NA())</f>
        <v/>
      </c>
      <c r="DM3502" s="4" t="e">
        <f t="shared" si="183"/>
        <v>#N/A</v>
      </c>
      <c r="DN3502" t="e">
        <f t="shared" si="184"/>
        <v>#N/A</v>
      </c>
      <c r="DO3502" t="e">
        <f t="shared" si="185"/>
        <v>#N/A</v>
      </c>
    </row>
    <row r="3503" spans="7:119" x14ac:dyDescent="0.25">
      <c r="G3503"/>
      <c r="DI3503" s="4">
        <f>INDEX(Sheet2!A:A,QUOTIENT(ROW()-1,19)+2)</f>
        <v>41717</v>
      </c>
      <c r="DJ3503" s="4">
        <f>INDEX(Sheet2!C:C,QUOTIENT(ROW()-1,19)+2)</f>
        <v>42735</v>
      </c>
      <c r="DK3503" s="4" t="e">
        <f>INDEX(Sheet2!$AA$2:$AS$228,QUOTIENT(ROW()-1,19)+1,MOD(ROW()-2,19)+1)</f>
        <v>#N/A</v>
      </c>
      <c r="DL3503" t="str">
        <f>IFERROR(INDEX(Sheet2!$AU$2:$BM$228,QUOTIENT(ROW()-1,19)+1,MOD(ROW()-2,19)+1),NA())</f>
        <v/>
      </c>
      <c r="DM3503" s="4" t="e">
        <f t="shared" si="183"/>
        <v>#N/A</v>
      </c>
      <c r="DN3503" t="e">
        <f t="shared" si="184"/>
        <v>#N/A</v>
      </c>
      <c r="DO3503" t="e">
        <f t="shared" si="185"/>
        <v>#N/A</v>
      </c>
    </row>
    <row r="3504" spans="7:119" x14ac:dyDescent="0.25">
      <c r="G3504"/>
      <c r="DI3504" s="4">
        <f>INDEX(Sheet2!A:A,QUOTIENT(ROW()-1,19)+2)</f>
        <v>41717</v>
      </c>
      <c r="DJ3504" s="4">
        <f>INDEX(Sheet2!C:C,QUOTIENT(ROW()-1,19)+2)</f>
        <v>42735</v>
      </c>
      <c r="DK3504" s="4" t="e">
        <f>INDEX(Sheet2!$AA$2:$AS$228,QUOTIENT(ROW()-1,19)+1,MOD(ROW()-2,19)+1)</f>
        <v>#N/A</v>
      </c>
      <c r="DL3504" t="str">
        <f>IFERROR(INDEX(Sheet2!$AU$2:$BM$228,QUOTIENT(ROW()-1,19)+1,MOD(ROW()-2,19)+1),NA())</f>
        <v/>
      </c>
      <c r="DM3504" s="4" t="e">
        <f t="shared" si="183"/>
        <v>#N/A</v>
      </c>
      <c r="DN3504" t="e">
        <f t="shared" si="184"/>
        <v>#N/A</v>
      </c>
      <c r="DO3504" t="e">
        <f t="shared" si="185"/>
        <v>#N/A</v>
      </c>
    </row>
    <row r="3505" spans="7:119" x14ac:dyDescent="0.25">
      <c r="G3505"/>
      <c r="DI3505" s="4">
        <f>INDEX(Sheet2!A:A,QUOTIENT(ROW()-1,19)+2)</f>
        <v>41717</v>
      </c>
      <c r="DJ3505" s="4">
        <f>INDEX(Sheet2!C:C,QUOTIENT(ROW()-1,19)+2)</f>
        <v>42735</v>
      </c>
      <c r="DK3505" s="4" t="e">
        <f>INDEX(Sheet2!$AA$2:$AS$228,QUOTIENT(ROW()-1,19)+1,MOD(ROW()-2,19)+1)</f>
        <v>#N/A</v>
      </c>
      <c r="DL3505" t="str">
        <f>IFERROR(INDEX(Sheet2!$AU$2:$BM$228,QUOTIENT(ROW()-1,19)+1,MOD(ROW()-2,19)+1),NA())</f>
        <v/>
      </c>
      <c r="DM3505" s="4" t="e">
        <f t="shared" si="183"/>
        <v>#N/A</v>
      </c>
      <c r="DN3505" t="e">
        <f t="shared" si="184"/>
        <v>#N/A</v>
      </c>
      <c r="DO3505" t="e">
        <f t="shared" si="185"/>
        <v>#N/A</v>
      </c>
    </row>
    <row r="3506" spans="7:119" x14ac:dyDescent="0.25">
      <c r="G3506"/>
      <c r="DI3506" s="4">
        <f>INDEX(Sheet2!A:A,QUOTIENT(ROW()-1,19)+2)</f>
        <v>41717</v>
      </c>
      <c r="DJ3506" s="4">
        <f>INDEX(Sheet2!C:C,QUOTIENT(ROW()-1,19)+2)</f>
        <v>42735</v>
      </c>
      <c r="DK3506" s="4" t="e">
        <f>INDEX(Sheet2!$AA$2:$AS$228,QUOTIENT(ROW()-1,19)+1,MOD(ROW()-2,19)+1)</f>
        <v>#N/A</v>
      </c>
      <c r="DL3506" t="str">
        <f>IFERROR(INDEX(Sheet2!$AU$2:$BM$228,QUOTIENT(ROW()-1,19)+1,MOD(ROW()-2,19)+1),NA())</f>
        <v/>
      </c>
      <c r="DM3506" s="4" t="e">
        <f t="shared" si="183"/>
        <v>#N/A</v>
      </c>
      <c r="DN3506" t="e">
        <f t="shared" si="184"/>
        <v>#N/A</v>
      </c>
      <c r="DO3506" t="e">
        <f t="shared" si="185"/>
        <v>#N/A</v>
      </c>
    </row>
    <row r="3507" spans="7:119" x14ac:dyDescent="0.25">
      <c r="G3507"/>
      <c r="DI3507" s="4">
        <f>INDEX(Sheet2!A:A,QUOTIENT(ROW()-1,19)+2)</f>
        <v>41717</v>
      </c>
      <c r="DJ3507" s="4">
        <f>INDEX(Sheet2!C:C,QUOTIENT(ROW()-1,19)+2)</f>
        <v>42735</v>
      </c>
      <c r="DK3507" s="4" t="e">
        <f>INDEX(Sheet2!$AA$2:$AS$228,QUOTIENT(ROW()-1,19)+1,MOD(ROW()-2,19)+1)</f>
        <v>#N/A</v>
      </c>
      <c r="DL3507" t="str">
        <f>IFERROR(INDEX(Sheet2!$AU$2:$BM$228,QUOTIENT(ROW()-1,19)+1,MOD(ROW()-2,19)+1),NA())</f>
        <v/>
      </c>
      <c r="DM3507" s="4" t="e">
        <f t="shared" si="183"/>
        <v>#N/A</v>
      </c>
      <c r="DN3507" t="e">
        <f t="shared" si="184"/>
        <v>#N/A</v>
      </c>
      <c r="DO3507" t="e">
        <f t="shared" si="185"/>
        <v>#N/A</v>
      </c>
    </row>
    <row r="3508" spans="7:119" x14ac:dyDescent="0.25">
      <c r="G3508"/>
      <c r="DI3508" s="4">
        <f>INDEX(Sheet2!A:A,QUOTIENT(ROW()-1,19)+2)</f>
        <v>41717</v>
      </c>
      <c r="DJ3508" s="4">
        <f>INDEX(Sheet2!C:C,QUOTIENT(ROW()-1,19)+2)</f>
        <v>42735</v>
      </c>
      <c r="DK3508" s="4" t="e">
        <f>INDEX(Sheet2!$AA$2:$AS$228,QUOTIENT(ROW()-1,19)+1,MOD(ROW()-2,19)+1)</f>
        <v>#N/A</v>
      </c>
      <c r="DL3508" t="str">
        <f>IFERROR(INDEX(Sheet2!$AU$2:$BM$228,QUOTIENT(ROW()-1,19)+1,MOD(ROW()-2,19)+1),NA())</f>
        <v/>
      </c>
      <c r="DM3508" s="4" t="e">
        <f t="shared" si="183"/>
        <v>#N/A</v>
      </c>
      <c r="DN3508" t="e">
        <f t="shared" si="184"/>
        <v>#N/A</v>
      </c>
      <c r="DO3508" t="e">
        <f t="shared" si="185"/>
        <v>#N/A</v>
      </c>
    </row>
    <row r="3509" spans="7:119" x14ac:dyDescent="0.25">
      <c r="G3509"/>
      <c r="DI3509" s="4">
        <f>INDEX(Sheet2!A:A,QUOTIENT(ROW()-1,19)+2)</f>
        <v>41717</v>
      </c>
      <c r="DJ3509" s="4">
        <f>INDEX(Sheet2!C:C,QUOTIENT(ROW()-1,19)+2)</f>
        <v>42735</v>
      </c>
      <c r="DK3509" s="4" t="e">
        <f>INDEX(Sheet2!$AA$2:$AS$228,QUOTIENT(ROW()-1,19)+1,MOD(ROW()-2,19)+1)</f>
        <v>#N/A</v>
      </c>
      <c r="DL3509" t="str">
        <f>IFERROR(INDEX(Sheet2!$AU$2:$BM$228,QUOTIENT(ROW()-1,19)+1,MOD(ROW()-2,19)+1),NA())</f>
        <v/>
      </c>
      <c r="DM3509" s="4" t="e">
        <f t="shared" si="183"/>
        <v>#N/A</v>
      </c>
      <c r="DN3509" t="e">
        <f t="shared" si="184"/>
        <v>#N/A</v>
      </c>
      <c r="DO3509" t="e">
        <f t="shared" si="185"/>
        <v>#N/A</v>
      </c>
    </row>
    <row r="3510" spans="7:119" x14ac:dyDescent="0.25">
      <c r="G3510"/>
      <c r="DI3510" s="4">
        <f>INDEX(Sheet2!A:A,QUOTIENT(ROW()-1,19)+2)</f>
        <v>41717</v>
      </c>
      <c r="DJ3510" s="4">
        <f>INDEX(Sheet2!C:C,QUOTIENT(ROW()-1,19)+2)</f>
        <v>42735</v>
      </c>
      <c r="DK3510" s="4" t="e">
        <f>INDEX(Sheet2!$AA$2:$AS$228,QUOTIENT(ROW()-1,19)+1,MOD(ROW()-2,19)+1)</f>
        <v>#N/A</v>
      </c>
      <c r="DL3510" t="str">
        <f>IFERROR(INDEX(Sheet2!$AU$2:$BM$228,QUOTIENT(ROW()-1,19)+1,MOD(ROW()-2,19)+1),NA())</f>
        <v/>
      </c>
      <c r="DM3510" s="4" t="e">
        <f t="shared" si="183"/>
        <v>#N/A</v>
      </c>
      <c r="DN3510" t="e">
        <f t="shared" si="184"/>
        <v>#N/A</v>
      </c>
      <c r="DO3510" t="e">
        <f t="shared" si="185"/>
        <v>#N/A</v>
      </c>
    </row>
    <row r="3511" spans="7:119" x14ac:dyDescent="0.25">
      <c r="G3511"/>
      <c r="DI3511" s="4">
        <f>INDEX(Sheet2!A:A,QUOTIENT(ROW()-1,19)+2)</f>
        <v>41717</v>
      </c>
      <c r="DJ3511" s="4">
        <f>INDEX(Sheet2!C:C,QUOTIENT(ROW()-1,19)+2)</f>
        <v>42735</v>
      </c>
      <c r="DK3511" s="4" t="e">
        <f>INDEX(Sheet2!$AA$2:$AS$228,QUOTIENT(ROW()-1,19)+1,MOD(ROW()-2,19)+1)</f>
        <v>#N/A</v>
      </c>
      <c r="DL3511" t="str">
        <f>IFERROR(INDEX(Sheet2!$AU$2:$BM$228,QUOTIENT(ROW()-1,19)+1,MOD(ROW()-2,19)+1),NA())</f>
        <v/>
      </c>
      <c r="DM3511" s="4" t="e">
        <f t="shared" si="183"/>
        <v>#N/A</v>
      </c>
      <c r="DN3511" t="e">
        <f t="shared" si="184"/>
        <v>#N/A</v>
      </c>
      <c r="DO3511" t="e">
        <f t="shared" si="185"/>
        <v>#N/A</v>
      </c>
    </row>
    <row r="3512" spans="7:119" x14ac:dyDescent="0.25">
      <c r="G3512"/>
      <c r="DI3512" s="4">
        <f>INDEX(Sheet2!A:A,QUOTIENT(ROW()-1,19)+2)</f>
        <v>41717</v>
      </c>
      <c r="DJ3512" s="4">
        <f>INDEX(Sheet2!C:C,QUOTIENT(ROW()-1,19)+2)</f>
        <v>42735</v>
      </c>
      <c r="DK3512" s="4" t="e">
        <f>INDEX(Sheet2!$AA$2:$AS$228,QUOTIENT(ROW()-1,19)+1,MOD(ROW()-2,19)+1)</f>
        <v>#N/A</v>
      </c>
      <c r="DL3512" t="str">
        <f>IFERROR(INDEX(Sheet2!$AU$2:$BM$228,QUOTIENT(ROW()-1,19)+1,MOD(ROW()-2,19)+1),NA())</f>
        <v/>
      </c>
      <c r="DM3512" s="4" t="e">
        <f t="shared" si="183"/>
        <v>#N/A</v>
      </c>
      <c r="DN3512" t="e">
        <f t="shared" si="184"/>
        <v>#N/A</v>
      </c>
      <c r="DO3512" t="e">
        <f t="shared" si="185"/>
        <v>#N/A</v>
      </c>
    </row>
    <row r="3513" spans="7:119" x14ac:dyDescent="0.25">
      <c r="G3513"/>
      <c r="DI3513" s="4">
        <f>INDEX(Sheet2!A:A,QUOTIENT(ROW()-1,19)+2)</f>
        <v>41717</v>
      </c>
      <c r="DJ3513" s="4">
        <f>INDEX(Sheet2!C:C,QUOTIENT(ROW()-1,19)+2)</f>
        <v>42735</v>
      </c>
      <c r="DK3513" s="4" t="e">
        <f>INDEX(Sheet2!$AA$2:$AS$228,QUOTIENT(ROW()-1,19)+1,MOD(ROW()-2,19)+1)</f>
        <v>#N/A</v>
      </c>
      <c r="DL3513" t="str">
        <f>IFERROR(INDEX(Sheet2!$AU$2:$BM$228,QUOTIENT(ROW()-1,19)+1,MOD(ROW()-2,19)+1),NA())</f>
        <v/>
      </c>
      <c r="DM3513" s="4" t="e">
        <f t="shared" si="183"/>
        <v>#N/A</v>
      </c>
      <c r="DN3513" t="e">
        <f t="shared" si="184"/>
        <v>#N/A</v>
      </c>
      <c r="DO3513" t="e">
        <f t="shared" si="185"/>
        <v>#N/A</v>
      </c>
    </row>
    <row r="3514" spans="7:119" x14ac:dyDescent="0.25">
      <c r="G3514"/>
      <c r="DI3514" s="4">
        <f>INDEX(Sheet2!A:A,QUOTIENT(ROW()-1,19)+2)</f>
        <v>41717</v>
      </c>
      <c r="DJ3514" s="4">
        <f>INDEX(Sheet2!C:C,QUOTIENT(ROW()-1,19)+2)</f>
        <v>42735</v>
      </c>
      <c r="DK3514" s="4" t="e">
        <f>INDEX(Sheet2!$AA$2:$AS$228,QUOTIENT(ROW()-1,19)+1,MOD(ROW()-2,19)+1)</f>
        <v>#N/A</v>
      </c>
      <c r="DL3514" t="str">
        <f>IFERROR(INDEX(Sheet2!$AU$2:$BM$228,QUOTIENT(ROW()-1,19)+1,MOD(ROW()-2,19)+1),NA())</f>
        <v/>
      </c>
      <c r="DM3514" s="4" t="e">
        <f t="shared" si="183"/>
        <v>#N/A</v>
      </c>
      <c r="DN3514" t="e">
        <f t="shared" si="184"/>
        <v>#N/A</v>
      </c>
      <c r="DO3514" t="e">
        <f t="shared" si="185"/>
        <v>#N/A</v>
      </c>
    </row>
    <row r="3515" spans="7:119" x14ac:dyDescent="0.25">
      <c r="G3515"/>
      <c r="DI3515" s="4">
        <f>INDEX(Sheet2!A:A,QUOTIENT(ROW()-1,19)+2)</f>
        <v>41717</v>
      </c>
      <c r="DJ3515" s="4">
        <f>INDEX(Sheet2!C:C,QUOTIENT(ROW()-1,19)+2)</f>
        <v>42735</v>
      </c>
      <c r="DK3515" s="4" t="e">
        <f>INDEX(Sheet2!$AA$2:$AS$228,QUOTIENT(ROW()-1,19)+1,MOD(ROW()-2,19)+1)</f>
        <v>#N/A</v>
      </c>
      <c r="DL3515" t="str">
        <f>IFERROR(INDEX(Sheet2!$AU$2:$BM$228,QUOTIENT(ROW()-1,19)+1,MOD(ROW()-2,19)+1),NA())</f>
        <v/>
      </c>
      <c r="DM3515" s="4" t="e">
        <f t="shared" si="183"/>
        <v>#N/A</v>
      </c>
      <c r="DN3515" t="e">
        <f t="shared" si="184"/>
        <v>#N/A</v>
      </c>
      <c r="DO3515" t="e">
        <f t="shared" si="185"/>
        <v>#N/A</v>
      </c>
    </row>
    <row r="3516" spans="7:119" x14ac:dyDescent="0.25">
      <c r="G3516"/>
      <c r="DI3516" s="4">
        <f>INDEX(Sheet2!A:A,QUOTIENT(ROW()-1,19)+2)</f>
        <v>41717</v>
      </c>
      <c r="DJ3516" s="4">
        <f>INDEX(Sheet2!C:C,QUOTIENT(ROW()-1,19)+2)</f>
        <v>42735</v>
      </c>
      <c r="DK3516" s="4" t="e">
        <f>INDEX(Sheet2!$AA$2:$AS$228,QUOTIENT(ROW()-1,19)+1,MOD(ROW()-2,19)+1)</f>
        <v>#N/A</v>
      </c>
      <c r="DL3516" t="str">
        <f>IFERROR(INDEX(Sheet2!$AU$2:$BM$228,QUOTIENT(ROW()-1,19)+1,MOD(ROW()-2,19)+1),NA())</f>
        <v/>
      </c>
      <c r="DM3516" s="4" t="e">
        <f t="shared" si="183"/>
        <v>#N/A</v>
      </c>
      <c r="DN3516" t="e">
        <f t="shared" si="184"/>
        <v>#N/A</v>
      </c>
      <c r="DO3516" t="e">
        <f t="shared" si="185"/>
        <v>#N/A</v>
      </c>
    </row>
    <row r="3517" spans="7:119" x14ac:dyDescent="0.25">
      <c r="G3517"/>
      <c r="DI3517" s="4">
        <f>INDEX(Sheet2!A:A,QUOTIENT(ROW()-1,19)+2)</f>
        <v>41717</v>
      </c>
      <c r="DJ3517" s="4">
        <f>INDEX(Sheet2!C:C,QUOTIENT(ROW()-1,19)+2)</f>
        <v>42735</v>
      </c>
      <c r="DK3517" s="4">
        <f>INDEX(Sheet2!$AA$2:$AS$228,QUOTIENT(ROW()-1,19)+1,MOD(ROW()-2,19)+1)</f>
        <v>42724.962500000001</v>
      </c>
      <c r="DL3517">
        <f>IFERROR(INDEX(Sheet2!$AU$2:$BM$228,QUOTIENT(ROW()-1,19)+1,MOD(ROW()-2,19)+1),NA())</f>
        <v>1.75</v>
      </c>
      <c r="DM3517" s="4" t="e">
        <f t="shared" si="183"/>
        <v>#N/A</v>
      </c>
      <c r="DN3517" t="e">
        <f t="shared" si="184"/>
        <v>#N/A</v>
      </c>
      <c r="DO3517" t="e">
        <f t="shared" si="185"/>
        <v>#N/A</v>
      </c>
    </row>
    <row r="3518" spans="7:119" x14ac:dyDescent="0.25">
      <c r="G3518"/>
      <c r="DI3518" s="4">
        <f>INDEX(Sheet2!A:A,QUOTIENT(ROW()-1,19)+2)</f>
        <v>41717</v>
      </c>
      <c r="DJ3518" s="4">
        <f>INDEX(Sheet2!C:C,QUOTIENT(ROW()-1,19)+2)</f>
        <v>42735</v>
      </c>
      <c r="DK3518" s="4">
        <f>INDEX(Sheet2!$AA$2:$AS$228,QUOTIENT(ROW()-1,19)+1,MOD(ROW()-2,19)+1)</f>
        <v>42745.037500000006</v>
      </c>
      <c r="DL3518">
        <f>IFERROR(INDEX(Sheet2!$AU$2:$BM$228,QUOTIENT(ROW()-1,19)+1,MOD(ROW()-2,19)+1),NA())</f>
        <v>1.75</v>
      </c>
      <c r="DM3518" s="4" t="e">
        <f t="shared" si="183"/>
        <v>#N/A</v>
      </c>
      <c r="DN3518" t="e">
        <f t="shared" si="184"/>
        <v>#N/A</v>
      </c>
      <c r="DO3518" t="e">
        <f t="shared" si="185"/>
        <v>#N/A</v>
      </c>
    </row>
    <row r="3519" spans="7:119" x14ac:dyDescent="0.25">
      <c r="G3519"/>
      <c r="DI3519" s="4">
        <f>INDEX(Sheet2!A:A,QUOTIENT(ROW()-1,19)+2)</f>
        <v>41717</v>
      </c>
      <c r="DJ3519" s="4">
        <f>INDEX(Sheet2!C:C,QUOTIENT(ROW()-1,19)+2)</f>
        <v>42735</v>
      </c>
      <c r="DK3519" s="4" t="e">
        <f>INDEX(Sheet2!$AA$2:$AS$228,QUOTIENT(ROW()-1,19)+1,MOD(ROW()-2,19)+1)</f>
        <v>#N/A</v>
      </c>
      <c r="DL3519" t="str">
        <f>IFERROR(INDEX(Sheet2!$AU$2:$BM$228,QUOTIENT(ROW()-1,19)+1,MOD(ROW()-2,19)+1),NA())</f>
        <v/>
      </c>
      <c r="DM3519" s="4" t="e">
        <f t="shared" si="183"/>
        <v>#N/A</v>
      </c>
      <c r="DN3519" t="e">
        <f t="shared" si="184"/>
        <v>#N/A</v>
      </c>
      <c r="DO3519" t="e">
        <f t="shared" si="185"/>
        <v>#N/A</v>
      </c>
    </row>
    <row r="3520" spans="7:119" x14ac:dyDescent="0.25">
      <c r="G3520"/>
      <c r="DI3520" s="4">
        <f>INDEX(Sheet2!A:A,QUOTIENT(ROW()-1,19)+2)</f>
        <v>41717</v>
      </c>
      <c r="DJ3520" s="4">
        <f>INDEX(Sheet2!C:C,QUOTIENT(ROW()-1,19)+2)</f>
        <v>42735</v>
      </c>
      <c r="DK3520" s="4" t="e">
        <f>INDEX(Sheet2!$AA$2:$AS$228,QUOTIENT(ROW()-1,19)+1,MOD(ROW()-2,19)+1)</f>
        <v>#N/A</v>
      </c>
      <c r="DL3520" t="str">
        <f>IFERROR(INDEX(Sheet2!$AU$2:$BM$228,QUOTIENT(ROW()-1,19)+1,MOD(ROW()-2,19)+1),NA())</f>
        <v/>
      </c>
      <c r="DM3520" s="4" t="e">
        <f t="shared" si="183"/>
        <v>#N/A</v>
      </c>
      <c r="DN3520" t="e">
        <f t="shared" si="184"/>
        <v>#N/A</v>
      </c>
      <c r="DO3520" t="e">
        <f t="shared" si="185"/>
        <v>#N/A</v>
      </c>
    </row>
    <row r="3521" spans="7:119" x14ac:dyDescent="0.25">
      <c r="G3521"/>
      <c r="DI3521" s="4">
        <f>INDEX(Sheet2!A:A,QUOTIENT(ROW()-1,19)+2)</f>
        <v>41717</v>
      </c>
      <c r="DJ3521" s="4">
        <f>INDEX(Sheet2!C:C,QUOTIENT(ROW()-1,19)+2)</f>
        <v>42735</v>
      </c>
      <c r="DK3521" s="4" t="e">
        <f>INDEX(Sheet2!$AA$2:$AS$228,QUOTIENT(ROW()-1,19)+1,MOD(ROW()-2,19)+1)</f>
        <v>#N/A</v>
      </c>
      <c r="DL3521" t="str">
        <f>IFERROR(INDEX(Sheet2!$AU$2:$BM$228,QUOTIENT(ROW()-1,19)+1,MOD(ROW()-2,19)+1),NA())</f>
        <v/>
      </c>
      <c r="DM3521" s="4" t="e">
        <f t="shared" si="183"/>
        <v>#N/A</v>
      </c>
      <c r="DN3521" t="e">
        <f t="shared" si="184"/>
        <v>#N/A</v>
      </c>
      <c r="DO3521" t="e">
        <f t="shared" si="185"/>
        <v>#N/A</v>
      </c>
    </row>
    <row r="3522" spans="7:119" x14ac:dyDescent="0.25">
      <c r="G3522"/>
      <c r="DI3522" s="4">
        <f>INDEX(Sheet2!A:A,QUOTIENT(ROW()-1,19)+2)</f>
        <v>41717</v>
      </c>
      <c r="DJ3522" s="4">
        <f>INDEX(Sheet2!C:C,QUOTIENT(ROW()-1,19)+2)</f>
        <v>42735</v>
      </c>
      <c r="DK3522" s="4" t="e">
        <f>INDEX(Sheet2!$AA$2:$AS$228,QUOTIENT(ROW()-1,19)+1,MOD(ROW()-2,19)+1)</f>
        <v>#N/A</v>
      </c>
      <c r="DL3522" t="str">
        <f>IFERROR(INDEX(Sheet2!$AU$2:$BM$228,QUOTIENT(ROW()-1,19)+1,MOD(ROW()-2,19)+1),NA())</f>
        <v/>
      </c>
      <c r="DM3522" s="4" t="e">
        <f t="shared" ref="DM3522:DM3585" si="186">+IF($C$2=$DI3522,DK3522,NA())</f>
        <v>#N/A</v>
      </c>
      <c r="DN3522" t="e">
        <f t="shared" ref="DN3522:DN3585" si="187">+IF($C$2=$DI3522,DL3522,NA())</f>
        <v>#N/A</v>
      </c>
      <c r="DO3522" t="e">
        <f t="shared" si="185"/>
        <v>#N/A</v>
      </c>
    </row>
    <row r="3523" spans="7:119" x14ac:dyDescent="0.25">
      <c r="G3523"/>
      <c r="DI3523" s="4">
        <f>INDEX(Sheet2!A:A,QUOTIENT(ROW()-1,19)+2)</f>
        <v>41717</v>
      </c>
      <c r="DJ3523" s="4">
        <f>INDEX(Sheet2!C:C,QUOTIENT(ROW()-1,19)+2)</f>
        <v>42735</v>
      </c>
      <c r="DK3523" s="4" t="e">
        <f>INDEX(Sheet2!$AA$2:$AS$228,QUOTIENT(ROW()-1,19)+1,MOD(ROW()-2,19)+1)</f>
        <v>#N/A</v>
      </c>
      <c r="DL3523" t="str">
        <f>IFERROR(INDEX(Sheet2!$AU$2:$BM$228,QUOTIENT(ROW()-1,19)+1,MOD(ROW()-2,19)+1),NA())</f>
        <v/>
      </c>
      <c r="DM3523" s="4" t="e">
        <f t="shared" si="186"/>
        <v>#N/A</v>
      </c>
      <c r="DN3523" t="e">
        <f t="shared" si="187"/>
        <v>#N/A</v>
      </c>
      <c r="DO3523" t="e">
        <f t="shared" ref="DO3523:DO3586" si="188">IF(DN3523="",NA(),DN3523)</f>
        <v>#N/A</v>
      </c>
    </row>
    <row r="3524" spans="7:119" x14ac:dyDescent="0.25">
      <c r="G3524"/>
      <c r="DI3524" s="4">
        <f>INDEX(Sheet2!A:A,QUOTIENT(ROW()-1,19)+2)</f>
        <v>41717</v>
      </c>
      <c r="DJ3524" s="4">
        <f>INDEX(Sheet2!C:C,QUOTIENT(ROW()-1,19)+2)</f>
        <v>42735</v>
      </c>
      <c r="DK3524" s="4" t="e">
        <f>INDEX(Sheet2!$AA$2:$AS$228,QUOTIENT(ROW()-1,19)+1,MOD(ROW()-2,19)+1)</f>
        <v>#N/A</v>
      </c>
      <c r="DL3524" t="str">
        <f>IFERROR(INDEX(Sheet2!$AU$2:$BM$228,QUOTIENT(ROW()-1,19)+1,MOD(ROW()-2,19)+1),NA())</f>
        <v/>
      </c>
      <c r="DM3524" s="4" t="e">
        <f t="shared" si="186"/>
        <v>#N/A</v>
      </c>
      <c r="DN3524" t="e">
        <f t="shared" si="187"/>
        <v>#N/A</v>
      </c>
      <c r="DO3524" t="e">
        <f t="shared" si="188"/>
        <v>#N/A</v>
      </c>
    </row>
    <row r="3525" spans="7:119" x14ac:dyDescent="0.25">
      <c r="G3525"/>
      <c r="DI3525" s="4">
        <f>INDEX(Sheet2!A:A,QUOTIENT(ROW()-1,19)+2)</f>
        <v>41717</v>
      </c>
      <c r="DJ3525" s="4">
        <f>INDEX(Sheet2!C:C,QUOTIENT(ROW()-1,19)+2)</f>
        <v>42735</v>
      </c>
      <c r="DK3525" s="4" t="e">
        <f>INDEX(Sheet2!$AA$2:$AS$228,QUOTIENT(ROW()-1,19)+1,MOD(ROW()-2,19)+1)</f>
        <v>#N/A</v>
      </c>
      <c r="DL3525" t="str">
        <f>IFERROR(INDEX(Sheet2!$AU$2:$BM$228,QUOTIENT(ROW()-1,19)+1,MOD(ROW()-2,19)+1),NA())</f>
        <v/>
      </c>
      <c r="DM3525" s="4" t="e">
        <f t="shared" si="186"/>
        <v>#N/A</v>
      </c>
      <c r="DN3525" t="e">
        <f t="shared" si="187"/>
        <v>#N/A</v>
      </c>
      <c r="DO3525" t="e">
        <f t="shared" si="188"/>
        <v>#N/A</v>
      </c>
    </row>
    <row r="3526" spans="7:119" x14ac:dyDescent="0.25">
      <c r="G3526"/>
      <c r="DI3526" s="4">
        <f>INDEX(Sheet2!A:A,QUOTIENT(ROW()-1,19)+2)</f>
        <v>41717</v>
      </c>
      <c r="DJ3526" s="4">
        <f>INDEX(Sheet2!C:C,QUOTIENT(ROW()-1,19)+2)</f>
        <v>42735</v>
      </c>
      <c r="DK3526" s="4" t="e">
        <f>INDEX(Sheet2!$AA$2:$AS$228,QUOTIENT(ROW()-1,19)+1,MOD(ROW()-2,19)+1)</f>
        <v>#N/A</v>
      </c>
      <c r="DL3526" t="str">
        <f>IFERROR(INDEX(Sheet2!$AU$2:$BM$228,QUOTIENT(ROW()-1,19)+1,MOD(ROW()-2,19)+1),NA())</f>
        <v/>
      </c>
      <c r="DM3526" s="4" t="e">
        <f t="shared" si="186"/>
        <v>#N/A</v>
      </c>
      <c r="DN3526" t="e">
        <f t="shared" si="187"/>
        <v>#N/A</v>
      </c>
      <c r="DO3526" t="e">
        <f t="shared" si="188"/>
        <v>#N/A</v>
      </c>
    </row>
    <row r="3527" spans="7:119" x14ac:dyDescent="0.25">
      <c r="G3527"/>
      <c r="DI3527" s="4">
        <f>INDEX(Sheet2!A:A,QUOTIENT(ROW()-1,19)+2)</f>
        <v>41717</v>
      </c>
      <c r="DJ3527" s="4">
        <f>INDEX(Sheet2!C:C,QUOTIENT(ROW()-1,19)+2)</f>
        <v>42735</v>
      </c>
      <c r="DK3527" s="4" t="e">
        <f>INDEX(Sheet2!$AA$2:$AS$228,QUOTIENT(ROW()-1,19)+1,MOD(ROW()-2,19)+1)</f>
        <v>#N/A</v>
      </c>
      <c r="DL3527" t="str">
        <f>IFERROR(INDEX(Sheet2!$AU$2:$BM$228,QUOTIENT(ROW()-1,19)+1,MOD(ROW()-2,19)+1),NA())</f>
        <v/>
      </c>
      <c r="DM3527" s="4" t="e">
        <f t="shared" si="186"/>
        <v>#N/A</v>
      </c>
      <c r="DN3527" t="e">
        <f t="shared" si="187"/>
        <v>#N/A</v>
      </c>
      <c r="DO3527" t="e">
        <f t="shared" si="188"/>
        <v>#N/A</v>
      </c>
    </row>
    <row r="3528" spans="7:119" x14ac:dyDescent="0.25">
      <c r="G3528"/>
      <c r="DI3528" s="4">
        <f>INDEX(Sheet2!A:A,QUOTIENT(ROW()-1,19)+2)</f>
        <v>41717</v>
      </c>
      <c r="DJ3528" s="4">
        <f>INDEX(Sheet2!C:C,QUOTIENT(ROW()-1,19)+2)</f>
        <v>42735</v>
      </c>
      <c r="DK3528" s="4" t="e">
        <f>INDEX(Sheet2!$AA$2:$AS$228,QUOTIENT(ROW()-1,19)+1,MOD(ROW()-2,19)+1)</f>
        <v>#N/A</v>
      </c>
      <c r="DL3528" t="str">
        <f>IFERROR(INDEX(Sheet2!$AU$2:$BM$228,QUOTIENT(ROW()-1,19)+1,MOD(ROW()-2,19)+1),NA())</f>
        <v/>
      </c>
      <c r="DM3528" s="4" t="e">
        <f t="shared" si="186"/>
        <v>#N/A</v>
      </c>
      <c r="DN3528" t="e">
        <f t="shared" si="187"/>
        <v>#N/A</v>
      </c>
      <c r="DO3528" t="e">
        <f t="shared" si="188"/>
        <v>#N/A</v>
      </c>
    </row>
    <row r="3529" spans="7:119" x14ac:dyDescent="0.25">
      <c r="G3529"/>
      <c r="DI3529" s="4">
        <f>INDEX(Sheet2!A:A,QUOTIENT(ROW()-1,19)+2)</f>
        <v>41717</v>
      </c>
      <c r="DJ3529" s="4">
        <f>INDEX(Sheet2!C:C,QUOTIENT(ROW()-1,19)+2)</f>
        <v>42735</v>
      </c>
      <c r="DK3529" s="4" t="e">
        <f>INDEX(Sheet2!$AA$2:$AS$228,QUOTIENT(ROW()-1,19)+1,MOD(ROW()-2,19)+1)</f>
        <v>#N/A</v>
      </c>
      <c r="DL3529" t="str">
        <f>IFERROR(INDEX(Sheet2!$AU$2:$BM$228,QUOTIENT(ROW()-1,19)+1,MOD(ROW()-2,19)+1),NA())</f>
        <v/>
      </c>
      <c r="DM3529" s="4" t="e">
        <f t="shared" si="186"/>
        <v>#N/A</v>
      </c>
      <c r="DN3529" t="e">
        <f t="shared" si="187"/>
        <v>#N/A</v>
      </c>
      <c r="DO3529" t="e">
        <f t="shared" si="188"/>
        <v>#N/A</v>
      </c>
    </row>
    <row r="3530" spans="7:119" x14ac:dyDescent="0.25">
      <c r="G3530"/>
      <c r="DI3530" s="4">
        <f>INDEX(Sheet2!A:A,QUOTIENT(ROW()-1,19)+2)</f>
        <v>41717</v>
      </c>
      <c r="DJ3530" s="4">
        <f>INDEX(Sheet2!C:C,QUOTIENT(ROW()-1,19)+2)</f>
        <v>42735</v>
      </c>
      <c r="DK3530" s="4" t="e">
        <f>INDEX(Sheet2!$AA$2:$AS$228,QUOTIENT(ROW()-1,19)+1,MOD(ROW()-2,19)+1)</f>
        <v>#N/A</v>
      </c>
      <c r="DL3530" t="str">
        <f>IFERROR(INDEX(Sheet2!$AU$2:$BM$228,QUOTIENT(ROW()-1,19)+1,MOD(ROW()-2,19)+1),NA())</f>
        <v/>
      </c>
      <c r="DM3530" s="4" t="e">
        <f t="shared" si="186"/>
        <v>#N/A</v>
      </c>
      <c r="DN3530" t="e">
        <f t="shared" si="187"/>
        <v>#N/A</v>
      </c>
      <c r="DO3530" t="e">
        <f t="shared" si="188"/>
        <v>#N/A</v>
      </c>
    </row>
    <row r="3531" spans="7:119" x14ac:dyDescent="0.25">
      <c r="G3531"/>
      <c r="DI3531" s="4">
        <f>INDEX(Sheet2!A:A,QUOTIENT(ROW()-1,19)+2)</f>
        <v>41717</v>
      </c>
      <c r="DJ3531" s="4">
        <f>INDEX(Sheet2!C:C,QUOTIENT(ROW()-1,19)+2)</f>
        <v>42735</v>
      </c>
      <c r="DK3531" s="4" t="e">
        <f>INDEX(Sheet2!$AA$2:$AS$228,QUOTIENT(ROW()-1,19)+1,MOD(ROW()-2,19)+1)</f>
        <v>#N/A</v>
      </c>
      <c r="DL3531" t="str">
        <f>IFERROR(INDEX(Sheet2!$AU$2:$BM$228,QUOTIENT(ROW()-1,19)+1,MOD(ROW()-2,19)+1),NA())</f>
        <v/>
      </c>
      <c r="DM3531" s="4" t="e">
        <f t="shared" si="186"/>
        <v>#N/A</v>
      </c>
      <c r="DN3531" t="e">
        <f t="shared" si="187"/>
        <v>#N/A</v>
      </c>
      <c r="DO3531" t="e">
        <f t="shared" si="188"/>
        <v>#N/A</v>
      </c>
    </row>
    <row r="3532" spans="7:119" x14ac:dyDescent="0.25">
      <c r="G3532"/>
      <c r="DI3532" s="4">
        <f>INDEX(Sheet2!A:A,QUOTIENT(ROW()-1,19)+2)</f>
        <v>41717</v>
      </c>
      <c r="DJ3532" s="4">
        <f>INDEX(Sheet2!C:C,QUOTIENT(ROW()-1,19)+2)</f>
        <v>42735</v>
      </c>
      <c r="DK3532" s="4" t="e">
        <f>INDEX(Sheet2!$AA$2:$AS$228,QUOTIENT(ROW()-1,19)+1,MOD(ROW()-2,19)+1)</f>
        <v>#N/A</v>
      </c>
      <c r="DL3532" t="str">
        <f>IFERROR(INDEX(Sheet2!$AU$2:$BM$228,QUOTIENT(ROW()-1,19)+1,MOD(ROW()-2,19)+1),NA())</f>
        <v/>
      </c>
      <c r="DM3532" s="4" t="e">
        <f t="shared" si="186"/>
        <v>#N/A</v>
      </c>
      <c r="DN3532" t="e">
        <f t="shared" si="187"/>
        <v>#N/A</v>
      </c>
      <c r="DO3532" t="e">
        <f t="shared" si="188"/>
        <v>#N/A</v>
      </c>
    </row>
    <row r="3533" spans="7:119" x14ac:dyDescent="0.25">
      <c r="G3533"/>
      <c r="DI3533" s="4">
        <f>INDEX(Sheet2!A:A,QUOTIENT(ROW()-1,19)+2)</f>
        <v>41717</v>
      </c>
      <c r="DJ3533" s="4">
        <f>INDEX(Sheet2!C:C,QUOTIENT(ROW()-1,19)+2)</f>
        <v>42735</v>
      </c>
      <c r="DK3533" s="4" t="e">
        <f>INDEX(Sheet2!$AA$2:$AS$228,QUOTIENT(ROW()-1,19)+1,MOD(ROW()-2,19)+1)</f>
        <v>#N/A</v>
      </c>
      <c r="DL3533" t="str">
        <f>IFERROR(INDEX(Sheet2!$AU$2:$BM$228,QUOTIENT(ROW()-1,19)+1,MOD(ROW()-2,19)+1),NA())</f>
        <v/>
      </c>
      <c r="DM3533" s="4" t="e">
        <f t="shared" si="186"/>
        <v>#N/A</v>
      </c>
      <c r="DN3533" t="e">
        <f t="shared" si="187"/>
        <v>#N/A</v>
      </c>
      <c r="DO3533" t="e">
        <f t="shared" si="188"/>
        <v>#N/A</v>
      </c>
    </row>
    <row r="3534" spans="7:119" x14ac:dyDescent="0.25">
      <c r="G3534"/>
      <c r="DI3534" s="4">
        <f>INDEX(Sheet2!A:A,QUOTIENT(ROW()-1,19)+2)</f>
        <v>41717</v>
      </c>
      <c r="DJ3534" s="4">
        <f>INDEX(Sheet2!C:C,QUOTIENT(ROW()-1,19)+2)</f>
        <v>42735</v>
      </c>
      <c r="DK3534" s="4" t="e">
        <f>INDEX(Sheet2!$AA$2:$AS$228,QUOTIENT(ROW()-1,19)+1,MOD(ROW()-2,19)+1)</f>
        <v>#N/A</v>
      </c>
      <c r="DL3534" t="str">
        <f>IFERROR(INDEX(Sheet2!$AU$2:$BM$228,QUOTIENT(ROW()-1,19)+1,MOD(ROW()-2,19)+1),NA())</f>
        <v/>
      </c>
      <c r="DM3534" s="4" t="e">
        <f t="shared" si="186"/>
        <v>#N/A</v>
      </c>
      <c r="DN3534" t="e">
        <f t="shared" si="187"/>
        <v>#N/A</v>
      </c>
      <c r="DO3534" t="e">
        <f t="shared" si="188"/>
        <v>#N/A</v>
      </c>
    </row>
    <row r="3535" spans="7:119" x14ac:dyDescent="0.25">
      <c r="G3535"/>
      <c r="DI3535" s="4">
        <f>INDEX(Sheet2!A:A,QUOTIENT(ROW()-1,19)+2)</f>
        <v>41717</v>
      </c>
      <c r="DJ3535" s="4">
        <f>INDEX(Sheet2!C:C,QUOTIENT(ROW()-1,19)+2)</f>
        <v>42735</v>
      </c>
      <c r="DK3535" s="4" t="e">
        <f>INDEX(Sheet2!$AA$2:$AS$228,QUOTIENT(ROW()-1,19)+1,MOD(ROW()-2,19)+1)</f>
        <v>#N/A</v>
      </c>
      <c r="DL3535" t="str">
        <f>IFERROR(INDEX(Sheet2!$AU$2:$BM$228,QUOTIENT(ROW()-1,19)+1,MOD(ROW()-2,19)+1),NA())</f>
        <v/>
      </c>
      <c r="DM3535" s="4" t="e">
        <f t="shared" si="186"/>
        <v>#N/A</v>
      </c>
      <c r="DN3535" t="e">
        <f t="shared" si="187"/>
        <v>#N/A</v>
      </c>
      <c r="DO3535" t="e">
        <f t="shared" si="188"/>
        <v>#N/A</v>
      </c>
    </row>
    <row r="3536" spans="7:119" x14ac:dyDescent="0.25">
      <c r="G3536"/>
      <c r="DI3536" s="4">
        <f>INDEX(Sheet2!A:A,QUOTIENT(ROW()-1,19)+2)</f>
        <v>41717</v>
      </c>
      <c r="DJ3536" s="4">
        <f>INDEX(Sheet2!C:C,QUOTIENT(ROW()-1,19)+2)</f>
        <v>42735</v>
      </c>
      <c r="DK3536" s="4">
        <f>INDEX(Sheet2!$AA$2:$AS$228,QUOTIENT(ROW()-1,19)+1,MOD(ROW()-2,19)+1)</f>
        <v>42714.924999999996</v>
      </c>
      <c r="DL3536">
        <f>IFERROR(INDEX(Sheet2!$AU$2:$BM$228,QUOTIENT(ROW()-1,19)+1,MOD(ROW()-2,19)+1),NA())</f>
        <v>2</v>
      </c>
      <c r="DM3536" s="4" t="e">
        <f t="shared" si="186"/>
        <v>#N/A</v>
      </c>
      <c r="DN3536" t="e">
        <f t="shared" si="187"/>
        <v>#N/A</v>
      </c>
      <c r="DO3536" t="e">
        <f t="shared" si="188"/>
        <v>#N/A</v>
      </c>
    </row>
    <row r="3537" spans="7:119" x14ac:dyDescent="0.25">
      <c r="G3537"/>
      <c r="DI3537" s="4">
        <f>INDEX(Sheet2!A:A,QUOTIENT(ROW()-1,19)+2)</f>
        <v>41717</v>
      </c>
      <c r="DJ3537" s="4">
        <f>INDEX(Sheet2!C:C,QUOTIENT(ROW()-1,19)+2)</f>
        <v>42735</v>
      </c>
      <c r="DK3537" s="4">
        <f>INDEX(Sheet2!$AA$2:$AS$228,QUOTIENT(ROW()-1,19)+1,MOD(ROW()-2,19)+1)</f>
        <v>42735</v>
      </c>
      <c r="DL3537">
        <f>IFERROR(INDEX(Sheet2!$AU$2:$BM$228,QUOTIENT(ROW()-1,19)+1,MOD(ROW()-2,19)+1),NA())</f>
        <v>2</v>
      </c>
      <c r="DM3537" s="4" t="e">
        <f t="shared" si="186"/>
        <v>#N/A</v>
      </c>
      <c r="DN3537" t="e">
        <f t="shared" si="187"/>
        <v>#N/A</v>
      </c>
      <c r="DO3537" t="e">
        <f t="shared" si="188"/>
        <v>#N/A</v>
      </c>
    </row>
    <row r="3538" spans="7:119" x14ac:dyDescent="0.25">
      <c r="G3538"/>
      <c r="DI3538" s="4">
        <f>INDEX(Sheet2!A:A,QUOTIENT(ROW()-1,19)+2)</f>
        <v>41717</v>
      </c>
      <c r="DJ3538" s="4">
        <f>INDEX(Sheet2!C:C,QUOTIENT(ROW()-1,19)+2)</f>
        <v>42735</v>
      </c>
      <c r="DK3538" s="4">
        <f>INDEX(Sheet2!$AA$2:$AS$228,QUOTIENT(ROW()-1,19)+1,MOD(ROW()-2,19)+1)</f>
        <v>42755.074999999997</v>
      </c>
      <c r="DL3538">
        <f>IFERROR(INDEX(Sheet2!$AU$2:$BM$228,QUOTIENT(ROW()-1,19)+1,MOD(ROW()-2,19)+1),NA())</f>
        <v>2</v>
      </c>
      <c r="DM3538" s="4" t="e">
        <f t="shared" si="186"/>
        <v>#N/A</v>
      </c>
      <c r="DN3538" t="e">
        <f t="shared" si="187"/>
        <v>#N/A</v>
      </c>
      <c r="DO3538" t="e">
        <f t="shared" si="188"/>
        <v>#N/A</v>
      </c>
    </row>
    <row r="3539" spans="7:119" x14ac:dyDescent="0.25">
      <c r="G3539"/>
      <c r="DI3539" s="4">
        <f>INDEX(Sheet2!A:A,QUOTIENT(ROW()-1,19)+2)</f>
        <v>41717</v>
      </c>
      <c r="DJ3539" s="4">
        <f>INDEX(Sheet2!C:C,QUOTIENT(ROW()-1,19)+2)</f>
        <v>42735</v>
      </c>
      <c r="DK3539" s="4" t="e">
        <f>INDEX(Sheet2!$AA$2:$AS$228,QUOTIENT(ROW()-1,19)+1,MOD(ROW()-2,19)+1)</f>
        <v>#N/A</v>
      </c>
      <c r="DL3539" t="str">
        <f>IFERROR(INDEX(Sheet2!$AU$2:$BM$228,QUOTIENT(ROW()-1,19)+1,MOD(ROW()-2,19)+1),NA())</f>
        <v/>
      </c>
      <c r="DM3539" s="4" t="e">
        <f t="shared" si="186"/>
        <v>#N/A</v>
      </c>
      <c r="DN3539" t="e">
        <f t="shared" si="187"/>
        <v>#N/A</v>
      </c>
      <c r="DO3539" t="e">
        <f t="shared" si="188"/>
        <v>#N/A</v>
      </c>
    </row>
    <row r="3540" spans="7:119" x14ac:dyDescent="0.25">
      <c r="G3540"/>
      <c r="DI3540" s="4">
        <f>INDEX(Sheet2!A:A,QUOTIENT(ROW()-1,19)+2)</f>
        <v>41717</v>
      </c>
      <c r="DJ3540" s="4">
        <f>INDEX(Sheet2!C:C,QUOTIENT(ROW()-1,19)+2)</f>
        <v>42735</v>
      </c>
      <c r="DK3540" s="4" t="e">
        <f>INDEX(Sheet2!$AA$2:$AS$228,QUOTIENT(ROW()-1,19)+1,MOD(ROW()-2,19)+1)</f>
        <v>#N/A</v>
      </c>
      <c r="DL3540" t="str">
        <f>IFERROR(INDEX(Sheet2!$AU$2:$BM$228,QUOTIENT(ROW()-1,19)+1,MOD(ROW()-2,19)+1),NA())</f>
        <v/>
      </c>
      <c r="DM3540" s="4" t="e">
        <f t="shared" si="186"/>
        <v>#N/A</v>
      </c>
      <c r="DN3540" t="e">
        <f t="shared" si="187"/>
        <v>#N/A</v>
      </c>
      <c r="DO3540" t="e">
        <f t="shared" si="188"/>
        <v>#N/A</v>
      </c>
    </row>
    <row r="3541" spans="7:119" x14ac:dyDescent="0.25">
      <c r="G3541"/>
      <c r="DI3541" s="4">
        <f>INDEX(Sheet2!A:A,QUOTIENT(ROW()-1,19)+2)</f>
        <v>41717</v>
      </c>
      <c r="DJ3541" s="4">
        <f>INDEX(Sheet2!C:C,QUOTIENT(ROW()-1,19)+2)</f>
        <v>42735</v>
      </c>
      <c r="DK3541" s="4" t="e">
        <f>INDEX(Sheet2!$AA$2:$AS$228,QUOTIENT(ROW()-1,19)+1,MOD(ROW()-2,19)+1)</f>
        <v>#N/A</v>
      </c>
      <c r="DL3541" t="str">
        <f>IFERROR(INDEX(Sheet2!$AU$2:$BM$228,QUOTIENT(ROW()-1,19)+1,MOD(ROW()-2,19)+1),NA())</f>
        <v/>
      </c>
      <c r="DM3541" s="4" t="e">
        <f t="shared" si="186"/>
        <v>#N/A</v>
      </c>
      <c r="DN3541" t="e">
        <f t="shared" si="187"/>
        <v>#N/A</v>
      </c>
      <c r="DO3541" t="e">
        <f t="shared" si="188"/>
        <v>#N/A</v>
      </c>
    </row>
    <row r="3542" spans="7:119" x14ac:dyDescent="0.25">
      <c r="G3542"/>
      <c r="DI3542" s="4">
        <f>INDEX(Sheet2!A:A,QUOTIENT(ROW()-1,19)+2)</f>
        <v>41717</v>
      </c>
      <c r="DJ3542" s="4">
        <f>INDEX(Sheet2!C:C,QUOTIENT(ROW()-1,19)+2)</f>
        <v>42735</v>
      </c>
      <c r="DK3542" s="4" t="e">
        <f>INDEX(Sheet2!$AA$2:$AS$228,QUOTIENT(ROW()-1,19)+1,MOD(ROW()-2,19)+1)</f>
        <v>#N/A</v>
      </c>
      <c r="DL3542" t="str">
        <f>IFERROR(INDEX(Sheet2!$AU$2:$BM$228,QUOTIENT(ROW()-1,19)+1,MOD(ROW()-2,19)+1),NA())</f>
        <v/>
      </c>
      <c r="DM3542" s="4" t="e">
        <f t="shared" si="186"/>
        <v>#N/A</v>
      </c>
      <c r="DN3542" t="e">
        <f t="shared" si="187"/>
        <v>#N/A</v>
      </c>
      <c r="DO3542" t="e">
        <f t="shared" si="188"/>
        <v>#N/A</v>
      </c>
    </row>
    <row r="3543" spans="7:119" x14ac:dyDescent="0.25">
      <c r="G3543"/>
      <c r="DI3543" s="4">
        <f>INDEX(Sheet2!A:A,QUOTIENT(ROW()-1,19)+2)</f>
        <v>41717</v>
      </c>
      <c r="DJ3543" s="4">
        <f>INDEX(Sheet2!C:C,QUOTIENT(ROW()-1,19)+2)</f>
        <v>42735</v>
      </c>
      <c r="DK3543" s="4" t="e">
        <f>INDEX(Sheet2!$AA$2:$AS$228,QUOTIENT(ROW()-1,19)+1,MOD(ROW()-2,19)+1)</f>
        <v>#N/A</v>
      </c>
      <c r="DL3543" t="str">
        <f>IFERROR(INDEX(Sheet2!$AU$2:$BM$228,QUOTIENT(ROW()-1,19)+1,MOD(ROW()-2,19)+1),NA())</f>
        <v/>
      </c>
      <c r="DM3543" s="4" t="e">
        <f t="shared" si="186"/>
        <v>#N/A</v>
      </c>
      <c r="DN3543" t="e">
        <f t="shared" si="187"/>
        <v>#N/A</v>
      </c>
      <c r="DO3543" t="e">
        <f t="shared" si="188"/>
        <v>#N/A</v>
      </c>
    </row>
    <row r="3544" spans="7:119" x14ac:dyDescent="0.25">
      <c r="G3544"/>
      <c r="DI3544" s="4">
        <f>INDEX(Sheet2!A:A,QUOTIENT(ROW()-1,19)+2)</f>
        <v>41717</v>
      </c>
      <c r="DJ3544" s="4">
        <f>INDEX(Sheet2!C:C,QUOTIENT(ROW()-1,19)+2)</f>
        <v>42735</v>
      </c>
      <c r="DK3544" s="4" t="e">
        <f>INDEX(Sheet2!$AA$2:$AS$228,QUOTIENT(ROW()-1,19)+1,MOD(ROW()-2,19)+1)</f>
        <v>#N/A</v>
      </c>
      <c r="DL3544" t="str">
        <f>IFERROR(INDEX(Sheet2!$AU$2:$BM$228,QUOTIENT(ROW()-1,19)+1,MOD(ROW()-2,19)+1),NA())</f>
        <v/>
      </c>
      <c r="DM3544" s="4" t="e">
        <f t="shared" si="186"/>
        <v>#N/A</v>
      </c>
      <c r="DN3544" t="e">
        <f t="shared" si="187"/>
        <v>#N/A</v>
      </c>
      <c r="DO3544" t="e">
        <f t="shared" si="188"/>
        <v>#N/A</v>
      </c>
    </row>
    <row r="3545" spans="7:119" x14ac:dyDescent="0.25">
      <c r="G3545"/>
      <c r="DI3545" s="4">
        <f>INDEX(Sheet2!A:A,QUOTIENT(ROW()-1,19)+2)</f>
        <v>41717</v>
      </c>
      <c r="DJ3545" s="4">
        <f>INDEX(Sheet2!C:C,QUOTIENT(ROW()-1,19)+2)</f>
        <v>42735</v>
      </c>
      <c r="DK3545" s="4" t="e">
        <f>INDEX(Sheet2!$AA$2:$AS$228,QUOTIENT(ROW()-1,19)+1,MOD(ROW()-2,19)+1)</f>
        <v>#N/A</v>
      </c>
      <c r="DL3545" t="str">
        <f>IFERROR(INDEX(Sheet2!$AU$2:$BM$228,QUOTIENT(ROW()-1,19)+1,MOD(ROW()-2,19)+1),NA())</f>
        <v/>
      </c>
      <c r="DM3545" s="4" t="e">
        <f t="shared" si="186"/>
        <v>#N/A</v>
      </c>
      <c r="DN3545" t="e">
        <f t="shared" si="187"/>
        <v>#N/A</v>
      </c>
      <c r="DO3545" t="e">
        <f t="shared" si="188"/>
        <v>#N/A</v>
      </c>
    </row>
    <row r="3546" spans="7:119" x14ac:dyDescent="0.25">
      <c r="G3546"/>
      <c r="DI3546" s="4">
        <f>INDEX(Sheet2!A:A,QUOTIENT(ROW()-1,19)+2)</f>
        <v>41717</v>
      </c>
      <c r="DJ3546" s="4">
        <f>INDEX(Sheet2!C:C,QUOTIENT(ROW()-1,19)+2)</f>
        <v>42735</v>
      </c>
      <c r="DK3546" s="4" t="e">
        <f>INDEX(Sheet2!$AA$2:$AS$228,QUOTIENT(ROW()-1,19)+1,MOD(ROW()-2,19)+1)</f>
        <v>#N/A</v>
      </c>
      <c r="DL3546" t="str">
        <f>IFERROR(INDEX(Sheet2!$AU$2:$BM$228,QUOTIENT(ROW()-1,19)+1,MOD(ROW()-2,19)+1),NA())</f>
        <v/>
      </c>
      <c r="DM3546" s="4" t="e">
        <f t="shared" si="186"/>
        <v>#N/A</v>
      </c>
      <c r="DN3546" t="e">
        <f t="shared" si="187"/>
        <v>#N/A</v>
      </c>
      <c r="DO3546" t="e">
        <f t="shared" si="188"/>
        <v>#N/A</v>
      </c>
    </row>
    <row r="3547" spans="7:119" x14ac:dyDescent="0.25">
      <c r="G3547"/>
      <c r="DI3547" s="4">
        <f>INDEX(Sheet2!A:A,QUOTIENT(ROW()-1,19)+2)</f>
        <v>41717</v>
      </c>
      <c r="DJ3547" s="4">
        <f>INDEX(Sheet2!C:C,QUOTIENT(ROW()-1,19)+2)</f>
        <v>42735</v>
      </c>
      <c r="DK3547" s="4" t="e">
        <f>INDEX(Sheet2!$AA$2:$AS$228,QUOTIENT(ROW()-1,19)+1,MOD(ROW()-2,19)+1)</f>
        <v>#N/A</v>
      </c>
      <c r="DL3547" t="str">
        <f>IFERROR(INDEX(Sheet2!$AU$2:$BM$228,QUOTIENT(ROW()-1,19)+1,MOD(ROW()-2,19)+1),NA())</f>
        <v/>
      </c>
      <c r="DM3547" s="4" t="e">
        <f t="shared" si="186"/>
        <v>#N/A</v>
      </c>
      <c r="DN3547" t="e">
        <f t="shared" si="187"/>
        <v>#N/A</v>
      </c>
      <c r="DO3547" t="e">
        <f t="shared" si="188"/>
        <v>#N/A</v>
      </c>
    </row>
    <row r="3548" spans="7:119" x14ac:dyDescent="0.25">
      <c r="G3548"/>
      <c r="DI3548" s="4">
        <f>INDEX(Sheet2!A:A,QUOTIENT(ROW()-1,19)+2)</f>
        <v>41717</v>
      </c>
      <c r="DJ3548" s="4">
        <f>INDEX(Sheet2!C:C,QUOTIENT(ROW()-1,19)+2)</f>
        <v>42735</v>
      </c>
      <c r="DK3548" s="4" t="e">
        <f>INDEX(Sheet2!$AA$2:$AS$228,QUOTIENT(ROW()-1,19)+1,MOD(ROW()-2,19)+1)</f>
        <v>#N/A</v>
      </c>
      <c r="DL3548" t="str">
        <f>IFERROR(INDEX(Sheet2!$AU$2:$BM$228,QUOTIENT(ROW()-1,19)+1,MOD(ROW()-2,19)+1),NA())</f>
        <v/>
      </c>
      <c r="DM3548" s="4" t="e">
        <f t="shared" si="186"/>
        <v>#N/A</v>
      </c>
      <c r="DN3548" t="e">
        <f t="shared" si="187"/>
        <v>#N/A</v>
      </c>
      <c r="DO3548" t="e">
        <f t="shared" si="188"/>
        <v>#N/A</v>
      </c>
    </row>
    <row r="3549" spans="7:119" x14ac:dyDescent="0.25">
      <c r="G3549"/>
      <c r="DI3549" s="4">
        <f>INDEX(Sheet2!A:A,QUOTIENT(ROW()-1,19)+2)</f>
        <v>41717</v>
      </c>
      <c r="DJ3549" s="4">
        <f>INDEX(Sheet2!C:C,QUOTIENT(ROW()-1,19)+2)</f>
        <v>42735</v>
      </c>
      <c r="DK3549" s="4" t="e">
        <f>INDEX(Sheet2!$AA$2:$AS$228,QUOTIENT(ROW()-1,19)+1,MOD(ROW()-2,19)+1)</f>
        <v>#N/A</v>
      </c>
      <c r="DL3549" t="str">
        <f>IFERROR(INDEX(Sheet2!$AU$2:$BM$228,QUOTIENT(ROW()-1,19)+1,MOD(ROW()-2,19)+1),NA())</f>
        <v/>
      </c>
      <c r="DM3549" s="4" t="e">
        <f t="shared" si="186"/>
        <v>#N/A</v>
      </c>
      <c r="DN3549" t="e">
        <f t="shared" si="187"/>
        <v>#N/A</v>
      </c>
      <c r="DO3549" t="e">
        <f t="shared" si="188"/>
        <v>#N/A</v>
      </c>
    </row>
    <row r="3550" spans="7:119" x14ac:dyDescent="0.25">
      <c r="G3550"/>
      <c r="DI3550" s="4">
        <f>INDEX(Sheet2!A:A,QUOTIENT(ROW()-1,19)+2)</f>
        <v>41717</v>
      </c>
      <c r="DJ3550" s="4">
        <f>INDEX(Sheet2!C:C,QUOTIENT(ROW()-1,19)+2)</f>
        <v>42735</v>
      </c>
      <c r="DK3550" s="4" t="e">
        <f>INDEX(Sheet2!$AA$2:$AS$228,QUOTIENT(ROW()-1,19)+1,MOD(ROW()-2,19)+1)</f>
        <v>#N/A</v>
      </c>
      <c r="DL3550" t="str">
        <f>IFERROR(INDEX(Sheet2!$AU$2:$BM$228,QUOTIENT(ROW()-1,19)+1,MOD(ROW()-2,19)+1),NA())</f>
        <v/>
      </c>
      <c r="DM3550" s="4" t="e">
        <f t="shared" si="186"/>
        <v>#N/A</v>
      </c>
      <c r="DN3550" t="e">
        <f t="shared" si="187"/>
        <v>#N/A</v>
      </c>
      <c r="DO3550" t="e">
        <f t="shared" si="188"/>
        <v>#N/A</v>
      </c>
    </row>
    <row r="3551" spans="7:119" x14ac:dyDescent="0.25">
      <c r="G3551"/>
      <c r="DI3551" s="4">
        <f>INDEX(Sheet2!A:A,QUOTIENT(ROW()-1,19)+2)</f>
        <v>41717</v>
      </c>
      <c r="DJ3551" s="4">
        <f>INDEX(Sheet2!C:C,QUOTIENT(ROW()-1,19)+2)</f>
        <v>42735</v>
      </c>
      <c r="DK3551" s="4" t="e">
        <f>INDEX(Sheet2!$AA$2:$AS$228,QUOTIENT(ROW()-1,19)+1,MOD(ROW()-2,19)+1)</f>
        <v>#N/A</v>
      </c>
      <c r="DL3551" t="str">
        <f>IFERROR(INDEX(Sheet2!$AU$2:$BM$228,QUOTIENT(ROW()-1,19)+1,MOD(ROW()-2,19)+1),NA())</f>
        <v/>
      </c>
      <c r="DM3551" s="4" t="e">
        <f t="shared" si="186"/>
        <v>#N/A</v>
      </c>
      <c r="DN3551" t="e">
        <f t="shared" si="187"/>
        <v>#N/A</v>
      </c>
      <c r="DO3551" t="e">
        <f t="shared" si="188"/>
        <v>#N/A</v>
      </c>
    </row>
    <row r="3552" spans="7:119" x14ac:dyDescent="0.25">
      <c r="G3552"/>
      <c r="DI3552" s="4">
        <f>INDEX(Sheet2!A:A,QUOTIENT(ROW()-1,19)+2)</f>
        <v>41717</v>
      </c>
      <c r="DJ3552" s="4">
        <f>INDEX(Sheet2!C:C,QUOTIENT(ROW()-1,19)+2)</f>
        <v>42735</v>
      </c>
      <c r="DK3552" s="4" t="e">
        <f>INDEX(Sheet2!$AA$2:$AS$228,QUOTIENT(ROW()-1,19)+1,MOD(ROW()-2,19)+1)</f>
        <v>#N/A</v>
      </c>
      <c r="DL3552" t="str">
        <f>IFERROR(INDEX(Sheet2!$AU$2:$BM$228,QUOTIENT(ROW()-1,19)+1,MOD(ROW()-2,19)+1),NA())</f>
        <v/>
      </c>
      <c r="DM3552" s="4" t="e">
        <f t="shared" si="186"/>
        <v>#N/A</v>
      </c>
      <c r="DN3552" t="e">
        <f t="shared" si="187"/>
        <v>#N/A</v>
      </c>
      <c r="DO3552" t="e">
        <f t="shared" si="188"/>
        <v>#N/A</v>
      </c>
    </row>
    <row r="3553" spans="7:119" x14ac:dyDescent="0.25">
      <c r="G3553"/>
      <c r="DI3553" s="4">
        <f>INDEX(Sheet2!A:A,QUOTIENT(ROW()-1,19)+2)</f>
        <v>41717</v>
      </c>
      <c r="DJ3553" s="4">
        <f>INDEX(Sheet2!C:C,QUOTIENT(ROW()-1,19)+2)</f>
        <v>42735</v>
      </c>
      <c r="DK3553" s="4" t="e">
        <f>INDEX(Sheet2!$AA$2:$AS$228,QUOTIENT(ROW()-1,19)+1,MOD(ROW()-2,19)+1)</f>
        <v>#N/A</v>
      </c>
      <c r="DL3553" t="str">
        <f>IFERROR(INDEX(Sheet2!$AU$2:$BM$228,QUOTIENT(ROW()-1,19)+1,MOD(ROW()-2,19)+1),NA())</f>
        <v/>
      </c>
      <c r="DM3553" s="4" t="e">
        <f t="shared" si="186"/>
        <v>#N/A</v>
      </c>
      <c r="DN3553" t="e">
        <f t="shared" si="187"/>
        <v>#N/A</v>
      </c>
      <c r="DO3553" t="e">
        <f t="shared" si="188"/>
        <v>#N/A</v>
      </c>
    </row>
    <row r="3554" spans="7:119" x14ac:dyDescent="0.25">
      <c r="G3554"/>
      <c r="DI3554" s="4">
        <f>INDEX(Sheet2!A:A,QUOTIENT(ROW()-1,19)+2)</f>
        <v>41717</v>
      </c>
      <c r="DJ3554" s="4">
        <f>INDEX(Sheet2!C:C,QUOTIENT(ROW()-1,19)+2)</f>
        <v>42735</v>
      </c>
      <c r="DK3554" s="4" t="e">
        <f>INDEX(Sheet2!$AA$2:$AS$228,QUOTIENT(ROW()-1,19)+1,MOD(ROW()-2,19)+1)</f>
        <v>#N/A</v>
      </c>
      <c r="DL3554" t="str">
        <f>IFERROR(INDEX(Sheet2!$AU$2:$BM$228,QUOTIENT(ROW()-1,19)+1,MOD(ROW()-2,19)+1),NA())</f>
        <v/>
      </c>
      <c r="DM3554" s="4" t="e">
        <f t="shared" si="186"/>
        <v>#N/A</v>
      </c>
      <c r="DN3554" t="e">
        <f t="shared" si="187"/>
        <v>#N/A</v>
      </c>
      <c r="DO3554" t="e">
        <f t="shared" si="188"/>
        <v>#N/A</v>
      </c>
    </row>
    <row r="3555" spans="7:119" x14ac:dyDescent="0.25">
      <c r="G3555"/>
      <c r="DI3555" s="4">
        <f>INDEX(Sheet2!A:A,QUOTIENT(ROW()-1,19)+2)</f>
        <v>41717</v>
      </c>
      <c r="DJ3555" s="4">
        <f>INDEX(Sheet2!C:C,QUOTIENT(ROW()-1,19)+2)</f>
        <v>42735</v>
      </c>
      <c r="DK3555" s="4">
        <f>INDEX(Sheet2!$AA$2:$AS$228,QUOTIENT(ROW()-1,19)+1,MOD(ROW()-2,19)+1)</f>
        <v>42724.962500000001</v>
      </c>
      <c r="DL3555">
        <f>IFERROR(INDEX(Sheet2!$AU$2:$BM$228,QUOTIENT(ROW()-1,19)+1,MOD(ROW()-2,19)+1),NA())</f>
        <v>2.25</v>
      </c>
      <c r="DM3555" s="4" t="e">
        <f t="shared" si="186"/>
        <v>#N/A</v>
      </c>
      <c r="DN3555" t="e">
        <f t="shared" si="187"/>
        <v>#N/A</v>
      </c>
      <c r="DO3555" t="e">
        <f t="shared" si="188"/>
        <v>#N/A</v>
      </c>
    </row>
    <row r="3556" spans="7:119" x14ac:dyDescent="0.25">
      <c r="G3556"/>
      <c r="DI3556" s="4">
        <f>INDEX(Sheet2!A:A,QUOTIENT(ROW()-1,19)+2)</f>
        <v>41717</v>
      </c>
      <c r="DJ3556" s="4">
        <f>INDEX(Sheet2!C:C,QUOTIENT(ROW()-1,19)+2)</f>
        <v>42735</v>
      </c>
      <c r="DK3556" s="4">
        <f>INDEX(Sheet2!$AA$2:$AS$228,QUOTIENT(ROW()-1,19)+1,MOD(ROW()-2,19)+1)</f>
        <v>42745.037500000006</v>
      </c>
      <c r="DL3556">
        <f>IFERROR(INDEX(Sheet2!$AU$2:$BM$228,QUOTIENT(ROW()-1,19)+1,MOD(ROW()-2,19)+1),NA())</f>
        <v>2.25</v>
      </c>
      <c r="DM3556" s="4" t="e">
        <f t="shared" si="186"/>
        <v>#N/A</v>
      </c>
      <c r="DN3556" t="e">
        <f t="shared" si="187"/>
        <v>#N/A</v>
      </c>
      <c r="DO3556" t="e">
        <f t="shared" si="188"/>
        <v>#N/A</v>
      </c>
    </row>
    <row r="3557" spans="7:119" x14ac:dyDescent="0.25">
      <c r="G3557"/>
      <c r="DI3557" s="4">
        <f>INDEX(Sheet2!A:A,QUOTIENT(ROW()-1,19)+2)</f>
        <v>41717</v>
      </c>
      <c r="DJ3557" s="4">
        <f>INDEX(Sheet2!C:C,QUOTIENT(ROW()-1,19)+2)</f>
        <v>42735</v>
      </c>
      <c r="DK3557" s="4" t="e">
        <f>INDEX(Sheet2!$AA$2:$AS$228,QUOTIENT(ROW()-1,19)+1,MOD(ROW()-2,19)+1)</f>
        <v>#N/A</v>
      </c>
      <c r="DL3557" t="str">
        <f>IFERROR(INDEX(Sheet2!$AU$2:$BM$228,QUOTIENT(ROW()-1,19)+1,MOD(ROW()-2,19)+1),NA())</f>
        <v/>
      </c>
      <c r="DM3557" s="4" t="e">
        <f t="shared" si="186"/>
        <v>#N/A</v>
      </c>
      <c r="DN3557" t="e">
        <f t="shared" si="187"/>
        <v>#N/A</v>
      </c>
      <c r="DO3557" t="e">
        <f t="shared" si="188"/>
        <v>#N/A</v>
      </c>
    </row>
    <row r="3558" spans="7:119" x14ac:dyDescent="0.25">
      <c r="G3558"/>
      <c r="DI3558" s="4">
        <f>INDEX(Sheet2!A:A,QUOTIENT(ROW()-1,19)+2)</f>
        <v>41717</v>
      </c>
      <c r="DJ3558" s="4">
        <f>INDEX(Sheet2!C:C,QUOTIENT(ROW()-1,19)+2)</f>
        <v>42735</v>
      </c>
      <c r="DK3558" s="4" t="e">
        <f>INDEX(Sheet2!$AA$2:$AS$228,QUOTIENT(ROW()-1,19)+1,MOD(ROW()-2,19)+1)</f>
        <v>#N/A</v>
      </c>
      <c r="DL3558" t="str">
        <f>IFERROR(INDEX(Sheet2!$AU$2:$BM$228,QUOTIENT(ROW()-1,19)+1,MOD(ROW()-2,19)+1),NA())</f>
        <v/>
      </c>
      <c r="DM3558" s="4" t="e">
        <f t="shared" si="186"/>
        <v>#N/A</v>
      </c>
      <c r="DN3558" t="e">
        <f t="shared" si="187"/>
        <v>#N/A</v>
      </c>
      <c r="DO3558" t="e">
        <f t="shared" si="188"/>
        <v>#N/A</v>
      </c>
    </row>
    <row r="3559" spans="7:119" x14ac:dyDescent="0.25">
      <c r="G3559"/>
      <c r="DI3559" s="4">
        <f>INDEX(Sheet2!A:A,QUOTIENT(ROW()-1,19)+2)</f>
        <v>41717</v>
      </c>
      <c r="DJ3559" s="4">
        <f>INDEX(Sheet2!C:C,QUOTIENT(ROW()-1,19)+2)</f>
        <v>42735</v>
      </c>
      <c r="DK3559" s="4" t="e">
        <f>INDEX(Sheet2!$AA$2:$AS$228,QUOTIENT(ROW()-1,19)+1,MOD(ROW()-2,19)+1)</f>
        <v>#N/A</v>
      </c>
      <c r="DL3559" t="str">
        <f>IFERROR(INDEX(Sheet2!$AU$2:$BM$228,QUOTIENT(ROW()-1,19)+1,MOD(ROW()-2,19)+1),NA())</f>
        <v/>
      </c>
      <c r="DM3559" s="4" t="e">
        <f t="shared" si="186"/>
        <v>#N/A</v>
      </c>
      <c r="DN3559" t="e">
        <f t="shared" si="187"/>
        <v>#N/A</v>
      </c>
      <c r="DO3559" t="e">
        <f t="shared" si="188"/>
        <v>#N/A</v>
      </c>
    </row>
    <row r="3560" spans="7:119" x14ac:dyDescent="0.25">
      <c r="G3560"/>
      <c r="DI3560" s="4">
        <f>INDEX(Sheet2!A:A,QUOTIENT(ROW()-1,19)+2)</f>
        <v>41717</v>
      </c>
      <c r="DJ3560" s="4">
        <f>INDEX(Sheet2!C:C,QUOTIENT(ROW()-1,19)+2)</f>
        <v>42735</v>
      </c>
      <c r="DK3560" s="4" t="e">
        <f>INDEX(Sheet2!$AA$2:$AS$228,QUOTIENT(ROW()-1,19)+1,MOD(ROW()-2,19)+1)</f>
        <v>#N/A</v>
      </c>
      <c r="DL3560" t="str">
        <f>IFERROR(INDEX(Sheet2!$AU$2:$BM$228,QUOTIENT(ROW()-1,19)+1,MOD(ROW()-2,19)+1),NA())</f>
        <v/>
      </c>
      <c r="DM3560" s="4" t="e">
        <f t="shared" si="186"/>
        <v>#N/A</v>
      </c>
      <c r="DN3560" t="e">
        <f t="shared" si="187"/>
        <v>#N/A</v>
      </c>
      <c r="DO3560" t="e">
        <f t="shared" si="188"/>
        <v>#N/A</v>
      </c>
    </row>
    <row r="3561" spans="7:119" x14ac:dyDescent="0.25">
      <c r="G3561"/>
      <c r="DI3561" s="4">
        <f>INDEX(Sheet2!A:A,QUOTIENT(ROW()-1,19)+2)</f>
        <v>41717</v>
      </c>
      <c r="DJ3561" s="4">
        <f>INDEX(Sheet2!C:C,QUOTIENT(ROW()-1,19)+2)</f>
        <v>42735</v>
      </c>
      <c r="DK3561" s="4" t="e">
        <f>INDEX(Sheet2!$AA$2:$AS$228,QUOTIENT(ROW()-1,19)+1,MOD(ROW()-2,19)+1)</f>
        <v>#N/A</v>
      </c>
      <c r="DL3561" t="str">
        <f>IFERROR(INDEX(Sheet2!$AU$2:$BM$228,QUOTIENT(ROW()-1,19)+1,MOD(ROW()-2,19)+1),NA())</f>
        <v/>
      </c>
      <c r="DM3561" s="4" t="e">
        <f t="shared" si="186"/>
        <v>#N/A</v>
      </c>
      <c r="DN3561" t="e">
        <f t="shared" si="187"/>
        <v>#N/A</v>
      </c>
      <c r="DO3561" t="e">
        <f t="shared" si="188"/>
        <v>#N/A</v>
      </c>
    </row>
    <row r="3562" spans="7:119" x14ac:dyDescent="0.25">
      <c r="G3562"/>
      <c r="DI3562" s="4">
        <f>INDEX(Sheet2!A:A,QUOTIENT(ROW()-1,19)+2)</f>
        <v>41717</v>
      </c>
      <c r="DJ3562" s="4">
        <f>INDEX(Sheet2!C:C,QUOTIENT(ROW()-1,19)+2)</f>
        <v>42735</v>
      </c>
      <c r="DK3562" s="4" t="e">
        <f>INDEX(Sheet2!$AA$2:$AS$228,QUOTIENT(ROW()-1,19)+1,MOD(ROW()-2,19)+1)</f>
        <v>#N/A</v>
      </c>
      <c r="DL3562" t="str">
        <f>IFERROR(INDEX(Sheet2!$AU$2:$BM$228,QUOTIENT(ROW()-1,19)+1,MOD(ROW()-2,19)+1),NA())</f>
        <v/>
      </c>
      <c r="DM3562" s="4" t="e">
        <f t="shared" si="186"/>
        <v>#N/A</v>
      </c>
      <c r="DN3562" t="e">
        <f t="shared" si="187"/>
        <v>#N/A</v>
      </c>
      <c r="DO3562" t="e">
        <f t="shared" si="188"/>
        <v>#N/A</v>
      </c>
    </row>
    <row r="3563" spans="7:119" x14ac:dyDescent="0.25">
      <c r="G3563"/>
      <c r="DI3563" s="4">
        <f>INDEX(Sheet2!A:A,QUOTIENT(ROW()-1,19)+2)</f>
        <v>41717</v>
      </c>
      <c r="DJ3563" s="4">
        <f>INDEX(Sheet2!C:C,QUOTIENT(ROW()-1,19)+2)</f>
        <v>42735</v>
      </c>
      <c r="DK3563" s="4" t="e">
        <f>INDEX(Sheet2!$AA$2:$AS$228,QUOTIENT(ROW()-1,19)+1,MOD(ROW()-2,19)+1)</f>
        <v>#N/A</v>
      </c>
      <c r="DL3563" t="str">
        <f>IFERROR(INDEX(Sheet2!$AU$2:$BM$228,QUOTIENT(ROW()-1,19)+1,MOD(ROW()-2,19)+1),NA())</f>
        <v/>
      </c>
      <c r="DM3563" s="4" t="e">
        <f t="shared" si="186"/>
        <v>#N/A</v>
      </c>
      <c r="DN3563" t="e">
        <f t="shared" si="187"/>
        <v>#N/A</v>
      </c>
      <c r="DO3563" t="e">
        <f t="shared" si="188"/>
        <v>#N/A</v>
      </c>
    </row>
    <row r="3564" spans="7:119" x14ac:dyDescent="0.25">
      <c r="G3564"/>
      <c r="DI3564" s="4">
        <f>INDEX(Sheet2!A:A,QUOTIENT(ROW()-1,19)+2)</f>
        <v>41717</v>
      </c>
      <c r="DJ3564" s="4">
        <f>INDEX(Sheet2!C:C,QUOTIENT(ROW()-1,19)+2)</f>
        <v>42735</v>
      </c>
      <c r="DK3564" s="4" t="e">
        <f>INDEX(Sheet2!$AA$2:$AS$228,QUOTIENT(ROW()-1,19)+1,MOD(ROW()-2,19)+1)</f>
        <v>#N/A</v>
      </c>
      <c r="DL3564" t="str">
        <f>IFERROR(INDEX(Sheet2!$AU$2:$BM$228,QUOTIENT(ROW()-1,19)+1,MOD(ROW()-2,19)+1),NA())</f>
        <v/>
      </c>
      <c r="DM3564" s="4" t="e">
        <f t="shared" si="186"/>
        <v>#N/A</v>
      </c>
      <c r="DN3564" t="e">
        <f t="shared" si="187"/>
        <v>#N/A</v>
      </c>
      <c r="DO3564" t="e">
        <f t="shared" si="188"/>
        <v>#N/A</v>
      </c>
    </row>
    <row r="3565" spans="7:119" x14ac:dyDescent="0.25">
      <c r="G3565"/>
      <c r="DI3565" s="4">
        <f>INDEX(Sheet2!A:A,QUOTIENT(ROW()-1,19)+2)</f>
        <v>41717</v>
      </c>
      <c r="DJ3565" s="4">
        <f>INDEX(Sheet2!C:C,QUOTIENT(ROW()-1,19)+2)</f>
        <v>42735</v>
      </c>
      <c r="DK3565" s="4" t="e">
        <f>INDEX(Sheet2!$AA$2:$AS$228,QUOTIENT(ROW()-1,19)+1,MOD(ROW()-2,19)+1)</f>
        <v>#N/A</v>
      </c>
      <c r="DL3565" t="str">
        <f>IFERROR(INDEX(Sheet2!$AU$2:$BM$228,QUOTIENT(ROW()-1,19)+1,MOD(ROW()-2,19)+1),NA())</f>
        <v/>
      </c>
      <c r="DM3565" s="4" t="e">
        <f t="shared" si="186"/>
        <v>#N/A</v>
      </c>
      <c r="DN3565" t="e">
        <f t="shared" si="187"/>
        <v>#N/A</v>
      </c>
      <c r="DO3565" t="e">
        <f t="shared" si="188"/>
        <v>#N/A</v>
      </c>
    </row>
    <row r="3566" spans="7:119" x14ac:dyDescent="0.25">
      <c r="G3566"/>
      <c r="DI3566" s="4">
        <f>INDEX(Sheet2!A:A,QUOTIENT(ROW()-1,19)+2)</f>
        <v>41717</v>
      </c>
      <c r="DJ3566" s="4">
        <f>INDEX(Sheet2!C:C,QUOTIENT(ROW()-1,19)+2)</f>
        <v>42735</v>
      </c>
      <c r="DK3566" s="4" t="e">
        <f>INDEX(Sheet2!$AA$2:$AS$228,QUOTIENT(ROW()-1,19)+1,MOD(ROW()-2,19)+1)</f>
        <v>#N/A</v>
      </c>
      <c r="DL3566" t="str">
        <f>IFERROR(INDEX(Sheet2!$AU$2:$BM$228,QUOTIENT(ROW()-1,19)+1,MOD(ROW()-2,19)+1),NA())</f>
        <v/>
      </c>
      <c r="DM3566" s="4" t="e">
        <f t="shared" si="186"/>
        <v>#N/A</v>
      </c>
      <c r="DN3566" t="e">
        <f t="shared" si="187"/>
        <v>#N/A</v>
      </c>
      <c r="DO3566" t="e">
        <f t="shared" si="188"/>
        <v>#N/A</v>
      </c>
    </row>
    <row r="3567" spans="7:119" x14ac:dyDescent="0.25">
      <c r="G3567"/>
      <c r="DI3567" s="4">
        <f>INDEX(Sheet2!A:A,QUOTIENT(ROW()-1,19)+2)</f>
        <v>41717</v>
      </c>
      <c r="DJ3567" s="4">
        <f>INDEX(Sheet2!C:C,QUOTIENT(ROW()-1,19)+2)</f>
        <v>42735</v>
      </c>
      <c r="DK3567" s="4" t="e">
        <f>INDEX(Sheet2!$AA$2:$AS$228,QUOTIENT(ROW()-1,19)+1,MOD(ROW()-2,19)+1)</f>
        <v>#N/A</v>
      </c>
      <c r="DL3567" t="str">
        <f>IFERROR(INDEX(Sheet2!$AU$2:$BM$228,QUOTIENT(ROW()-1,19)+1,MOD(ROW()-2,19)+1),NA())</f>
        <v/>
      </c>
      <c r="DM3567" s="4" t="e">
        <f t="shared" si="186"/>
        <v>#N/A</v>
      </c>
      <c r="DN3567" t="e">
        <f t="shared" si="187"/>
        <v>#N/A</v>
      </c>
      <c r="DO3567" t="e">
        <f t="shared" si="188"/>
        <v>#N/A</v>
      </c>
    </row>
    <row r="3568" spans="7:119" x14ac:dyDescent="0.25">
      <c r="G3568"/>
      <c r="DI3568" s="4">
        <f>INDEX(Sheet2!A:A,QUOTIENT(ROW()-1,19)+2)</f>
        <v>41717</v>
      </c>
      <c r="DJ3568" s="4">
        <f>INDEX(Sheet2!C:C,QUOTIENT(ROW()-1,19)+2)</f>
        <v>42735</v>
      </c>
      <c r="DK3568" s="4" t="e">
        <f>INDEX(Sheet2!$AA$2:$AS$228,QUOTIENT(ROW()-1,19)+1,MOD(ROW()-2,19)+1)</f>
        <v>#N/A</v>
      </c>
      <c r="DL3568" t="str">
        <f>IFERROR(INDEX(Sheet2!$AU$2:$BM$228,QUOTIENT(ROW()-1,19)+1,MOD(ROW()-2,19)+1),NA())</f>
        <v/>
      </c>
      <c r="DM3568" s="4" t="e">
        <f t="shared" si="186"/>
        <v>#N/A</v>
      </c>
      <c r="DN3568" t="e">
        <f t="shared" si="187"/>
        <v>#N/A</v>
      </c>
      <c r="DO3568" t="e">
        <f t="shared" si="188"/>
        <v>#N/A</v>
      </c>
    </row>
    <row r="3569" spans="7:119" x14ac:dyDescent="0.25">
      <c r="G3569"/>
      <c r="DI3569" s="4">
        <f>INDEX(Sheet2!A:A,QUOTIENT(ROW()-1,19)+2)</f>
        <v>41717</v>
      </c>
      <c r="DJ3569" s="4">
        <f>INDEX(Sheet2!C:C,QUOTIENT(ROW()-1,19)+2)</f>
        <v>42735</v>
      </c>
      <c r="DK3569" s="4" t="e">
        <f>INDEX(Sheet2!$AA$2:$AS$228,QUOTIENT(ROW()-1,19)+1,MOD(ROW()-2,19)+1)</f>
        <v>#N/A</v>
      </c>
      <c r="DL3569" t="str">
        <f>IFERROR(INDEX(Sheet2!$AU$2:$BM$228,QUOTIENT(ROW()-1,19)+1,MOD(ROW()-2,19)+1),NA())</f>
        <v/>
      </c>
      <c r="DM3569" s="4" t="e">
        <f t="shared" si="186"/>
        <v>#N/A</v>
      </c>
      <c r="DN3569" t="e">
        <f t="shared" si="187"/>
        <v>#N/A</v>
      </c>
      <c r="DO3569" t="e">
        <f t="shared" si="188"/>
        <v>#N/A</v>
      </c>
    </row>
    <row r="3570" spans="7:119" x14ac:dyDescent="0.25">
      <c r="G3570"/>
      <c r="DI3570" s="4">
        <f>INDEX(Sheet2!A:A,QUOTIENT(ROW()-1,19)+2)</f>
        <v>41717</v>
      </c>
      <c r="DJ3570" s="4">
        <f>INDEX(Sheet2!C:C,QUOTIENT(ROW()-1,19)+2)</f>
        <v>42735</v>
      </c>
      <c r="DK3570" s="4" t="e">
        <f>INDEX(Sheet2!$AA$2:$AS$228,QUOTIENT(ROW()-1,19)+1,MOD(ROW()-2,19)+1)</f>
        <v>#N/A</v>
      </c>
      <c r="DL3570" t="str">
        <f>IFERROR(INDEX(Sheet2!$AU$2:$BM$228,QUOTIENT(ROW()-1,19)+1,MOD(ROW()-2,19)+1),NA())</f>
        <v/>
      </c>
      <c r="DM3570" s="4" t="e">
        <f t="shared" si="186"/>
        <v>#N/A</v>
      </c>
      <c r="DN3570" t="e">
        <f t="shared" si="187"/>
        <v>#N/A</v>
      </c>
      <c r="DO3570" t="e">
        <f t="shared" si="188"/>
        <v>#N/A</v>
      </c>
    </row>
    <row r="3571" spans="7:119" x14ac:dyDescent="0.25">
      <c r="G3571"/>
      <c r="DI3571" s="4">
        <f>INDEX(Sheet2!A:A,QUOTIENT(ROW()-1,19)+2)</f>
        <v>41717</v>
      </c>
      <c r="DJ3571" s="4">
        <f>INDEX(Sheet2!C:C,QUOTIENT(ROW()-1,19)+2)</f>
        <v>42735</v>
      </c>
      <c r="DK3571" s="4" t="e">
        <f>INDEX(Sheet2!$AA$2:$AS$228,QUOTIENT(ROW()-1,19)+1,MOD(ROW()-2,19)+1)</f>
        <v>#N/A</v>
      </c>
      <c r="DL3571" t="str">
        <f>IFERROR(INDEX(Sheet2!$AU$2:$BM$228,QUOTIENT(ROW()-1,19)+1,MOD(ROW()-2,19)+1),NA())</f>
        <v/>
      </c>
      <c r="DM3571" s="4" t="e">
        <f t="shared" si="186"/>
        <v>#N/A</v>
      </c>
      <c r="DN3571" t="e">
        <f t="shared" si="187"/>
        <v>#N/A</v>
      </c>
      <c r="DO3571" t="e">
        <f t="shared" si="188"/>
        <v>#N/A</v>
      </c>
    </row>
    <row r="3572" spans="7:119" x14ac:dyDescent="0.25">
      <c r="G3572"/>
      <c r="DI3572" s="4">
        <f>INDEX(Sheet2!A:A,QUOTIENT(ROW()-1,19)+2)</f>
        <v>41717</v>
      </c>
      <c r="DJ3572" s="4">
        <f>INDEX(Sheet2!C:C,QUOTIENT(ROW()-1,19)+2)</f>
        <v>42735</v>
      </c>
      <c r="DK3572" s="4" t="e">
        <f>INDEX(Sheet2!$AA$2:$AS$228,QUOTIENT(ROW()-1,19)+1,MOD(ROW()-2,19)+1)</f>
        <v>#N/A</v>
      </c>
      <c r="DL3572" t="str">
        <f>IFERROR(INDEX(Sheet2!$AU$2:$BM$228,QUOTIENT(ROW()-1,19)+1,MOD(ROW()-2,19)+1),NA())</f>
        <v/>
      </c>
      <c r="DM3572" s="4" t="e">
        <f t="shared" si="186"/>
        <v>#N/A</v>
      </c>
      <c r="DN3572" t="e">
        <f t="shared" si="187"/>
        <v>#N/A</v>
      </c>
      <c r="DO3572" t="e">
        <f t="shared" si="188"/>
        <v>#N/A</v>
      </c>
    </row>
    <row r="3573" spans="7:119" x14ac:dyDescent="0.25">
      <c r="G3573"/>
      <c r="DI3573" s="4">
        <f>INDEX(Sheet2!A:A,QUOTIENT(ROW()-1,19)+2)</f>
        <v>41717</v>
      </c>
      <c r="DJ3573" s="4">
        <f>INDEX(Sheet2!C:C,QUOTIENT(ROW()-1,19)+2)</f>
        <v>42735</v>
      </c>
      <c r="DK3573" s="4" t="e">
        <f>INDEX(Sheet2!$AA$2:$AS$228,QUOTIENT(ROW()-1,19)+1,MOD(ROW()-2,19)+1)</f>
        <v>#N/A</v>
      </c>
      <c r="DL3573" t="str">
        <f>IFERROR(INDEX(Sheet2!$AU$2:$BM$228,QUOTIENT(ROW()-1,19)+1,MOD(ROW()-2,19)+1),NA())</f>
        <v/>
      </c>
      <c r="DM3573" s="4" t="e">
        <f t="shared" si="186"/>
        <v>#N/A</v>
      </c>
      <c r="DN3573" t="e">
        <f t="shared" si="187"/>
        <v>#N/A</v>
      </c>
      <c r="DO3573" t="e">
        <f t="shared" si="188"/>
        <v>#N/A</v>
      </c>
    </row>
    <row r="3574" spans="7:119" x14ac:dyDescent="0.25">
      <c r="G3574"/>
      <c r="DI3574" s="4">
        <f>INDEX(Sheet2!A:A,QUOTIENT(ROW()-1,19)+2)</f>
        <v>41717</v>
      </c>
      <c r="DJ3574" s="4">
        <f>INDEX(Sheet2!C:C,QUOTIENT(ROW()-1,19)+2)</f>
        <v>42735</v>
      </c>
      <c r="DK3574" s="4">
        <f>INDEX(Sheet2!$AA$2:$AS$228,QUOTIENT(ROW()-1,19)+1,MOD(ROW()-2,19)+1)</f>
        <v>42735</v>
      </c>
      <c r="DL3574">
        <f>IFERROR(INDEX(Sheet2!$AU$2:$BM$228,QUOTIENT(ROW()-1,19)+1,MOD(ROW()-2,19)+1),NA())</f>
        <v>2.5</v>
      </c>
      <c r="DM3574" s="4" t="e">
        <f t="shared" si="186"/>
        <v>#N/A</v>
      </c>
      <c r="DN3574" t="e">
        <f t="shared" si="187"/>
        <v>#N/A</v>
      </c>
      <c r="DO3574" t="e">
        <f t="shared" si="188"/>
        <v>#N/A</v>
      </c>
    </row>
    <row r="3575" spans="7:119" x14ac:dyDescent="0.25">
      <c r="G3575"/>
      <c r="DI3575" s="4">
        <f>INDEX(Sheet2!A:A,QUOTIENT(ROW()-1,19)+2)</f>
        <v>41717</v>
      </c>
      <c r="DJ3575" s="4">
        <f>INDEX(Sheet2!C:C,QUOTIENT(ROW()-1,19)+2)</f>
        <v>42735</v>
      </c>
      <c r="DK3575" s="4" t="e">
        <f>INDEX(Sheet2!$AA$2:$AS$228,QUOTIENT(ROW()-1,19)+1,MOD(ROW()-2,19)+1)</f>
        <v>#N/A</v>
      </c>
      <c r="DL3575" t="str">
        <f>IFERROR(INDEX(Sheet2!$AU$2:$BM$228,QUOTIENT(ROW()-1,19)+1,MOD(ROW()-2,19)+1),NA())</f>
        <v/>
      </c>
      <c r="DM3575" s="4" t="e">
        <f t="shared" si="186"/>
        <v>#N/A</v>
      </c>
      <c r="DN3575" t="e">
        <f t="shared" si="187"/>
        <v>#N/A</v>
      </c>
      <c r="DO3575" t="e">
        <f t="shared" si="188"/>
        <v>#N/A</v>
      </c>
    </row>
    <row r="3576" spans="7:119" x14ac:dyDescent="0.25">
      <c r="G3576"/>
      <c r="DI3576" s="4">
        <f>INDEX(Sheet2!A:A,QUOTIENT(ROW()-1,19)+2)</f>
        <v>41717</v>
      </c>
      <c r="DJ3576" s="4">
        <f>INDEX(Sheet2!C:C,QUOTIENT(ROW()-1,19)+2)</f>
        <v>42735</v>
      </c>
      <c r="DK3576" s="4" t="e">
        <f>INDEX(Sheet2!$AA$2:$AS$228,QUOTIENT(ROW()-1,19)+1,MOD(ROW()-2,19)+1)</f>
        <v>#N/A</v>
      </c>
      <c r="DL3576" t="str">
        <f>IFERROR(INDEX(Sheet2!$AU$2:$BM$228,QUOTIENT(ROW()-1,19)+1,MOD(ROW()-2,19)+1),NA())</f>
        <v/>
      </c>
      <c r="DM3576" s="4" t="e">
        <f t="shared" si="186"/>
        <v>#N/A</v>
      </c>
      <c r="DN3576" t="e">
        <f t="shared" si="187"/>
        <v>#N/A</v>
      </c>
      <c r="DO3576" t="e">
        <f t="shared" si="188"/>
        <v>#N/A</v>
      </c>
    </row>
    <row r="3577" spans="7:119" x14ac:dyDescent="0.25">
      <c r="G3577"/>
      <c r="DI3577" s="4">
        <f>INDEX(Sheet2!A:A,QUOTIENT(ROW()-1,19)+2)</f>
        <v>41717</v>
      </c>
      <c r="DJ3577" s="4">
        <f>INDEX(Sheet2!C:C,QUOTIENT(ROW()-1,19)+2)</f>
        <v>42735</v>
      </c>
      <c r="DK3577" s="4" t="e">
        <f>INDEX(Sheet2!$AA$2:$AS$228,QUOTIENT(ROW()-1,19)+1,MOD(ROW()-2,19)+1)</f>
        <v>#N/A</v>
      </c>
      <c r="DL3577" t="str">
        <f>IFERROR(INDEX(Sheet2!$AU$2:$BM$228,QUOTIENT(ROW()-1,19)+1,MOD(ROW()-2,19)+1),NA())</f>
        <v/>
      </c>
      <c r="DM3577" s="4" t="e">
        <f t="shared" si="186"/>
        <v>#N/A</v>
      </c>
      <c r="DN3577" t="e">
        <f t="shared" si="187"/>
        <v>#N/A</v>
      </c>
      <c r="DO3577" t="e">
        <f t="shared" si="188"/>
        <v>#N/A</v>
      </c>
    </row>
    <row r="3578" spans="7:119" x14ac:dyDescent="0.25">
      <c r="G3578"/>
      <c r="DI3578" s="4">
        <f>INDEX(Sheet2!A:A,QUOTIENT(ROW()-1,19)+2)</f>
        <v>41717</v>
      </c>
      <c r="DJ3578" s="4">
        <f>INDEX(Sheet2!C:C,QUOTIENT(ROW()-1,19)+2)</f>
        <v>42735</v>
      </c>
      <c r="DK3578" s="4" t="e">
        <f>INDEX(Sheet2!$AA$2:$AS$228,QUOTIENT(ROW()-1,19)+1,MOD(ROW()-2,19)+1)</f>
        <v>#N/A</v>
      </c>
      <c r="DL3578" t="str">
        <f>IFERROR(INDEX(Sheet2!$AU$2:$BM$228,QUOTIENT(ROW()-1,19)+1,MOD(ROW()-2,19)+1),NA())</f>
        <v/>
      </c>
      <c r="DM3578" s="4" t="e">
        <f t="shared" si="186"/>
        <v>#N/A</v>
      </c>
      <c r="DN3578" t="e">
        <f t="shared" si="187"/>
        <v>#N/A</v>
      </c>
      <c r="DO3578" t="e">
        <f t="shared" si="188"/>
        <v>#N/A</v>
      </c>
    </row>
    <row r="3579" spans="7:119" x14ac:dyDescent="0.25">
      <c r="G3579"/>
      <c r="DI3579" s="4">
        <f>INDEX(Sheet2!A:A,QUOTIENT(ROW()-1,19)+2)</f>
        <v>41717</v>
      </c>
      <c r="DJ3579" s="4">
        <f>INDEX(Sheet2!C:C,QUOTIENT(ROW()-1,19)+2)</f>
        <v>42735</v>
      </c>
      <c r="DK3579" s="4" t="e">
        <f>INDEX(Sheet2!$AA$2:$AS$228,QUOTIENT(ROW()-1,19)+1,MOD(ROW()-2,19)+1)</f>
        <v>#N/A</v>
      </c>
      <c r="DL3579" t="str">
        <f>IFERROR(INDEX(Sheet2!$AU$2:$BM$228,QUOTIENT(ROW()-1,19)+1,MOD(ROW()-2,19)+1),NA())</f>
        <v/>
      </c>
      <c r="DM3579" s="4" t="e">
        <f t="shared" si="186"/>
        <v>#N/A</v>
      </c>
      <c r="DN3579" t="e">
        <f t="shared" si="187"/>
        <v>#N/A</v>
      </c>
      <c r="DO3579" t="e">
        <f t="shared" si="188"/>
        <v>#N/A</v>
      </c>
    </row>
    <row r="3580" spans="7:119" x14ac:dyDescent="0.25">
      <c r="G3580"/>
      <c r="DI3580" s="4">
        <f>INDEX(Sheet2!A:A,QUOTIENT(ROW()-1,19)+2)</f>
        <v>41717</v>
      </c>
      <c r="DJ3580" s="4">
        <f>INDEX(Sheet2!C:C,QUOTIENT(ROW()-1,19)+2)</f>
        <v>42735</v>
      </c>
      <c r="DK3580" s="4" t="e">
        <f>INDEX(Sheet2!$AA$2:$AS$228,QUOTIENT(ROW()-1,19)+1,MOD(ROW()-2,19)+1)</f>
        <v>#N/A</v>
      </c>
      <c r="DL3580" t="str">
        <f>IFERROR(INDEX(Sheet2!$AU$2:$BM$228,QUOTIENT(ROW()-1,19)+1,MOD(ROW()-2,19)+1),NA())</f>
        <v/>
      </c>
      <c r="DM3580" s="4" t="e">
        <f t="shared" si="186"/>
        <v>#N/A</v>
      </c>
      <c r="DN3580" t="e">
        <f t="shared" si="187"/>
        <v>#N/A</v>
      </c>
      <c r="DO3580" t="e">
        <f t="shared" si="188"/>
        <v>#N/A</v>
      </c>
    </row>
    <row r="3581" spans="7:119" x14ac:dyDescent="0.25">
      <c r="G3581"/>
      <c r="DI3581" s="4">
        <f>INDEX(Sheet2!A:A,QUOTIENT(ROW()-1,19)+2)</f>
        <v>41717</v>
      </c>
      <c r="DJ3581" s="4">
        <f>INDEX(Sheet2!C:C,QUOTIENT(ROW()-1,19)+2)</f>
        <v>42735</v>
      </c>
      <c r="DK3581" s="4" t="e">
        <f>INDEX(Sheet2!$AA$2:$AS$228,QUOTIENT(ROW()-1,19)+1,MOD(ROW()-2,19)+1)</f>
        <v>#N/A</v>
      </c>
      <c r="DL3581" t="str">
        <f>IFERROR(INDEX(Sheet2!$AU$2:$BM$228,QUOTIENT(ROW()-1,19)+1,MOD(ROW()-2,19)+1),NA())</f>
        <v/>
      </c>
      <c r="DM3581" s="4" t="e">
        <f t="shared" si="186"/>
        <v>#N/A</v>
      </c>
      <c r="DN3581" t="e">
        <f t="shared" si="187"/>
        <v>#N/A</v>
      </c>
      <c r="DO3581" t="e">
        <f t="shared" si="188"/>
        <v>#N/A</v>
      </c>
    </row>
    <row r="3582" spans="7:119" x14ac:dyDescent="0.25">
      <c r="G3582"/>
      <c r="DI3582" s="4">
        <f>INDEX(Sheet2!A:A,QUOTIENT(ROW()-1,19)+2)</f>
        <v>41717</v>
      </c>
      <c r="DJ3582" s="4">
        <f>INDEX(Sheet2!C:C,QUOTIENT(ROW()-1,19)+2)</f>
        <v>42735</v>
      </c>
      <c r="DK3582" s="4" t="e">
        <f>INDEX(Sheet2!$AA$2:$AS$228,QUOTIENT(ROW()-1,19)+1,MOD(ROW()-2,19)+1)</f>
        <v>#N/A</v>
      </c>
      <c r="DL3582" t="str">
        <f>IFERROR(INDEX(Sheet2!$AU$2:$BM$228,QUOTIENT(ROW()-1,19)+1,MOD(ROW()-2,19)+1),NA())</f>
        <v/>
      </c>
      <c r="DM3582" s="4" t="e">
        <f t="shared" si="186"/>
        <v>#N/A</v>
      </c>
      <c r="DN3582" t="e">
        <f t="shared" si="187"/>
        <v>#N/A</v>
      </c>
      <c r="DO3582" t="e">
        <f t="shared" si="188"/>
        <v>#N/A</v>
      </c>
    </row>
    <row r="3583" spans="7:119" x14ac:dyDescent="0.25">
      <c r="G3583"/>
      <c r="DI3583" s="4">
        <f>INDEX(Sheet2!A:A,QUOTIENT(ROW()-1,19)+2)</f>
        <v>41717</v>
      </c>
      <c r="DJ3583" s="4">
        <f>INDEX(Sheet2!C:C,QUOTIENT(ROW()-1,19)+2)</f>
        <v>42735</v>
      </c>
      <c r="DK3583" s="4" t="e">
        <f>INDEX(Sheet2!$AA$2:$AS$228,QUOTIENT(ROW()-1,19)+1,MOD(ROW()-2,19)+1)</f>
        <v>#N/A</v>
      </c>
      <c r="DL3583" t="str">
        <f>IFERROR(INDEX(Sheet2!$AU$2:$BM$228,QUOTIENT(ROW()-1,19)+1,MOD(ROW()-2,19)+1),NA())</f>
        <v/>
      </c>
      <c r="DM3583" s="4" t="e">
        <f t="shared" si="186"/>
        <v>#N/A</v>
      </c>
      <c r="DN3583" t="e">
        <f t="shared" si="187"/>
        <v>#N/A</v>
      </c>
      <c r="DO3583" t="e">
        <f t="shared" si="188"/>
        <v>#N/A</v>
      </c>
    </row>
    <row r="3584" spans="7:119" x14ac:dyDescent="0.25">
      <c r="G3584"/>
      <c r="DI3584" s="4">
        <f>INDEX(Sheet2!A:A,QUOTIENT(ROW()-1,19)+2)</f>
        <v>41717</v>
      </c>
      <c r="DJ3584" s="4">
        <f>INDEX(Sheet2!C:C,QUOTIENT(ROW()-1,19)+2)</f>
        <v>42735</v>
      </c>
      <c r="DK3584" s="4" t="e">
        <f>INDEX(Sheet2!$AA$2:$AS$228,QUOTIENT(ROW()-1,19)+1,MOD(ROW()-2,19)+1)</f>
        <v>#N/A</v>
      </c>
      <c r="DL3584" t="str">
        <f>IFERROR(INDEX(Sheet2!$AU$2:$BM$228,QUOTIENT(ROW()-1,19)+1,MOD(ROW()-2,19)+1),NA())</f>
        <v/>
      </c>
      <c r="DM3584" s="4" t="e">
        <f t="shared" si="186"/>
        <v>#N/A</v>
      </c>
      <c r="DN3584" t="e">
        <f t="shared" si="187"/>
        <v>#N/A</v>
      </c>
      <c r="DO3584" t="e">
        <f t="shared" si="188"/>
        <v>#N/A</v>
      </c>
    </row>
    <row r="3585" spans="7:119" x14ac:dyDescent="0.25">
      <c r="G3585"/>
      <c r="DI3585" s="4">
        <f>INDEX(Sheet2!A:A,QUOTIENT(ROW()-1,19)+2)</f>
        <v>41717</v>
      </c>
      <c r="DJ3585" s="4">
        <f>INDEX(Sheet2!C:C,QUOTIENT(ROW()-1,19)+2)</f>
        <v>42735</v>
      </c>
      <c r="DK3585" s="4" t="e">
        <f>INDEX(Sheet2!$AA$2:$AS$228,QUOTIENT(ROW()-1,19)+1,MOD(ROW()-2,19)+1)</f>
        <v>#N/A</v>
      </c>
      <c r="DL3585" t="str">
        <f>IFERROR(INDEX(Sheet2!$AU$2:$BM$228,QUOTIENT(ROW()-1,19)+1,MOD(ROW()-2,19)+1),NA())</f>
        <v/>
      </c>
      <c r="DM3585" s="4" t="e">
        <f t="shared" si="186"/>
        <v>#N/A</v>
      </c>
      <c r="DN3585" t="e">
        <f t="shared" si="187"/>
        <v>#N/A</v>
      </c>
      <c r="DO3585" t="e">
        <f t="shared" si="188"/>
        <v>#N/A</v>
      </c>
    </row>
    <row r="3586" spans="7:119" x14ac:dyDescent="0.25">
      <c r="G3586"/>
      <c r="DI3586" s="4">
        <f>INDEX(Sheet2!A:A,QUOTIENT(ROW()-1,19)+2)</f>
        <v>41717</v>
      </c>
      <c r="DJ3586" s="4">
        <f>INDEX(Sheet2!C:C,QUOTIENT(ROW()-1,19)+2)</f>
        <v>42735</v>
      </c>
      <c r="DK3586" s="4" t="e">
        <f>INDEX(Sheet2!$AA$2:$AS$228,QUOTIENT(ROW()-1,19)+1,MOD(ROW()-2,19)+1)</f>
        <v>#N/A</v>
      </c>
      <c r="DL3586" t="str">
        <f>IFERROR(INDEX(Sheet2!$AU$2:$BM$228,QUOTIENT(ROW()-1,19)+1,MOD(ROW()-2,19)+1),NA())</f>
        <v/>
      </c>
      <c r="DM3586" s="4" t="e">
        <f t="shared" ref="DM3586:DM3649" si="189">+IF($C$2=$DI3586,DK3586,NA())</f>
        <v>#N/A</v>
      </c>
      <c r="DN3586" t="e">
        <f t="shared" ref="DN3586:DN3649" si="190">+IF($C$2=$DI3586,DL3586,NA())</f>
        <v>#N/A</v>
      </c>
      <c r="DO3586" t="e">
        <f t="shared" si="188"/>
        <v>#N/A</v>
      </c>
    </row>
    <row r="3587" spans="7:119" x14ac:dyDescent="0.25">
      <c r="G3587"/>
      <c r="DI3587" s="4">
        <f>INDEX(Sheet2!A:A,QUOTIENT(ROW()-1,19)+2)</f>
        <v>41717</v>
      </c>
      <c r="DJ3587" s="4">
        <f>INDEX(Sheet2!C:C,QUOTIENT(ROW()-1,19)+2)</f>
        <v>42735</v>
      </c>
      <c r="DK3587" s="4" t="e">
        <f>INDEX(Sheet2!$AA$2:$AS$228,QUOTIENT(ROW()-1,19)+1,MOD(ROW()-2,19)+1)</f>
        <v>#N/A</v>
      </c>
      <c r="DL3587" t="str">
        <f>IFERROR(INDEX(Sheet2!$AU$2:$BM$228,QUOTIENT(ROW()-1,19)+1,MOD(ROW()-2,19)+1),NA())</f>
        <v/>
      </c>
      <c r="DM3587" s="4" t="e">
        <f t="shared" si="189"/>
        <v>#N/A</v>
      </c>
      <c r="DN3587" t="e">
        <f t="shared" si="190"/>
        <v>#N/A</v>
      </c>
      <c r="DO3587" t="e">
        <f t="shared" ref="DO3587:DO3650" si="191">IF(DN3587="",NA(),DN3587)</f>
        <v>#N/A</v>
      </c>
    </row>
    <row r="3588" spans="7:119" x14ac:dyDescent="0.25">
      <c r="G3588"/>
      <c r="DI3588" s="4">
        <f>INDEX(Sheet2!A:A,QUOTIENT(ROW()-1,19)+2)</f>
        <v>41717</v>
      </c>
      <c r="DJ3588" s="4">
        <f>INDEX(Sheet2!C:C,QUOTIENT(ROW()-1,19)+2)</f>
        <v>42735</v>
      </c>
      <c r="DK3588" s="4" t="e">
        <f>INDEX(Sheet2!$AA$2:$AS$228,QUOTIENT(ROW()-1,19)+1,MOD(ROW()-2,19)+1)</f>
        <v>#N/A</v>
      </c>
      <c r="DL3588" t="str">
        <f>IFERROR(INDEX(Sheet2!$AU$2:$BM$228,QUOTIENT(ROW()-1,19)+1,MOD(ROW()-2,19)+1),NA())</f>
        <v/>
      </c>
      <c r="DM3588" s="4" t="e">
        <f t="shared" si="189"/>
        <v>#N/A</v>
      </c>
      <c r="DN3588" t="e">
        <f t="shared" si="190"/>
        <v>#N/A</v>
      </c>
      <c r="DO3588" t="e">
        <f t="shared" si="191"/>
        <v>#N/A</v>
      </c>
    </row>
    <row r="3589" spans="7:119" x14ac:dyDescent="0.25">
      <c r="G3589"/>
      <c r="DI3589" s="4">
        <f>INDEX(Sheet2!A:A,QUOTIENT(ROW()-1,19)+2)</f>
        <v>41717</v>
      </c>
      <c r="DJ3589" s="4">
        <f>INDEX(Sheet2!C:C,QUOTIENT(ROW()-1,19)+2)</f>
        <v>42735</v>
      </c>
      <c r="DK3589" s="4" t="e">
        <f>INDEX(Sheet2!$AA$2:$AS$228,QUOTIENT(ROW()-1,19)+1,MOD(ROW()-2,19)+1)</f>
        <v>#N/A</v>
      </c>
      <c r="DL3589" t="str">
        <f>IFERROR(INDEX(Sheet2!$AU$2:$BM$228,QUOTIENT(ROW()-1,19)+1,MOD(ROW()-2,19)+1),NA())</f>
        <v/>
      </c>
      <c r="DM3589" s="4" t="e">
        <f t="shared" si="189"/>
        <v>#N/A</v>
      </c>
      <c r="DN3589" t="e">
        <f t="shared" si="190"/>
        <v>#N/A</v>
      </c>
      <c r="DO3589" t="e">
        <f t="shared" si="191"/>
        <v>#N/A</v>
      </c>
    </row>
    <row r="3590" spans="7:119" x14ac:dyDescent="0.25">
      <c r="G3590"/>
      <c r="DI3590" s="4">
        <f>INDEX(Sheet2!A:A,QUOTIENT(ROW()-1,19)+2)</f>
        <v>41717</v>
      </c>
      <c r="DJ3590" s="4">
        <f>INDEX(Sheet2!C:C,QUOTIENT(ROW()-1,19)+2)</f>
        <v>42735</v>
      </c>
      <c r="DK3590" s="4" t="e">
        <f>INDEX(Sheet2!$AA$2:$AS$228,QUOTIENT(ROW()-1,19)+1,MOD(ROW()-2,19)+1)</f>
        <v>#N/A</v>
      </c>
      <c r="DL3590" t="str">
        <f>IFERROR(INDEX(Sheet2!$AU$2:$BM$228,QUOTIENT(ROW()-1,19)+1,MOD(ROW()-2,19)+1),NA())</f>
        <v/>
      </c>
      <c r="DM3590" s="4" t="e">
        <f t="shared" si="189"/>
        <v>#N/A</v>
      </c>
      <c r="DN3590" t="e">
        <f t="shared" si="190"/>
        <v>#N/A</v>
      </c>
      <c r="DO3590" t="e">
        <f t="shared" si="191"/>
        <v>#N/A</v>
      </c>
    </row>
    <row r="3591" spans="7:119" x14ac:dyDescent="0.25">
      <c r="G3591"/>
      <c r="DI3591" s="4">
        <f>INDEX(Sheet2!A:A,QUOTIENT(ROW()-1,19)+2)</f>
        <v>41717</v>
      </c>
      <c r="DJ3591" s="4">
        <f>INDEX(Sheet2!C:C,QUOTIENT(ROW()-1,19)+2)</f>
        <v>42735</v>
      </c>
      <c r="DK3591" s="4" t="e">
        <f>INDEX(Sheet2!$AA$2:$AS$228,QUOTIENT(ROW()-1,19)+1,MOD(ROW()-2,19)+1)</f>
        <v>#N/A</v>
      </c>
      <c r="DL3591" t="str">
        <f>IFERROR(INDEX(Sheet2!$AU$2:$BM$228,QUOTIENT(ROW()-1,19)+1,MOD(ROW()-2,19)+1),NA())</f>
        <v/>
      </c>
      <c r="DM3591" s="4" t="e">
        <f t="shared" si="189"/>
        <v>#N/A</v>
      </c>
      <c r="DN3591" t="e">
        <f t="shared" si="190"/>
        <v>#N/A</v>
      </c>
      <c r="DO3591" t="e">
        <f t="shared" si="191"/>
        <v>#N/A</v>
      </c>
    </row>
    <row r="3592" spans="7:119" x14ac:dyDescent="0.25">
      <c r="G3592"/>
      <c r="DI3592" s="4">
        <f>INDEX(Sheet2!A:A,QUOTIENT(ROW()-1,19)+2)</f>
        <v>41717</v>
      </c>
      <c r="DJ3592" s="4">
        <f>INDEX(Sheet2!C:C,QUOTIENT(ROW()-1,19)+2)</f>
        <v>42735</v>
      </c>
      <c r="DK3592" s="4" t="e">
        <f>INDEX(Sheet2!$AA$2:$AS$228,QUOTIENT(ROW()-1,19)+1,MOD(ROW()-2,19)+1)</f>
        <v>#N/A</v>
      </c>
      <c r="DL3592" t="str">
        <f>IFERROR(INDEX(Sheet2!$AU$2:$BM$228,QUOTIENT(ROW()-1,19)+1,MOD(ROW()-2,19)+1),NA())</f>
        <v/>
      </c>
      <c r="DM3592" s="4" t="e">
        <f t="shared" si="189"/>
        <v>#N/A</v>
      </c>
      <c r="DN3592" t="e">
        <f t="shared" si="190"/>
        <v>#N/A</v>
      </c>
      <c r="DO3592" t="e">
        <f t="shared" si="191"/>
        <v>#N/A</v>
      </c>
    </row>
    <row r="3593" spans="7:119" x14ac:dyDescent="0.25">
      <c r="G3593"/>
      <c r="DI3593" s="4">
        <f>INDEX(Sheet2!A:A,QUOTIENT(ROW()-1,19)+2)</f>
        <v>41717</v>
      </c>
      <c r="DJ3593" s="4">
        <f>INDEX(Sheet2!C:C,QUOTIENT(ROW()-1,19)+2)</f>
        <v>42735</v>
      </c>
      <c r="DK3593" s="4">
        <f>INDEX(Sheet2!$AA$2:$AS$228,QUOTIENT(ROW()-1,19)+1,MOD(ROW()-2,19)+1)</f>
        <v>42724.962500000001</v>
      </c>
      <c r="DL3593">
        <f>IFERROR(INDEX(Sheet2!$AU$2:$BM$228,QUOTIENT(ROW()-1,19)+1,MOD(ROW()-2,19)+1),NA())</f>
        <v>2.75</v>
      </c>
      <c r="DM3593" s="4" t="e">
        <f t="shared" si="189"/>
        <v>#N/A</v>
      </c>
      <c r="DN3593" t="e">
        <f t="shared" si="190"/>
        <v>#N/A</v>
      </c>
      <c r="DO3593" t="e">
        <f t="shared" si="191"/>
        <v>#N/A</v>
      </c>
    </row>
    <row r="3594" spans="7:119" x14ac:dyDescent="0.25">
      <c r="G3594"/>
      <c r="DI3594" s="4">
        <f>INDEX(Sheet2!A:A,QUOTIENT(ROW()-1,19)+2)</f>
        <v>41717</v>
      </c>
      <c r="DJ3594" s="4">
        <f>INDEX(Sheet2!C:C,QUOTIENT(ROW()-1,19)+2)</f>
        <v>42735</v>
      </c>
      <c r="DK3594" s="4">
        <f>INDEX(Sheet2!$AA$2:$AS$228,QUOTIENT(ROW()-1,19)+1,MOD(ROW()-2,19)+1)</f>
        <v>42745.037500000006</v>
      </c>
      <c r="DL3594">
        <f>IFERROR(INDEX(Sheet2!$AU$2:$BM$228,QUOTIENT(ROW()-1,19)+1,MOD(ROW()-2,19)+1),NA())</f>
        <v>2.75</v>
      </c>
      <c r="DM3594" s="4" t="e">
        <f t="shared" si="189"/>
        <v>#N/A</v>
      </c>
      <c r="DN3594" t="e">
        <f t="shared" si="190"/>
        <v>#N/A</v>
      </c>
      <c r="DO3594" t="e">
        <f t="shared" si="191"/>
        <v>#N/A</v>
      </c>
    </row>
    <row r="3595" spans="7:119" x14ac:dyDescent="0.25">
      <c r="G3595"/>
      <c r="DI3595" s="4">
        <f>INDEX(Sheet2!A:A,QUOTIENT(ROW()-1,19)+2)</f>
        <v>41717</v>
      </c>
      <c r="DJ3595" s="4">
        <f>INDEX(Sheet2!C:C,QUOTIENT(ROW()-1,19)+2)</f>
        <v>42735</v>
      </c>
      <c r="DK3595" s="4" t="e">
        <f>INDEX(Sheet2!$AA$2:$AS$228,QUOTIENT(ROW()-1,19)+1,MOD(ROW()-2,19)+1)</f>
        <v>#N/A</v>
      </c>
      <c r="DL3595" t="str">
        <f>IFERROR(INDEX(Sheet2!$AU$2:$BM$228,QUOTIENT(ROW()-1,19)+1,MOD(ROW()-2,19)+1),NA())</f>
        <v/>
      </c>
      <c r="DM3595" s="4" t="e">
        <f t="shared" si="189"/>
        <v>#N/A</v>
      </c>
      <c r="DN3595" t="e">
        <f t="shared" si="190"/>
        <v>#N/A</v>
      </c>
      <c r="DO3595" t="e">
        <f t="shared" si="191"/>
        <v>#N/A</v>
      </c>
    </row>
    <row r="3596" spans="7:119" x14ac:dyDescent="0.25">
      <c r="G3596"/>
      <c r="DI3596" s="4">
        <f>INDEX(Sheet2!A:A,QUOTIENT(ROW()-1,19)+2)</f>
        <v>41717</v>
      </c>
      <c r="DJ3596" s="4">
        <f>INDEX(Sheet2!C:C,QUOTIENT(ROW()-1,19)+2)</f>
        <v>42735</v>
      </c>
      <c r="DK3596" s="4" t="e">
        <f>INDEX(Sheet2!$AA$2:$AS$228,QUOTIENT(ROW()-1,19)+1,MOD(ROW()-2,19)+1)</f>
        <v>#N/A</v>
      </c>
      <c r="DL3596" t="str">
        <f>IFERROR(INDEX(Sheet2!$AU$2:$BM$228,QUOTIENT(ROW()-1,19)+1,MOD(ROW()-2,19)+1),NA())</f>
        <v/>
      </c>
      <c r="DM3596" s="4" t="e">
        <f t="shared" si="189"/>
        <v>#N/A</v>
      </c>
      <c r="DN3596" t="e">
        <f t="shared" si="190"/>
        <v>#N/A</v>
      </c>
      <c r="DO3596" t="e">
        <f t="shared" si="191"/>
        <v>#N/A</v>
      </c>
    </row>
    <row r="3597" spans="7:119" x14ac:dyDescent="0.25">
      <c r="G3597"/>
      <c r="DI3597" s="4">
        <f>INDEX(Sheet2!A:A,QUOTIENT(ROW()-1,19)+2)</f>
        <v>41717</v>
      </c>
      <c r="DJ3597" s="4">
        <f>INDEX(Sheet2!C:C,QUOTIENT(ROW()-1,19)+2)</f>
        <v>42735</v>
      </c>
      <c r="DK3597" s="4" t="e">
        <f>INDEX(Sheet2!$AA$2:$AS$228,QUOTIENT(ROW()-1,19)+1,MOD(ROW()-2,19)+1)</f>
        <v>#N/A</v>
      </c>
      <c r="DL3597" t="str">
        <f>IFERROR(INDEX(Sheet2!$AU$2:$BM$228,QUOTIENT(ROW()-1,19)+1,MOD(ROW()-2,19)+1),NA())</f>
        <v/>
      </c>
      <c r="DM3597" s="4" t="e">
        <f t="shared" si="189"/>
        <v>#N/A</v>
      </c>
      <c r="DN3597" t="e">
        <f t="shared" si="190"/>
        <v>#N/A</v>
      </c>
      <c r="DO3597" t="e">
        <f t="shared" si="191"/>
        <v>#N/A</v>
      </c>
    </row>
    <row r="3598" spans="7:119" x14ac:dyDescent="0.25">
      <c r="G3598"/>
      <c r="DI3598" s="4">
        <f>INDEX(Sheet2!A:A,QUOTIENT(ROW()-1,19)+2)</f>
        <v>41717</v>
      </c>
      <c r="DJ3598" s="4">
        <f>INDEX(Sheet2!C:C,QUOTIENT(ROW()-1,19)+2)</f>
        <v>42735</v>
      </c>
      <c r="DK3598" s="4" t="e">
        <f>INDEX(Sheet2!$AA$2:$AS$228,QUOTIENT(ROW()-1,19)+1,MOD(ROW()-2,19)+1)</f>
        <v>#N/A</v>
      </c>
      <c r="DL3598" t="str">
        <f>IFERROR(INDEX(Sheet2!$AU$2:$BM$228,QUOTIENT(ROW()-1,19)+1,MOD(ROW()-2,19)+1),NA())</f>
        <v/>
      </c>
      <c r="DM3598" s="4" t="e">
        <f t="shared" si="189"/>
        <v>#N/A</v>
      </c>
      <c r="DN3598" t="e">
        <f t="shared" si="190"/>
        <v>#N/A</v>
      </c>
      <c r="DO3598" t="e">
        <f t="shared" si="191"/>
        <v>#N/A</v>
      </c>
    </row>
    <row r="3599" spans="7:119" x14ac:dyDescent="0.25">
      <c r="G3599"/>
      <c r="DI3599" s="4">
        <f>INDEX(Sheet2!A:A,QUOTIENT(ROW()-1,19)+2)</f>
        <v>41717</v>
      </c>
      <c r="DJ3599" s="4">
        <f>INDEX(Sheet2!C:C,QUOTIENT(ROW()-1,19)+2)</f>
        <v>42735</v>
      </c>
      <c r="DK3599" s="4" t="e">
        <f>INDEX(Sheet2!$AA$2:$AS$228,QUOTIENT(ROW()-1,19)+1,MOD(ROW()-2,19)+1)</f>
        <v>#N/A</v>
      </c>
      <c r="DL3599" t="str">
        <f>IFERROR(INDEX(Sheet2!$AU$2:$BM$228,QUOTIENT(ROW()-1,19)+1,MOD(ROW()-2,19)+1),NA())</f>
        <v/>
      </c>
      <c r="DM3599" s="4" t="e">
        <f t="shared" si="189"/>
        <v>#N/A</v>
      </c>
      <c r="DN3599" t="e">
        <f t="shared" si="190"/>
        <v>#N/A</v>
      </c>
      <c r="DO3599" t="e">
        <f t="shared" si="191"/>
        <v>#N/A</v>
      </c>
    </row>
    <row r="3600" spans="7:119" x14ac:dyDescent="0.25">
      <c r="G3600"/>
      <c r="DI3600" s="4">
        <f>INDEX(Sheet2!A:A,QUOTIENT(ROW()-1,19)+2)</f>
        <v>41717</v>
      </c>
      <c r="DJ3600" s="4">
        <f>INDEX(Sheet2!C:C,QUOTIENT(ROW()-1,19)+2)</f>
        <v>42735</v>
      </c>
      <c r="DK3600" s="4" t="e">
        <f>INDEX(Sheet2!$AA$2:$AS$228,QUOTIENT(ROW()-1,19)+1,MOD(ROW()-2,19)+1)</f>
        <v>#N/A</v>
      </c>
      <c r="DL3600" t="str">
        <f>IFERROR(INDEX(Sheet2!$AU$2:$BM$228,QUOTIENT(ROW()-1,19)+1,MOD(ROW()-2,19)+1),NA())</f>
        <v/>
      </c>
      <c r="DM3600" s="4" t="e">
        <f t="shared" si="189"/>
        <v>#N/A</v>
      </c>
      <c r="DN3600" t="e">
        <f t="shared" si="190"/>
        <v>#N/A</v>
      </c>
      <c r="DO3600" t="e">
        <f t="shared" si="191"/>
        <v>#N/A</v>
      </c>
    </row>
    <row r="3601" spans="7:119" x14ac:dyDescent="0.25">
      <c r="G3601"/>
      <c r="DI3601" s="4">
        <f>INDEX(Sheet2!A:A,QUOTIENT(ROW()-1,19)+2)</f>
        <v>41717</v>
      </c>
      <c r="DJ3601" s="4">
        <f>INDEX(Sheet2!C:C,QUOTIENT(ROW()-1,19)+2)</f>
        <v>42735</v>
      </c>
      <c r="DK3601" s="4" t="e">
        <f>INDEX(Sheet2!$AA$2:$AS$228,QUOTIENT(ROW()-1,19)+1,MOD(ROW()-2,19)+1)</f>
        <v>#N/A</v>
      </c>
      <c r="DL3601" t="str">
        <f>IFERROR(INDEX(Sheet2!$AU$2:$BM$228,QUOTIENT(ROW()-1,19)+1,MOD(ROW()-2,19)+1),NA())</f>
        <v/>
      </c>
      <c r="DM3601" s="4" t="e">
        <f t="shared" si="189"/>
        <v>#N/A</v>
      </c>
      <c r="DN3601" t="e">
        <f t="shared" si="190"/>
        <v>#N/A</v>
      </c>
      <c r="DO3601" t="e">
        <f t="shared" si="191"/>
        <v>#N/A</v>
      </c>
    </row>
    <row r="3602" spans="7:119" x14ac:dyDescent="0.25">
      <c r="G3602"/>
      <c r="DI3602" s="4">
        <f>INDEX(Sheet2!A:A,QUOTIENT(ROW()-1,19)+2)</f>
        <v>41717</v>
      </c>
      <c r="DJ3602" s="4">
        <f>INDEX(Sheet2!C:C,QUOTIENT(ROW()-1,19)+2)</f>
        <v>42735</v>
      </c>
      <c r="DK3602" s="4" t="e">
        <f>INDEX(Sheet2!$AA$2:$AS$228,QUOTIENT(ROW()-1,19)+1,MOD(ROW()-2,19)+1)</f>
        <v>#N/A</v>
      </c>
      <c r="DL3602" t="str">
        <f>IFERROR(INDEX(Sheet2!$AU$2:$BM$228,QUOTIENT(ROW()-1,19)+1,MOD(ROW()-2,19)+1),NA())</f>
        <v/>
      </c>
      <c r="DM3602" s="4" t="e">
        <f t="shared" si="189"/>
        <v>#N/A</v>
      </c>
      <c r="DN3602" t="e">
        <f t="shared" si="190"/>
        <v>#N/A</v>
      </c>
      <c r="DO3602" t="e">
        <f t="shared" si="191"/>
        <v>#N/A</v>
      </c>
    </row>
    <row r="3603" spans="7:119" x14ac:dyDescent="0.25">
      <c r="G3603"/>
      <c r="DI3603" s="4">
        <f>INDEX(Sheet2!A:A,QUOTIENT(ROW()-1,19)+2)</f>
        <v>41717</v>
      </c>
      <c r="DJ3603" s="4">
        <f>INDEX(Sheet2!C:C,QUOTIENT(ROW()-1,19)+2)</f>
        <v>42735</v>
      </c>
      <c r="DK3603" s="4" t="e">
        <f>INDEX(Sheet2!$AA$2:$AS$228,QUOTIENT(ROW()-1,19)+1,MOD(ROW()-2,19)+1)</f>
        <v>#N/A</v>
      </c>
      <c r="DL3603" t="str">
        <f>IFERROR(INDEX(Sheet2!$AU$2:$BM$228,QUOTIENT(ROW()-1,19)+1,MOD(ROW()-2,19)+1),NA())</f>
        <v/>
      </c>
      <c r="DM3603" s="4" t="e">
        <f t="shared" si="189"/>
        <v>#N/A</v>
      </c>
      <c r="DN3603" t="e">
        <f t="shared" si="190"/>
        <v>#N/A</v>
      </c>
      <c r="DO3603" t="e">
        <f t="shared" si="191"/>
        <v>#N/A</v>
      </c>
    </row>
    <row r="3604" spans="7:119" x14ac:dyDescent="0.25">
      <c r="G3604"/>
      <c r="DI3604" s="4">
        <f>INDEX(Sheet2!A:A,QUOTIENT(ROW()-1,19)+2)</f>
        <v>41717</v>
      </c>
      <c r="DJ3604" s="4">
        <f>INDEX(Sheet2!C:C,QUOTIENT(ROW()-1,19)+2)</f>
        <v>42735</v>
      </c>
      <c r="DK3604" s="4" t="e">
        <f>INDEX(Sheet2!$AA$2:$AS$228,QUOTIENT(ROW()-1,19)+1,MOD(ROW()-2,19)+1)</f>
        <v>#N/A</v>
      </c>
      <c r="DL3604" t="str">
        <f>IFERROR(INDEX(Sheet2!$AU$2:$BM$228,QUOTIENT(ROW()-1,19)+1,MOD(ROW()-2,19)+1),NA())</f>
        <v/>
      </c>
      <c r="DM3604" s="4" t="e">
        <f t="shared" si="189"/>
        <v>#N/A</v>
      </c>
      <c r="DN3604" t="e">
        <f t="shared" si="190"/>
        <v>#N/A</v>
      </c>
      <c r="DO3604" t="e">
        <f t="shared" si="191"/>
        <v>#N/A</v>
      </c>
    </row>
    <row r="3605" spans="7:119" x14ac:dyDescent="0.25">
      <c r="G3605"/>
      <c r="DI3605" s="4">
        <f>INDEX(Sheet2!A:A,QUOTIENT(ROW()-1,19)+2)</f>
        <v>41717</v>
      </c>
      <c r="DJ3605" s="4">
        <f>INDEX(Sheet2!C:C,QUOTIENT(ROW()-1,19)+2)</f>
        <v>42735</v>
      </c>
      <c r="DK3605" s="4" t="e">
        <f>INDEX(Sheet2!$AA$2:$AS$228,QUOTIENT(ROW()-1,19)+1,MOD(ROW()-2,19)+1)</f>
        <v>#N/A</v>
      </c>
      <c r="DL3605" t="str">
        <f>IFERROR(INDEX(Sheet2!$AU$2:$BM$228,QUOTIENT(ROW()-1,19)+1,MOD(ROW()-2,19)+1),NA())</f>
        <v/>
      </c>
      <c r="DM3605" s="4" t="e">
        <f t="shared" si="189"/>
        <v>#N/A</v>
      </c>
      <c r="DN3605" t="e">
        <f t="shared" si="190"/>
        <v>#N/A</v>
      </c>
      <c r="DO3605" t="e">
        <f t="shared" si="191"/>
        <v>#N/A</v>
      </c>
    </row>
    <row r="3606" spans="7:119" x14ac:dyDescent="0.25">
      <c r="G3606"/>
      <c r="DI3606" s="4">
        <f>INDEX(Sheet2!A:A,QUOTIENT(ROW()-1,19)+2)</f>
        <v>41717</v>
      </c>
      <c r="DJ3606" s="4">
        <f>INDEX(Sheet2!C:C,QUOTIENT(ROW()-1,19)+2)</f>
        <v>42735</v>
      </c>
      <c r="DK3606" s="4" t="e">
        <f>INDEX(Sheet2!$AA$2:$AS$228,QUOTIENT(ROW()-1,19)+1,MOD(ROW()-2,19)+1)</f>
        <v>#N/A</v>
      </c>
      <c r="DL3606" t="str">
        <f>IFERROR(INDEX(Sheet2!$AU$2:$BM$228,QUOTIENT(ROW()-1,19)+1,MOD(ROW()-2,19)+1),NA())</f>
        <v/>
      </c>
      <c r="DM3606" s="4" t="e">
        <f t="shared" si="189"/>
        <v>#N/A</v>
      </c>
      <c r="DN3606" t="e">
        <f t="shared" si="190"/>
        <v>#N/A</v>
      </c>
      <c r="DO3606" t="e">
        <f t="shared" si="191"/>
        <v>#N/A</v>
      </c>
    </row>
    <row r="3607" spans="7:119" x14ac:dyDescent="0.25">
      <c r="G3607"/>
      <c r="DI3607" s="4">
        <f>INDEX(Sheet2!A:A,QUOTIENT(ROW()-1,19)+2)</f>
        <v>41717</v>
      </c>
      <c r="DJ3607" s="4">
        <f>INDEX(Sheet2!C:C,QUOTIENT(ROW()-1,19)+2)</f>
        <v>42735</v>
      </c>
      <c r="DK3607" s="4" t="e">
        <f>INDEX(Sheet2!$AA$2:$AS$228,QUOTIENT(ROW()-1,19)+1,MOD(ROW()-2,19)+1)</f>
        <v>#N/A</v>
      </c>
      <c r="DL3607" t="str">
        <f>IFERROR(INDEX(Sheet2!$AU$2:$BM$228,QUOTIENT(ROW()-1,19)+1,MOD(ROW()-2,19)+1),NA())</f>
        <v/>
      </c>
      <c r="DM3607" s="4" t="e">
        <f t="shared" si="189"/>
        <v>#N/A</v>
      </c>
      <c r="DN3607" t="e">
        <f t="shared" si="190"/>
        <v>#N/A</v>
      </c>
      <c r="DO3607" t="e">
        <f t="shared" si="191"/>
        <v>#N/A</v>
      </c>
    </row>
    <row r="3608" spans="7:119" x14ac:dyDescent="0.25">
      <c r="G3608"/>
      <c r="DI3608" s="4">
        <f>INDEX(Sheet2!A:A,QUOTIENT(ROW()-1,19)+2)</f>
        <v>41717</v>
      </c>
      <c r="DJ3608" s="4">
        <f>INDEX(Sheet2!C:C,QUOTIENT(ROW()-1,19)+2)</f>
        <v>42735</v>
      </c>
      <c r="DK3608" s="4" t="e">
        <f>INDEX(Sheet2!$AA$2:$AS$228,QUOTIENT(ROW()-1,19)+1,MOD(ROW()-2,19)+1)</f>
        <v>#N/A</v>
      </c>
      <c r="DL3608" t="str">
        <f>IFERROR(INDEX(Sheet2!$AU$2:$BM$228,QUOTIENT(ROW()-1,19)+1,MOD(ROW()-2,19)+1),NA())</f>
        <v/>
      </c>
      <c r="DM3608" s="4" t="e">
        <f t="shared" si="189"/>
        <v>#N/A</v>
      </c>
      <c r="DN3608" t="e">
        <f t="shared" si="190"/>
        <v>#N/A</v>
      </c>
      <c r="DO3608" t="e">
        <f t="shared" si="191"/>
        <v>#N/A</v>
      </c>
    </row>
    <row r="3609" spans="7:119" x14ac:dyDescent="0.25">
      <c r="G3609"/>
      <c r="DI3609" s="4">
        <f>INDEX(Sheet2!A:A,QUOTIENT(ROW()-1,19)+2)</f>
        <v>41717</v>
      </c>
      <c r="DJ3609" s="4">
        <f>INDEX(Sheet2!C:C,QUOTIENT(ROW()-1,19)+2)</f>
        <v>42735</v>
      </c>
      <c r="DK3609" s="4" t="e">
        <f>INDEX(Sheet2!$AA$2:$AS$228,QUOTIENT(ROW()-1,19)+1,MOD(ROW()-2,19)+1)</f>
        <v>#N/A</v>
      </c>
      <c r="DL3609" t="str">
        <f>IFERROR(INDEX(Sheet2!$AU$2:$BM$228,QUOTIENT(ROW()-1,19)+1,MOD(ROW()-2,19)+1),NA())</f>
        <v/>
      </c>
      <c r="DM3609" s="4" t="e">
        <f t="shared" si="189"/>
        <v>#N/A</v>
      </c>
      <c r="DN3609" t="e">
        <f t="shared" si="190"/>
        <v>#N/A</v>
      </c>
      <c r="DO3609" t="e">
        <f t="shared" si="191"/>
        <v>#N/A</v>
      </c>
    </row>
    <row r="3610" spans="7:119" x14ac:dyDescent="0.25">
      <c r="G3610"/>
      <c r="DI3610" s="4">
        <f>INDEX(Sheet2!A:A,QUOTIENT(ROW()-1,19)+2)</f>
        <v>41717</v>
      </c>
      <c r="DJ3610" s="4">
        <f>INDEX(Sheet2!C:C,QUOTIENT(ROW()-1,19)+2)</f>
        <v>42735</v>
      </c>
      <c r="DK3610" s="4" t="e">
        <f>INDEX(Sheet2!$AA$2:$AS$228,QUOTIENT(ROW()-1,19)+1,MOD(ROW()-2,19)+1)</f>
        <v>#N/A</v>
      </c>
      <c r="DL3610" t="str">
        <f>IFERROR(INDEX(Sheet2!$AU$2:$BM$228,QUOTIENT(ROW()-1,19)+1,MOD(ROW()-2,19)+1),NA())</f>
        <v/>
      </c>
      <c r="DM3610" s="4" t="e">
        <f t="shared" si="189"/>
        <v>#N/A</v>
      </c>
      <c r="DN3610" t="e">
        <f t="shared" si="190"/>
        <v>#N/A</v>
      </c>
      <c r="DO3610" t="e">
        <f t="shared" si="191"/>
        <v>#N/A</v>
      </c>
    </row>
    <row r="3611" spans="7:119" x14ac:dyDescent="0.25">
      <c r="G3611"/>
      <c r="DI3611" s="4">
        <f>INDEX(Sheet2!A:A,QUOTIENT(ROW()-1,19)+2)</f>
        <v>41717</v>
      </c>
      <c r="DJ3611" s="4">
        <f>INDEX(Sheet2!C:C,QUOTIENT(ROW()-1,19)+2)</f>
        <v>42735</v>
      </c>
      <c r="DK3611" s="4" t="e">
        <f>INDEX(Sheet2!$AA$2:$AS$228,QUOTIENT(ROW()-1,19)+1,MOD(ROW()-2,19)+1)</f>
        <v>#N/A</v>
      </c>
      <c r="DL3611" t="str">
        <f>IFERROR(INDEX(Sheet2!$AU$2:$BM$228,QUOTIENT(ROW()-1,19)+1,MOD(ROW()-2,19)+1),NA())</f>
        <v/>
      </c>
      <c r="DM3611" s="4" t="e">
        <f t="shared" si="189"/>
        <v>#N/A</v>
      </c>
      <c r="DN3611" t="e">
        <f t="shared" si="190"/>
        <v>#N/A</v>
      </c>
      <c r="DO3611" t="e">
        <f t="shared" si="191"/>
        <v>#N/A</v>
      </c>
    </row>
    <row r="3612" spans="7:119" x14ac:dyDescent="0.25">
      <c r="G3612"/>
      <c r="DI3612" s="4">
        <f>INDEX(Sheet2!A:A,QUOTIENT(ROW()-1,19)+2)</f>
        <v>41717</v>
      </c>
      <c r="DJ3612" s="4">
        <f>INDEX(Sheet2!C:C,QUOTIENT(ROW()-1,19)+2)</f>
        <v>42735</v>
      </c>
      <c r="DK3612" s="4">
        <f>INDEX(Sheet2!$AA$2:$AS$228,QUOTIENT(ROW()-1,19)+1,MOD(ROW()-2,19)+1)</f>
        <v>42735</v>
      </c>
      <c r="DL3612">
        <f>IFERROR(INDEX(Sheet2!$AU$2:$BM$228,QUOTIENT(ROW()-1,19)+1,MOD(ROW()-2,19)+1),NA())</f>
        <v>3</v>
      </c>
      <c r="DM3612" s="4" t="e">
        <f t="shared" si="189"/>
        <v>#N/A</v>
      </c>
      <c r="DN3612" t="e">
        <f t="shared" si="190"/>
        <v>#N/A</v>
      </c>
      <c r="DO3612" t="e">
        <f t="shared" si="191"/>
        <v>#N/A</v>
      </c>
    </row>
    <row r="3613" spans="7:119" x14ac:dyDescent="0.25">
      <c r="G3613"/>
      <c r="DI3613" s="4">
        <f>INDEX(Sheet2!A:A,QUOTIENT(ROW()-1,19)+2)</f>
        <v>41717</v>
      </c>
      <c r="DJ3613" s="4">
        <f>INDEX(Sheet2!C:C,QUOTIENT(ROW()-1,19)+2)</f>
        <v>42735</v>
      </c>
      <c r="DK3613" s="4" t="e">
        <f>INDEX(Sheet2!$AA$2:$AS$228,QUOTIENT(ROW()-1,19)+1,MOD(ROW()-2,19)+1)</f>
        <v>#N/A</v>
      </c>
      <c r="DL3613" t="str">
        <f>IFERROR(INDEX(Sheet2!$AU$2:$BM$228,QUOTIENT(ROW()-1,19)+1,MOD(ROW()-2,19)+1),NA())</f>
        <v/>
      </c>
      <c r="DM3613" s="4" t="e">
        <f t="shared" si="189"/>
        <v>#N/A</v>
      </c>
      <c r="DN3613" t="e">
        <f t="shared" si="190"/>
        <v>#N/A</v>
      </c>
      <c r="DO3613" t="e">
        <f t="shared" si="191"/>
        <v>#N/A</v>
      </c>
    </row>
    <row r="3614" spans="7:119" x14ac:dyDescent="0.25">
      <c r="G3614"/>
      <c r="DI3614" s="4">
        <f>INDEX(Sheet2!A:A,QUOTIENT(ROW()-1,19)+2)</f>
        <v>41717</v>
      </c>
      <c r="DJ3614" s="4">
        <f>INDEX(Sheet2!C:C,QUOTIENT(ROW()-1,19)+2)</f>
        <v>42735</v>
      </c>
      <c r="DK3614" s="4" t="e">
        <f>INDEX(Sheet2!$AA$2:$AS$228,QUOTIENT(ROW()-1,19)+1,MOD(ROW()-2,19)+1)</f>
        <v>#N/A</v>
      </c>
      <c r="DL3614" t="str">
        <f>IFERROR(INDEX(Sheet2!$AU$2:$BM$228,QUOTIENT(ROW()-1,19)+1,MOD(ROW()-2,19)+1),NA())</f>
        <v/>
      </c>
      <c r="DM3614" s="4" t="e">
        <f t="shared" si="189"/>
        <v>#N/A</v>
      </c>
      <c r="DN3614" t="e">
        <f t="shared" si="190"/>
        <v>#N/A</v>
      </c>
      <c r="DO3614" t="e">
        <f t="shared" si="191"/>
        <v>#N/A</v>
      </c>
    </row>
    <row r="3615" spans="7:119" x14ac:dyDescent="0.25">
      <c r="G3615"/>
      <c r="DI3615" s="4">
        <f>INDEX(Sheet2!A:A,QUOTIENT(ROW()-1,19)+2)</f>
        <v>41717</v>
      </c>
      <c r="DJ3615" s="4">
        <f>INDEX(Sheet2!C:C,QUOTIENT(ROW()-1,19)+2)</f>
        <v>42735</v>
      </c>
      <c r="DK3615" s="4" t="e">
        <f>INDEX(Sheet2!$AA$2:$AS$228,QUOTIENT(ROW()-1,19)+1,MOD(ROW()-2,19)+1)</f>
        <v>#N/A</v>
      </c>
      <c r="DL3615" t="str">
        <f>IFERROR(INDEX(Sheet2!$AU$2:$BM$228,QUOTIENT(ROW()-1,19)+1,MOD(ROW()-2,19)+1),NA())</f>
        <v/>
      </c>
      <c r="DM3615" s="4" t="e">
        <f t="shared" si="189"/>
        <v>#N/A</v>
      </c>
      <c r="DN3615" t="e">
        <f t="shared" si="190"/>
        <v>#N/A</v>
      </c>
      <c r="DO3615" t="e">
        <f t="shared" si="191"/>
        <v>#N/A</v>
      </c>
    </row>
    <row r="3616" spans="7:119" x14ac:dyDescent="0.25">
      <c r="G3616"/>
      <c r="DI3616" s="4">
        <f>INDEX(Sheet2!A:A,QUOTIENT(ROW()-1,19)+2)</f>
        <v>41717</v>
      </c>
      <c r="DJ3616" s="4">
        <f>INDEX(Sheet2!C:C,QUOTIENT(ROW()-1,19)+2)</f>
        <v>42735</v>
      </c>
      <c r="DK3616" s="4" t="e">
        <f>INDEX(Sheet2!$AA$2:$AS$228,QUOTIENT(ROW()-1,19)+1,MOD(ROW()-2,19)+1)</f>
        <v>#N/A</v>
      </c>
      <c r="DL3616" t="str">
        <f>IFERROR(INDEX(Sheet2!$AU$2:$BM$228,QUOTIENT(ROW()-1,19)+1,MOD(ROW()-2,19)+1),NA())</f>
        <v/>
      </c>
      <c r="DM3616" s="4" t="e">
        <f t="shared" si="189"/>
        <v>#N/A</v>
      </c>
      <c r="DN3616" t="e">
        <f t="shared" si="190"/>
        <v>#N/A</v>
      </c>
      <c r="DO3616" t="e">
        <f t="shared" si="191"/>
        <v>#N/A</v>
      </c>
    </row>
    <row r="3617" spans="7:119" x14ac:dyDescent="0.25">
      <c r="G3617"/>
      <c r="DI3617" s="4">
        <f>INDEX(Sheet2!A:A,QUOTIENT(ROW()-1,19)+2)</f>
        <v>41717</v>
      </c>
      <c r="DJ3617" s="4">
        <f>INDEX(Sheet2!C:C,QUOTIENT(ROW()-1,19)+2)</f>
        <v>42735</v>
      </c>
      <c r="DK3617" s="4" t="e">
        <f>INDEX(Sheet2!$AA$2:$AS$228,QUOTIENT(ROW()-1,19)+1,MOD(ROW()-2,19)+1)</f>
        <v>#N/A</v>
      </c>
      <c r="DL3617" t="str">
        <f>IFERROR(INDEX(Sheet2!$AU$2:$BM$228,QUOTIENT(ROW()-1,19)+1,MOD(ROW()-2,19)+1),NA())</f>
        <v/>
      </c>
      <c r="DM3617" s="4" t="e">
        <f t="shared" si="189"/>
        <v>#N/A</v>
      </c>
      <c r="DN3617" t="e">
        <f t="shared" si="190"/>
        <v>#N/A</v>
      </c>
      <c r="DO3617" t="e">
        <f t="shared" si="191"/>
        <v>#N/A</v>
      </c>
    </row>
    <row r="3618" spans="7:119" x14ac:dyDescent="0.25">
      <c r="G3618"/>
      <c r="DI3618" s="4">
        <f>INDEX(Sheet2!A:A,QUOTIENT(ROW()-1,19)+2)</f>
        <v>41717</v>
      </c>
      <c r="DJ3618" s="4">
        <f>INDEX(Sheet2!C:C,QUOTIENT(ROW()-1,19)+2)</f>
        <v>42735</v>
      </c>
      <c r="DK3618" s="4" t="e">
        <f>INDEX(Sheet2!$AA$2:$AS$228,QUOTIENT(ROW()-1,19)+1,MOD(ROW()-2,19)+1)</f>
        <v>#N/A</v>
      </c>
      <c r="DL3618" t="str">
        <f>IFERROR(INDEX(Sheet2!$AU$2:$BM$228,QUOTIENT(ROW()-1,19)+1,MOD(ROW()-2,19)+1),NA())</f>
        <v/>
      </c>
      <c r="DM3618" s="4" t="e">
        <f t="shared" si="189"/>
        <v>#N/A</v>
      </c>
      <c r="DN3618" t="e">
        <f t="shared" si="190"/>
        <v>#N/A</v>
      </c>
      <c r="DO3618" t="e">
        <f t="shared" si="191"/>
        <v>#N/A</v>
      </c>
    </row>
    <row r="3619" spans="7:119" x14ac:dyDescent="0.25">
      <c r="G3619"/>
      <c r="DI3619" s="4">
        <f>INDEX(Sheet2!A:A,QUOTIENT(ROW()-1,19)+2)</f>
        <v>41717</v>
      </c>
      <c r="DJ3619" s="4">
        <f>INDEX(Sheet2!C:C,QUOTIENT(ROW()-1,19)+2)</f>
        <v>42735</v>
      </c>
      <c r="DK3619" s="4" t="e">
        <f>INDEX(Sheet2!$AA$2:$AS$228,QUOTIENT(ROW()-1,19)+1,MOD(ROW()-2,19)+1)</f>
        <v>#N/A</v>
      </c>
      <c r="DL3619" t="str">
        <f>IFERROR(INDEX(Sheet2!$AU$2:$BM$228,QUOTIENT(ROW()-1,19)+1,MOD(ROW()-2,19)+1),NA())</f>
        <v/>
      </c>
      <c r="DM3619" s="4" t="e">
        <f t="shared" si="189"/>
        <v>#N/A</v>
      </c>
      <c r="DN3619" t="e">
        <f t="shared" si="190"/>
        <v>#N/A</v>
      </c>
      <c r="DO3619" t="e">
        <f t="shared" si="191"/>
        <v>#N/A</v>
      </c>
    </row>
    <row r="3620" spans="7:119" x14ac:dyDescent="0.25">
      <c r="G3620"/>
      <c r="DI3620" s="4">
        <f>INDEX(Sheet2!A:A,QUOTIENT(ROW()-1,19)+2)</f>
        <v>41717</v>
      </c>
      <c r="DJ3620" s="4">
        <f>INDEX(Sheet2!C:C,QUOTIENT(ROW()-1,19)+2)</f>
        <v>42735</v>
      </c>
      <c r="DK3620" s="4" t="e">
        <f>INDEX(Sheet2!$AA$2:$AS$228,QUOTIENT(ROW()-1,19)+1,MOD(ROW()-2,19)+1)</f>
        <v>#N/A</v>
      </c>
      <c r="DL3620" t="str">
        <f>IFERROR(INDEX(Sheet2!$AU$2:$BM$228,QUOTIENT(ROW()-1,19)+1,MOD(ROW()-2,19)+1),NA())</f>
        <v/>
      </c>
      <c r="DM3620" s="4" t="e">
        <f t="shared" si="189"/>
        <v>#N/A</v>
      </c>
      <c r="DN3620" t="e">
        <f t="shared" si="190"/>
        <v>#N/A</v>
      </c>
      <c r="DO3620" t="e">
        <f t="shared" si="191"/>
        <v>#N/A</v>
      </c>
    </row>
    <row r="3621" spans="7:119" x14ac:dyDescent="0.25">
      <c r="G3621"/>
      <c r="DI3621" s="4">
        <f>INDEX(Sheet2!A:A,QUOTIENT(ROW()-1,19)+2)</f>
        <v>41717</v>
      </c>
      <c r="DJ3621" s="4">
        <f>INDEX(Sheet2!C:C,QUOTIENT(ROW()-1,19)+2)</f>
        <v>42735</v>
      </c>
      <c r="DK3621" s="4" t="e">
        <f>INDEX(Sheet2!$AA$2:$AS$228,QUOTIENT(ROW()-1,19)+1,MOD(ROW()-2,19)+1)</f>
        <v>#N/A</v>
      </c>
      <c r="DL3621" t="str">
        <f>IFERROR(INDEX(Sheet2!$AU$2:$BM$228,QUOTIENT(ROW()-1,19)+1,MOD(ROW()-2,19)+1),NA())</f>
        <v/>
      </c>
      <c r="DM3621" s="4" t="e">
        <f t="shared" si="189"/>
        <v>#N/A</v>
      </c>
      <c r="DN3621" t="e">
        <f t="shared" si="190"/>
        <v>#N/A</v>
      </c>
      <c r="DO3621" t="e">
        <f t="shared" si="191"/>
        <v>#N/A</v>
      </c>
    </row>
    <row r="3622" spans="7:119" x14ac:dyDescent="0.25">
      <c r="G3622"/>
      <c r="DI3622" s="4">
        <f>INDEX(Sheet2!A:A,QUOTIENT(ROW()-1,19)+2)</f>
        <v>41717</v>
      </c>
      <c r="DJ3622" s="4">
        <f>INDEX(Sheet2!C:C,QUOTIENT(ROW()-1,19)+2)</f>
        <v>42735</v>
      </c>
      <c r="DK3622" s="4" t="e">
        <f>INDEX(Sheet2!$AA$2:$AS$228,QUOTIENT(ROW()-1,19)+1,MOD(ROW()-2,19)+1)</f>
        <v>#N/A</v>
      </c>
      <c r="DL3622" t="str">
        <f>IFERROR(INDEX(Sheet2!$AU$2:$BM$228,QUOTIENT(ROW()-1,19)+1,MOD(ROW()-2,19)+1),NA())</f>
        <v/>
      </c>
      <c r="DM3622" s="4" t="e">
        <f t="shared" si="189"/>
        <v>#N/A</v>
      </c>
      <c r="DN3622" t="e">
        <f t="shared" si="190"/>
        <v>#N/A</v>
      </c>
      <c r="DO3622" t="e">
        <f t="shared" si="191"/>
        <v>#N/A</v>
      </c>
    </row>
    <row r="3623" spans="7:119" x14ac:dyDescent="0.25">
      <c r="G3623"/>
      <c r="DI3623" s="4">
        <f>INDEX(Sheet2!A:A,QUOTIENT(ROW()-1,19)+2)</f>
        <v>41717</v>
      </c>
      <c r="DJ3623" s="4">
        <f>INDEX(Sheet2!C:C,QUOTIENT(ROW()-1,19)+2)</f>
        <v>42735</v>
      </c>
      <c r="DK3623" s="4" t="e">
        <f>INDEX(Sheet2!$AA$2:$AS$228,QUOTIENT(ROW()-1,19)+1,MOD(ROW()-2,19)+1)</f>
        <v>#N/A</v>
      </c>
      <c r="DL3623" t="str">
        <f>IFERROR(INDEX(Sheet2!$AU$2:$BM$228,QUOTIENT(ROW()-1,19)+1,MOD(ROW()-2,19)+1),NA())</f>
        <v/>
      </c>
      <c r="DM3623" s="4" t="e">
        <f t="shared" si="189"/>
        <v>#N/A</v>
      </c>
      <c r="DN3623" t="e">
        <f t="shared" si="190"/>
        <v>#N/A</v>
      </c>
      <c r="DO3623" t="e">
        <f t="shared" si="191"/>
        <v>#N/A</v>
      </c>
    </row>
    <row r="3624" spans="7:119" x14ac:dyDescent="0.25">
      <c r="G3624"/>
      <c r="DI3624" s="4">
        <f>INDEX(Sheet2!A:A,QUOTIENT(ROW()-1,19)+2)</f>
        <v>41717</v>
      </c>
      <c r="DJ3624" s="4">
        <f>INDEX(Sheet2!C:C,QUOTIENT(ROW()-1,19)+2)</f>
        <v>42735</v>
      </c>
      <c r="DK3624" s="4" t="e">
        <f>INDEX(Sheet2!$AA$2:$AS$228,QUOTIENT(ROW()-1,19)+1,MOD(ROW()-2,19)+1)</f>
        <v>#N/A</v>
      </c>
      <c r="DL3624" t="str">
        <f>IFERROR(INDEX(Sheet2!$AU$2:$BM$228,QUOTIENT(ROW()-1,19)+1,MOD(ROW()-2,19)+1),NA())</f>
        <v/>
      </c>
      <c r="DM3624" s="4" t="e">
        <f t="shared" si="189"/>
        <v>#N/A</v>
      </c>
      <c r="DN3624" t="e">
        <f t="shared" si="190"/>
        <v>#N/A</v>
      </c>
      <c r="DO3624" t="e">
        <f t="shared" si="191"/>
        <v>#N/A</v>
      </c>
    </row>
    <row r="3625" spans="7:119" x14ac:dyDescent="0.25">
      <c r="G3625"/>
      <c r="DI3625" s="4">
        <f>INDEX(Sheet2!A:A,QUOTIENT(ROW()-1,19)+2)</f>
        <v>41717</v>
      </c>
      <c r="DJ3625" s="4">
        <f>INDEX(Sheet2!C:C,QUOTIENT(ROW()-1,19)+2)</f>
        <v>42735</v>
      </c>
      <c r="DK3625" s="4" t="e">
        <f>INDEX(Sheet2!$AA$2:$AS$228,QUOTIENT(ROW()-1,19)+1,MOD(ROW()-2,19)+1)</f>
        <v>#N/A</v>
      </c>
      <c r="DL3625" t="str">
        <f>IFERROR(INDEX(Sheet2!$AU$2:$BM$228,QUOTIENT(ROW()-1,19)+1,MOD(ROW()-2,19)+1),NA())</f>
        <v/>
      </c>
      <c r="DM3625" s="4" t="e">
        <f t="shared" si="189"/>
        <v>#N/A</v>
      </c>
      <c r="DN3625" t="e">
        <f t="shared" si="190"/>
        <v>#N/A</v>
      </c>
      <c r="DO3625" t="e">
        <f t="shared" si="191"/>
        <v>#N/A</v>
      </c>
    </row>
    <row r="3626" spans="7:119" x14ac:dyDescent="0.25">
      <c r="G3626"/>
      <c r="DI3626" s="4">
        <f>INDEX(Sheet2!A:A,QUOTIENT(ROW()-1,19)+2)</f>
        <v>41717</v>
      </c>
      <c r="DJ3626" s="4">
        <f>INDEX(Sheet2!C:C,QUOTIENT(ROW()-1,19)+2)</f>
        <v>42735</v>
      </c>
      <c r="DK3626" s="4" t="e">
        <f>INDEX(Sheet2!$AA$2:$AS$228,QUOTIENT(ROW()-1,19)+1,MOD(ROW()-2,19)+1)</f>
        <v>#N/A</v>
      </c>
      <c r="DL3626" t="str">
        <f>IFERROR(INDEX(Sheet2!$AU$2:$BM$228,QUOTIENT(ROW()-1,19)+1,MOD(ROW()-2,19)+1),NA())</f>
        <v/>
      </c>
      <c r="DM3626" s="4" t="e">
        <f t="shared" si="189"/>
        <v>#N/A</v>
      </c>
      <c r="DN3626" t="e">
        <f t="shared" si="190"/>
        <v>#N/A</v>
      </c>
      <c r="DO3626" t="e">
        <f t="shared" si="191"/>
        <v>#N/A</v>
      </c>
    </row>
    <row r="3627" spans="7:119" x14ac:dyDescent="0.25">
      <c r="G3627"/>
      <c r="DI3627" s="4">
        <f>INDEX(Sheet2!A:A,QUOTIENT(ROW()-1,19)+2)</f>
        <v>41717</v>
      </c>
      <c r="DJ3627" s="4">
        <f>INDEX(Sheet2!C:C,QUOTIENT(ROW()-1,19)+2)</f>
        <v>42735</v>
      </c>
      <c r="DK3627" s="4" t="e">
        <f>INDEX(Sheet2!$AA$2:$AS$228,QUOTIENT(ROW()-1,19)+1,MOD(ROW()-2,19)+1)</f>
        <v>#N/A</v>
      </c>
      <c r="DL3627" t="str">
        <f>IFERROR(INDEX(Sheet2!$AU$2:$BM$228,QUOTIENT(ROW()-1,19)+1,MOD(ROW()-2,19)+1),NA())</f>
        <v/>
      </c>
      <c r="DM3627" s="4" t="e">
        <f t="shared" si="189"/>
        <v>#N/A</v>
      </c>
      <c r="DN3627" t="e">
        <f t="shared" si="190"/>
        <v>#N/A</v>
      </c>
      <c r="DO3627" t="e">
        <f t="shared" si="191"/>
        <v>#N/A</v>
      </c>
    </row>
    <row r="3628" spans="7:119" x14ac:dyDescent="0.25">
      <c r="G3628"/>
      <c r="DI3628" s="4">
        <f>INDEX(Sheet2!A:A,QUOTIENT(ROW()-1,19)+2)</f>
        <v>41717</v>
      </c>
      <c r="DJ3628" s="4">
        <f>INDEX(Sheet2!C:C,QUOTIENT(ROW()-1,19)+2)</f>
        <v>42735</v>
      </c>
      <c r="DK3628" s="4" t="e">
        <f>INDEX(Sheet2!$AA$2:$AS$228,QUOTIENT(ROW()-1,19)+1,MOD(ROW()-2,19)+1)</f>
        <v>#N/A</v>
      </c>
      <c r="DL3628" t="str">
        <f>IFERROR(INDEX(Sheet2!$AU$2:$BM$228,QUOTIENT(ROW()-1,19)+1,MOD(ROW()-2,19)+1),NA())</f>
        <v/>
      </c>
      <c r="DM3628" s="4" t="e">
        <f t="shared" si="189"/>
        <v>#N/A</v>
      </c>
      <c r="DN3628" t="e">
        <f t="shared" si="190"/>
        <v>#N/A</v>
      </c>
      <c r="DO3628" t="e">
        <f t="shared" si="191"/>
        <v>#N/A</v>
      </c>
    </row>
    <row r="3629" spans="7:119" x14ac:dyDescent="0.25">
      <c r="G3629"/>
      <c r="DI3629" s="4">
        <f>INDEX(Sheet2!A:A,QUOTIENT(ROW()-1,19)+2)</f>
        <v>41717</v>
      </c>
      <c r="DJ3629" s="4">
        <f>INDEX(Sheet2!C:C,QUOTIENT(ROW()-1,19)+2)</f>
        <v>42735</v>
      </c>
      <c r="DK3629" s="4" t="e">
        <f>INDEX(Sheet2!$AA$2:$AS$228,QUOTIENT(ROW()-1,19)+1,MOD(ROW()-2,19)+1)</f>
        <v>#N/A</v>
      </c>
      <c r="DL3629" t="str">
        <f>IFERROR(INDEX(Sheet2!$AU$2:$BM$228,QUOTIENT(ROW()-1,19)+1,MOD(ROW()-2,19)+1),NA())</f>
        <v/>
      </c>
      <c r="DM3629" s="4" t="e">
        <f t="shared" si="189"/>
        <v>#N/A</v>
      </c>
      <c r="DN3629" t="e">
        <f t="shared" si="190"/>
        <v>#N/A</v>
      </c>
      <c r="DO3629" t="e">
        <f t="shared" si="191"/>
        <v>#N/A</v>
      </c>
    </row>
    <row r="3630" spans="7:119" x14ac:dyDescent="0.25">
      <c r="G3630"/>
      <c r="DI3630" s="4">
        <f>INDEX(Sheet2!A:A,QUOTIENT(ROW()-1,19)+2)</f>
        <v>41717</v>
      </c>
      <c r="DJ3630" s="4">
        <f>INDEX(Sheet2!C:C,QUOTIENT(ROW()-1,19)+2)</f>
        <v>42735</v>
      </c>
      <c r="DK3630" s="4" t="e">
        <f>INDEX(Sheet2!$AA$2:$AS$228,QUOTIENT(ROW()-1,19)+1,MOD(ROW()-2,19)+1)</f>
        <v>#N/A</v>
      </c>
      <c r="DL3630" t="str">
        <f>IFERROR(INDEX(Sheet2!$AU$2:$BM$228,QUOTIENT(ROW()-1,19)+1,MOD(ROW()-2,19)+1),NA())</f>
        <v/>
      </c>
      <c r="DM3630" s="4" t="e">
        <f t="shared" si="189"/>
        <v>#N/A</v>
      </c>
      <c r="DN3630" t="e">
        <f t="shared" si="190"/>
        <v>#N/A</v>
      </c>
      <c r="DO3630" t="e">
        <f t="shared" si="191"/>
        <v>#N/A</v>
      </c>
    </row>
    <row r="3631" spans="7:119" x14ac:dyDescent="0.25">
      <c r="G3631"/>
      <c r="DI3631" s="4">
        <f>INDEX(Sheet2!A:A,QUOTIENT(ROW()-1,19)+2)</f>
        <v>41717</v>
      </c>
      <c r="DJ3631" s="4">
        <f>INDEX(Sheet2!C:C,QUOTIENT(ROW()-1,19)+2)</f>
        <v>42735</v>
      </c>
      <c r="DK3631" s="4">
        <f>INDEX(Sheet2!$AA$2:$AS$228,QUOTIENT(ROW()-1,19)+1,MOD(ROW()-2,19)+1)</f>
        <v>42735</v>
      </c>
      <c r="DL3631">
        <f>IFERROR(INDEX(Sheet2!$AU$2:$BM$228,QUOTIENT(ROW()-1,19)+1,MOD(ROW()-2,19)+1),NA())</f>
        <v>3.5</v>
      </c>
      <c r="DM3631" s="4" t="e">
        <f t="shared" si="189"/>
        <v>#N/A</v>
      </c>
      <c r="DN3631" t="e">
        <f t="shared" si="190"/>
        <v>#N/A</v>
      </c>
      <c r="DO3631" t="e">
        <f t="shared" si="191"/>
        <v>#N/A</v>
      </c>
    </row>
    <row r="3632" spans="7:119" x14ac:dyDescent="0.25">
      <c r="G3632"/>
      <c r="DI3632" s="4">
        <f>INDEX(Sheet2!A:A,QUOTIENT(ROW()-1,19)+2)</f>
        <v>41717</v>
      </c>
      <c r="DJ3632" s="4">
        <f>INDEX(Sheet2!C:C,QUOTIENT(ROW()-1,19)+2)</f>
        <v>42735</v>
      </c>
      <c r="DK3632" s="4" t="e">
        <f>INDEX(Sheet2!$AA$2:$AS$228,QUOTIENT(ROW()-1,19)+1,MOD(ROW()-2,19)+1)</f>
        <v>#N/A</v>
      </c>
      <c r="DL3632" t="str">
        <f>IFERROR(INDEX(Sheet2!$AU$2:$BM$228,QUOTIENT(ROW()-1,19)+1,MOD(ROW()-2,19)+1),NA())</f>
        <v/>
      </c>
      <c r="DM3632" s="4" t="e">
        <f t="shared" si="189"/>
        <v>#N/A</v>
      </c>
      <c r="DN3632" t="e">
        <f t="shared" si="190"/>
        <v>#N/A</v>
      </c>
      <c r="DO3632" t="e">
        <f t="shared" si="191"/>
        <v>#N/A</v>
      </c>
    </row>
    <row r="3633" spans="7:119" x14ac:dyDescent="0.25">
      <c r="G3633"/>
      <c r="DI3633" s="4">
        <f>INDEX(Sheet2!A:A,QUOTIENT(ROW()-1,19)+2)</f>
        <v>41717</v>
      </c>
      <c r="DJ3633" s="4">
        <f>INDEX(Sheet2!C:C,QUOTIENT(ROW()-1,19)+2)</f>
        <v>42735</v>
      </c>
      <c r="DK3633" s="4" t="e">
        <f>INDEX(Sheet2!$AA$2:$AS$228,QUOTIENT(ROW()-1,19)+1,MOD(ROW()-2,19)+1)</f>
        <v>#N/A</v>
      </c>
      <c r="DL3633" t="str">
        <f>IFERROR(INDEX(Sheet2!$AU$2:$BM$228,QUOTIENT(ROW()-1,19)+1,MOD(ROW()-2,19)+1),NA())</f>
        <v/>
      </c>
      <c r="DM3633" s="4" t="e">
        <f t="shared" si="189"/>
        <v>#N/A</v>
      </c>
      <c r="DN3633" t="e">
        <f t="shared" si="190"/>
        <v>#N/A</v>
      </c>
      <c r="DO3633" t="e">
        <f t="shared" si="191"/>
        <v>#N/A</v>
      </c>
    </row>
    <row r="3634" spans="7:119" x14ac:dyDescent="0.25">
      <c r="G3634"/>
      <c r="DI3634" s="4">
        <f>INDEX(Sheet2!A:A,QUOTIENT(ROW()-1,19)+2)</f>
        <v>41717</v>
      </c>
      <c r="DJ3634" s="4">
        <f>INDEX(Sheet2!C:C,QUOTIENT(ROW()-1,19)+2)</f>
        <v>42735</v>
      </c>
      <c r="DK3634" s="4" t="e">
        <f>INDEX(Sheet2!$AA$2:$AS$228,QUOTIENT(ROW()-1,19)+1,MOD(ROW()-2,19)+1)</f>
        <v>#N/A</v>
      </c>
      <c r="DL3634" t="str">
        <f>IFERROR(INDEX(Sheet2!$AU$2:$BM$228,QUOTIENT(ROW()-1,19)+1,MOD(ROW()-2,19)+1),NA())</f>
        <v/>
      </c>
      <c r="DM3634" s="4" t="e">
        <f t="shared" si="189"/>
        <v>#N/A</v>
      </c>
      <c r="DN3634" t="e">
        <f t="shared" si="190"/>
        <v>#N/A</v>
      </c>
      <c r="DO3634" t="e">
        <f t="shared" si="191"/>
        <v>#N/A</v>
      </c>
    </row>
    <row r="3635" spans="7:119" x14ac:dyDescent="0.25">
      <c r="G3635"/>
      <c r="DI3635" s="4">
        <f>INDEX(Sheet2!A:A,QUOTIENT(ROW()-1,19)+2)</f>
        <v>41717</v>
      </c>
      <c r="DJ3635" s="4">
        <f>INDEX(Sheet2!C:C,QUOTIENT(ROW()-1,19)+2)</f>
        <v>42735</v>
      </c>
      <c r="DK3635" s="4" t="e">
        <f>INDEX(Sheet2!$AA$2:$AS$228,QUOTIENT(ROW()-1,19)+1,MOD(ROW()-2,19)+1)</f>
        <v>#N/A</v>
      </c>
      <c r="DL3635" t="str">
        <f>IFERROR(INDEX(Sheet2!$AU$2:$BM$228,QUOTIENT(ROW()-1,19)+1,MOD(ROW()-2,19)+1),NA())</f>
        <v/>
      </c>
      <c r="DM3635" s="4" t="e">
        <f t="shared" si="189"/>
        <v>#N/A</v>
      </c>
      <c r="DN3635" t="e">
        <f t="shared" si="190"/>
        <v>#N/A</v>
      </c>
      <c r="DO3635" t="e">
        <f t="shared" si="191"/>
        <v>#N/A</v>
      </c>
    </row>
    <row r="3636" spans="7:119" x14ac:dyDescent="0.25">
      <c r="G3636"/>
      <c r="DI3636" s="4">
        <f>INDEX(Sheet2!A:A,QUOTIENT(ROW()-1,19)+2)</f>
        <v>41717</v>
      </c>
      <c r="DJ3636" s="4">
        <f>INDEX(Sheet2!C:C,QUOTIENT(ROW()-1,19)+2)</f>
        <v>42735</v>
      </c>
      <c r="DK3636" s="4" t="e">
        <f>INDEX(Sheet2!$AA$2:$AS$228,QUOTIENT(ROW()-1,19)+1,MOD(ROW()-2,19)+1)</f>
        <v>#N/A</v>
      </c>
      <c r="DL3636" t="str">
        <f>IFERROR(INDEX(Sheet2!$AU$2:$BM$228,QUOTIENT(ROW()-1,19)+1,MOD(ROW()-2,19)+1),NA())</f>
        <v/>
      </c>
      <c r="DM3636" s="4" t="e">
        <f t="shared" si="189"/>
        <v>#N/A</v>
      </c>
      <c r="DN3636" t="e">
        <f t="shared" si="190"/>
        <v>#N/A</v>
      </c>
      <c r="DO3636" t="e">
        <f t="shared" si="191"/>
        <v>#N/A</v>
      </c>
    </row>
    <row r="3637" spans="7:119" x14ac:dyDescent="0.25">
      <c r="G3637"/>
      <c r="DI3637" s="4">
        <f>INDEX(Sheet2!A:A,QUOTIENT(ROW()-1,19)+2)</f>
        <v>41717</v>
      </c>
      <c r="DJ3637" s="4">
        <f>INDEX(Sheet2!C:C,QUOTIENT(ROW()-1,19)+2)</f>
        <v>42735</v>
      </c>
      <c r="DK3637" s="4" t="e">
        <f>INDEX(Sheet2!$AA$2:$AS$228,QUOTIENT(ROW()-1,19)+1,MOD(ROW()-2,19)+1)</f>
        <v>#N/A</v>
      </c>
      <c r="DL3637" t="str">
        <f>IFERROR(INDEX(Sheet2!$AU$2:$BM$228,QUOTIENT(ROW()-1,19)+1,MOD(ROW()-2,19)+1),NA())</f>
        <v/>
      </c>
      <c r="DM3637" s="4" t="e">
        <f t="shared" si="189"/>
        <v>#N/A</v>
      </c>
      <c r="DN3637" t="e">
        <f t="shared" si="190"/>
        <v>#N/A</v>
      </c>
      <c r="DO3637" t="e">
        <f t="shared" si="191"/>
        <v>#N/A</v>
      </c>
    </row>
    <row r="3638" spans="7:119" x14ac:dyDescent="0.25">
      <c r="G3638"/>
      <c r="DI3638" s="4">
        <f>INDEX(Sheet2!A:A,QUOTIENT(ROW()-1,19)+2)</f>
        <v>41717</v>
      </c>
      <c r="DJ3638" s="4">
        <f>INDEX(Sheet2!C:C,QUOTIENT(ROW()-1,19)+2)</f>
        <v>42735</v>
      </c>
      <c r="DK3638" s="4" t="e">
        <f>INDEX(Sheet2!$AA$2:$AS$228,QUOTIENT(ROW()-1,19)+1,MOD(ROW()-2,19)+1)</f>
        <v>#N/A</v>
      </c>
      <c r="DL3638" t="str">
        <f>IFERROR(INDEX(Sheet2!$AU$2:$BM$228,QUOTIENT(ROW()-1,19)+1,MOD(ROW()-2,19)+1),NA())</f>
        <v/>
      </c>
      <c r="DM3638" s="4" t="e">
        <f t="shared" si="189"/>
        <v>#N/A</v>
      </c>
      <c r="DN3638" t="e">
        <f t="shared" si="190"/>
        <v>#N/A</v>
      </c>
      <c r="DO3638" t="e">
        <f t="shared" si="191"/>
        <v>#N/A</v>
      </c>
    </row>
    <row r="3639" spans="7:119" x14ac:dyDescent="0.25">
      <c r="G3639"/>
      <c r="DI3639" s="4">
        <f>INDEX(Sheet2!A:A,QUOTIENT(ROW()-1,19)+2)</f>
        <v>41717</v>
      </c>
      <c r="DJ3639" s="4">
        <f>INDEX(Sheet2!C:C,QUOTIENT(ROW()-1,19)+2)</f>
        <v>42735</v>
      </c>
      <c r="DK3639" s="4" t="e">
        <f>INDEX(Sheet2!$AA$2:$AS$228,QUOTIENT(ROW()-1,19)+1,MOD(ROW()-2,19)+1)</f>
        <v>#N/A</v>
      </c>
      <c r="DL3639" t="str">
        <f>IFERROR(INDEX(Sheet2!$AU$2:$BM$228,QUOTIENT(ROW()-1,19)+1,MOD(ROW()-2,19)+1),NA())</f>
        <v/>
      </c>
      <c r="DM3639" s="4" t="e">
        <f t="shared" si="189"/>
        <v>#N/A</v>
      </c>
      <c r="DN3639" t="e">
        <f t="shared" si="190"/>
        <v>#N/A</v>
      </c>
      <c r="DO3639" t="e">
        <f t="shared" si="191"/>
        <v>#N/A</v>
      </c>
    </row>
    <row r="3640" spans="7:119" x14ac:dyDescent="0.25">
      <c r="G3640"/>
      <c r="DI3640" s="4">
        <f>INDEX(Sheet2!A:A,QUOTIENT(ROW()-1,19)+2)</f>
        <v>41717</v>
      </c>
      <c r="DJ3640" s="4">
        <f>INDEX(Sheet2!C:C,QUOTIENT(ROW()-1,19)+2)</f>
        <v>42735</v>
      </c>
      <c r="DK3640" s="4" t="e">
        <f>INDEX(Sheet2!$AA$2:$AS$228,QUOTIENT(ROW()-1,19)+1,MOD(ROW()-2,19)+1)</f>
        <v>#N/A</v>
      </c>
      <c r="DL3640" t="str">
        <f>IFERROR(INDEX(Sheet2!$AU$2:$BM$228,QUOTIENT(ROW()-1,19)+1,MOD(ROW()-2,19)+1),NA())</f>
        <v/>
      </c>
      <c r="DM3640" s="4" t="e">
        <f t="shared" si="189"/>
        <v>#N/A</v>
      </c>
      <c r="DN3640" t="e">
        <f t="shared" si="190"/>
        <v>#N/A</v>
      </c>
      <c r="DO3640" t="e">
        <f t="shared" si="191"/>
        <v>#N/A</v>
      </c>
    </row>
    <row r="3641" spans="7:119" x14ac:dyDescent="0.25">
      <c r="G3641"/>
      <c r="DI3641" s="4">
        <f>INDEX(Sheet2!A:A,QUOTIENT(ROW()-1,19)+2)</f>
        <v>41717</v>
      </c>
      <c r="DJ3641" s="4">
        <f>INDEX(Sheet2!C:C,QUOTIENT(ROW()-1,19)+2)</f>
        <v>42735</v>
      </c>
      <c r="DK3641" s="4" t="e">
        <f>INDEX(Sheet2!$AA$2:$AS$228,QUOTIENT(ROW()-1,19)+1,MOD(ROW()-2,19)+1)</f>
        <v>#N/A</v>
      </c>
      <c r="DL3641" t="str">
        <f>IFERROR(INDEX(Sheet2!$AU$2:$BM$228,QUOTIENT(ROW()-1,19)+1,MOD(ROW()-2,19)+1),NA())</f>
        <v/>
      </c>
      <c r="DM3641" s="4" t="e">
        <f t="shared" si="189"/>
        <v>#N/A</v>
      </c>
      <c r="DN3641" t="e">
        <f t="shared" si="190"/>
        <v>#N/A</v>
      </c>
      <c r="DO3641" t="e">
        <f t="shared" si="191"/>
        <v>#N/A</v>
      </c>
    </row>
    <row r="3642" spans="7:119" x14ac:dyDescent="0.25">
      <c r="G3642"/>
      <c r="DI3642" s="4">
        <f>INDEX(Sheet2!A:A,QUOTIENT(ROW()-1,19)+2)</f>
        <v>41717</v>
      </c>
      <c r="DJ3642" s="4">
        <f>INDEX(Sheet2!C:C,QUOTIENT(ROW()-1,19)+2)</f>
        <v>42735</v>
      </c>
      <c r="DK3642" s="4" t="e">
        <f>INDEX(Sheet2!$AA$2:$AS$228,QUOTIENT(ROW()-1,19)+1,MOD(ROW()-2,19)+1)</f>
        <v>#N/A</v>
      </c>
      <c r="DL3642" t="str">
        <f>IFERROR(INDEX(Sheet2!$AU$2:$BM$228,QUOTIENT(ROW()-1,19)+1,MOD(ROW()-2,19)+1),NA())</f>
        <v/>
      </c>
      <c r="DM3642" s="4" t="e">
        <f t="shared" si="189"/>
        <v>#N/A</v>
      </c>
      <c r="DN3642" t="e">
        <f t="shared" si="190"/>
        <v>#N/A</v>
      </c>
      <c r="DO3642" t="e">
        <f t="shared" si="191"/>
        <v>#N/A</v>
      </c>
    </row>
    <row r="3643" spans="7:119" x14ac:dyDescent="0.25">
      <c r="G3643"/>
      <c r="DI3643" s="4">
        <f>INDEX(Sheet2!A:A,QUOTIENT(ROW()-1,19)+2)</f>
        <v>41717</v>
      </c>
      <c r="DJ3643" s="4">
        <f>INDEX(Sheet2!C:C,QUOTIENT(ROW()-1,19)+2)</f>
        <v>42735</v>
      </c>
      <c r="DK3643" s="4" t="e">
        <f>INDEX(Sheet2!$AA$2:$AS$228,QUOTIENT(ROW()-1,19)+1,MOD(ROW()-2,19)+1)</f>
        <v>#N/A</v>
      </c>
      <c r="DL3643" t="str">
        <f>IFERROR(INDEX(Sheet2!$AU$2:$BM$228,QUOTIENT(ROW()-1,19)+1,MOD(ROW()-2,19)+1),NA())</f>
        <v/>
      </c>
      <c r="DM3643" s="4" t="e">
        <f t="shared" si="189"/>
        <v>#N/A</v>
      </c>
      <c r="DN3643" t="e">
        <f t="shared" si="190"/>
        <v>#N/A</v>
      </c>
      <c r="DO3643" t="e">
        <f t="shared" si="191"/>
        <v>#N/A</v>
      </c>
    </row>
    <row r="3644" spans="7:119" x14ac:dyDescent="0.25">
      <c r="G3644"/>
      <c r="DI3644" s="4">
        <f>INDEX(Sheet2!A:A,QUOTIENT(ROW()-1,19)+2)</f>
        <v>41717</v>
      </c>
      <c r="DJ3644" s="4">
        <f>INDEX(Sheet2!C:C,QUOTIENT(ROW()-1,19)+2)</f>
        <v>42735</v>
      </c>
      <c r="DK3644" s="4" t="e">
        <f>INDEX(Sheet2!$AA$2:$AS$228,QUOTIENT(ROW()-1,19)+1,MOD(ROW()-2,19)+1)</f>
        <v>#N/A</v>
      </c>
      <c r="DL3644" t="str">
        <f>IFERROR(INDEX(Sheet2!$AU$2:$BM$228,QUOTIENT(ROW()-1,19)+1,MOD(ROW()-2,19)+1),NA())</f>
        <v/>
      </c>
      <c r="DM3644" s="4" t="e">
        <f t="shared" si="189"/>
        <v>#N/A</v>
      </c>
      <c r="DN3644" t="e">
        <f t="shared" si="190"/>
        <v>#N/A</v>
      </c>
      <c r="DO3644" t="e">
        <f t="shared" si="191"/>
        <v>#N/A</v>
      </c>
    </row>
    <row r="3645" spans="7:119" x14ac:dyDescent="0.25">
      <c r="G3645"/>
      <c r="DI3645" s="4">
        <f>INDEX(Sheet2!A:A,QUOTIENT(ROW()-1,19)+2)</f>
        <v>41717</v>
      </c>
      <c r="DJ3645" s="4">
        <f>INDEX(Sheet2!C:C,QUOTIENT(ROW()-1,19)+2)</f>
        <v>42735</v>
      </c>
      <c r="DK3645" s="4" t="e">
        <f>INDEX(Sheet2!$AA$2:$AS$228,QUOTIENT(ROW()-1,19)+1,MOD(ROW()-2,19)+1)</f>
        <v>#N/A</v>
      </c>
      <c r="DL3645" t="str">
        <f>IFERROR(INDEX(Sheet2!$AU$2:$BM$228,QUOTIENT(ROW()-1,19)+1,MOD(ROW()-2,19)+1),NA())</f>
        <v/>
      </c>
      <c r="DM3645" s="4" t="e">
        <f t="shared" si="189"/>
        <v>#N/A</v>
      </c>
      <c r="DN3645" t="e">
        <f t="shared" si="190"/>
        <v>#N/A</v>
      </c>
      <c r="DO3645" t="e">
        <f t="shared" si="191"/>
        <v>#N/A</v>
      </c>
    </row>
    <row r="3646" spans="7:119" x14ac:dyDescent="0.25">
      <c r="G3646"/>
      <c r="DI3646" s="4">
        <f>INDEX(Sheet2!A:A,QUOTIENT(ROW()-1,19)+2)</f>
        <v>41717</v>
      </c>
      <c r="DJ3646" s="4">
        <f>INDEX(Sheet2!C:C,QUOTIENT(ROW()-1,19)+2)</f>
        <v>42735</v>
      </c>
      <c r="DK3646" s="4" t="e">
        <f>INDEX(Sheet2!$AA$2:$AS$228,QUOTIENT(ROW()-1,19)+1,MOD(ROW()-2,19)+1)</f>
        <v>#N/A</v>
      </c>
      <c r="DL3646" t="str">
        <f>IFERROR(INDEX(Sheet2!$AU$2:$BM$228,QUOTIENT(ROW()-1,19)+1,MOD(ROW()-2,19)+1),NA())</f>
        <v/>
      </c>
      <c r="DM3646" s="4" t="e">
        <f t="shared" si="189"/>
        <v>#N/A</v>
      </c>
      <c r="DN3646" t="e">
        <f t="shared" si="190"/>
        <v>#N/A</v>
      </c>
      <c r="DO3646" t="e">
        <f t="shared" si="191"/>
        <v>#N/A</v>
      </c>
    </row>
    <row r="3647" spans="7:119" x14ac:dyDescent="0.25">
      <c r="G3647"/>
      <c r="DI3647" s="4">
        <f>INDEX(Sheet2!A:A,QUOTIENT(ROW()-1,19)+2)</f>
        <v>41717</v>
      </c>
      <c r="DJ3647" s="4">
        <f>INDEX(Sheet2!C:C,QUOTIENT(ROW()-1,19)+2)</f>
        <v>42735</v>
      </c>
      <c r="DK3647" s="4" t="e">
        <f>INDEX(Sheet2!$AA$2:$AS$228,QUOTIENT(ROW()-1,19)+1,MOD(ROW()-2,19)+1)</f>
        <v>#N/A</v>
      </c>
      <c r="DL3647" t="str">
        <f>IFERROR(INDEX(Sheet2!$AU$2:$BM$228,QUOTIENT(ROW()-1,19)+1,MOD(ROW()-2,19)+1),NA())</f>
        <v/>
      </c>
      <c r="DM3647" s="4" t="e">
        <f t="shared" si="189"/>
        <v>#N/A</v>
      </c>
      <c r="DN3647" t="e">
        <f t="shared" si="190"/>
        <v>#N/A</v>
      </c>
      <c r="DO3647" t="e">
        <f t="shared" si="191"/>
        <v>#N/A</v>
      </c>
    </row>
    <row r="3648" spans="7:119" x14ac:dyDescent="0.25">
      <c r="G3648"/>
      <c r="DI3648" s="4">
        <f>INDEX(Sheet2!A:A,QUOTIENT(ROW()-1,19)+2)</f>
        <v>41717</v>
      </c>
      <c r="DJ3648" s="4">
        <f>INDEX(Sheet2!C:C,QUOTIENT(ROW()-1,19)+2)</f>
        <v>42735</v>
      </c>
      <c r="DK3648" s="4" t="e">
        <f>INDEX(Sheet2!$AA$2:$AS$228,QUOTIENT(ROW()-1,19)+1,MOD(ROW()-2,19)+1)</f>
        <v>#N/A</v>
      </c>
      <c r="DL3648" t="str">
        <f>IFERROR(INDEX(Sheet2!$AU$2:$BM$228,QUOTIENT(ROW()-1,19)+1,MOD(ROW()-2,19)+1),NA())</f>
        <v/>
      </c>
      <c r="DM3648" s="4" t="e">
        <f t="shared" si="189"/>
        <v>#N/A</v>
      </c>
      <c r="DN3648" t="e">
        <f t="shared" si="190"/>
        <v>#N/A</v>
      </c>
      <c r="DO3648" t="e">
        <f t="shared" si="191"/>
        <v>#N/A</v>
      </c>
    </row>
    <row r="3649" spans="7:119" x14ac:dyDescent="0.25">
      <c r="G3649"/>
      <c r="DI3649" s="4">
        <f>INDEX(Sheet2!A:A,QUOTIENT(ROW()-1,19)+2)</f>
        <v>41717</v>
      </c>
      <c r="DJ3649" s="4">
        <f>INDEX(Sheet2!C:C,QUOTIENT(ROW()-1,19)+2)</f>
        <v>42735</v>
      </c>
      <c r="DK3649" s="4" t="e">
        <f>INDEX(Sheet2!$AA$2:$AS$228,QUOTIENT(ROW()-1,19)+1,MOD(ROW()-2,19)+1)</f>
        <v>#N/A</v>
      </c>
      <c r="DL3649" t="str">
        <f>IFERROR(INDEX(Sheet2!$AU$2:$BM$228,QUOTIENT(ROW()-1,19)+1,MOD(ROW()-2,19)+1),NA())</f>
        <v/>
      </c>
      <c r="DM3649" s="4" t="e">
        <f t="shared" si="189"/>
        <v>#N/A</v>
      </c>
      <c r="DN3649" t="e">
        <f t="shared" si="190"/>
        <v>#N/A</v>
      </c>
      <c r="DO3649" t="e">
        <f t="shared" si="191"/>
        <v>#N/A</v>
      </c>
    </row>
    <row r="3650" spans="7:119" x14ac:dyDescent="0.25">
      <c r="G3650"/>
      <c r="DI3650" s="4">
        <f>INDEX(Sheet2!A:A,QUOTIENT(ROW()-1,19)+2)</f>
        <v>41717</v>
      </c>
      <c r="DJ3650" s="4">
        <f>INDEX(Sheet2!C:C,QUOTIENT(ROW()-1,19)+2)</f>
        <v>42735</v>
      </c>
      <c r="DK3650" s="4">
        <f>INDEX(Sheet2!$AA$2:$AS$228,QUOTIENT(ROW()-1,19)+1,MOD(ROW()-2,19)+1)</f>
        <v>42735</v>
      </c>
      <c r="DL3650">
        <f>IFERROR(INDEX(Sheet2!$AU$2:$BM$228,QUOTIENT(ROW()-1,19)+1,MOD(ROW()-2,19)+1),NA())</f>
        <v>4</v>
      </c>
      <c r="DM3650" s="4" t="e">
        <f t="shared" ref="DM3650:DM3713" si="192">+IF($C$2=$DI3650,DK3650,NA())</f>
        <v>#N/A</v>
      </c>
      <c r="DN3650" t="e">
        <f t="shared" ref="DN3650:DN3713" si="193">+IF($C$2=$DI3650,DL3650,NA())</f>
        <v>#N/A</v>
      </c>
      <c r="DO3650" t="e">
        <f t="shared" si="191"/>
        <v>#N/A</v>
      </c>
    </row>
    <row r="3651" spans="7:119" x14ac:dyDescent="0.25">
      <c r="G3651"/>
      <c r="DI3651" s="4">
        <f>INDEX(Sheet2!A:A,QUOTIENT(ROW()-1,19)+2)</f>
        <v>41717</v>
      </c>
      <c r="DJ3651" s="4">
        <f>INDEX(Sheet2!C:C,QUOTIENT(ROW()-1,19)+2)</f>
        <v>42735</v>
      </c>
      <c r="DK3651" s="4" t="e">
        <f>INDEX(Sheet2!$AA$2:$AS$228,QUOTIENT(ROW()-1,19)+1,MOD(ROW()-2,19)+1)</f>
        <v>#N/A</v>
      </c>
      <c r="DL3651" t="str">
        <f>IFERROR(INDEX(Sheet2!$AU$2:$BM$228,QUOTIENT(ROW()-1,19)+1,MOD(ROW()-2,19)+1),NA())</f>
        <v/>
      </c>
      <c r="DM3651" s="4" t="e">
        <f t="shared" si="192"/>
        <v>#N/A</v>
      </c>
      <c r="DN3651" t="e">
        <f t="shared" si="193"/>
        <v>#N/A</v>
      </c>
      <c r="DO3651" t="e">
        <f t="shared" ref="DO3651:DO3714" si="194">IF(DN3651="",NA(),DN3651)</f>
        <v>#N/A</v>
      </c>
    </row>
    <row r="3652" spans="7:119" x14ac:dyDescent="0.25">
      <c r="G3652"/>
      <c r="DI3652" s="4">
        <f>INDEX(Sheet2!A:A,QUOTIENT(ROW()-1,19)+2)</f>
        <v>41717</v>
      </c>
      <c r="DJ3652" s="4">
        <f>INDEX(Sheet2!C:C,QUOTIENT(ROW()-1,19)+2)</f>
        <v>42735</v>
      </c>
      <c r="DK3652" s="4" t="e">
        <f>INDEX(Sheet2!$AA$2:$AS$228,QUOTIENT(ROW()-1,19)+1,MOD(ROW()-2,19)+1)</f>
        <v>#N/A</v>
      </c>
      <c r="DL3652" t="str">
        <f>IFERROR(INDEX(Sheet2!$AU$2:$BM$228,QUOTIENT(ROW()-1,19)+1,MOD(ROW()-2,19)+1),NA())</f>
        <v/>
      </c>
      <c r="DM3652" s="4" t="e">
        <f t="shared" si="192"/>
        <v>#N/A</v>
      </c>
      <c r="DN3652" t="e">
        <f t="shared" si="193"/>
        <v>#N/A</v>
      </c>
      <c r="DO3652" t="e">
        <f t="shared" si="194"/>
        <v>#N/A</v>
      </c>
    </row>
    <row r="3653" spans="7:119" x14ac:dyDescent="0.25">
      <c r="G3653"/>
      <c r="DI3653" s="4">
        <f>INDEX(Sheet2!A:A,QUOTIENT(ROW()-1,19)+2)</f>
        <v>41717</v>
      </c>
      <c r="DJ3653" s="4">
        <f>INDEX(Sheet2!C:C,QUOTIENT(ROW()-1,19)+2)</f>
        <v>42735</v>
      </c>
      <c r="DK3653" s="4" t="e">
        <f>INDEX(Sheet2!$AA$2:$AS$228,QUOTIENT(ROW()-1,19)+1,MOD(ROW()-2,19)+1)</f>
        <v>#N/A</v>
      </c>
      <c r="DL3653" t="str">
        <f>IFERROR(INDEX(Sheet2!$AU$2:$BM$228,QUOTIENT(ROW()-1,19)+1,MOD(ROW()-2,19)+1),NA())</f>
        <v/>
      </c>
      <c r="DM3653" s="4" t="e">
        <f t="shared" si="192"/>
        <v>#N/A</v>
      </c>
      <c r="DN3653" t="e">
        <f t="shared" si="193"/>
        <v>#N/A</v>
      </c>
      <c r="DO3653" t="e">
        <f t="shared" si="194"/>
        <v>#N/A</v>
      </c>
    </row>
    <row r="3654" spans="7:119" x14ac:dyDescent="0.25">
      <c r="G3654"/>
      <c r="DI3654" s="4">
        <f>INDEX(Sheet2!A:A,QUOTIENT(ROW()-1,19)+2)</f>
        <v>41717</v>
      </c>
      <c r="DJ3654" s="4">
        <f>INDEX(Sheet2!C:C,QUOTIENT(ROW()-1,19)+2)</f>
        <v>42735</v>
      </c>
      <c r="DK3654" s="4" t="e">
        <f>INDEX(Sheet2!$AA$2:$AS$228,QUOTIENT(ROW()-1,19)+1,MOD(ROW()-2,19)+1)</f>
        <v>#N/A</v>
      </c>
      <c r="DL3654" t="str">
        <f>IFERROR(INDEX(Sheet2!$AU$2:$BM$228,QUOTIENT(ROW()-1,19)+1,MOD(ROW()-2,19)+1),NA())</f>
        <v/>
      </c>
      <c r="DM3654" s="4" t="e">
        <f t="shared" si="192"/>
        <v>#N/A</v>
      </c>
      <c r="DN3654" t="e">
        <f t="shared" si="193"/>
        <v>#N/A</v>
      </c>
      <c r="DO3654" t="e">
        <f t="shared" si="194"/>
        <v>#N/A</v>
      </c>
    </row>
    <row r="3655" spans="7:119" x14ac:dyDescent="0.25">
      <c r="G3655"/>
      <c r="DI3655" s="4">
        <f>INDEX(Sheet2!A:A,QUOTIENT(ROW()-1,19)+2)</f>
        <v>41717</v>
      </c>
      <c r="DJ3655" s="4">
        <f>INDEX(Sheet2!C:C,QUOTIENT(ROW()-1,19)+2)</f>
        <v>42735</v>
      </c>
      <c r="DK3655" s="4" t="e">
        <f>INDEX(Sheet2!$AA$2:$AS$228,QUOTIENT(ROW()-1,19)+1,MOD(ROW()-2,19)+1)</f>
        <v>#N/A</v>
      </c>
      <c r="DL3655" t="str">
        <f>IFERROR(INDEX(Sheet2!$AU$2:$BM$228,QUOTIENT(ROW()-1,19)+1,MOD(ROW()-2,19)+1),NA())</f>
        <v/>
      </c>
      <c r="DM3655" s="4" t="e">
        <f t="shared" si="192"/>
        <v>#N/A</v>
      </c>
      <c r="DN3655" t="e">
        <f t="shared" si="193"/>
        <v>#N/A</v>
      </c>
      <c r="DO3655" t="e">
        <f t="shared" si="194"/>
        <v>#N/A</v>
      </c>
    </row>
    <row r="3656" spans="7:119" x14ac:dyDescent="0.25">
      <c r="G3656"/>
      <c r="DI3656" s="4">
        <f>INDEX(Sheet2!A:A,QUOTIENT(ROW()-1,19)+2)</f>
        <v>41717</v>
      </c>
      <c r="DJ3656" s="4">
        <f>INDEX(Sheet2!C:C,QUOTIENT(ROW()-1,19)+2)</f>
        <v>42735</v>
      </c>
      <c r="DK3656" s="4" t="e">
        <f>INDEX(Sheet2!$AA$2:$AS$228,QUOTIENT(ROW()-1,19)+1,MOD(ROW()-2,19)+1)</f>
        <v>#N/A</v>
      </c>
      <c r="DL3656" t="str">
        <f>IFERROR(INDEX(Sheet2!$AU$2:$BM$228,QUOTIENT(ROW()-1,19)+1,MOD(ROW()-2,19)+1),NA())</f>
        <v/>
      </c>
      <c r="DM3656" s="4" t="e">
        <f t="shared" si="192"/>
        <v>#N/A</v>
      </c>
      <c r="DN3656" t="e">
        <f t="shared" si="193"/>
        <v>#N/A</v>
      </c>
      <c r="DO3656" t="e">
        <f t="shared" si="194"/>
        <v>#N/A</v>
      </c>
    </row>
    <row r="3657" spans="7:119" x14ac:dyDescent="0.25">
      <c r="G3657"/>
      <c r="DI3657" s="4">
        <f>INDEX(Sheet2!A:A,QUOTIENT(ROW()-1,19)+2)</f>
        <v>41717</v>
      </c>
      <c r="DJ3657" s="4">
        <f>INDEX(Sheet2!C:C,QUOTIENT(ROW()-1,19)+2)</f>
        <v>42735</v>
      </c>
      <c r="DK3657" s="4" t="e">
        <f>INDEX(Sheet2!$AA$2:$AS$228,QUOTIENT(ROW()-1,19)+1,MOD(ROW()-2,19)+1)</f>
        <v>#N/A</v>
      </c>
      <c r="DL3657" t="str">
        <f>IFERROR(INDEX(Sheet2!$AU$2:$BM$228,QUOTIENT(ROW()-1,19)+1,MOD(ROW()-2,19)+1),NA())</f>
        <v/>
      </c>
      <c r="DM3657" s="4" t="e">
        <f t="shared" si="192"/>
        <v>#N/A</v>
      </c>
      <c r="DN3657" t="e">
        <f t="shared" si="193"/>
        <v>#N/A</v>
      </c>
      <c r="DO3657" t="e">
        <f t="shared" si="194"/>
        <v>#N/A</v>
      </c>
    </row>
    <row r="3658" spans="7:119" x14ac:dyDescent="0.25">
      <c r="G3658"/>
      <c r="DI3658" s="4">
        <f>INDEX(Sheet2!A:A,QUOTIENT(ROW()-1,19)+2)</f>
        <v>41717</v>
      </c>
      <c r="DJ3658" s="4">
        <f>INDEX(Sheet2!C:C,QUOTIENT(ROW()-1,19)+2)</f>
        <v>42735</v>
      </c>
      <c r="DK3658" s="4" t="e">
        <f>INDEX(Sheet2!$AA$2:$AS$228,QUOTIENT(ROW()-1,19)+1,MOD(ROW()-2,19)+1)</f>
        <v>#N/A</v>
      </c>
      <c r="DL3658" t="str">
        <f>IFERROR(INDEX(Sheet2!$AU$2:$BM$228,QUOTIENT(ROW()-1,19)+1,MOD(ROW()-2,19)+1),NA())</f>
        <v/>
      </c>
      <c r="DM3658" s="4" t="e">
        <f t="shared" si="192"/>
        <v>#N/A</v>
      </c>
      <c r="DN3658" t="e">
        <f t="shared" si="193"/>
        <v>#N/A</v>
      </c>
      <c r="DO3658" t="e">
        <f t="shared" si="194"/>
        <v>#N/A</v>
      </c>
    </row>
    <row r="3659" spans="7:119" x14ac:dyDescent="0.25">
      <c r="G3659"/>
      <c r="DI3659" s="4">
        <f>INDEX(Sheet2!A:A,QUOTIENT(ROW()-1,19)+2)</f>
        <v>41717</v>
      </c>
      <c r="DJ3659" s="4">
        <f>INDEX(Sheet2!C:C,QUOTIENT(ROW()-1,19)+2)</f>
        <v>42735</v>
      </c>
      <c r="DK3659" s="4" t="e">
        <f>INDEX(Sheet2!$AA$2:$AS$228,QUOTIENT(ROW()-1,19)+1,MOD(ROW()-2,19)+1)</f>
        <v>#N/A</v>
      </c>
      <c r="DL3659" t="str">
        <f>IFERROR(INDEX(Sheet2!$AU$2:$BM$228,QUOTIENT(ROW()-1,19)+1,MOD(ROW()-2,19)+1),NA())</f>
        <v/>
      </c>
      <c r="DM3659" s="4" t="e">
        <f t="shared" si="192"/>
        <v>#N/A</v>
      </c>
      <c r="DN3659" t="e">
        <f t="shared" si="193"/>
        <v>#N/A</v>
      </c>
      <c r="DO3659" t="e">
        <f t="shared" si="194"/>
        <v>#N/A</v>
      </c>
    </row>
    <row r="3660" spans="7:119" x14ac:dyDescent="0.25">
      <c r="G3660"/>
      <c r="DI3660" s="4">
        <f>INDEX(Sheet2!A:A,QUOTIENT(ROW()-1,19)+2)</f>
        <v>41717</v>
      </c>
      <c r="DJ3660" s="4">
        <f>INDEX(Sheet2!C:C,QUOTIENT(ROW()-1,19)+2)</f>
        <v>42735</v>
      </c>
      <c r="DK3660" s="4" t="e">
        <f>INDEX(Sheet2!$AA$2:$AS$228,QUOTIENT(ROW()-1,19)+1,MOD(ROW()-2,19)+1)</f>
        <v>#N/A</v>
      </c>
      <c r="DL3660" t="str">
        <f>IFERROR(INDEX(Sheet2!$AU$2:$BM$228,QUOTIENT(ROW()-1,19)+1,MOD(ROW()-2,19)+1),NA())</f>
        <v/>
      </c>
      <c r="DM3660" s="4" t="e">
        <f t="shared" si="192"/>
        <v>#N/A</v>
      </c>
      <c r="DN3660" t="e">
        <f t="shared" si="193"/>
        <v>#N/A</v>
      </c>
      <c r="DO3660" t="e">
        <f t="shared" si="194"/>
        <v>#N/A</v>
      </c>
    </row>
    <row r="3661" spans="7:119" x14ac:dyDescent="0.25">
      <c r="G3661"/>
      <c r="DI3661" s="4">
        <f>INDEX(Sheet2!A:A,QUOTIENT(ROW()-1,19)+2)</f>
        <v>41717</v>
      </c>
      <c r="DJ3661" s="4">
        <f>INDEX(Sheet2!C:C,QUOTIENT(ROW()-1,19)+2)</f>
        <v>42735</v>
      </c>
      <c r="DK3661" s="4" t="e">
        <f>INDEX(Sheet2!$AA$2:$AS$228,QUOTIENT(ROW()-1,19)+1,MOD(ROW()-2,19)+1)</f>
        <v>#N/A</v>
      </c>
      <c r="DL3661" t="str">
        <f>IFERROR(INDEX(Sheet2!$AU$2:$BM$228,QUOTIENT(ROW()-1,19)+1,MOD(ROW()-2,19)+1),NA())</f>
        <v/>
      </c>
      <c r="DM3661" s="4" t="e">
        <f t="shared" si="192"/>
        <v>#N/A</v>
      </c>
      <c r="DN3661" t="e">
        <f t="shared" si="193"/>
        <v>#N/A</v>
      </c>
      <c r="DO3661" t="e">
        <f t="shared" si="194"/>
        <v>#N/A</v>
      </c>
    </row>
    <row r="3662" spans="7:119" x14ac:dyDescent="0.25">
      <c r="G3662"/>
      <c r="DI3662" s="4">
        <f>INDEX(Sheet2!A:A,QUOTIENT(ROW()-1,19)+2)</f>
        <v>41717</v>
      </c>
      <c r="DJ3662" s="4">
        <f>INDEX(Sheet2!C:C,QUOTIENT(ROW()-1,19)+2)</f>
        <v>42735</v>
      </c>
      <c r="DK3662" s="4" t="e">
        <f>INDEX(Sheet2!$AA$2:$AS$228,QUOTIENT(ROW()-1,19)+1,MOD(ROW()-2,19)+1)</f>
        <v>#N/A</v>
      </c>
      <c r="DL3662" t="str">
        <f>IFERROR(INDEX(Sheet2!$AU$2:$BM$228,QUOTIENT(ROW()-1,19)+1,MOD(ROW()-2,19)+1),NA())</f>
        <v/>
      </c>
      <c r="DM3662" s="4" t="e">
        <f t="shared" si="192"/>
        <v>#N/A</v>
      </c>
      <c r="DN3662" t="e">
        <f t="shared" si="193"/>
        <v>#N/A</v>
      </c>
      <c r="DO3662" t="e">
        <f t="shared" si="194"/>
        <v>#N/A</v>
      </c>
    </row>
    <row r="3663" spans="7:119" x14ac:dyDescent="0.25">
      <c r="G3663"/>
      <c r="DI3663" s="4">
        <f>INDEX(Sheet2!A:A,QUOTIENT(ROW()-1,19)+2)</f>
        <v>41717</v>
      </c>
      <c r="DJ3663" s="4">
        <f>INDEX(Sheet2!C:C,QUOTIENT(ROW()-1,19)+2)</f>
        <v>42735</v>
      </c>
      <c r="DK3663" s="4" t="e">
        <f>INDEX(Sheet2!$AA$2:$AS$228,QUOTIENT(ROW()-1,19)+1,MOD(ROW()-2,19)+1)</f>
        <v>#N/A</v>
      </c>
      <c r="DL3663" t="str">
        <f>IFERROR(INDEX(Sheet2!$AU$2:$BM$228,QUOTIENT(ROW()-1,19)+1,MOD(ROW()-2,19)+1),NA())</f>
        <v/>
      </c>
      <c r="DM3663" s="4" t="e">
        <f t="shared" si="192"/>
        <v>#N/A</v>
      </c>
      <c r="DN3663" t="e">
        <f t="shared" si="193"/>
        <v>#N/A</v>
      </c>
      <c r="DO3663" t="e">
        <f t="shared" si="194"/>
        <v>#N/A</v>
      </c>
    </row>
    <row r="3664" spans="7:119" x14ac:dyDescent="0.25">
      <c r="G3664"/>
      <c r="DI3664" s="4">
        <f>INDEX(Sheet2!A:A,QUOTIENT(ROW()-1,19)+2)</f>
        <v>41717</v>
      </c>
      <c r="DJ3664" s="4">
        <f>INDEX(Sheet2!C:C,QUOTIENT(ROW()-1,19)+2)</f>
        <v>42735</v>
      </c>
      <c r="DK3664" s="4" t="e">
        <f>INDEX(Sheet2!$AA$2:$AS$228,QUOTIENT(ROW()-1,19)+1,MOD(ROW()-2,19)+1)</f>
        <v>#N/A</v>
      </c>
      <c r="DL3664" t="str">
        <f>IFERROR(INDEX(Sheet2!$AU$2:$BM$228,QUOTIENT(ROW()-1,19)+1,MOD(ROW()-2,19)+1),NA())</f>
        <v/>
      </c>
      <c r="DM3664" s="4" t="e">
        <f t="shared" si="192"/>
        <v>#N/A</v>
      </c>
      <c r="DN3664" t="e">
        <f t="shared" si="193"/>
        <v>#N/A</v>
      </c>
      <c r="DO3664" t="e">
        <f t="shared" si="194"/>
        <v>#N/A</v>
      </c>
    </row>
    <row r="3665" spans="7:119" x14ac:dyDescent="0.25">
      <c r="G3665"/>
      <c r="DI3665" s="4">
        <f>INDEX(Sheet2!A:A,QUOTIENT(ROW()-1,19)+2)</f>
        <v>41717</v>
      </c>
      <c r="DJ3665" s="4">
        <f>INDEX(Sheet2!C:C,QUOTIENT(ROW()-1,19)+2)</f>
        <v>42735</v>
      </c>
      <c r="DK3665" s="4" t="e">
        <f>INDEX(Sheet2!$AA$2:$AS$228,QUOTIENT(ROW()-1,19)+1,MOD(ROW()-2,19)+1)</f>
        <v>#N/A</v>
      </c>
      <c r="DL3665" t="str">
        <f>IFERROR(INDEX(Sheet2!$AU$2:$BM$228,QUOTIENT(ROW()-1,19)+1,MOD(ROW()-2,19)+1),NA())</f>
        <v/>
      </c>
      <c r="DM3665" s="4" t="e">
        <f t="shared" si="192"/>
        <v>#N/A</v>
      </c>
      <c r="DN3665" t="e">
        <f t="shared" si="193"/>
        <v>#N/A</v>
      </c>
      <c r="DO3665" t="e">
        <f t="shared" si="194"/>
        <v>#N/A</v>
      </c>
    </row>
    <row r="3666" spans="7:119" x14ac:dyDescent="0.25">
      <c r="G3666"/>
      <c r="DI3666" s="4">
        <f>INDEX(Sheet2!A:A,QUOTIENT(ROW()-1,19)+2)</f>
        <v>41717</v>
      </c>
      <c r="DJ3666" s="4">
        <f>INDEX(Sheet2!C:C,QUOTIENT(ROW()-1,19)+2)</f>
        <v>42735</v>
      </c>
      <c r="DK3666" s="4" t="e">
        <f>INDEX(Sheet2!$AA$2:$AS$228,QUOTIENT(ROW()-1,19)+1,MOD(ROW()-2,19)+1)</f>
        <v>#N/A</v>
      </c>
      <c r="DL3666" t="str">
        <f>IFERROR(INDEX(Sheet2!$AU$2:$BM$228,QUOTIENT(ROW()-1,19)+1,MOD(ROW()-2,19)+1),NA())</f>
        <v/>
      </c>
      <c r="DM3666" s="4" t="e">
        <f t="shared" si="192"/>
        <v>#N/A</v>
      </c>
      <c r="DN3666" t="e">
        <f t="shared" si="193"/>
        <v>#N/A</v>
      </c>
      <c r="DO3666" t="e">
        <f t="shared" si="194"/>
        <v>#N/A</v>
      </c>
    </row>
    <row r="3667" spans="7:119" x14ac:dyDescent="0.25">
      <c r="G3667"/>
      <c r="DI3667" s="4">
        <f>INDEX(Sheet2!A:A,QUOTIENT(ROW()-1,19)+2)</f>
        <v>41717</v>
      </c>
      <c r="DJ3667" s="4">
        <f>INDEX(Sheet2!C:C,QUOTIENT(ROW()-1,19)+2)</f>
        <v>42735</v>
      </c>
      <c r="DK3667" s="4" t="e">
        <f>INDEX(Sheet2!$AA$2:$AS$228,QUOTIENT(ROW()-1,19)+1,MOD(ROW()-2,19)+1)</f>
        <v>#N/A</v>
      </c>
      <c r="DL3667" t="str">
        <f>IFERROR(INDEX(Sheet2!$AU$2:$BM$228,QUOTIENT(ROW()-1,19)+1,MOD(ROW()-2,19)+1),NA())</f>
        <v/>
      </c>
      <c r="DM3667" s="4" t="e">
        <f t="shared" si="192"/>
        <v>#N/A</v>
      </c>
      <c r="DN3667" t="e">
        <f t="shared" si="193"/>
        <v>#N/A</v>
      </c>
      <c r="DO3667" t="e">
        <f t="shared" si="194"/>
        <v>#N/A</v>
      </c>
    </row>
    <row r="3668" spans="7:119" x14ac:dyDescent="0.25">
      <c r="G3668"/>
      <c r="DI3668" s="4">
        <f>INDEX(Sheet2!A:A,QUOTIENT(ROW()-1,19)+2)</f>
        <v>41717</v>
      </c>
      <c r="DJ3668" s="4">
        <f>INDEX(Sheet2!C:C,QUOTIENT(ROW()-1,19)+2)</f>
        <v>42735</v>
      </c>
      <c r="DK3668" s="4" t="e">
        <f>INDEX(Sheet2!$AA$2:$AS$228,QUOTIENT(ROW()-1,19)+1,MOD(ROW()-2,19)+1)</f>
        <v>#N/A</v>
      </c>
      <c r="DL3668" t="str">
        <f>IFERROR(INDEX(Sheet2!$AU$2:$BM$228,QUOTIENT(ROW()-1,19)+1,MOD(ROW()-2,19)+1),NA())</f>
        <v/>
      </c>
      <c r="DM3668" s="4" t="e">
        <f t="shared" si="192"/>
        <v>#N/A</v>
      </c>
      <c r="DN3668" t="e">
        <f t="shared" si="193"/>
        <v>#N/A</v>
      </c>
      <c r="DO3668" t="e">
        <f t="shared" si="194"/>
        <v>#N/A</v>
      </c>
    </row>
    <row r="3669" spans="7:119" x14ac:dyDescent="0.25">
      <c r="G3669"/>
      <c r="DI3669" s="4">
        <f>INDEX(Sheet2!A:A,QUOTIENT(ROW()-1,19)+2)</f>
        <v>41717</v>
      </c>
      <c r="DJ3669" s="4">
        <f>INDEX(Sheet2!C:C,QUOTIENT(ROW()-1,19)+2)</f>
        <v>42735</v>
      </c>
      <c r="DK3669" s="4">
        <f>INDEX(Sheet2!$AA$2:$AS$228,QUOTIENT(ROW()-1,19)+1,MOD(ROW()-2,19)+1)</f>
        <v>42735</v>
      </c>
      <c r="DL3669">
        <f>IFERROR(INDEX(Sheet2!$AU$2:$BM$228,QUOTIENT(ROW()-1,19)+1,MOD(ROW()-2,19)+1),NA())</f>
        <v>4.25</v>
      </c>
      <c r="DM3669" s="4" t="e">
        <f t="shared" si="192"/>
        <v>#N/A</v>
      </c>
      <c r="DN3669" t="e">
        <f t="shared" si="193"/>
        <v>#N/A</v>
      </c>
      <c r="DO3669" t="e">
        <f t="shared" si="194"/>
        <v>#N/A</v>
      </c>
    </row>
    <row r="3670" spans="7:119" x14ac:dyDescent="0.25">
      <c r="G3670"/>
      <c r="DI3670" s="4">
        <f>INDEX(Sheet2!A:A,QUOTIENT(ROW()-1,19)+2)</f>
        <v>41717</v>
      </c>
      <c r="DJ3670" s="4">
        <f>INDEX(Sheet2!C:C,QUOTIENT(ROW()-1,19)+2)</f>
        <v>42735</v>
      </c>
      <c r="DK3670" s="4" t="e">
        <f>INDEX(Sheet2!$AA$2:$AS$228,QUOTIENT(ROW()-1,19)+1,MOD(ROW()-2,19)+1)</f>
        <v>#N/A</v>
      </c>
      <c r="DL3670" t="str">
        <f>IFERROR(INDEX(Sheet2!$AU$2:$BM$228,QUOTIENT(ROW()-1,19)+1,MOD(ROW()-2,19)+1),NA())</f>
        <v/>
      </c>
      <c r="DM3670" s="4" t="e">
        <f t="shared" si="192"/>
        <v>#N/A</v>
      </c>
      <c r="DN3670" t="e">
        <f t="shared" si="193"/>
        <v>#N/A</v>
      </c>
      <c r="DO3670" t="e">
        <f t="shared" si="194"/>
        <v>#N/A</v>
      </c>
    </row>
    <row r="3671" spans="7:119" x14ac:dyDescent="0.25">
      <c r="G3671"/>
      <c r="DI3671" s="4">
        <f>INDEX(Sheet2!A:A,QUOTIENT(ROW()-1,19)+2)</f>
        <v>41717</v>
      </c>
      <c r="DJ3671" s="4">
        <f>INDEX(Sheet2!C:C,QUOTIENT(ROW()-1,19)+2)</f>
        <v>42735</v>
      </c>
      <c r="DK3671" s="4" t="e">
        <f>INDEX(Sheet2!$AA$2:$AS$228,QUOTIENT(ROW()-1,19)+1,MOD(ROW()-2,19)+1)</f>
        <v>#N/A</v>
      </c>
      <c r="DL3671" t="str">
        <f>IFERROR(INDEX(Sheet2!$AU$2:$BM$228,QUOTIENT(ROW()-1,19)+1,MOD(ROW()-2,19)+1),NA())</f>
        <v/>
      </c>
      <c r="DM3671" s="4" t="e">
        <f t="shared" si="192"/>
        <v>#N/A</v>
      </c>
      <c r="DN3671" t="e">
        <f t="shared" si="193"/>
        <v>#N/A</v>
      </c>
      <c r="DO3671" t="e">
        <f t="shared" si="194"/>
        <v>#N/A</v>
      </c>
    </row>
    <row r="3672" spans="7:119" x14ac:dyDescent="0.25">
      <c r="G3672"/>
      <c r="DI3672" s="4">
        <f>INDEX(Sheet2!A:A,QUOTIENT(ROW()-1,19)+2)</f>
        <v>41717</v>
      </c>
      <c r="DJ3672" s="4">
        <f>INDEX(Sheet2!C:C,QUOTIENT(ROW()-1,19)+2)</f>
        <v>42735</v>
      </c>
      <c r="DK3672" s="4" t="e">
        <f>INDEX(Sheet2!$AA$2:$AS$228,QUOTIENT(ROW()-1,19)+1,MOD(ROW()-2,19)+1)</f>
        <v>#N/A</v>
      </c>
      <c r="DL3672" t="str">
        <f>IFERROR(INDEX(Sheet2!$AU$2:$BM$228,QUOTIENT(ROW()-1,19)+1,MOD(ROW()-2,19)+1),NA())</f>
        <v/>
      </c>
      <c r="DM3672" s="4" t="e">
        <f t="shared" si="192"/>
        <v>#N/A</v>
      </c>
      <c r="DN3672" t="e">
        <f t="shared" si="193"/>
        <v>#N/A</v>
      </c>
      <c r="DO3672" t="e">
        <f t="shared" si="194"/>
        <v>#N/A</v>
      </c>
    </row>
    <row r="3673" spans="7:119" x14ac:dyDescent="0.25">
      <c r="G3673"/>
      <c r="DI3673" s="4">
        <f>INDEX(Sheet2!A:A,QUOTIENT(ROW()-1,19)+2)</f>
        <v>41717</v>
      </c>
      <c r="DJ3673" s="4">
        <f>INDEX(Sheet2!C:C,QUOTIENT(ROW()-1,19)+2)</f>
        <v>42735</v>
      </c>
      <c r="DK3673" s="4" t="e">
        <f>INDEX(Sheet2!$AA$2:$AS$228,QUOTIENT(ROW()-1,19)+1,MOD(ROW()-2,19)+1)</f>
        <v>#N/A</v>
      </c>
      <c r="DL3673" t="str">
        <f>IFERROR(INDEX(Sheet2!$AU$2:$BM$228,QUOTIENT(ROW()-1,19)+1,MOD(ROW()-2,19)+1),NA())</f>
        <v/>
      </c>
      <c r="DM3673" s="4" t="e">
        <f t="shared" si="192"/>
        <v>#N/A</v>
      </c>
      <c r="DN3673" t="e">
        <f t="shared" si="193"/>
        <v>#N/A</v>
      </c>
      <c r="DO3673" t="e">
        <f t="shared" si="194"/>
        <v>#N/A</v>
      </c>
    </row>
    <row r="3674" spans="7:119" x14ac:dyDescent="0.25">
      <c r="G3674"/>
      <c r="DI3674" s="4">
        <f>INDEX(Sheet2!A:A,QUOTIENT(ROW()-1,19)+2)</f>
        <v>41717</v>
      </c>
      <c r="DJ3674" s="4">
        <f>INDEX(Sheet2!C:C,QUOTIENT(ROW()-1,19)+2)</f>
        <v>42735</v>
      </c>
      <c r="DK3674" s="4" t="e">
        <f>INDEX(Sheet2!$AA$2:$AS$228,QUOTIENT(ROW()-1,19)+1,MOD(ROW()-2,19)+1)</f>
        <v>#N/A</v>
      </c>
      <c r="DL3674" t="str">
        <f>IFERROR(INDEX(Sheet2!$AU$2:$BM$228,QUOTIENT(ROW()-1,19)+1,MOD(ROW()-2,19)+1),NA())</f>
        <v/>
      </c>
      <c r="DM3674" s="4" t="e">
        <f t="shared" si="192"/>
        <v>#N/A</v>
      </c>
      <c r="DN3674" t="e">
        <f t="shared" si="193"/>
        <v>#N/A</v>
      </c>
      <c r="DO3674" t="e">
        <f t="shared" si="194"/>
        <v>#N/A</v>
      </c>
    </row>
    <row r="3675" spans="7:119" x14ac:dyDescent="0.25">
      <c r="G3675"/>
      <c r="DI3675" s="4">
        <f>INDEX(Sheet2!A:A,QUOTIENT(ROW()-1,19)+2)</f>
        <v>41717</v>
      </c>
      <c r="DJ3675" s="4">
        <f>INDEX(Sheet2!C:C,QUOTIENT(ROW()-1,19)+2)</f>
        <v>42735</v>
      </c>
      <c r="DK3675" s="4" t="e">
        <f>INDEX(Sheet2!$AA$2:$AS$228,QUOTIENT(ROW()-1,19)+1,MOD(ROW()-2,19)+1)</f>
        <v>#N/A</v>
      </c>
      <c r="DL3675" t="str">
        <f>IFERROR(INDEX(Sheet2!$AU$2:$BM$228,QUOTIENT(ROW()-1,19)+1,MOD(ROW()-2,19)+1),NA())</f>
        <v/>
      </c>
      <c r="DM3675" s="4" t="e">
        <f t="shared" si="192"/>
        <v>#N/A</v>
      </c>
      <c r="DN3675" t="e">
        <f t="shared" si="193"/>
        <v>#N/A</v>
      </c>
      <c r="DO3675" t="e">
        <f t="shared" si="194"/>
        <v>#N/A</v>
      </c>
    </row>
    <row r="3676" spans="7:119" x14ac:dyDescent="0.25">
      <c r="G3676"/>
      <c r="DI3676" s="4">
        <f>INDEX(Sheet2!A:A,QUOTIENT(ROW()-1,19)+2)</f>
        <v>41717</v>
      </c>
      <c r="DJ3676" s="4">
        <f>INDEX(Sheet2!C:C,QUOTIENT(ROW()-1,19)+2)</f>
        <v>42735</v>
      </c>
      <c r="DK3676" s="4" t="e">
        <f>INDEX(Sheet2!$AA$2:$AS$228,QUOTIENT(ROW()-1,19)+1,MOD(ROW()-2,19)+1)</f>
        <v>#N/A</v>
      </c>
      <c r="DL3676" t="str">
        <f>IFERROR(INDEX(Sheet2!$AU$2:$BM$228,QUOTIENT(ROW()-1,19)+1,MOD(ROW()-2,19)+1),NA())</f>
        <v/>
      </c>
      <c r="DM3676" s="4" t="e">
        <f t="shared" si="192"/>
        <v>#N/A</v>
      </c>
      <c r="DN3676" t="e">
        <f t="shared" si="193"/>
        <v>#N/A</v>
      </c>
      <c r="DO3676" t="e">
        <f t="shared" si="194"/>
        <v>#N/A</v>
      </c>
    </row>
    <row r="3677" spans="7:119" x14ac:dyDescent="0.25">
      <c r="G3677"/>
      <c r="DI3677" s="4">
        <f>INDEX(Sheet2!A:A,QUOTIENT(ROW()-1,19)+2)</f>
        <v>41717</v>
      </c>
      <c r="DJ3677" s="4">
        <f>INDEX(Sheet2!C:C,QUOTIENT(ROW()-1,19)+2)</f>
        <v>42735</v>
      </c>
      <c r="DK3677" s="4" t="e">
        <f>INDEX(Sheet2!$AA$2:$AS$228,QUOTIENT(ROW()-1,19)+1,MOD(ROW()-2,19)+1)</f>
        <v>#N/A</v>
      </c>
      <c r="DL3677" t="str">
        <f>IFERROR(INDEX(Sheet2!$AU$2:$BM$228,QUOTIENT(ROW()-1,19)+1,MOD(ROW()-2,19)+1),NA())</f>
        <v/>
      </c>
      <c r="DM3677" s="4" t="e">
        <f t="shared" si="192"/>
        <v>#N/A</v>
      </c>
      <c r="DN3677" t="e">
        <f t="shared" si="193"/>
        <v>#N/A</v>
      </c>
      <c r="DO3677" t="e">
        <f t="shared" si="194"/>
        <v>#N/A</v>
      </c>
    </row>
    <row r="3678" spans="7:119" x14ac:dyDescent="0.25">
      <c r="G3678"/>
      <c r="DI3678" s="4">
        <f>INDEX(Sheet2!A:A,QUOTIENT(ROW()-1,19)+2)</f>
        <v>41717</v>
      </c>
      <c r="DJ3678" s="4">
        <f>INDEX(Sheet2!C:C,QUOTIENT(ROW()-1,19)+2)</f>
        <v>42735</v>
      </c>
      <c r="DK3678" s="4" t="e">
        <f>INDEX(Sheet2!$AA$2:$AS$228,QUOTIENT(ROW()-1,19)+1,MOD(ROW()-2,19)+1)</f>
        <v>#N/A</v>
      </c>
      <c r="DL3678" t="str">
        <f>IFERROR(INDEX(Sheet2!$AU$2:$BM$228,QUOTIENT(ROW()-1,19)+1,MOD(ROW()-2,19)+1),NA())</f>
        <v/>
      </c>
      <c r="DM3678" s="4" t="e">
        <f t="shared" si="192"/>
        <v>#N/A</v>
      </c>
      <c r="DN3678" t="e">
        <f t="shared" si="193"/>
        <v>#N/A</v>
      </c>
      <c r="DO3678" t="e">
        <f t="shared" si="194"/>
        <v>#N/A</v>
      </c>
    </row>
    <row r="3679" spans="7:119" x14ac:dyDescent="0.25">
      <c r="G3679"/>
      <c r="DI3679" s="4">
        <f>INDEX(Sheet2!A:A,QUOTIENT(ROW()-1,19)+2)</f>
        <v>41717</v>
      </c>
      <c r="DJ3679" s="4">
        <f>INDEX(Sheet2!C:C,QUOTIENT(ROW()-1,19)+2)</f>
        <v>42735</v>
      </c>
      <c r="DK3679" s="4" t="e">
        <f>INDEX(Sheet2!$AA$2:$AS$228,QUOTIENT(ROW()-1,19)+1,MOD(ROW()-2,19)+1)</f>
        <v>#N/A</v>
      </c>
      <c r="DL3679" t="str">
        <f>IFERROR(INDEX(Sheet2!$AU$2:$BM$228,QUOTIENT(ROW()-1,19)+1,MOD(ROW()-2,19)+1),NA())</f>
        <v/>
      </c>
      <c r="DM3679" s="4" t="e">
        <f t="shared" si="192"/>
        <v>#N/A</v>
      </c>
      <c r="DN3679" t="e">
        <f t="shared" si="193"/>
        <v>#N/A</v>
      </c>
      <c r="DO3679" t="e">
        <f t="shared" si="194"/>
        <v>#N/A</v>
      </c>
    </row>
    <row r="3680" spans="7:119" x14ac:dyDescent="0.25">
      <c r="G3680"/>
      <c r="DI3680" s="4">
        <f>INDEX(Sheet2!A:A,QUOTIENT(ROW()-1,19)+2)</f>
        <v>41717</v>
      </c>
      <c r="DJ3680" s="4">
        <f>INDEX(Sheet2!C:C,QUOTIENT(ROW()-1,19)+2)</f>
        <v>42735</v>
      </c>
      <c r="DK3680" s="4" t="e">
        <f>INDEX(Sheet2!$AA$2:$AS$228,QUOTIENT(ROW()-1,19)+1,MOD(ROW()-2,19)+1)</f>
        <v>#N/A</v>
      </c>
      <c r="DL3680" t="str">
        <f>IFERROR(INDEX(Sheet2!$AU$2:$BM$228,QUOTIENT(ROW()-1,19)+1,MOD(ROW()-2,19)+1),NA())</f>
        <v/>
      </c>
      <c r="DM3680" s="4" t="e">
        <f t="shared" si="192"/>
        <v>#N/A</v>
      </c>
      <c r="DN3680" t="e">
        <f t="shared" si="193"/>
        <v>#N/A</v>
      </c>
      <c r="DO3680" t="e">
        <f t="shared" si="194"/>
        <v>#N/A</v>
      </c>
    </row>
    <row r="3681" spans="7:119" x14ac:dyDescent="0.25">
      <c r="G3681"/>
      <c r="DI3681" s="4">
        <f>INDEX(Sheet2!A:A,QUOTIENT(ROW()-1,19)+2)</f>
        <v>41717</v>
      </c>
      <c r="DJ3681" s="4">
        <f>INDEX(Sheet2!C:C,QUOTIENT(ROW()-1,19)+2)</f>
        <v>42735</v>
      </c>
      <c r="DK3681" s="4" t="e">
        <f>INDEX(Sheet2!$AA$2:$AS$228,QUOTIENT(ROW()-1,19)+1,MOD(ROW()-2,19)+1)</f>
        <v>#N/A</v>
      </c>
      <c r="DL3681" t="str">
        <f>IFERROR(INDEX(Sheet2!$AU$2:$BM$228,QUOTIENT(ROW()-1,19)+1,MOD(ROW()-2,19)+1),NA())</f>
        <v/>
      </c>
      <c r="DM3681" s="4" t="e">
        <f t="shared" si="192"/>
        <v>#N/A</v>
      </c>
      <c r="DN3681" t="e">
        <f t="shared" si="193"/>
        <v>#N/A</v>
      </c>
      <c r="DO3681" t="e">
        <f t="shared" si="194"/>
        <v>#N/A</v>
      </c>
    </row>
    <row r="3682" spans="7:119" x14ac:dyDescent="0.25">
      <c r="G3682"/>
      <c r="DI3682" s="4">
        <f>INDEX(Sheet2!A:A,QUOTIENT(ROW()-1,19)+2)</f>
        <v>41717</v>
      </c>
      <c r="DJ3682" s="4">
        <f>INDEX(Sheet2!C:C,QUOTIENT(ROW()-1,19)+2)</f>
        <v>42735</v>
      </c>
      <c r="DK3682" s="4" t="e">
        <f>INDEX(Sheet2!$AA$2:$AS$228,QUOTIENT(ROW()-1,19)+1,MOD(ROW()-2,19)+1)</f>
        <v>#N/A</v>
      </c>
      <c r="DL3682" t="str">
        <f>IFERROR(INDEX(Sheet2!$AU$2:$BM$228,QUOTIENT(ROW()-1,19)+1,MOD(ROW()-2,19)+1),NA())</f>
        <v/>
      </c>
      <c r="DM3682" s="4" t="e">
        <f t="shared" si="192"/>
        <v>#N/A</v>
      </c>
      <c r="DN3682" t="e">
        <f t="shared" si="193"/>
        <v>#N/A</v>
      </c>
      <c r="DO3682" t="e">
        <f t="shared" si="194"/>
        <v>#N/A</v>
      </c>
    </row>
    <row r="3683" spans="7:119" x14ac:dyDescent="0.25">
      <c r="G3683"/>
      <c r="DI3683" s="4">
        <f>INDEX(Sheet2!A:A,QUOTIENT(ROW()-1,19)+2)</f>
        <v>41717</v>
      </c>
      <c r="DJ3683" s="4">
        <f>INDEX(Sheet2!C:C,QUOTIENT(ROW()-1,19)+2)</f>
        <v>42735</v>
      </c>
      <c r="DK3683" s="4" t="e">
        <f>INDEX(Sheet2!$AA$2:$AS$228,QUOTIENT(ROW()-1,19)+1,MOD(ROW()-2,19)+1)</f>
        <v>#N/A</v>
      </c>
      <c r="DL3683" t="str">
        <f>IFERROR(INDEX(Sheet2!$AU$2:$BM$228,QUOTIENT(ROW()-1,19)+1,MOD(ROW()-2,19)+1),NA())</f>
        <v/>
      </c>
      <c r="DM3683" s="4" t="e">
        <f t="shared" si="192"/>
        <v>#N/A</v>
      </c>
      <c r="DN3683" t="e">
        <f t="shared" si="193"/>
        <v>#N/A</v>
      </c>
      <c r="DO3683" t="e">
        <f t="shared" si="194"/>
        <v>#N/A</v>
      </c>
    </row>
    <row r="3684" spans="7:119" x14ac:dyDescent="0.25">
      <c r="G3684"/>
      <c r="DI3684" s="4">
        <f>INDEX(Sheet2!A:A,QUOTIENT(ROW()-1,19)+2)</f>
        <v>41717</v>
      </c>
      <c r="DJ3684" s="4">
        <f>INDEX(Sheet2!C:C,QUOTIENT(ROW()-1,19)+2)</f>
        <v>42735</v>
      </c>
      <c r="DK3684" s="4" t="e">
        <f>INDEX(Sheet2!$AA$2:$AS$228,QUOTIENT(ROW()-1,19)+1,MOD(ROW()-2,19)+1)</f>
        <v>#N/A</v>
      </c>
      <c r="DL3684" t="str">
        <f>IFERROR(INDEX(Sheet2!$AU$2:$BM$228,QUOTIENT(ROW()-1,19)+1,MOD(ROW()-2,19)+1),NA())</f>
        <v/>
      </c>
      <c r="DM3684" s="4" t="e">
        <f t="shared" si="192"/>
        <v>#N/A</v>
      </c>
      <c r="DN3684" t="e">
        <f t="shared" si="193"/>
        <v>#N/A</v>
      </c>
      <c r="DO3684" t="e">
        <f t="shared" si="194"/>
        <v>#N/A</v>
      </c>
    </row>
    <row r="3685" spans="7:119" x14ac:dyDescent="0.25">
      <c r="G3685"/>
      <c r="DI3685" s="4">
        <f>INDEX(Sheet2!A:A,QUOTIENT(ROW()-1,19)+2)</f>
        <v>41717</v>
      </c>
      <c r="DJ3685" s="4">
        <f>INDEX(Sheet2!C:C,QUOTIENT(ROW()-1,19)+2)</f>
        <v>42735</v>
      </c>
      <c r="DK3685" s="4" t="e">
        <f>INDEX(Sheet2!$AA$2:$AS$228,QUOTIENT(ROW()-1,19)+1,MOD(ROW()-2,19)+1)</f>
        <v>#N/A</v>
      </c>
      <c r="DL3685" t="str">
        <f>IFERROR(INDEX(Sheet2!$AU$2:$BM$228,QUOTIENT(ROW()-1,19)+1,MOD(ROW()-2,19)+1),NA())</f>
        <v/>
      </c>
      <c r="DM3685" s="4" t="e">
        <f t="shared" si="192"/>
        <v>#N/A</v>
      </c>
      <c r="DN3685" t="e">
        <f t="shared" si="193"/>
        <v>#N/A</v>
      </c>
      <c r="DO3685" t="e">
        <f t="shared" si="194"/>
        <v>#N/A</v>
      </c>
    </row>
    <row r="3686" spans="7:119" x14ac:dyDescent="0.25">
      <c r="G3686"/>
      <c r="DI3686" s="4">
        <f>INDEX(Sheet2!A:A,QUOTIENT(ROW()-1,19)+2)</f>
        <v>41717</v>
      </c>
      <c r="DJ3686" s="4">
        <f>INDEX(Sheet2!C:C,QUOTIENT(ROW()-1,19)+2)</f>
        <v>42735</v>
      </c>
      <c r="DK3686" s="4" t="e">
        <f>INDEX(Sheet2!$AA$2:$AS$228,QUOTIENT(ROW()-1,19)+1,MOD(ROW()-2,19)+1)</f>
        <v>#N/A</v>
      </c>
      <c r="DL3686" t="str">
        <f>IFERROR(INDEX(Sheet2!$AU$2:$BM$228,QUOTIENT(ROW()-1,19)+1,MOD(ROW()-2,19)+1),NA())</f>
        <v/>
      </c>
      <c r="DM3686" s="4" t="e">
        <f t="shared" si="192"/>
        <v>#N/A</v>
      </c>
      <c r="DN3686" t="e">
        <f t="shared" si="193"/>
        <v>#N/A</v>
      </c>
      <c r="DO3686" t="e">
        <f t="shared" si="194"/>
        <v>#N/A</v>
      </c>
    </row>
    <row r="3687" spans="7:119" x14ac:dyDescent="0.25">
      <c r="G3687"/>
      <c r="DI3687" s="4">
        <f>INDEX(Sheet2!A:A,QUOTIENT(ROW()-1,19)+2)</f>
        <v>41717</v>
      </c>
      <c r="DJ3687" s="4">
        <f>INDEX(Sheet2!C:C,QUOTIENT(ROW()-1,19)+2)</f>
        <v>43100</v>
      </c>
      <c r="DK3687" s="4" t="e">
        <f>INDEX(Sheet2!$AA$2:$AS$228,QUOTIENT(ROW()-1,19)+1,MOD(ROW()-2,19)+1)</f>
        <v>#N/A</v>
      </c>
      <c r="DL3687" t="str">
        <f>IFERROR(INDEX(Sheet2!$AU$2:$BM$228,QUOTIENT(ROW()-1,19)+1,MOD(ROW()-2,19)+1),NA())</f>
        <v/>
      </c>
      <c r="DM3687" s="4" t="e">
        <f t="shared" si="192"/>
        <v>#N/A</v>
      </c>
      <c r="DN3687" t="e">
        <f t="shared" si="193"/>
        <v>#N/A</v>
      </c>
      <c r="DO3687" t="e">
        <f t="shared" si="194"/>
        <v>#N/A</v>
      </c>
    </row>
    <row r="3688" spans="7:119" x14ac:dyDescent="0.25">
      <c r="G3688"/>
      <c r="DI3688" s="4">
        <f>INDEX(Sheet2!A:A,QUOTIENT(ROW()-1,19)+2)</f>
        <v>41717</v>
      </c>
      <c r="DJ3688" s="4">
        <f>INDEX(Sheet2!C:C,QUOTIENT(ROW()-1,19)+2)</f>
        <v>43100</v>
      </c>
      <c r="DK3688" s="4">
        <f>INDEX(Sheet2!$AA$2:$AS$228,QUOTIENT(ROW()-1,19)+1,MOD(ROW()-2,19)+1)</f>
        <v>43069.887499999997</v>
      </c>
      <c r="DL3688">
        <f>IFERROR(INDEX(Sheet2!$AU$2:$BM$228,QUOTIENT(ROW()-1,19)+1,MOD(ROW()-2,19)+1),NA())</f>
        <v>3.5</v>
      </c>
      <c r="DM3688" s="4" t="e">
        <f t="shared" si="192"/>
        <v>#N/A</v>
      </c>
      <c r="DN3688" t="e">
        <f t="shared" si="193"/>
        <v>#N/A</v>
      </c>
      <c r="DO3688" t="e">
        <f t="shared" si="194"/>
        <v>#N/A</v>
      </c>
    </row>
    <row r="3689" spans="7:119" x14ac:dyDescent="0.25">
      <c r="G3689"/>
      <c r="DI3689" s="4">
        <f>INDEX(Sheet2!A:A,QUOTIENT(ROW()-1,19)+2)</f>
        <v>41717</v>
      </c>
      <c r="DJ3689" s="4">
        <f>INDEX(Sheet2!C:C,QUOTIENT(ROW()-1,19)+2)</f>
        <v>43100</v>
      </c>
      <c r="DK3689" s="4">
        <f>INDEX(Sheet2!$AA$2:$AS$228,QUOTIENT(ROW()-1,19)+1,MOD(ROW()-2,19)+1)</f>
        <v>43089.962500000001</v>
      </c>
      <c r="DL3689">
        <f>IFERROR(INDEX(Sheet2!$AU$2:$BM$228,QUOTIENT(ROW()-1,19)+1,MOD(ROW()-2,19)+1),NA())</f>
        <v>3.5</v>
      </c>
      <c r="DM3689" s="4" t="e">
        <f t="shared" si="192"/>
        <v>#N/A</v>
      </c>
      <c r="DN3689" t="e">
        <f t="shared" si="193"/>
        <v>#N/A</v>
      </c>
      <c r="DO3689" t="e">
        <f t="shared" si="194"/>
        <v>#N/A</v>
      </c>
    </row>
    <row r="3690" spans="7:119" x14ac:dyDescent="0.25">
      <c r="G3690"/>
      <c r="DI3690" s="4">
        <f>INDEX(Sheet2!A:A,QUOTIENT(ROW()-1,19)+2)</f>
        <v>41717</v>
      </c>
      <c r="DJ3690" s="4">
        <f>INDEX(Sheet2!C:C,QUOTIENT(ROW()-1,19)+2)</f>
        <v>43100</v>
      </c>
      <c r="DK3690" s="4">
        <f>INDEX(Sheet2!$AA$2:$AS$228,QUOTIENT(ROW()-1,19)+1,MOD(ROW()-2,19)+1)</f>
        <v>43110.037499999999</v>
      </c>
      <c r="DL3690">
        <f>IFERROR(INDEX(Sheet2!$AU$2:$BM$228,QUOTIENT(ROW()-1,19)+1,MOD(ROW()-2,19)+1),NA())</f>
        <v>3.5</v>
      </c>
      <c r="DM3690" s="4" t="e">
        <f t="shared" si="192"/>
        <v>#N/A</v>
      </c>
      <c r="DN3690" t="e">
        <f t="shared" si="193"/>
        <v>#N/A</v>
      </c>
      <c r="DO3690" t="e">
        <f t="shared" si="194"/>
        <v>#N/A</v>
      </c>
    </row>
    <row r="3691" spans="7:119" x14ac:dyDescent="0.25">
      <c r="G3691"/>
      <c r="DI3691" s="4">
        <f>INDEX(Sheet2!A:A,QUOTIENT(ROW()-1,19)+2)</f>
        <v>41717</v>
      </c>
      <c r="DJ3691" s="4">
        <f>INDEX(Sheet2!C:C,QUOTIENT(ROW()-1,19)+2)</f>
        <v>43100</v>
      </c>
      <c r="DK3691" s="4">
        <f>INDEX(Sheet2!$AA$2:$AS$228,QUOTIENT(ROW()-1,19)+1,MOD(ROW()-2,19)+1)</f>
        <v>43130.112500000003</v>
      </c>
      <c r="DL3691">
        <f>IFERROR(INDEX(Sheet2!$AU$2:$BM$228,QUOTIENT(ROW()-1,19)+1,MOD(ROW()-2,19)+1),NA())</f>
        <v>3.5</v>
      </c>
      <c r="DM3691" s="4" t="e">
        <f t="shared" si="192"/>
        <v>#N/A</v>
      </c>
      <c r="DN3691" t="e">
        <f t="shared" si="193"/>
        <v>#N/A</v>
      </c>
      <c r="DO3691" t="e">
        <f t="shared" si="194"/>
        <v>#N/A</v>
      </c>
    </row>
    <row r="3692" spans="7:119" x14ac:dyDescent="0.25">
      <c r="G3692"/>
      <c r="DI3692" s="4">
        <f>INDEX(Sheet2!A:A,QUOTIENT(ROW()-1,19)+2)</f>
        <v>41717</v>
      </c>
      <c r="DJ3692" s="4">
        <f>INDEX(Sheet2!C:C,QUOTIENT(ROW()-1,19)+2)</f>
        <v>43100</v>
      </c>
      <c r="DK3692" s="4" t="e">
        <f>INDEX(Sheet2!$AA$2:$AS$228,QUOTIENT(ROW()-1,19)+1,MOD(ROW()-2,19)+1)</f>
        <v>#N/A</v>
      </c>
      <c r="DL3692" t="str">
        <f>IFERROR(INDEX(Sheet2!$AU$2:$BM$228,QUOTIENT(ROW()-1,19)+1,MOD(ROW()-2,19)+1),NA())</f>
        <v/>
      </c>
      <c r="DM3692" s="4" t="e">
        <f t="shared" si="192"/>
        <v>#N/A</v>
      </c>
      <c r="DN3692" t="e">
        <f t="shared" si="193"/>
        <v>#N/A</v>
      </c>
      <c r="DO3692" t="e">
        <f t="shared" si="194"/>
        <v>#N/A</v>
      </c>
    </row>
    <row r="3693" spans="7:119" x14ac:dyDescent="0.25">
      <c r="G3693"/>
      <c r="DI3693" s="4">
        <f>INDEX(Sheet2!A:A,QUOTIENT(ROW()-1,19)+2)</f>
        <v>41717</v>
      </c>
      <c r="DJ3693" s="4">
        <f>INDEX(Sheet2!C:C,QUOTIENT(ROW()-1,19)+2)</f>
        <v>43100</v>
      </c>
      <c r="DK3693" s="4" t="e">
        <f>INDEX(Sheet2!$AA$2:$AS$228,QUOTIENT(ROW()-1,19)+1,MOD(ROW()-2,19)+1)</f>
        <v>#N/A</v>
      </c>
      <c r="DL3693" t="str">
        <f>IFERROR(INDEX(Sheet2!$AU$2:$BM$228,QUOTIENT(ROW()-1,19)+1,MOD(ROW()-2,19)+1),NA())</f>
        <v/>
      </c>
      <c r="DM3693" s="4" t="e">
        <f t="shared" si="192"/>
        <v>#N/A</v>
      </c>
      <c r="DN3693" t="e">
        <f t="shared" si="193"/>
        <v>#N/A</v>
      </c>
      <c r="DO3693" t="e">
        <f t="shared" si="194"/>
        <v>#N/A</v>
      </c>
    </row>
    <row r="3694" spans="7:119" x14ac:dyDescent="0.25">
      <c r="G3694"/>
      <c r="DI3694" s="4">
        <f>INDEX(Sheet2!A:A,QUOTIENT(ROW()-1,19)+2)</f>
        <v>41717</v>
      </c>
      <c r="DJ3694" s="4">
        <f>INDEX(Sheet2!C:C,QUOTIENT(ROW()-1,19)+2)</f>
        <v>43100</v>
      </c>
      <c r="DK3694" s="4" t="e">
        <f>INDEX(Sheet2!$AA$2:$AS$228,QUOTIENT(ROW()-1,19)+1,MOD(ROW()-2,19)+1)</f>
        <v>#N/A</v>
      </c>
      <c r="DL3694" t="str">
        <f>IFERROR(INDEX(Sheet2!$AU$2:$BM$228,QUOTIENT(ROW()-1,19)+1,MOD(ROW()-2,19)+1),NA())</f>
        <v/>
      </c>
      <c r="DM3694" s="4" t="e">
        <f t="shared" si="192"/>
        <v>#N/A</v>
      </c>
      <c r="DN3694" t="e">
        <f t="shared" si="193"/>
        <v>#N/A</v>
      </c>
      <c r="DO3694" t="e">
        <f t="shared" si="194"/>
        <v>#N/A</v>
      </c>
    </row>
    <row r="3695" spans="7:119" x14ac:dyDescent="0.25">
      <c r="G3695"/>
      <c r="DI3695" s="4">
        <f>INDEX(Sheet2!A:A,QUOTIENT(ROW()-1,19)+2)</f>
        <v>41717</v>
      </c>
      <c r="DJ3695" s="4">
        <f>INDEX(Sheet2!C:C,QUOTIENT(ROW()-1,19)+2)</f>
        <v>43100</v>
      </c>
      <c r="DK3695" s="4" t="e">
        <f>INDEX(Sheet2!$AA$2:$AS$228,QUOTIENT(ROW()-1,19)+1,MOD(ROW()-2,19)+1)</f>
        <v>#N/A</v>
      </c>
      <c r="DL3695" t="str">
        <f>IFERROR(INDEX(Sheet2!$AU$2:$BM$228,QUOTIENT(ROW()-1,19)+1,MOD(ROW()-2,19)+1),NA())</f>
        <v/>
      </c>
      <c r="DM3695" s="4" t="e">
        <f t="shared" si="192"/>
        <v>#N/A</v>
      </c>
      <c r="DN3695" t="e">
        <f t="shared" si="193"/>
        <v>#N/A</v>
      </c>
      <c r="DO3695" t="e">
        <f t="shared" si="194"/>
        <v>#N/A</v>
      </c>
    </row>
    <row r="3696" spans="7:119" x14ac:dyDescent="0.25">
      <c r="G3696"/>
      <c r="DI3696" s="4">
        <f>INDEX(Sheet2!A:A,QUOTIENT(ROW()-1,19)+2)</f>
        <v>41717</v>
      </c>
      <c r="DJ3696" s="4">
        <f>INDEX(Sheet2!C:C,QUOTIENT(ROW()-1,19)+2)</f>
        <v>43100</v>
      </c>
      <c r="DK3696" s="4" t="e">
        <f>INDEX(Sheet2!$AA$2:$AS$228,QUOTIENT(ROW()-1,19)+1,MOD(ROW()-2,19)+1)</f>
        <v>#N/A</v>
      </c>
      <c r="DL3696" t="str">
        <f>IFERROR(INDEX(Sheet2!$AU$2:$BM$228,QUOTIENT(ROW()-1,19)+1,MOD(ROW()-2,19)+1),NA())</f>
        <v/>
      </c>
      <c r="DM3696" s="4" t="e">
        <f t="shared" si="192"/>
        <v>#N/A</v>
      </c>
      <c r="DN3696" t="e">
        <f t="shared" si="193"/>
        <v>#N/A</v>
      </c>
      <c r="DO3696" t="e">
        <f t="shared" si="194"/>
        <v>#N/A</v>
      </c>
    </row>
    <row r="3697" spans="7:119" x14ac:dyDescent="0.25">
      <c r="G3697"/>
      <c r="DI3697" s="4">
        <f>INDEX(Sheet2!A:A,QUOTIENT(ROW()-1,19)+2)</f>
        <v>41717</v>
      </c>
      <c r="DJ3697" s="4">
        <f>INDEX(Sheet2!C:C,QUOTIENT(ROW()-1,19)+2)</f>
        <v>43100</v>
      </c>
      <c r="DK3697" s="4" t="e">
        <f>INDEX(Sheet2!$AA$2:$AS$228,QUOTIENT(ROW()-1,19)+1,MOD(ROW()-2,19)+1)</f>
        <v>#N/A</v>
      </c>
      <c r="DL3697" t="str">
        <f>IFERROR(INDEX(Sheet2!$AU$2:$BM$228,QUOTIENT(ROW()-1,19)+1,MOD(ROW()-2,19)+1),NA())</f>
        <v/>
      </c>
      <c r="DM3697" s="4" t="e">
        <f t="shared" si="192"/>
        <v>#N/A</v>
      </c>
      <c r="DN3697" t="e">
        <f t="shared" si="193"/>
        <v>#N/A</v>
      </c>
      <c r="DO3697" t="e">
        <f t="shared" si="194"/>
        <v>#N/A</v>
      </c>
    </row>
    <row r="3698" spans="7:119" x14ac:dyDescent="0.25">
      <c r="G3698"/>
      <c r="DI3698" s="4">
        <f>INDEX(Sheet2!A:A,QUOTIENT(ROW()-1,19)+2)</f>
        <v>41717</v>
      </c>
      <c r="DJ3698" s="4">
        <f>INDEX(Sheet2!C:C,QUOTIENT(ROW()-1,19)+2)</f>
        <v>43100</v>
      </c>
      <c r="DK3698" s="4" t="e">
        <f>INDEX(Sheet2!$AA$2:$AS$228,QUOTIENT(ROW()-1,19)+1,MOD(ROW()-2,19)+1)</f>
        <v>#N/A</v>
      </c>
      <c r="DL3698" t="str">
        <f>IFERROR(INDEX(Sheet2!$AU$2:$BM$228,QUOTIENT(ROW()-1,19)+1,MOD(ROW()-2,19)+1),NA())</f>
        <v/>
      </c>
      <c r="DM3698" s="4" t="e">
        <f t="shared" si="192"/>
        <v>#N/A</v>
      </c>
      <c r="DN3698" t="e">
        <f t="shared" si="193"/>
        <v>#N/A</v>
      </c>
      <c r="DO3698" t="e">
        <f t="shared" si="194"/>
        <v>#N/A</v>
      </c>
    </row>
    <row r="3699" spans="7:119" x14ac:dyDescent="0.25">
      <c r="G3699"/>
      <c r="DI3699" s="4">
        <f>INDEX(Sheet2!A:A,QUOTIENT(ROW()-1,19)+2)</f>
        <v>41717</v>
      </c>
      <c r="DJ3699" s="4">
        <f>INDEX(Sheet2!C:C,QUOTIENT(ROW()-1,19)+2)</f>
        <v>43100</v>
      </c>
      <c r="DK3699" s="4" t="e">
        <f>INDEX(Sheet2!$AA$2:$AS$228,QUOTIENT(ROW()-1,19)+1,MOD(ROW()-2,19)+1)</f>
        <v>#N/A</v>
      </c>
      <c r="DL3699" t="str">
        <f>IFERROR(INDEX(Sheet2!$AU$2:$BM$228,QUOTIENT(ROW()-1,19)+1,MOD(ROW()-2,19)+1),NA())</f>
        <v/>
      </c>
      <c r="DM3699" s="4" t="e">
        <f t="shared" si="192"/>
        <v>#N/A</v>
      </c>
      <c r="DN3699" t="e">
        <f t="shared" si="193"/>
        <v>#N/A</v>
      </c>
      <c r="DO3699" t="e">
        <f t="shared" si="194"/>
        <v>#N/A</v>
      </c>
    </row>
    <row r="3700" spans="7:119" x14ac:dyDescent="0.25">
      <c r="G3700"/>
      <c r="DI3700" s="4">
        <f>INDEX(Sheet2!A:A,QUOTIENT(ROW()-1,19)+2)</f>
        <v>41717</v>
      </c>
      <c r="DJ3700" s="4">
        <f>INDEX(Sheet2!C:C,QUOTIENT(ROW()-1,19)+2)</f>
        <v>43100</v>
      </c>
      <c r="DK3700" s="4" t="e">
        <f>INDEX(Sheet2!$AA$2:$AS$228,QUOTIENT(ROW()-1,19)+1,MOD(ROW()-2,19)+1)</f>
        <v>#N/A</v>
      </c>
      <c r="DL3700" t="str">
        <f>IFERROR(INDEX(Sheet2!$AU$2:$BM$228,QUOTIENT(ROW()-1,19)+1,MOD(ROW()-2,19)+1),NA())</f>
        <v/>
      </c>
      <c r="DM3700" s="4" t="e">
        <f t="shared" si="192"/>
        <v>#N/A</v>
      </c>
      <c r="DN3700" t="e">
        <f t="shared" si="193"/>
        <v>#N/A</v>
      </c>
      <c r="DO3700" t="e">
        <f t="shared" si="194"/>
        <v>#N/A</v>
      </c>
    </row>
    <row r="3701" spans="7:119" x14ac:dyDescent="0.25">
      <c r="G3701"/>
      <c r="DI3701" s="4">
        <f>INDEX(Sheet2!A:A,QUOTIENT(ROW()-1,19)+2)</f>
        <v>41717</v>
      </c>
      <c r="DJ3701" s="4">
        <f>INDEX(Sheet2!C:C,QUOTIENT(ROW()-1,19)+2)</f>
        <v>43100</v>
      </c>
      <c r="DK3701" s="4" t="e">
        <f>INDEX(Sheet2!$AA$2:$AS$228,QUOTIENT(ROW()-1,19)+1,MOD(ROW()-2,19)+1)</f>
        <v>#N/A</v>
      </c>
      <c r="DL3701" t="str">
        <f>IFERROR(INDEX(Sheet2!$AU$2:$BM$228,QUOTIENT(ROW()-1,19)+1,MOD(ROW()-2,19)+1),NA())</f>
        <v/>
      </c>
      <c r="DM3701" s="4" t="e">
        <f t="shared" si="192"/>
        <v>#N/A</v>
      </c>
      <c r="DN3701" t="e">
        <f t="shared" si="193"/>
        <v>#N/A</v>
      </c>
      <c r="DO3701" t="e">
        <f t="shared" si="194"/>
        <v>#N/A</v>
      </c>
    </row>
    <row r="3702" spans="7:119" x14ac:dyDescent="0.25">
      <c r="G3702"/>
      <c r="DI3702" s="4">
        <f>INDEX(Sheet2!A:A,QUOTIENT(ROW()-1,19)+2)</f>
        <v>41717</v>
      </c>
      <c r="DJ3702" s="4">
        <f>INDEX(Sheet2!C:C,QUOTIENT(ROW()-1,19)+2)</f>
        <v>43100</v>
      </c>
      <c r="DK3702" s="4" t="e">
        <f>INDEX(Sheet2!$AA$2:$AS$228,QUOTIENT(ROW()-1,19)+1,MOD(ROW()-2,19)+1)</f>
        <v>#N/A</v>
      </c>
      <c r="DL3702" t="str">
        <f>IFERROR(INDEX(Sheet2!$AU$2:$BM$228,QUOTIENT(ROW()-1,19)+1,MOD(ROW()-2,19)+1),NA())</f>
        <v/>
      </c>
      <c r="DM3702" s="4" t="e">
        <f t="shared" si="192"/>
        <v>#N/A</v>
      </c>
      <c r="DN3702" t="e">
        <f t="shared" si="193"/>
        <v>#N/A</v>
      </c>
      <c r="DO3702" t="e">
        <f t="shared" si="194"/>
        <v>#N/A</v>
      </c>
    </row>
    <row r="3703" spans="7:119" x14ac:dyDescent="0.25">
      <c r="G3703"/>
      <c r="DI3703" s="4">
        <f>INDEX(Sheet2!A:A,QUOTIENT(ROW()-1,19)+2)</f>
        <v>41717</v>
      </c>
      <c r="DJ3703" s="4">
        <f>INDEX(Sheet2!C:C,QUOTIENT(ROW()-1,19)+2)</f>
        <v>43100</v>
      </c>
      <c r="DK3703" s="4" t="e">
        <f>INDEX(Sheet2!$AA$2:$AS$228,QUOTIENT(ROW()-1,19)+1,MOD(ROW()-2,19)+1)</f>
        <v>#N/A</v>
      </c>
      <c r="DL3703" t="str">
        <f>IFERROR(INDEX(Sheet2!$AU$2:$BM$228,QUOTIENT(ROW()-1,19)+1,MOD(ROW()-2,19)+1),NA())</f>
        <v/>
      </c>
      <c r="DM3703" s="4" t="e">
        <f t="shared" si="192"/>
        <v>#N/A</v>
      </c>
      <c r="DN3703" t="e">
        <f t="shared" si="193"/>
        <v>#N/A</v>
      </c>
      <c r="DO3703" t="e">
        <f t="shared" si="194"/>
        <v>#N/A</v>
      </c>
    </row>
    <row r="3704" spans="7:119" x14ac:dyDescent="0.25">
      <c r="G3704"/>
      <c r="DI3704" s="4">
        <f>INDEX(Sheet2!A:A,QUOTIENT(ROW()-1,19)+2)</f>
        <v>41717</v>
      </c>
      <c r="DJ3704" s="4">
        <f>INDEX(Sheet2!C:C,QUOTIENT(ROW()-1,19)+2)</f>
        <v>43100</v>
      </c>
      <c r="DK3704" s="4" t="e">
        <f>INDEX(Sheet2!$AA$2:$AS$228,QUOTIENT(ROW()-1,19)+1,MOD(ROW()-2,19)+1)</f>
        <v>#N/A</v>
      </c>
      <c r="DL3704" t="str">
        <f>IFERROR(INDEX(Sheet2!$AU$2:$BM$228,QUOTIENT(ROW()-1,19)+1,MOD(ROW()-2,19)+1),NA())</f>
        <v/>
      </c>
      <c r="DM3704" s="4" t="e">
        <f t="shared" si="192"/>
        <v>#N/A</v>
      </c>
      <c r="DN3704" t="e">
        <f t="shared" si="193"/>
        <v>#N/A</v>
      </c>
      <c r="DO3704" t="e">
        <f t="shared" si="194"/>
        <v>#N/A</v>
      </c>
    </row>
    <row r="3705" spans="7:119" x14ac:dyDescent="0.25">
      <c r="G3705"/>
      <c r="DI3705" s="4">
        <f>INDEX(Sheet2!A:A,QUOTIENT(ROW()-1,19)+2)</f>
        <v>41717</v>
      </c>
      <c r="DJ3705" s="4">
        <f>INDEX(Sheet2!C:C,QUOTIENT(ROW()-1,19)+2)</f>
        <v>43100</v>
      </c>
      <c r="DK3705" s="4" t="e">
        <f>INDEX(Sheet2!$AA$2:$AS$228,QUOTIENT(ROW()-1,19)+1,MOD(ROW()-2,19)+1)</f>
        <v>#N/A</v>
      </c>
      <c r="DL3705" t="str">
        <f>IFERROR(INDEX(Sheet2!$AU$2:$BM$228,QUOTIENT(ROW()-1,19)+1,MOD(ROW()-2,19)+1),NA())</f>
        <v/>
      </c>
      <c r="DM3705" s="4" t="e">
        <f t="shared" si="192"/>
        <v>#N/A</v>
      </c>
      <c r="DN3705" t="e">
        <f t="shared" si="193"/>
        <v>#N/A</v>
      </c>
      <c r="DO3705" t="e">
        <f t="shared" si="194"/>
        <v>#N/A</v>
      </c>
    </row>
    <row r="3706" spans="7:119" x14ac:dyDescent="0.25">
      <c r="G3706"/>
      <c r="DI3706" s="4">
        <f>INDEX(Sheet2!A:A,QUOTIENT(ROW()-1,19)+2)</f>
        <v>41717</v>
      </c>
      <c r="DJ3706" s="4">
        <f>INDEX(Sheet2!C:C,QUOTIENT(ROW()-1,19)+2)</f>
        <v>43100</v>
      </c>
      <c r="DK3706" s="4" t="e">
        <f>INDEX(Sheet2!$AA$2:$AS$228,QUOTIENT(ROW()-1,19)+1,MOD(ROW()-2,19)+1)</f>
        <v>#N/A</v>
      </c>
      <c r="DL3706" t="str">
        <f>IFERROR(INDEX(Sheet2!$AU$2:$BM$228,QUOTIENT(ROW()-1,19)+1,MOD(ROW()-2,19)+1),NA())</f>
        <v/>
      </c>
      <c r="DM3706" s="4" t="e">
        <f t="shared" si="192"/>
        <v>#N/A</v>
      </c>
      <c r="DN3706" t="e">
        <f t="shared" si="193"/>
        <v>#N/A</v>
      </c>
      <c r="DO3706" t="e">
        <f t="shared" si="194"/>
        <v>#N/A</v>
      </c>
    </row>
    <row r="3707" spans="7:119" x14ac:dyDescent="0.25">
      <c r="G3707"/>
      <c r="DI3707" s="4">
        <f>INDEX(Sheet2!A:A,QUOTIENT(ROW()-1,19)+2)</f>
        <v>41717</v>
      </c>
      <c r="DJ3707" s="4">
        <f>INDEX(Sheet2!C:C,QUOTIENT(ROW()-1,19)+2)</f>
        <v>43100</v>
      </c>
      <c r="DK3707" s="4">
        <f>INDEX(Sheet2!$AA$2:$AS$228,QUOTIENT(ROW()-1,19)+1,MOD(ROW()-2,19)+1)</f>
        <v>43089.962500000001</v>
      </c>
      <c r="DL3707">
        <f>IFERROR(INDEX(Sheet2!$AU$2:$BM$228,QUOTIENT(ROW()-1,19)+1,MOD(ROW()-2,19)+1),NA())</f>
        <v>3.75</v>
      </c>
      <c r="DM3707" s="4" t="e">
        <f t="shared" si="192"/>
        <v>#N/A</v>
      </c>
      <c r="DN3707" t="e">
        <f t="shared" si="193"/>
        <v>#N/A</v>
      </c>
      <c r="DO3707" t="e">
        <f t="shared" si="194"/>
        <v>#N/A</v>
      </c>
    </row>
    <row r="3708" spans="7:119" x14ac:dyDescent="0.25">
      <c r="G3708"/>
      <c r="DI3708" s="4">
        <f>INDEX(Sheet2!A:A,QUOTIENT(ROW()-1,19)+2)</f>
        <v>41717</v>
      </c>
      <c r="DJ3708" s="4">
        <f>INDEX(Sheet2!C:C,QUOTIENT(ROW()-1,19)+2)</f>
        <v>43100</v>
      </c>
      <c r="DK3708" s="4">
        <f>INDEX(Sheet2!$AA$2:$AS$228,QUOTIENT(ROW()-1,19)+1,MOD(ROW()-2,19)+1)</f>
        <v>43110.037500000006</v>
      </c>
      <c r="DL3708">
        <f>IFERROR(INDEX(Sheet2!$AU$2:$BM$228,QUOTIENT(ROW()-1,19)+1,MOD(ROW()-2,19)+1),NA())</f>
        <v>3.75</v>
      </c>
      <c r="DM3708" s="4" t="e">
        <f t="shared" si="192"/>
        <v>#N/A</v>
      </c>
      <c r="DN3708" t="e">
        <f t="shared" si="193"/>
        <v>#N/A</v>
      </c>
      <c r="DO3708" t="e">
        <f t="shared" si="194"/>
        <v>#N/A</v>
      </c>
    </row>
    <row r="3709" spans="7:119" x14ac:dyDescent="0.25">
      <c r="G3709"/>
      <c r="DI3709" s="4">
        <f>INDEX(Sheet2!A:A,QUOTIENT(ROW()-1,19)+2)</f>
        <v>41717</v>
      </c>
      <c r="DJ3709" s="4">
        <f>INDEX(Sheet2!C:C,QUOTIENT(ROW()-1,19)+2)</f>
        <v>43100</v>
      </c>
      <c r="DK3709" s="4" t="e">
        <f>INDEX(Sheet2!$AA$2:$AS$228,QUOTIENT(ROW()-1,19)+1,MOD(ROW()-2,19)+1)</f>
        <v>#N/A</v>
      </c>
      <c r="DL3709" t="str">
        <f>IFERROR(INDEX(Sheet2!$AU$2:$BM$228,QUOTIENT(ROW()-1,19)+1,MOD(ROW()-2,19)+1),NA())</f>
        <v/>
      </c>
      <c r="DM3709" s="4" t="e">
        <f t="shared" si="192"/>
        <v>#N/A</v>
      </c>
      <c r="DN3709" t="e">
        <f t="shared" si="193"/>
        <v>#N/A</v>
      </c>
      <c r="DO3709" t="e">
        <f t="shared" si="194"/>
        <v>#N/A</v>
      </c>
    </row>
    <row r="3710" spans="7:119" x14ac:dyDescent="0.25">
      <c r="G3710"/>
      <c r="DI3710" s="4">
        <f>INDEX(Sheet2!A:A,QUOTIENT(ROW()-1,19)+2)</f>
        <v>41717</v>
      </c>
      <c r="DJ3710" s="4">
        <f>INDEX(Sheet2!C:C,QUOTIENT(ROW()-1,19)+2)</f>
        <v>43100</v>
      </c>
      <c r="DK3710" s="4" t="e">
        <f>INDEX(Sheet2!$AA$2:$AS$228,QUOTIENT(ROW()-1,19)+1,MOD(ROW()-2,19)+1)</f>
        <v>#N/A</v>
      </c>
      <c r="DL3710" t="str">
        <f>IFERROR(INDEX(Sheet2!$AU$2:$BM$228,QUOTIENT(ROW()-1,19)+1,MOD(ROW()-2,19)+1),NA())</f>
        <v/>
      </c>
      <c r="DM3710" s="4" t="e">
        <f t="shared" si="192"/>
        <v>#N/A</v>
      </c>
      <c r="DN3710" t="e">
        <f t="shared" si="193"/>
        <v>#N/A</v>
      </c>
      <c r="DO3710" t="e">
        <f t="shared" si="194"/>
        <v>#N/A</v>
      </c>
    </row>
    <row r="3711" spans="7:119" x14ac:dyDescent="0.25">
      <c r="G3711"/>
      <c r="DI3711" s="4">
        <f>INDEX(Sheet2!A:A,QUOTIENT(ROW()-1,19)+2)</f>
        <v>41717</v>
      </c>
      <c r="DJ3711" s="4">
        <f>INDEX(Sheet2!C:C,QUOTIENT(ROW()-1,19)+2)</f>
        <v>43100</v>
      </c>
      <c r="DK3711" s="4" t="e">
        <f>INDEX(Sheet2!$AA$2:$AS$228,QUOTIENT(ROW()-1,19)+1,MOD(ROW()-2,19)+1)</f>
        <v>#N/A</v>
      </c>
      <c r="DL3711" t="str">
        <f>IFERROR(INDEX(Sheet2!$AU$2:$BM$228,QUOTIENT(ROW()-1,19)+1,MOD(ROW()-2,19)+1),NA())</f>
        <v/>
      </c>
      <c r="DM3711" s="4" t="e">
        <f t="shared" si="192"/>
        <v>#N/A</v>
      </c>
      <c r="DN3711" t="e">
        <f t="shared" si="193"/>
        <v>#N/A</v>
      </c>
      <c r="DO3711" t="e">
        <f t="shared" si="194"/>
        <v>#N/A</v>
      </c>
    </row>
    <row r="3712" spans="7:119" x14ac:dyDescent="0.25">
      <c r="G3712"/>
      <c r="DI3712" s="4">
        <f>INDEX(Sheet2!A:A,QUOTIENT(ROW()-1,19)+2)</f>
        <v>41717</v>
      </c>
      <c r="DJ3712" s="4">
        <f>INDEX(Sheet2!C:C,QUOTIENT(ROW()-1,19)+2)</f>
        <v>43100</v>
      </c>
      <c r="DK3712" s="4" t="e">
        <f>INDEX(Sheet2!$AA$2:$AS$228,QUOTIENT(ROW()-1,19)+1,MOD(ROW()-2,19)+1)</f>
        <v>#N/A</v>
      </c>
      <c r="DL3712" t="str">
        <f>IFERROR(INDEX(Sheet2!$AU$2:$BM$228,QUOTIENT(ROW()-1,19)+1,MOD(ROW()-2,19)+1),NA())</f>
        <v/>
      </c>
      <c r="DM3712" s="4" t="e">
        <f t="shared" si="192"/>
        <v>#N/A</v>
      </c>
      <c r="DN3712" t="e">
        <f t="shared" si="193"/>
        <v>#N/A</v>
      </c>
      <c r="DO3712" t="e">
        <f t="shared" si="194"/>
        <v>#N/A</v>
      </c>
    </row>
    <row r="3713" spans="7:119" x14ac:dyDescent="0.25">
      <c r="G3713"/>
      <c r="DI3713" s="4">
        <f>INDEX(Sheet2!A:A,QUOTIENT(ROW()-1,19)+2)</f>
        <v>41717</v>
      </c>
      <c r="DJ3713" s="4">
        <f>INDEX(Sheet2!C:C,QUOTIENT(ROW()-1,19)+2)</f>
        <v>43100</v>
      </c>
      <c r="DK3713" s="4" t="e">
        <f>INDEX(Sheet2!$AA$2:$AS$228,QUOTIENT(ROW()-1,19)+1,MOD(ROW()-2,19)+1)</f>
        <v>#N/A</v>
      </c>
      <c r="DL3713" t="str">
        <f>IFERROR(INDEX(Sheet2!$AU$2:$BM$228,QUOTIENT(ROW()-1,19)+1,MOD(ROW()-2,19)+1),NA())</f>
        <v/>
      </c>
      <c r="DM3713" s="4" t="e">
        <f t="shared" si="192"/>
        <v>#N/A</v>
      </c>
      <c r="DN3713" t="e">
        <f t="shared" si="193"/>
        <v>#N/A</v>
      </c>
      <c r="DO3713" t="e">
        <f t="shared" si="194"/>
        <v>#N/A</v>
      </c>
    </row>
    <row r="3714" spans="7:119" x14ac:dyDescent="0.25">
      <c r="G3714"/>
      <c r="DI3714" s="4">
        <f>INDEX(Sheet2!A:A,QUOTIENT(ROW()-1,19)+2)</f>
        <v>41717</v>
      </c>
      <c r="DJ3714" s="4">
        <f>INDEX(Sheet2!C:C,QUOTIENT(ROW()-1,19)+2)</f>
        <v>43100</v>
      </c>
      <c r="DK3714" s="4" t="e">
        <f>INDEX(Sheet2!$AA$2:$AS$228,QUOTIENT(ROW()-1,19)+1,MOD(ROW()-2,19)+1)</f>
        <v>#N/A</v>
      </c>
      <c r="DL3714" t="str">
        <f>IFERROR(INDEX(Sheet2!$AU$2:$BM$228,QUOTIENT(ROW()-1,19)+1,MOD(ROW()-2,19)+1),NA())</f>
        <v/>
      </c>
      <c r="DM3714" s="4" t="e">
        <f t="shared" ref="DM3714:DM3777" si="195">+IF($C$2=$DI3714,DK3714,NA())</f>
        <v>#N/A</v>
      </c>
      <c r="DN3714" t="e">
        <f t="shared" ref="DN3714:DN3777" si="196">+IF($C$2=$DI3714,DL3714,NA())</f>
        <v>#N/A</v>
      </c>
      <c r="DO3714" t="e">
        <f t="shared" si="194"/>
        <v>#N/A</v>
      </c>
    </row>
    <row r="3715" spans="7:119" x14ac:dyDescent="0.25">
      <c r="G3715"/>
      <c r="DI3715" s="4">
        <f>INDEX(Sheet2!A:A,QUOTIENT(ROW()-1,19)+2)</f>
        <v>41717</v>
      </c>
      <c r="DJ3715" s="4">
        <f>INDEX(Sheet2!C:C,QUOTIENT(ROW()-1,19)+2)</f>
        <v>43100</v>
      </c>
      <c r="DK3715" s="4" t="e">
        <f>INDEX(Sheet2!$AA$2:$AS$228,QUOTIENT(ROW()-1,19)+1,MOD(ROW()-2,19)+1)</f>
        <v>#N/A</v>
      </c>
      <c r="DL3715" t="str">
        <f>IFERROR(INDEX(Sheet2!$AU$2:$BM$228,QUOTIENT(ROW()-1,19)+1,MOD(ROW()-2,19)+1),NA())</f>
        <v/>
      </c>
      <c r="DM3715" s="4" t="e">
        <f t="shared" si="195"/>
        <v>#N/A</v>
      </c>
      <c r="DN3715" t="e">
        <f t="shared" si="196"/>
        <v>#N/A</v>
      </c>
      <c r="DO3715" t="e">
        <f t="shared" ref="DO3715:DO3778" si="197">IF(DN3715="",NA(),DN3715)</f>
        <v>#N/A</v>
      </c>
    </row>
    <row r="3716" spans="7:119" x14ac:dyDescent="0.25">
      <c r="G3716"/>
      <c r="DI3716" s="4">
        <f>INDEX(Sheet2!A:A,QUOTIENT(ROW()-1,19)+2)</f>
        <v>41717</v>
      </c>
      <c r="DJ3716" s="4">
        <f>INDEX(Sheet2!C:C,QUOTIENT(ROW()-1,19)+2)</f>
        <v>43100</v>
      </c>
      <c r="DK3716" s="4" t="e">
        <f>INDEX(Sheet2!$AA$2:$AS$228,QUOTIENT(ROW()-1,19)+1,MOD(ROW()-2,19)+1)</f>
        <v>#N/A</v>
      </c>
      <c r="DL3716" t="str">
        <f>IFERROR(INDEX(Sheet2!$AU$2:$BM$228,QUOTIENT(ROW()-1,19)+1,MOD(ROW()-2,19)+1),NA())</f>
        <v/>
      </c>
      <c r="DM3716" s="4" t="e">
        <f t="shared" si="195"/>
        <v>#N/A</v>
      </c>
      <c r="DN3716" t="e">
        <f t="shared" si="196"/>
        <v>#N/A</v>
      </c>
      <c r="DO3716" t="e">
        <f t="shared" si="197"/>
        <v>#N/A</v>
      </c>
    </row>
    <row r="3717" spans="7:119" x14ac:dyDescent="0.25">
      <c r="G3717"/>
      <c r="DI3717" s="4">
        <f>INDEX(Sheet2!A:A,QUOTIENT(ROW()-1,19)+2)</f>
        <v>41717</v>
      </c>
      <c r="DJ3717" s="4">
        <f>INDEX(Sheet2!C:C,QUOTIENT(ROW()-1,19)+2)</f>
        <v>43100</v>
      </c>
      <c r="DK3717" s="4" t="e">
        <f>INDEX(Sheet2!$AA$2:$AS$228,QUOTIENT(ROW()-1,19)+1,MOD(ROW()-2,19)+1)</f>
        <v>#N/A</v>
      </c>
      <c r="DL3717" t="str">
        <f>IFERROR(INDEX(Sheet2!$AU$2:$BM$228,QUOTIENT(ROW()-1,19)+1,MOD(ROW()-2,19)+1),NA())</f>
        <v/>
      </c>
      <c r="DM3717" s="4" t="e">
        <f t="shared" si="195"/>
        <v>#N/A</v>
      </c>
      <c r="DN3717" t="e">
        <f t="shared" si="196"/>
        <v>#N/A</v>
      </c>
      <c r="DO3717" t="e">
        <f t="shared" si="197"/>
        <v>#N/A</v>
      </c>
    </row>
    <row r="3718" spans="7:119" x14ac:dyDescent="0.25">
      <c r="G3718"/>
      <c r="DI3718" s="4">
        <f>INDEX(Sheet2!A:A,QUOTIENT(ROW()-1,19)+2)</f>
        <v>41717</v>
      </c>
      <c r="DJ3718" s="4">
        <f>INDEX(Sheet2!C:C,QUOTIENT(ROW()-1,19)+2)</f>
        <v>43100</v>
      </c>
      <c r="DK3718" s="4" t="e">
        <f>INDEX(Sheet2!$AA$2:$AS$228,QUOTIENT(ROW()-1,19)+1,MOD(ROW()-2,19)+1)</f>
        <v>#N/A</v>
      </c>
      <c r="DL3718" t="str">
        <f>IFERROR(INDEX(Sheet2!$AU$2:$BM$228,QUOTIENT(ROW()-1,19)+1,MOD(ROW()-2,19)+1),NA())</f>
        <v/>
      </c>
      <c r="DM3718" s="4" t="e">
        <f t="shared" si="195"/>
        <v>#N/A</v>
      </c>
      <c r="DN3718" t="e">
        <f t="shared" si="196"/>
        <v>#N/A</v>
      </c>
      <c r="DO3718" t="e">
        <f t="shared" si="197"/>
        <v>#N/A</v>
      </c>
    </row>
    <row r="3719" spans="7:119" x14ac:dyDescent="0.25">
      <c r="G3719"/>
      <c r="DI3719" s="4">
        <f>INDEX(Sheet2!A:A,QUOTIENT(ROW()-1,19)+2)</f>
        <v>41717</v>
      </c>
      <c r="DJ3719" s="4">
        <f>INDEX(Sheet2!C:C,QUOTIENT(ROW()-1,19)+2)</f>
        <v>43100</v>
      </c>
      <c r="DK3719" s="4" t="e">
        <f>INDEX(Sheet2!$AA$2:$AS$228,QUOTIENT(ROW()-1,19)+1,MOD(ROW()-2,19)+1)</f>
        <v>#N/A</v>
      </c>
      <c r="DL3719" t="str">
        <f>IFERROR(INDEX(Sheet2!$AU$2:$BM$228,QUOTIENT(ROW()-1,19)+1,MOD(ROW()-2,19)+1),NA())</f>
        <v/>
      </c>
      <c r="DM3719" s="4" t="e">
        <f t="shared" si="195"/>
        <v>#N/A</v>
      </c>
      <c r="DN3719" t="e">
        <f t="shared" si="196"/>
        <v>#N/A</v>
      </c>
      <c r="DO3719" t="e">
        <f t="shared" si="197"/>
        <v>#N/A</v>
      </c>
    </row>
    <row r="3720" spans="7:119" x14ac:dyDescent="0.25">
      <c r="G3720"/>
      <c r="DI3720" s="4">
        <f>INDEX(Sheet2!A:A,QUOTIENT(ROW()-1,19)+2)</f>
        <v>41717</v>
      </c>
      <c r="DJ3720" s="4">
        <f>INDEX(Sheet2!C:C,QUOTIENT(ROW()-1,19)+2)</f>
        <v>43100</v>
      </c>
      <c r="DK3720" s="4" t="e">
        <f>INDEX(Sheet2!$AA$2:$AS$228,QUOTIENT(ROW()-1,19)+1,MOD(ROW()-2,19)+1)</f>
        <v>#N/A</v>
      </c>
      <c r="DL3720" t="str">
        <f>IFERROR(INDEX(Sheet2!$AU$2:$BM$228,QUOTIENT(ROW()-1,19)+1,MOD(ROW()-2,19)+1),NA())</f>
        <v/>
      </c>
      <c r="DM3720" s="4" t="e">
        <f t="shared" si="195"/>
        <v>#N/A</v>
      </c>
      <c r="DN3720" t="e">
        <f t="shared" si="196"/>
        <v>#N/A</v>
      </c>
      <c r="DO3720" t="e">
        <f t="shared" si="197"/>
        <v>#N/A</v>
      </c>
    </row>
    <row r="3721" spans="7:119" x14ac:dyDescent="0.25">
      <c r="G3721"/>
      <c r="DI3721" s="4">
        <f>INDEX(Sheet2!A:A,QUOTIENT(ROW()-1,19)+2)</f>
        <v>41717</v>
      </c>
      <c r="DJ3721" s="4">
        <f>INDEX(Sheet2!C:C,QUOTIENT(ROW()-1,19)+2)</f>
        <v>43100</v>
      </c>
      <c r="DK3721" s="4" t="e">
        <f>INDEX(Sheet2!$AA$2:$AS$228,QUOTIENT(ROW()-1,19)+1,MOD(ROW()-2,19)+1)</f>
        <v>#N/A</v>
      </c>
      <c r="DL3721" t="str">
        <f>IFERROR(INDEX(Sheet2!$AU$2:$BM$228,QUOTIENT(ROW()-1,19)+1,MOD(ROW()-2,19)+1),NA())</f>
        <v/>
      </c>
      <c r="DM3721" s="4" t="e">
        <f t="shared" si="195"/>
        <v>#N/A</v>
      </c>
      <c r="DN3721" t="e">
        <f t="shared" si="196"/>
        <v>#N/A</v>
      </c>
      <c r="DO3721" t="e">
        <f t="shared" si="197"/>
        <v>#N/A</v>
      </c>
    </row>
    <row r="3722" spans="7:119" x14ac:dyDescent="0.25">
      <c r="G3722"/>
      <c r="DI3722" s="4">
        <f>INDEX(Sheet2!A:A,QUOTIENT(ROW()-1,19)+2)</f>
        <v>41717</v>
      </c>
      <c r="DJ3722" s="4">
        <f>INDEX(Sheet2!C:C,QUOTIENT(ROW()-1,19)+2)</f>
        <v>43100</v>
      </c>
      <c r="DK3722" s="4" t="e">
        <f>INDEX(Sheet2!$AA$2:$AS$228,QUOTIENT(ROW()-1,19)+1,MOD(ROW()-2,19)+1)</f>
        <v>#N/A</v>
      </c>
      <c r="DL3722" t="str">
        <f>IFERROR(INDEX(Sheet2!$AU$2:$BM$228,QUOTIENT(ROW()-1,19)+1,MOD(ROW()-2,19)+1),NA())</f>
        <v/>
      </c>
      <c r="DM3722" s="4" t="e">
        <f t="shared" si="195"/>
        <v>#N/A</v>
      </c>
      <c r="DN3722" t="e">
        <f t="shared" si="196"/>
        <v>#N/A</v>
      </c>
      <c r="DO3722" t="e">
        <f t="shared" si="197"/>
        <v>#N/A</v>
      </c>
    </row>
    <row r="3723" spans="7:119" x14ac:dyDescent="0.25">
      <c r="G3723"/>
      <c r="DI3723" s="4">
        <f>INDEX(Sheet2!A:A,QUOTIENT(ROW()-1,19)+2)</f>
        <v>41717</v>
      </c>
      <c r="DJ3723" s="4">
        <f>INDEX(Sheet2!C:C,QUOTIENT(ROW()-1,19)+2)</f>
        <v>43100</v>
      </c>
      <c r="DK3723" s="4" t="e">
        <f>INDEX(Sheet2!$AA$2:$AS$228,QUOTIENT(ROW()-1,19)+1,MOD(ROW()-2,19)+1)</f>
        <v>#N/A</v>
      </c>
      <c r="DL3723" t="str">
        <f>IFERROR(INDEX(Sheet2!$AU$2:$BM$228,QUOTIENT(ROW()-1,19)+1,MOD(ROW()-2,19)+1),NA())</f>
        <v/>
      </c>
      <c r="DM3723" s="4" t="e">
        <f t="shared" si="195"/>
        <v>#N/A</v>
      </c>
      <c r="DN3723" t="e">
        <f t="shared" si="196"/>
        <v>#N/A</v>
      </c>
      <c r="DO3723" t="e">
        <f t="shared" si="197"/>
        <v>#N/A</v>
      </c>
    </row>
    <row r="3724" spans="7:119" x14ac:dyDescent="0.25">
      <c r="G3724"/>
      <c r="DI3724" s="4">
        <f>INDEX(Sheet2!A:A,QUOTIENT(ROW()-1,19)+2)</f>
        <v>41717</v>
      </c>
      <c r="DJ3724" s="4">
        <f>INDEX(Sheet2!C:C,QUOTIENT(ROW()-1,19)+2)</f>
        <v>43100</v>
      </c>
      <c r="DK3724" s="4" t="e">
        <f>INDEX(Sheet2!$AA$2:$AS$228,QUOTIENT(ROW()-1,19)+1,MOD(ROW()-2,19)+1)</f>
        <v>#N/A</v>
      </c>
      <c r="DL3724" t="str">
        <f>IFERROR(INDEX(Sheet2!$AU$2:$BM$228,QUOTIENT(ROW()-1,19)+1,MOD(ROW()-2,19)+1),NA())</f>
        <v/>
      </c>
      <c r="DM3724" s="4" t="e">
        <f t="shared" si="195"/>
        <v>#N/A</v>
      </c>
      <c r="DN3724" t="e">
        <f t="shared" si="196"/>
        <v>#N/A</v>
      </c>
      <c r="DO3724" t="e">
        <f t="shared" si="197"/>
        <v>#N/A</v>
      </c>
    </row>
    <row r="3725" spans="7:119" x14ac:dyDescent="0.25">
      <c r="G3725"/>
      <c r="DI3725" s="4">
        <f>INDEX(Sheet2!A:A,QUOTIENT(ROW()-1,19)+2)</f>
        <v>41717</v>
      </c>
      <c r="DJ3725" s="4">
        <f>INDEX(Sheet2!C:C,QUOTIENT(ROW()-1,19)+2)</f>
        <v>43100</v>
      </c>
      <c r="DK3725" s="4" t="e">
        <f>INDEX(Sheet2!$AA$2:$AS$228,QUOTIENT(ROW()-1,19)+1,MOD(ROW()-2,19)+1)</f>
        <v>#N/A</v>
      </c>
      <c r="DL3725" t="str">
        <f>IFERROR(INDEX(Sheet2!$AU$2:$BM$228,QUOTIENT(ROW()-1,19)+1,MOD(ROW()-2,19)+1),NA())</f>
        <v/>
      </c>
      <c r="DM3725" s="4" t="e">
        <f t="shared" si="195"/>
        <v>#N/A</v>
      </c>
      <c r="DN3725" t="e">
        <f t="shared" si="196"/>
        <v>#N/A</v>
      </c>
      <c r="DO3725" t="e">
        <f t="shared" si="197"/>
        <v>#N/A</v>
      </c>
    </row>
    <row r="3726" spans="7:119" x14ac:dyDescent="0.25">
      <c r="G3726"/>
      <c r="DI3726" s="4">
        <f>INDEX(Sheet2!A:A,QUOTIENT(ROW()-1,19)+2)</f>
        <v>41717</v>
      </c>
      <c r="DJ3726" s="4">
        <f>INDEX(Sheet2!C:C,QUOTIENT(ROW()-1,19)+2)</f>
        <v>43100</v>
      </c>
      <c r="DK3726" s="4">
        <f>INDEX(Sheet2!$AA$2:$AS$228,QUOTIENT(ROW()-1,19)+1,MOD(ROW()-2,19)+1)</f>
        <v>43029.737499999996</v>
      </c>
      <c r="DL3726">
        <f>IFERROR(INDEX(Sheet2!$AU$2:$BM$228,QUOTIENT(ROW()-1,19)+1,MOD(ROW()-2,19)+1),NA())</f>
        <v>4</v>
      </c>
      <c r="DM3726" s="4" t="e">
        <f t="shared" si="195"/>
        <v>#N/A</v>
      </c>
      <c r="DN3726" t="e">
        <f t="shared" si="196"/>
        <v>#N/A</v>
      </c>
      <c r="DO3726" t="e">
        <f t="shared" si="197"/>
        <v>#N/A</v>
      </c>
    </row>
    <row r="3727" spans="7:119" x14ac:dyDescent="0.25">
      <c r="G3727"/>
      <c r="DI3727" s="4">
        <f>INDEX(Sheet2!A:A,QUOTIENT(ROW()-1,19)+2)</f>
        <v>41717</v>
      </c>
      <c r="DJ3727" s="4">
        <f>INDEX(Sheet2!C:C,QUOTIENT(ROW()-1,19)+2)</f>
        <v>43100</v>
      </c>
      <c r="DK3727" s="4">
        <f>INDEX(Sheet2!$AA$2:$AS$228,QUOTIENT(ROW()-1,19)+1,MOD(ROW()-2,19)+1)</f>
        <v>43049.8125</v>
      </c>
      <c r="DL3727">
        <f>IFERROR(INDEX(Sheet2!$AU$2:$BM$228,QUOTIENT(ROW()-1,19)+1,MOD(ROW()-2,19)+1),NA())</f>
        <v>4</v>
      </c>
      <c r="DM3727" s="4" t="e">
        <f t="shared" si="195"/>
        <v>#N/A</v>
      </c>
      <c r="DN3727" t="e">
        <f t="shared" si="196"/>
        <v>#N/A</v>
      </c>
      <c r="DO3727" t="e">
        <f t="shared" si="197"/>
        <v>#N/A</v>
      </c>
    </row>
    <row r="3728" spans="7:119" x14ac:dyDescent="0.25">
      <c r="G3728"/>
      <c r="DI3728" s="4">
        <f>INDEX(Sheet2!A:A,QUOTIENT(ROW()-1,19)+2)</f>
        <v>41717</v>
      </c>
      <c r="DJ3728" s="4">
        <f>INDEX(Sheet2!C:C,QUOTIENT(ROW()-1,19)+2)</f>
        <v>43100</v>
      </c>
      <c r="DK3728" s="4">
        <f>INDEX(Sheet2!$AA$2:$AS$228,QUOTIENT(ROW()-1,19)+1,MOD(ROW()-2,19)+1)</f>
        <v>43069.887499999997</v>
      </c>
      <c r="DL3728">
        <f>IFERROR(INDEX(Sheet2!$AU$2:$BM$228,QUOTIENT(ROW()-1,19)+1,MOD(ROW()-2,19)+1),NA())</f>
        <v>4</v>
      </c>
      <c r="DM3728" s="4" t="e">
        <f t="shared" si="195"/>
        <v>#N/A</v>
      </c>
      <c r="DN3728" t="e">
        <f t="shared" si="196"/>
        <v>#N/A</v>
      </c>
      <c r="DO3728" t="e">
        <f t="shared" si="197"/>
        <v>#N/A</v>
      </c>
    </row>
    <row r="3729" spans="7:119" x14ac:dyDescent="0.25">
      <c r="G3729"/>
      <c r="DI3729" s="4">
        <f>INDEX(Sheet2!A:A,QUOTIENT(ROW()-1,19)+2)</f>
        <v>41717</v>
      </c>
      <c r="DJ3729" s="4">
        <f>INDEX(Sheet2!C:C,QUOTIENT(ROW()-1,19)+2)</f>
        <v>43100</v>
      </c>
      <c r="DK3729" s="4">
        <f>INDEX(Sheet2!$AA$2:$AS$228,QUOTIENT(ROW()-1,19)+1,MOD(ROW()-2,19)+1)</f>
        <v>43089.962500000001</v>
      </c>
      <c r="DL3729">
        <f>IFERROR(INDEX(Sheet2!$AU$2:$BM$228,QUOTIENT(ROW()-1,19)+1,MOD(ROW()-2,19)+1),NA())</f>
        <v>4</v>
      </c>
      <c r="DM3729" s="4" t="e">
        <f t="shared" si="195"/>
        <v>#N/A</v>
      </c>
      <c r="DN3729" t="e">
        <f t="shared" si="196"/>
        <v>#N/A</v>
      </c>
      <c r="DO3729" t="e">
        <f t="shared" si="197"/>
        <v>#N/A</v>
      </c>
    </row>
    <row r="3730" spans="7:119" x14ac:dyDescent="0.25">
      <c r="G3730"/>
      <c r="DI3730" s="4">
        <f>INDEX(Sheet2!A:A,QUOTIENT(ROW()-1,19)+2)</f>
        <v>41717</v>
      </c>
      <c r="DJ3730" s="4">
        <f>INDEX(Sheet2!C:C,QUOTIENT(ROW()-1,19)+2)</f>
        <v>43100</v>
      </c>
      <c r="DK3730" s="4">
        <f>INDEX(Sheet2!$AA$2:$AS$228,QUOTIENT(ROW()-1,19)+1,MOD(ROW()-2,19)+1)</f>
        <v>43110.037499999999</v>
      </c>
      <c r="DL3730">
        <f>IFERROR(INDEX(Sheet2!$AU$2:$BM$228,QUOTIENT(ROW()-1,19)+1,MOD(ROW()-2,19)+1),NA())</f>
        <v>4</v>
      </c>
      <c r="DM3730" s="4" t="e">
        <f t="shared" si="195"/>
        <v>#N/A</v>
      </c>
      <c r="DN3730" t="e">
        <f t="shared" si="196"/>
        <v>#N/A</v>
      </c>
      <c r="DO3730" t="e">
        <f t="shared" si="197"/>
        <v>#N/A</v>
      </c>
    </row>
    <row r="3731" spans="7:119" x14ac:dyDescent="0.25">
      <c r="G3731"/>
      <c r="DI3731" s="4">
        <f>INDEX(Sheet2!A:A,QUOTIENT(ROW()-1,19)+2)</f>
        <v>41717</v>
      </c>
      <c r="DJ3731" s="4">
        <f>INDEX(Sheet2!C:C,QUOTIENT(ROW()-1,19)+2)</f>
        <v>43100</v>
      </c>
      <c r="DK3731" s="4">
        <f>INDEX(Sheet2!$AA$2:$AS$228,QUOTIENT(ROW()-1,19)+1,MOD(ROW()-2,19)+1)</f>
        <v>43130.112499999996</v>
      </c>
      <c r="DL3731">
        <f>IFERROR(INDEX(Sheet2!$AU$2:$BM$228,QUOTIENT(ROW()-1,19)+1,MOD(ROW()-2,19)+1),NA())</f>
        <v>4</v>
      </c>
      <c r="DM3731" s="4" t="e">
        <f t="shared" si="195"/>
        <v>#N/A</v>
      </c>
      <c r="DN3731" t="e">
        <f t="shared" si="196"/>
        <v>#N/A</v>
      </c>
      <c r="DO3731" t="e">
        <f t="shared" si="197"/>
        <v>#N/A</v>
      </c>
    </row>
    <row r="3732" spans="7:119" x14ac:dyDescent="0.25">
      <c r="G3732"/>
      <c r="DI3732" s="4">
        <f>INDEX(Sheet2!A:A,QUOTIENT(ROW()-1,19)+2)</f>
        <v>41717</v>
      </c>
      <c r="DJ3732" s="4">
        <f>INDEX(Sheet2!C:C,QUOTIENT(ROW()-1,19)+2)</f>
        <v>43100</v>
      </c>
      <c r="DK3732" s="4">
        <f>INDEX(Sheet2!$AA$2:$AS$228,QUOTIENT(ROW()-1,19)+1,MOD(ROW()-2,19)+1)</f>
        <v>43150.1875</v>
      </c>
      <c r="DL3732">
        <f>IFERROR(INDEX(Sheet2!$AU$2:$BM$228,QUOTIENT(ROW()-1,19)+1,MOD(ROW()-2,19)+1),NA())</f>
        <v>4</v>
      </c>
      <c r="DM3732" s="4" t="e">
        <f t="shared" si="195"/>
        <v>#N/A</v>
      </c>
      <c r="DN3732" t="e">
        <f t="shared" si="196"/>
        <v>#N/A</v>
      </c>
      <c r="DO3732" t="e">
        <f t="shared" si="197"/>
        <v>#N/A</v>
      </c>
    </row>
    <row r="3733" spans="7:119" x14ac:dyDescent="0.25">
      <c r="G3733"/>
      <c r="DI3733" s="4">
        <f>INDEX(Sheet2!A:A,QUOTIENT(ROW()-1,19)+2)</f>
        <v>41717</v>
      </c>
      <c r="DJ3733" s="4">
        <f>INDEX(Sheet2!C:C,QUOTIENT(ROW()-1,19)+2)</f>
        <v>43100</v>
      </c>
      <c r="DK3733" s="4">
        <f>INDEX(Sheet2!$AA$2:$AS$228,QUOTIENT(ROW()-1,19)+1,MOD(ROW()-2,19)+1)</f>
        <v>43170.262499999997</v>
      </c>
      <c r="DL3733">
        <f>IFERROR(INDEX(Sheet2!$AU$2:$BM$228,QUOTIENT(ROW()-1,19)+1,MOD(ROW()-2,19)+1),NA())</f>
        <v>4</v>
      </c>
      <c r="DM3733" s="4" t="e">
        <f t="shared" si="195"/>
        <v>#N/A</v>
      </c>
      <c r="DN3733" t="e">
        <f t="shared" si="196"/>
        <v>#N/A</v>
      </c>
      <c r="DO3733" t="e">
        <f t="shared" si="197"/>
        <v>#N/A</v>
      </c>
    </row>
    <row r="3734" spans="7:119" x14ac:dyDescent="0.25">
      <c r="G3734"/>
      <c r="DI3734" s="4">
        <f>INDEX(Sheet2!A:A,QUOTIENT(ROW()-1,19)+2)</f>
        <v>41717</v>
      </c>
      <c r="DJ3734" s="4">
        <f>INDEX(Sheet2!C:C,QUOTIENT(ROW()-1,19)+2)</f>
        <v>43100</v>
      </c>
      <c r="DK3734" s="4" t="e">
        <f>INDEX(Sheet2!$AA$2:$AS$228,QUOTIENT(ROW()-1,19)+1,MOD(ROW()-2,19)+1)</f>
        <v>#N/A</v>
      </c>
      <c r="DL3734" t="str">
        <f>IFERROR(INDEX(Sheet2!$AU$2:$BM$228,QUOTIENT(ROW()-1,19)+1,MOD(ROW()-2,19)+1),NA())</f>
        <v/>
      </c>
      <c r="DM3734" s="4" t="e">
        <f t="shared" si="195"/>
        <v>#N/A</v>
      </c>
      <c r="DN3734" t="e">
        <f t="shared" si="196"/>
        <v>#N/A</v>
      </c>
      <c r="DO3734" t="e">
        <f t="shared" si="197"/>
        <v>#N/A</v>
      </c>
    </row>
    <row r="3735" spans="7:119" x14ac:dyDescent="0.25">
      <c r="G3735"/>
      <c r="DI3735" s="4">
        <f>INDEX(Sheet2!A:A,QUOTIENT(ROW()-1,19)+2)</f>
        <v>41717</v>
      </c>
      <c r="DJ3735" s="4">
        <f>INDEX(Sheet2!C:C,QUOTIENT(ROW()-1,19)+2)</f>
        <v>43100</v>
      </c>
      <c r="DK3735" s="4" t="e">
        <f>INDEX(Sheet2!$AA$2:$AS$228,QUOTIENT(ROW()-1,19)+1,MOD(ROW()-2,19)+1)</f>
        <v>#N/A</v>
      </c>
      <c r="DL3735" t="str">
        <f>IFERROR(INDEX(Sheet2!$AU$2:$BM$228,QUOTIENT(ROW()-1,19)+1,MOD(ROW()-2,19)+1),NA())</f>
        <v/>
      </c>
      <c r="DM3735" s="4" t="e">
        <f t="shared" si="195"/>
        <v>#N/A</v>
      </c>
      <c r="DN3735" t="e">
        <f t="shared" si="196"/>
        <v>#N/A</v>
      </c>
      <c r="DO3735" t="e">
        <f t="shared" si="197"/>
        <v>#N/A</v>
      </c>
    </row>
    <row r="3736" spans="7:119" x14ac:dyDescent="0.25">
      <c r="G3736"/>
      <c r="DI3736" s="4">
        <f>INDEX(Sheet2!A:A,QUOTIENT(ROW()-1,19)+2)</f>
        <v>41717</v>
      </c>
      <c r="DJ3736" s="4">
        <f>INDEX(Sheet2!C:C,QUOTIENT(ROW()-1,19)+2)</f>
        <v>43100</v>
      </c>
      <c r="DK3736" s="4" t="e">
        <f>INDEX(Sheet2!$AA$2:$AS$228,QUOTIENT(ROW()-1,19)+1,MOD(ROW()-2,19)+1)</f>
        <v>#N/A</v>
      </c>
      <c r="DL3736" t="str">
        <f>IFERROR(INDEX(Sheet2!$AU$2:$BM$228,QUOTIENT(ROW()-1,19)+1,MOD(ROW()-2,19)+1),NA())</f>
        <v/>
      </c>
      <c r="DM3736" s="4" t="e">
        <f t="shared" si="195"/>
        <v>#N/A</v>
      </c>
      <c r="DN3736" t="e">
        <f t="shared" si="196"/>
        <v>#N/A</v>
      </c>
      <c r="DO3736" t="e">
        <f t="shared" si="197"/>
        <v>#N/A</v>
      </c>
    </row>
    <row r="3737" spans="7:119" x14ac:dyDescent="0.25">
      <c r="G3737"/>
      <c r="DI3737" s="4">
        <f>INDEX(Sheet2!A:A,QUOTIENT(ROW()-1,19)+2)</f>
        <v>41717</v>
      </c>
      <c r="DJ3737" s="4">
        <f>INDEX(Sheet2!C:C,QUOTIENT(ROW()-1,19)+2)</f>
        <v>43100</v>
      </c>
      <c r="DK3737" s="4" t="e">
        <f>INDEX(Sheet2!$AA$2:$AS$228,QUOTIENT(ROW()-1,19)+1,MOD(ROW()-2,19)+1)</f>
        <v>#N/A</v>
      </c>
      <c r="DL3737" t="str">
        <f>IFERROR(INDEX(Sheet2!$AU$2:$BM$228,QUOTIENT(ROW()-1,19)+1,MOD(ROW()-2,19)+1),NA())</f>
        <v/>
      </c>
      <c r="DM3737" s="4" t="e">
        <f t="shared" si="195"/>
        <v>#N/A</v>
      </c>
      <c r="DN3737" t="e">
        <f t="shared" si="196"/>
        <v>#N/A</v>
      </c>
      <c r="DO3737" t="e">
        <f t="shared" si="197"/>
        <v>#N/A</v>
      </c>
    </row>
    <row r="3738" spans="7:119" x14ac:dyDescent="0.25">
      <c r="G3738"/>
      <c r="DI3738" s="4">
        <f>INDEX(Sheet2!A:A,QUOTIENT(ROW()-1,19)+2)</f>
        <v>41717</v>
      </c>
      <c r="DJ3738" s="4">
        <f>INDEX(Sheet2!C:C,QUOTIENT(ROW()-1,19)+2)</f>
        <v>43100</v>
      </c>
      <c r="DK3738" s="4" t="e">
        <f>INDEX(Sheet2!$AA$2:$AS$228,QUOTIENT(ROW()-1,19)+1,MOD(ROW()-2,19)+1)</f>
        <v>#N/A</v>
      </c>
      <c r="DL3738" t="str">
        <f>IFERROR(INDEX(Sheet2!$AU$2:$BM$228,QUOTIENT(ROW()-1,19)+1,MOD(ROW()-2,19)+1),NA())</f>
        <v/>
      </c>
      <c r="DM3738" s="4" t="e">
        <f t="shared" si="195"/>
        <v>#N/A</v>
      </c>
      <c r="DN3738" t="e">
        <f t="shared" si="196"/>
        <v>#N/A</v>
      </c>
      <c r="DO3738" t="e">
        <f t="shared" si="197"/>
        <v>#N/A</v>
      </c>
    </row>
    <row r="3739" spans="7:119" x14ac:dyDescent="0.25">
      <c r="G3739"/>
      <c r="DI3739" s="4">
        <f>INDEX(Sheet2!A:A,QUOTIENT(ROW()-1,19)+2)</f>
        <v>41717</v>
      </c>
      <c r="DJ3739" s="4">
        <f>INDEX(Sheet2!C:C,QUOTIENT(ROW()-1,19)+2)</f>
        <v>43100</v>
      </c>
      <c r="DK3739" s="4" t="e">
        <f>INDEX(Sheet2!$AA$2:$AS$228,QUOTIENT(ROW()-1,19)+1,MOD(ROW()-2,19)+1)</f>
        <v>#N/A</v>
      </c>
      <c r="DL3739" t="str">
        <f>IFERROR(INDEX(Sheet2!$AU$2:$BM$228,QUOTIENT(ROW()-1,19)+1,MOD(ROW()-2,19)+1),NA())</f>
        <v/>
      </c>
      <c r="DM3739" s="4" t="e">
        <f t="shared" si="195"/>
        <v>#N/A</v>
      </c>
      <c r="DN3739" t="e">
        <f t="shared" si="196"/>
        <v>#N/A</v>
      </c>
      <c r="DO3739" t="e">
        <f t="shared" si="197"/>
        <v>#N/A</v>
      </c>
    </row>
    <row r="3740" spans="7:119" x14ac:dyDescent="0.25">
      <c r="G3740"/>
      <c r="DI3740" s="4">
        <f>INDEX(Sheet2!A:A,QUOTIENT(ROW()-1,19)+2)</f>
        <v>41717</v>
      </c>
      <c r="DJ3740" s="4">
        <f>INDEX(Sheet2!C:C,QUOTIENT(ROW()-1,19)+2)</f>
        <v>43100</v>
      </c>
      <c r="DK3740" s="4" t="e">
        <f>INDEX(Sheet2!$AA$2:$AS$228,QUOTIENT(ROW()-1,19)+1,MOD(ROW()-2,19)+1)</f>
        <v>#N/A</v>
      </c>
      <c r="DL3740" t="str">
        <f>IFERROR(INDEX(Sheet2!$AU$2:$BM$228,QUOTIENT(ROW()-1,19)+1,MOD(ROW()-2,19)+1),NA())</f>
        <v/>
      </c>
      <c r="DM3740" s="4" t="e">
        <f t="shared" si="195"/>
        <v>#N/A</v>
      </c>
      <c r="DN3740" t="e">
        <f t="shared" si="196"/>
        <v>#N/A</v>
      </c>
      <c r="DO3740" t="e">
        <f t="shared" si="197"/>
        <v>#N/A</v>
      </c>
    </row>
    <row r="3741" spans="7:119" x14ac:dyDescent="0.25">
      <c r="G3741"/>
      <c r="DI3741" s="4">
        <f>INDEX(Sheet2!A:A,QUOTIENT(ROW()-1,19)+2)</f>
        <v>41717</v>
      </c>
      <c r="DJ3741" s="4">
        <f>INDEX(Sheet2!C:C,QUOTIENT(ROW()-1,19)+2)</f>
        <v>43100</v>
      </c>
      <c r="DK3741" s="4" t="e">
        <f>INDEX(Sheet2!$AA$2:$AS$228,QUOTIENT(ROW()-1,19)+1,MOD(ROW()-2,19)+1)</f>
        <v>#N/A</v>
      </c>
      <c r="DL3741" t="str">
        <f>IFERROR(INDEX(Sheet2!$AU$2:$BM$228,QUOTIENT(ROW()-1,19)+1,MOD(ROW()-2,19)+1),NA())</f>
        <v/>
      </c>
      <c r="DM3741" s="4" t="e">
        <f t="shared" si="195"/>
        <v>#N/A</v>
      </c>
      <c r="DN3741" t="e">
        <f t="shared" si="196"/>
        <v>#N/A</v>
      </c>
      <c r="DO3741" t="e">
        <f t="shared" si="197"/>
        <v>#N/A</v>
      </c>
    </row>
    <row r="3742" spans="7:119" x14ac:dyDescent="0.25">
      <c r="G3742"/>
      <c r="DI3742" s="4">
        <f>INDEX(Sheet2!A:A,QUOTIENT(ROW()-1,19)+2)</f>
        <v>41717</v>
      </c>
      <c r="DJ3742" s="4">
        <f>INDEX(Sheet2!C:C,QUOTIENT(ROW()-1,19)+2)</f>
        <v>43100</v>
      </c>
      <c r="DK3742" s="4" t="e">
        <f>INDEX(Sheet2!$AA$2:$AS$228,QUOTIENT(ROW()-1,19)+1,MOD(ROW()-2,19)+1)</f>
        <v>#N/A</v>
      </c>
      <c r="DL3742" t="str">
        <f>IFERROR(INDEX(Sheet2!$AU$2:$BM$228,QUOTIENT(ROW()-1,19)+1,MOD(ROW()-2,19)+1),NA())</f>
        <v/>
      </c>
      <c r="DM3742" s="4" t="e">
        <f t="shared" si="195"/>
        <v>#N/A</v>
      </c>
      <c r="DN3742" t="e">
        <f t="shared" si="196"/>
        <v>#N/A</v>
      </c>
      <c r="DO3742" t="e">
        <f t="shared" si="197"/>
        <v>#N/A</v>
      </c>
    </row>
    <row r="3743" spans="7:119" x14ac:dyDescent="0.25">
      <c r="G3743"/>
      <c r="DI3743" s="4">
        <f>INDEX(Sheet2!A:A,QUOTIENT(ROW()-1,19)+2)</f>
        <v>41717</v>
      </c>
      <c r="DJ3743" s="4">
        <f>INDEX(Sheet2!C:C,QUOTIENT(ROW()-1,19)+2)</f>
        <v>43100</v>
      </c>
      <c r="DK3743" s="4" t="e">
        <f>INDEX(Sheet2!$AA$2:$AS$228,QUOTIENT(ROW()-1,19)+1,MOD(ROW()-2,19)+1)</f>
        <v>#N/A</v>
      </c>
      <c r="DL3743" t="str">
        <f>IFERROR(INDEX(Sheet2!$AU$2:$BM$228,QUOTIENT(ROW()-1,19)+1,MOD(ROW()-2,19)+1),NA())</f>
        <v/>
      </c>
      <c r="DM3743" s="4" t="e">
        <f t="shared" si="195"/>
        <v>#N/A</v>
      </c>
      <c r="DN3743" t="e">
        <f t="shared" si="196"/>
        <v>#N/A</v>
      </c>
      <c r="DO3743" t="e">
        <f t="shared" si="197"/>
        <v>#N/A</v>
      </c>
    </row>
    <row r="3744" spans="7:119" x14ac:dyDescent="0.25">
      <c r="G3744"/>
      <c r="DI3744" s="4">
        <f>INDEX(Sheet2!A:A,QUOTIENT(ROW()-1,19)+2)</f>
        <v>41717</v>
      </c>
      <c r="DJ3744" s="4">
        <f>INDEX(Sheet2!C:C,QUOTIENT(ROW()-1,19)+2)</f>
        <v>43100</v>
      </c>
      <c r="DK3744" s="4" t="e">
        <f>INDEX(Sheet2!$AA$2:$AS$228,QUOTIENT(ROW()-1,19)+1,MOD(ROW()-2,19)+1)</f>
        <v>#N/A</v>
      </c>
      <c r="DL3744" t="str">
        <f>IFERROR(INDEX(Sheet2!$AU$2:$BM$228,QUOTIENT(ROW()-1,19)+1,MOD(ROW()-2,19)+1),NA())</f>
        <v/>
      </c>
      <c r="DM3744" s="4" t="e">
        <f t="shared" si="195"/>
        <v>#N/A</v>
      </c>
      <c r="DN3744" t="e">
        <f t="shared" si="196"/>
        <v>#N/A</v>
      </c>
      <c r="DO3744" t="e">
        <f t="shared" si="197"/>
        <v>#N/A</v>
      </c>
    </row>
    <row r="3745" spans="7:119" x14ac:dyDescent="0.25">
      <c r="G3745"/>
      <c r="DI3745" s="4">
        <f>INDEX(Sheet2!A:A,QUOTIENT(ROW()-1,19)+2)</f>
        <v>41717</v>
      </c>
      <c r="DJ3745" s="4">
        <f>INDEX(Sheet2!C:C,QUOTIENT(ROW()-1,19)+2)</f>
        <v>43100</v>
      </c>
      <c r="DK3745" s="4">
        <f>INDEX(Sheet2!$AA$2:$AS$228,QUOTIENT(ROW()-1,19)+1,MOD(ROW()-2,19)+1)</f>
        <v>43089.962500000001</v>
      </c>
      <c r="DL3745">
        <f>IFERROR(INDEX(Sheet2!$AU$2:$BM$228,QUOTIENT(ROW()-1,19)+1,MOD(ROW()-2,19)+1),NA())</f>
        <v>4.25</v>
      </c>
      <c r="DM3745" s="4" t="e">
        <f t="shared" si="195"/>
        <v>#N/A</v>
      </c>
      <c r="DN3745" t="e">
        <f t="shared" si="196"/>
        <v>#N/A</v>
      </c>
      <c r="DO3745" t="e">
        <f t="shared" si="197"/>
        <v>#N/A</v>
      </c>
    </row>
    <row r="3746" spans="7:119" x14ac:dyDescent="0.25">
      <c r="G3746"/>
      <c r="DI3746" s="4">
        <f>INDEX(Sheet2!A:A,QUOTIENT(ROW()-1,19)+2)</f>
        <v>41717</v>
      </c>
      <c r="DJ3746" s="4">
        <f>INDEX(Sheet2!C:C,QUOTIENT(ROW()-1,19)+2)</f>
        <v>43100</v>
      </c>
      <c r="DK3746" s="4">
        <f>INDEX(Sheet2!$AA$2:$AS$228,QUOTIENT(ROW()-1,19)+1,MOD(ROW()-2,19)+1)</f>
        <v>43110.037500000006</v>
      </c>
      <c r="DL3746">
        <f>IFERROR(INDEX(Sheet2!$AU$2:$BM$228,QUOTIENT(ROW()-1,19)+1,MOD(ROW()-2,19)+1),NA())</f>
        <v>4.25</v>
      </c>
      <c r="DM3746" s="4" t="e">
        <f t="shared" si="195"/>
        <v>#N/A</v>
      </c>
      <c r="DN3746" t="e">
        <f t="shared" si="196"/>
        <v>#N/A</v>
      </c>
      <c r="DO3746" t="e">
        <f t="shared" si="197"/>
        <v>#N/A</v>
      </c>
    </row>
    <row r="3747" spans="7:119" x14ac:dyDescent="0.25">
      <c r="G3747"/>
      <c r="DI3747" s="4">
        <f>INDEX(Sheet2!A:A,QUOTIENT(ROW()-1,19)+2)</f>
        <v>41717</v>
      </c>
      <c r="DJ3747" s="4">
        <f>INDEX(Sheet2!C:C,QUOTIENT(ROW()-1,19)+2)</f>
        <v>43100</v>
      </c>
      <c r="DK3747" s="4" t="e">
        <f>INDEX(Sheet2!$AA$2:$AS$228,QUOTIENT(ROW()-1,19)+1,MOD(ROW()-2,19)+1)</f>
        <v>#N/A</v>
      </c>
      <c r="DL3747" t="str">
        <f>IFERROR(INDEX(Sheet2!$AU$2:$BM$228,QUOTIENT(ROW()-1,19)+1,MOD(ROW()-2,19)+1),NA())</f>
        <v/>
      </c>
      <c r="DM3747" s="4" t="e">
        <f t="shared" si="195"/>
        <v>#N/A</v>
      </c>
      <c r="DN3747" t="e">
        <f t="shared" si="196"/>
        <v>#N/A</v>
      </c>
      <c r="DO3747" t="e">
        <f t="shared" si="197"/>
        <v>#N/A</v>
      </c>
    </row>
    <row r="3748" spans="7:119" x14ac:dyDescent="0.25">
      <c r="G3748"/>
      <c r="DI3748" s="4">
        <f>INDEX(Sheet2!A:A,QUOTIENT(ROW()-1,19)+2)</f>
        <v>41717</v>
      </c>
      <c r="DJ3748" s="4">
        <f>INDEX(Sheet2!C:C,QUOTIENT(ROW()-1,19)+2)</f>
        <v>43100</v>
      </c>
      <c r="DK3748" s="4" t="e">
        <f>INDEX(Sheet2!$AA$2:$AS$228,QUOTIENT(ROW()-1,19)+1,MOD(ROW()-2,19)+1)</f>
        <v>#N/A</v>
      </c>
      <c r="DL3748" t="str">
        <f>IFERROR(INDEX(Sheet2!$AU$2:$BM$228,QUOTIENT(ROW()-1,19)+1,MOD(ROW()-2,19)+1),NA())</f>
        <v/>
      </c>
      <c r="DM3748" s="4" t="e">
        <f t="shared" si="195"/>
        <v>#N/A</v>
      </c>
      <c r="DN3748" t="e">
        <f t="shared" si="196"/>
        <v>#N/A</v>
      </c>
      <c r="DO3748" t="e">
        <f t="shared" si="197"/>
        <v>#N/A</v>
      </c>
    </row>
    <row r="3749" spans="7:119" x14ac:dyDescent="0.25">
      <c r="G3749"/>
      <c r="DI3749" s="4">
        <f>INDEX(Sheet2!A:A,QUOTIENT(ROW()-1,19)+2)</f>
        <v>41717</v>
      </c>
      <c r="DJ3749" s="4">
        <f>INDEX(Sheet2!C:C,QUOTIENT(ROW()-1,19)+2)</f>
        <v>43100</v>
      </c>
      <c r="DK3749" s="4" t="e">
        <f>INDEX(Sheet2!$AA$2:$AS$228,QUOTIENT(ROW()-1,19)+1,MOD(ROW()-2,19)+1)</f>
        <v>#N/A</v>
      </c>
      <c r="DL3749" t="str">
        <f>IFERROR(INDEX(Sheet2!$AU$2:$BM$228,QUOTIENT(ROW()-1,19)+1,MOD(ROW()-2,19)+1),NA())</f>
        <v/>
      </c>
      <c r="DM3749" s="4" t="e">
        <f t="shared" si="195"/>
        <v>#N/A</v>
      </c>
      <c r="DN3749" t="e">
        <f t="shared" si="196"/>
        <v>#N/A</v>
      </c>
      <c r="DO3749" t="e">
        <f t="shared" si="197"/>
        <v>#N/A</v>
      </c>
    </row>
    <row r="3750" spans="7:119" x14ac:dyDescent="0.25">
      <c r="G3750"/>
      <c r="DI3750" s="4">
        <f>INDEX(Sheet2!A:A,QUOTIENT(ROW()-1,19)+2)</f>
        <v>41717</v>
      </c>
      <c r="DJ3750" s="4">
        <f>INDEX(Sheet2!C:C,QUOTIENT(ROW()-1,19)+2)</f>
        <v>43100</v>
      </c>
      <c r="DK3750" s="4" t="e">
        <f>INDEX(Sheet2!$AA$2:$AS$228,QUOTIENT(ROW()-1,19)+1,MOD(ROW()-2,19)+1)</f>
        <v>#N/A</v>
      </c>
      <c r="DL3750" t="str">
        <f>IFERROR(INDEX(Sheet2!$AU$2:$BM$228,QUOTIENT(ROW()-1,19)+1,MOD(ROW()-2,19)+1),NA())</f>
        <v/>
      </c>
      <c r="DM3750" s="4" t="e">
        <f t="shared" si="195"/>
        <v>#N/A</v>
      </c>
      <c r="DN3750" t="e">
        <f t="shared" si="196"/>
        <v>#N/A</v>
      </c>
      <c r="DO3750" t="e">
        <f t="shared" si="197"/>
        <v>#N/A</v>
      </c>
    </row>
    <row r="3751" spans="7:119" x14ac:dyDescent="0.25">
      <c r="G3751"/>
      <c r="DI3751" s="4">
        <f>INDEX(Sheet2!A:A,QUOTIENT(ROW()-1,19)+2)</f>
        <v>41717</v>
      </c>
      <c r="DJ3751" s="4">
        <f>INDEX(Sheet2!C:C,QUOTIENT(ROW()-1,19)+2)</f>
        <v>43100</v>
      </c>
      <c r="DK3751" s="4" t="e">
        <f>INDEX(Sheet2!$AA$2:$AS$228,QUOTIENT(ROW()-1,19)+1,MOD(ROW()-2,19)+1)</f>
        <v>#N/A</v>
      </c>
      <c r="DL3751" t="str">
        <f>IFERROR(INDEX(Sheet2!$AU$2:$BM$228,QUOTIENT(ROW()-1,19)+1,MOD(ROW()-2,19)+1),NA())</f>
        <v/>
      </c>
      <c r="DM3751" s="4" t="e">
        <f t="shared" si="195"/>
        <v>#N/A</v>
      </c>
      <c r="DN3751" t="e">
        <f t="shared" si="196"/>
        <v>#N/A</v>
      </c>
      <c r="DO3751" t="e">
        <f t="shared" si="197"/>
        <v>#N/A</v>
      </c>
    </row>
    <row r="3752" spans="7:119" x14ac:dyDescent="0.25">
      <c r="G3752"/>
      <c r="DI3752" s="4">
        <f>INDEX(Sheet2!A:A,QUOTIENT(ROW()-1,19)+2)</f>
        <v>41717</v>
      </c>
      <c r="DJ3752" s="4">
        <f>INDEX(Sheet2!C:C,QUOTIENT(ROW()-1,19)+2)</f>
        <v>43100</v>
      </c>
      <c r="DK3752" s="4" t="e">
        <f>INDEX(Sheet2!$AA$2:$AS$228,QUOTIENT(ROW()-1,19)+1,MOD(ROW()-2,19)+1)</f>
        <v>#N/A</v>
      </c>
      <c r="DL3752" t="str">
        <f>IFERROR(INDEX(Sheet2!$AU$2:$BM$228,QUOTIENT(ROW()-1,19)+1,MOD(ROW()-2,19)+1),NA())</f>
        <v/>
      </c>
      <c r="DM3752" s="4" t="e">
        <f t="shared" si="195"/>
        <v>#N/A</v>
      </c>
      <c r="DN3752" t="e">
        <f t="shared" si="196"/>
        <v>#N/A</v>
      </c>
      <c r="DO3752" t="e">
        <f t="shared" si="197"/>
        <v>#N/A</v>
      </c>
    </row>
    <row r="3753" spans="7:119" x14ac:dyDescent="0.25">
      <c r="G3753"/>
      <c r="DI3753" s="4">
        <f>INDEX(Sheet2!A:A,QUOTIENT(ROW()-1,19)+2)</f>
        <v>41717</v>
      </c>
      <c r="DJ3753" s="4">
        <f>INDEX(Sheet2!C:C,QUOTIENT(ROW()-1,19)+2)</f>
        <v>43100</v>
      </c>
      <c r="DK3753" s="4" t="e">
        <f>INDEX(Sheet2!$AA$2:$AS$228,QUOTIENT(ROW()-1,19)+1,MOD(ROW()-2,19)+1)</f>
        <v>#N/A</v>
      </c>
      <c r="DL3753" t="str">
        <f>IFERROR(INDEX(Sheet2!$AU$2:$BM$228,QUOTIENT(ROW()-1,19)+1,MOD(ROW()-2,19)+1),NA())</f>
        <v/>
      </c>
      <c r="DM3753" s="4" t="e">
        <f t="shared" si="195"/>
        <v>#N/A</v>
      </c>
      <c r="DN3753" t="e">
        <f t="shared" si="196"/>
        <v>#N/A</v>
      </c>
      <c r="DO3753" t="e">
        <f t="shared" si="197"/>
        <v>#N/A</v>
      </c>
    </row>
    <row r="3754" spans="7:119" x14ac:dyDescent="0.25">
      <c r="G3754"/>
      <c r="DI3754" s="4">
        <f>INDEX(Sheet2!A:A,QUOTIENT(ROW()-1,19)+2)</f>
        <v>41717</v>
      </c>
      <c r="DJ3754" s="4">
        <f>INDEX(Sheet2!C:C,QUOTIENT(ROW()-1,19)+2)</f>
        <v>43100</v>
      </c>
      <c r="DK3754" s="4" t="e">
        <f>INDEX(Sheet2!$AA$2:$AS$228,QUOTIENT(ROW()-1,19)+1,MOD(ROW()-2,19)+1)</f>
        <v>#N/A</v>
      </c>
      <c r="DL3754" t="str">
        <f>IFERROR(INDEX(Sheet2!$AU$2:$BM$228,QUOTIENT(ROW()-1,19)+1,MOD(ROW()-2,19)+1),NA())</f>
        <v/>
      </c>
      <c r="DM3754" s="4" t="e">
        <f t="shared" si="195"/>
        <v>#N/A</v>
      </c>
      <c r="DN3754" t="e">
        <f t="shared" si="196"/>
        <v>#N/A</v>
      </c>
      <c r="DO3754" t="e">
        <f t="shared" si="197"/>
        <v>#N/A</v>
      </c>
    </row>
    <row r="3755" spans="7:119" x14ac:dyDescent="0.25">
      <c r="G3755"/>
      <c r="DI3755" s="4">
        <f>INDEX(Sheet2!A:A,QUOTIENT(ROW()-1,19)+2)</f>
        <v>41717</v>
      </c>
      <c r="DJ3755" s="4">
        <f>INDEX(Sheet2!C:C,QUOTIENT(ROW()-1,19)+2)</f>
        <v>43100</v>
      </c>
      <c r="DK3755" s="4" t="e">
        <f>INDEX(Sheet2!$AA$2:$AS$228,QUOTIENT(ROW()-1,19)+1,MOD(ROW()-2,19)+1)</f>
        <v>#N/A</v>
      </c>
      <c r="DL3755" t="str">
        <f>IFERROR(INDEX(Sheet2!$AU$2:$BM$228,QUOTIENT(ROW()-1,19)+1,MOD(ROW()-2,19)+1),NA())</f>
        <v/>
      </c>
      <c r="DM3755" s="4" t="e">
        <f t="shared" si="195"/>
        <v>#N/A</v>
      </c>
      <c r="DN3755" t="e">
        <f t="shared" si="196"/>
        <v>#N/A</v>
      </c>
      <c r="DO3755" t="e">
        <f t="shared" si="197"/>
        <v>#N/A</v>
      </c>
    </row>
    <row r="3756" spans="7:119" x14ac:dyDescent="0.25">
      <c r="G3756"/>
      <c r="DI3756" s="4">
        <f>INDEX(Sheet2!A:A,QUOTIENT(ROW()-1,19)+2)</f>
        <v>41717</v>
      </c>
      <c r="DJ3756" s="4">
        <f>INDEX(Sheet2!C:C,QUOTIENT(ROW()-1,19)+2)</f>
        <v>43100</v>
      </c>
      <c r="DK3756" s="4" t="e">
        <f>INDEX(Sheet2!$AA$2:$AS$228,QUOTIENT(ROW()-1,19)+1,MOD(ROW()-2,19)+1)</f>
        <v>#N/A</v>
      </c>
      <c r="DL3756" t="str">
        <f>IFERROR(INDEX(Sheet2!$AU$2:$BM$228,QUOTIENT(ROW()-1,19)+1,MOD(ROW()-2,19)+1),NA())</f>
        <v/>
      </c>
      <c r="DM3756" s="4" t="e">
        <f t="shared" si="195"/>
        <v>#N/A</v>
      </c>
      <c r="DN3756" t="e">
        <f t="shared" si="196"/>
        <v>#N/A</v>
      </c>
      <c r="DO3756" t="e">
        <f t="shared" si="197"/>
        <v>#N/A</v>
      </c>
    </row>
    <row r="3757" spans="7:119" x14ac:dyDescent="0.25">
      <c r="G3757"/>
      <c r="DI3757" s="4">
        <f>INDEX(Sheet2!A:A,QUOTIENT(ROW()-1,19)+2)</f>
        <v>41717</v>
      </c>
      <c r="DJ3757" s="4">
        <f>INDEX(Sheet2!C:C,QUOTIENT(ROW()-1,19)+2)</f>
        <v>43100</v>
      </c>
      <c r="DK3757" s="4" t="e">
        <f>INDEX(Sheet2!$AA$2:$AS$228,QUOTIENT(ROW()-1,19)+1,MOD(ROW()-2,19)+1)</f>
        <v>#N/A</v>
      </c>
      <c r="DL3757" t="str">
        <f>IFERROR(INDEX(Sheet2!$AU$2:$BM$228,QUOTIENT(ROW()-1,19)+1,MOD(ROW()-2,19)+1),NA())</f>
        <v/>
      </c>
      <c r="DM3757" s="4" t="e">
        <f t="shared" si="195"/>
        <v>#N/A</v>
      </c>
      <c r="DN3757" t="e">
        <f t="shared" si="196"/>
        <v>#N/A</v>
      </c>
      <c r="DO3757" t="e">
        <f t="shared" si="197"/>
        <v>#N/A</v>
      </c>
    </row>
    <row r="3758" spans="7:119" x14ac:dyDescent="0.25">
      <c r="G3758"/>
      <c r="DI3758" s="4">
        <f>INDEX(Sheet2!A:A,QUOTIENT(ROW()-1,19)+2)</f>
        <v>41717</v>
      </c>
      <c r="DJ3758" s="4">
        <f>INDEX(Sheet2!C:C,QUOTIENT(ROW()-1,19)+2)</f>
        <v>43100</v>
      </c>
      <c r="DK3758" s="4" t="e">
        <f>INDEX(Sheet2!$AA$2:$AS$228,QUOTIENT(ROW()-1,19)+1,MOD(ROW()-2,19)+1)</f>
        <v>#N/A</v>
      </c>
      <c r="DL3758" t="str">
        <f>IFERROR(INDEX(Sheet2!$AU$2:$BM$228,QUOTIENT(ROW()-1,19)+1,MOD(ROW()-2,19)+1),NA())</f>
        <v/>
      </c>
      <c r="DM3758" s="4" t="e">
        <f t="shared" si="195"/>
        <v>#N/A</v>
      </c>
      <c r="DN3758" t="e">
        <f t="shared" si="196"/>
        <v>#N/A</v>
      </c>
      <c r="DO3758" t="e">
        <f t="shared" si="197"/>
        <v>#N/A</v>
      </c>
    </row>
    <row r="3759" spans="7:119" x14ac:dyDescent="0.25">
      <c r="G3759"/>
      <c r="DI3759" s="4">
        <f>INDEX(Sheet2!A:A,QUOTIENT(ROW()-1,19)+2)</f>
        <v>41717</v>
      </c>
      <c r="DJ3759" s="4">
        <f>INDEX(Sheet2!C:C,QUOTIENT(ROW()-1,19)+2)</f>
        <v>43100</v>
      </c>
      <c r="DK3759" s="4" t="e">
        <f>INDEX(Sheet2!$AA$2:$AS$228,QUOTIENT(ROW()-1,19)+1,MOD(ROW()-2,19)+1)</f>
        <v>#N/A</v>
      </c>
      <c r="DL3759" t="str">
        <f>IFERROR(INDEX(Sheet2!$AU$2:$BM$228,QUOTIENT(ROW()-1,19)+1,MOD(ROW()-2,19)+1),NA())</f>
        <v/>
      </c>
      <c r="DM3759" s="4" t="e">
        <f t="shared" si="195"/>
        <v>#N/A</v>
      </c>
      <c r="DN3759" t="e">
        <f t="shared" si="196"/>
        <v>#N/A</v>
      </c>
      <c r="DO3759" t="e">
        <f t="shared" si="197"/>
        <v>#N/A</v>
      </c>
    </row>
    <row r="3760" spans="7:119" x14ac:dyDescent="0.25">
      <c r="G3760"/>
      <c r="DI3760" s="4">
        <f>INDEX(Sheet2!A:A,QUOTIENT(ROW()-1,19)+2)</f>
        <v>41717</v>
      </c>
      <c r="DJ3760" s="4">
        <f>INDEX(Sheet2!C:C,QUOTIENT(ROW()-1,19)+2)</f>
        <v>43100</v>
      </c>
      <c r="DK3760" s="4" t="e">
        <f>INDEX(Sheet2!$AA$2:$AS$228,QUOTIENT(ROW()-1,19)+1,MOD(ROW()-2,19)+1)</f>
        <v>#N/A</v>
      </c>
      <c r="DL3760" t="str">
        <f>IFERROR(INDEX(Sheet2!$AU$2:$BM$228,QUOTIENT(ROW()-1,19)+1,MOD(ROW()-2,19)+1),NA())</f>
        <v/>
      </c>
      <c r="DM3760" s="4" t="e">
        <f t="shared" si="195"/>
        <v>#N/A</v>
      </c>
      <c r="DN3760" t="e">
        <f t="shared" si="196"/>
        <v>#N/A</v>
      </c>
      <c r="DO3760" t="e">
        <f t="shared" si="197"/>
        <v>#N/A</v>
      </c>
    </row>
    <row r="3761" spans="7:119" x14ac:dyDescent="0.25">
      <c r="G3761"/>
      <c r="DI3761" s="4">
        <f>INDEX(Sheet2!A:A,QUOTIENT(ROW()-1,19)+2)</f>
        <v>41717</v>
      </c>
      <c r="DJ3761" s="4">
        <f>INDEX(Sheet2!C:C,QUOTIENT(ROW()-1,19)+2)</f>
        <v>43100</v>
      </c>
      <c r="DK3761" s="4" t="e">
        <f>INDEX(Sheet2!$AA$2:$AS$228,QUOTIENT(ROW()-1,19)+1,MOD(ROW()-2,19)+1)</f>
        <v>#N/A</v>
      </c>
      <c r="DL3761" t="str">
        <f>IFERROR(INDEX(Sheet2!$AU$2:$BM$228,QUOTIENT(ROW()-1,19)+1,MOD(ROW()-2,19)+1),NA())</f>
        <v/>
      </c>
      <c r="DM3761" s="4" t="e">
        <f t="shared" si="195"/>
        <v>#N/A</v>
      </c>
      <c r="DN3761" t="e">
        <f t="shared" si="196"/>
        <v>#N/A</v>
      </c>
      <c r="DO3761" t="e">
        <f t="shared" si="197"/>
        <v>#N/A</v>
      </c>
    </row>
    <row r="3762" spans="7:119" x14ac:dyDescent="0.25">
      <c r="G3762"/>
      <c r="DI3762" s="4">
        <f>INDEX(Sheet2!A:A,QUOTIENT(ROW()-1,19)+2)</f>
        <v>41717</v>
      </c>
      <c r="DJ3762" s="4">
        <f>INDEX(Sheet2!C:C,QUOTIENT(ROW()-1,19)+2)</f>
        <v>43100</v>
      </c>
      <c r="DK3762" s="4" t="e">
        <f>INDEX(Sheet2!$AA$2:$AS$228,QUOTIENT(ROW()-1,19)+1,MOD(ROW()-2,19)+1)</f>
        <v>#N/A</v>
      </c>
      <c r="DL3762" t="str">
        <f>IFERROR(INDEX(Sheet2!$AU$2:$BM$228,QUOTIENT(ROW()-1,19)+1,MOD(ROW()-2,19)+1),NA())</f>
        <v/>
      </c>
      <c r="DM3762" s="4" t="e">
        <f t="shared" si="195"/>
        <v>#N/A</v>
      </c>
      <c r="DN3762" t="e">
        <f t="shared" si="196"/>
        <v>#N/A</v>
      </c>
      <c r="DO3762" t="e">
        <f t="shared" si="197"/>
        <v>#N/A</v>
      </c>
    </row>
    <row r="3763" spans="7:119" x14ac:dyDescent="0.25">
      <c r="G3763"/>
      <c r="DI3763" s="4">
        <f>INDEX(Sheet2!A:A,QUOTIENT(ROW()-1,19)+2)</f>
        <v>41808</v>
      </c>
      <c r="DJ3763" s="4">
        <f>INDEX(Sheet2!C:C,QUOTIENT(ROW()-1,19)+2)</f>
        <v>42004</v>
      </c>
      <c r="DK3763" s="4" t="e">
        <f>INDEX(Sheet2!$AA$2:$AS$228,QUOTIENT(ROW()-1,19)+1,MOD(ROW()-2,19)+1)</f>
        <v>#N/A</v>
      </c>
      <c r="DL3763" t="str">
        <f>IFERROR(INDEX(Sheet2!$AU$2:$BM$228,QUOTIENT(ROW()-1,19)+1,MOD(ROW()-2,19)+1),NA())</f>
        <v/>
      </c>
      <c r="DM3763" s="4" t="e">
        <f t="shared" si="195"/>
        <v>#N/A</v>
      </c>
      <c r="DN3763" t="str">
        <f t="shared" si="196"/>
        <v/>
      </c>
      <c r="DO3763" t="e">
        <f t="shared" si="197"/>
        <v>#N/A</v>
      </c>
    </row>
    <row r="3764" spans="7:119" x14ac:dyDescent="0.25">
      <c r="G3764"/>
      <c r="DI3764" s="4">
        <f>INDEX(Sheet2!A:A,QUOTIENT(ROW()-1,19)+2)</f>
        <v>41808</v>
      </c>
      <c r="DJ3764" s="4">
        <f>INDEX(Sheet2!C:C,QUOTIENT(ROW()-1,19)+2)</f>
        <v>42004</v>
      </c>
      <c r="DK3764" s="4">
        <f>INDEX(Sheet2!$AA$2:$AS$228,QUOTIENT(ROW()-1,19)+1,MOD(ROW()-2,19)+1)</f>
        <v>41863.474999999999</v>
      </c>
      <c r="DL3764">
        <f>IFERROR(INDEX(Sheet2!$AU$2:$BM$228,QUOTIENT(ROW()-1,19)+1,MOD(ROW()-2,19)+1),NA())</f>
        <v>0.25</v>
      </c>
      <c r="DM3764" s="4">
        <f t="shared" si="195"/>
        <v>41863.474999999999</v>
      </c>
      <c r="DN3764">
        <f t="shared" si="196"/>
        <v>0.25</v>
      </c>
      <c r="DO3764">
        <f t="shared" si="197"/>
        <v>0.25</v>
      </c>
    </row>
    <row r="3765" spans="7:119" x14ac:dyDescent="0.25">
      <c r="G3765"/>
      <c r="DI3765" s="4">
        <f>INDEX(Sheet2!A:A,QUOTIENT(ROW()-1,19)+2)</f>
        <v>41808</v>
      </c>
      <c r="DJ3765" s="4">
        <f>INDEX(Sheet2!C:C,QUOTIENT(ROW()-1,19)+2)</f>
        <v>42004</v>
      </c>
      <c r="DK3765" s="4">
        <f>INDEX(Sheet2!$AA$2:$AS$228,QUOTIENT(ROW()-1,19)+1,MOD(ROW()-2,19)+1)</f>
        <v>41883.550000000003</v>
      </c>
      <c r="DL3765">
        <f>IFERROR(INDEX(Sheet2!$AU$2:$BM$228,QUOTIENT(ROW()-1,19)+1,MOD(ROW()-2,19)+1),NA())</f>
        <v>0.25</v>
      </c>
      <c r="DM3765" s="4">
        <f t="shared" si="195"/>
        <v>41883.550000000003</v>
      </c>
      <c r="DN3765">
        <f t="shared" si="196"/>
        <v>0.25</v>
      </c>
      <c r="DO3765">
        <f t="shared" si="197"/>
        <v>0.25</v>
      </c>
    </row>
    <row r="3766" spans="7:119" x14ac:dyDescent="0.25">
      <c r="G3766"/>
      <c r="DI3766" s="4">
        <f>INDEX(Sheet2!A:A,QUOTIENT(ROW()-1,19)+2)</f>
        <v>41808</v>
      </c>
      <c r="DJ3766" s="4">
        <f>INDEX(Sheet2!C:C,QUOTIENT(ROW()-1,19)+2)</f>
        <v>42004</v>
      </c>
      <c r="DK3766" s="4">
        <f>INDEX(Sheet2!$AA$2:$AS$228,QUOTIENT(ROW()-1,19)+1,MOD(ROW()-2,19)+1)</f>
        <v>41903.625</v>
      </c>
      <c r="DL3766">
        <f>IFERROR(INDEX(Sheet2!$AU$2:$BM$228,QUOTIENT(ROW()-1,19)+1,MOD(ROW()-2,19)+1),NA())</f>
        <v>0.25</v>
      </c>
      <c r="DM3766" s="4">
        <f t="shared" si="195"/>
        <v>41903.625</v>
      </c>
      <c r="DN3766">
        <f t="shared" si="196"/>
        <v>0.25</v>
      </c>
      <c r="DO3766">
        <f t="shared" si="197"/>
        <v>0.25</v>
      </c>
    </row>
    <row r="3767" spans="7:119" x14ac:dyDescent="0.25">
      <c r="G3767"/>
      <c r="DI3767" s="4">
        <f>INDEX(Sheet2!A:A,QUOTIENT(ROW()-1,19)+2)</f>
        <v>41808</v>
      </c>
      <c r="DJ3767" s="4">
        <f>INDEX(Sheet2!C:C,QUOTIENT(ROW()-1,19)+2)</f>
        <v>42004</v>
      </c>
      <c r="DK3767" s="4">
        <f>INDEX(Sheet2!$AA$2:$AS$228,QUOTIENT(ROW()-1,19)+1,MOD(ROW()-2,19)+1)</f>
        <v>41923.700000000004</v>
      </c>
      <c r="DL3767">
        <f>IFERROR(INDEX(Sheet2!$AU$2:$BM$228,QUOTIENT(ROW()-1,19)+1,MOD(ROW()-2,19)+1),NA())</f>
        <v>0.25</v>
      </c>
      <c r="DM3767" s="4">
        <f t="shared" si="195"/>
        <v>41923.700000000004</v>
      </c>
      <c r="DN3767">
        <f t="shared" si="196"/>
        <v>0.25</v>
      </c>
      <c r="DO3767">
        <f t="shared" si="197"/>
        <v>0.25</v>
      </c>
    </row>
    <row r="3768" spans="7:119" x14ac:dyDescent="0.25">
      <c r="G3768"/>
      <c r="DI3768" s="4">
        <f>INDEX(Sheet2!A:A,QUOTIENT(ROW()-1,19)+2)</f>
        <v>41808</v>
      </c>
      <c r="DJ3768" s="4">
        <f>INDEX(Sheet2!C:C,QUOTIENT(ROW()-1,19)+2)</f>
        <v>42004</v>
      </c>
      <c r="DK3768" s="4">
        <f>INDEX(Sheet2!$AA$2:$AS$228,QUOTIENT(ROW()-1,19)+1,MOD(ROW()-2,19)+1)</f>
        <v>41943.775000000001</v>
      </c>
      <c r="DL3768">
        <f>IFERROR(INDEX(Sheet2!$AU$2:$BM$228,QUOTIENT(ROW()-1,19)+1,MOD(ROW()-2,19)+1),NA())</f>
        <v>0.25</v>
      </c>
      <c r="DM3768" s="4">
        <f t="shared" si="195"/>
        <v>41943.775000000001</v>
      </c>
      <c r="DN3768">
        <f t="shared" si="196"/>
        <v>0.25</v>
      </c>
      <c r="DO3768">
        <f t="shared" si="197"/>
        <v>0.25</v>
      </c>
    </row>
    <row r="3769" spans="7:119" x14ac:dyDescent="0.25">
      <c r="G3769"/>
      <c r="DI3769" s="4">
        <f>INDEX(Sheet2!A:A,QUOTIENT(ROW()-1,19)+2)</f>
        <v>41808</v>
      </c>
      <c r="DJ3769" s="4">
        <f>INDEX(Sheet2!C:C,QUOTIENT(ROW()-1,19)+2)</f>
        <v>42004</v>
      </c>
      <c r="DK3769" s="4">
        <f>INDEX(Sheet2!$AA$2:$AS$228,QUOTIENT(ROW()-1,19)+1,MOD(ROW()-2,19)+1)</f>
        <v>41963.85</v>
      </c>
      <c r="DL3769">
        <f>IFERROR(INDEX(Sheet2!$AU$2:$BM$228,QUOTIENT(ROW()-1,19)+1,MOD(ROW()-2,19)+1),NA())</f>
        <v>0.25</v>
      </c>
      <c r="DM3769" s="4">
        <f t="shared" si="195"/>
        <v>41963.85</v>
      </c>
      <c r="DN3769">
        <f t="shared" si="196"/>
        <v>0.25</v>
      </c>
      <c r="DO3769">
        <f t="shared" si="197"/>
        <v>0.25</v>
      </c>
    </row>
    <row r="3770" spans="7:119" x14ac:dyDescent="0.25">
      <c r="G3770"/>
      <c r="DI3770" s="4">
        <f>INDEX(Sheet2!A:A,QUOTIENT(ROW()-1,19)+2)</f>
        <v>41808</v>
      </c>
      <c r="DJ3770" s="4">
        <f>INDEX(Sheet2!C:C,QUOTIENT(ROW()-1,19)+2)</f>
        <v>42004</v>
      </c>
      <c r="DK3770" s="4">
        <f>INDEX(Sheet2!$AA$2:$AS$228,QUOTIENT(ROW()-1,19)+1,MOD(ROW()-2,19)+1)</f>
        <v>41983.925000000003</v>
      </c>
      <c r="DL3770">
        <f>IFERROR(INDEX(Sheet2!$AU$2:$BM$228,QUOTIENT(ROW()-1,19)+1,MOD(ROW()-2,19)+1),NA())</f>
        <v>0.25</v>
      </c>
      <c r="DM3770" s="4">
        <f t="shared" si="195"/>
        <v>41983.925000000003</v>
      </c>
      <c r="DN3770">
        <f t="shared" si="196"/>
        <v>0.25</v>
      </c>
      <c r="DO3770">
        <f t="shared" si="197"/>
        <v>0.25</v>
      </c>
    </row>
    <row r="3771" spans="7:119" x14ac:dyDescent="0.25">
      <c r="G3771"/>
      <c r="DI3771" s="4">
        <f>INDEX(Sheet2!A:A,QUOTIENT(ROW()-1,19)+2)</f>
        <v>41808</v>
      </c>
      <c r="DJ3771" s="4">
        <f>INDEX(Sheet2!C:C,QUOTIENT(ROW()-1,19)+2)</f>
        <v>42004</v>
      </c>
      <c r="DK3771" s="4">
        <f>INDEX(Sheet2!$AA$2:$AS$228,QUOTIENT(ROW()-1,19)+1,MOD(ROW()-2,19)+1)</f>
        <v>42004</v>
      </c>
      <c r="DL3771">
        <f>IFERROR(INDEX(Sheet2!$AU$2:$BM$228,QUOTIENT(ROW()-1,19)+1,MOD(ROW()-2,19)+1),NA())</f>
        <v>0.25</v>
      </c>
      <c r="DM3771" s="4">
        <f t="shared" si="195"/>
        <v>42004</v>
      </c>
      <c r="DN3771">
        <f t="shared" si="196"/>
        <v>0.25</v>
      </c>
      <c r="DO3771">
        <f t="shared" si="197"/>
        <v>0.25</v>
      </c>
    </row>
    <row r="3772" spans="7:119" x14ac:dyDescent="0.25">
      <c r="G3772"/>
      <c r="DI3772" s="4">
        <f>INDEX(Sheet2!A:A,QUOTIENT(ROW()-1,19)+2)</f>
        <v>41808</v>
      </c>
      <c r="DJ3772" s="4">
        <f>INDEX(Sheet2!C:C,QUOTIENT(ROW()-1,19)+2)</f>
        <v>42004</v>
      </c>
      <c r="DK3772" s="4">
        <f>INDEX(Sheet2!$AA$2:$AS$228,QUOTIENT(ROW()-1,19)+1,MOD(ROW()-2,19)+1)</f>
        <v>42024.075000000004</v>
      </c>
      <c r="DL3772">
        <f>IFERROR(INDEX(Sheet2!$AU$2:$BM$228,QUOTIENT(ROW()-1,19)+1,MOD(ROW()-2,19)+1),NA())</f>
        <v>0.25</v>
      </c>
      <c r="DM3772" s="4">
        <f t="shared" si="195"/>
        <v>42024.075000000004</v>
      </c>
      <c r="DN3772">
        <f t="shared" si="196"/>
        <v>0.25</v>
      </c>
      <c r="DO3772">
        <f t="shared" si="197"/>
        <v>0.25</v>
      </c>
    </row>
    <row r="3773" spans="7:119" x14ac:dyDescent="0.25">
      <c r="G3773"/>
      <c r="DI3773" s="4">
        <f>INDEX(Sheet2!A:A,QUOTIENT(ROW()-1,19)+2)</f>
        <v>41808</v>
      </c>
      <c r="DJ3773" s="4">
        <f>INDEX(Sheet2!C:C,QUOTIENT(ROW()-1,19)+2)</f>
        <v>42004</v>
      </c>
      <c r="DK3773" s="4">
        <f>INDEX(Sheet2!$AA$2:$AS$228,QUOTIENT(ROW()-1,19)+1,MOD(ROW()-2,19)+1)</f>
        <v>42044.15</v>
      </c>
      <c r="DL3773">
        <f>IFERROR(INDEX(Sheet2!$AU$2:$BM$228,QUOTIENT(ROW()-1,19)+1,MOD(ROW()-2,19)+1),NA())</f>
        <v>0.25</v>
      </c>
      <c r="DM3773" s="4">
        <f t="shared" si="195"/>
        <v>42044.15</v>
      </c>
      <c r="DN3773">
        <f t="shared" si="196"/>
        <v>0.25</v>
      </c>
      <c r="DO3773">
        <f t="shared" si="197"/>
        <v>0.25</v>
      </c>
    </row>
    <row r="3774" spans="7:119" x14ac:dyDescent="0.25">
      <c r="G3774"/>
      <c r="DI3774" s="4">
        <f>INDEX(Sheet2!A:A,QUOTIENT(ROW()-1,19)+2)</f>
        <v>41808</v>
      </c>
      <c r="DJ3774" s="4">
        <f>INDEX(Sheet2!C:C,QUOTIENT(ROW()-1,19)+2)</f>
        <v>42004</v>
      </c>
      <c r="DK3774" s="4">
        <f>INDEX(Sheet2!$AA$2:$AS$228,QUOTIENT(ROW()-1,19)+1,MOD(ROW()-2,19)+1)</f>
        <v>42064.224999999999</v>
      </c>
      <c r="DL3774">
        <f>IFERROR(INDEX(Sheet2!$AU$2:$BM$228,QUOTIENT(ROW()-1,19)+1,MOD(ROW()-2,19)+1),NA())</f>
        <v>0.25</v>
      </c>
      <c r="DM3774" s="4">
        <f t="shared" si="195"/>
        <v>42064.224999999999</v>
      </c>
      <c r="DN3774">
        <f t="shared" si="196"/>
        <v>0.25</v>
      </c>
      <c r="DO3774">
        <f t="shared" si="197"/>
        <v>0.25</v>
      </c>
    </row>
    <row r="3775" spans="7:119" x14ac:dyDescent="0.25">
      <c r="G3775"/>
      <c r="DI3775" s="4">
        <f>INDEX(Sheet2!A:A,QUOTIENT(ROW()-1,19)+2)</f>
        <v>41808</v>
      </c>
      <c r="DJ3775" s="4">
        <f>INDEX(Sheet2!C:C,QUOTIENT(ROW()-1,19)+2)</f>
        <v>42004</v>
      </c>
      <c r="DK3775" s="4">
        <f>INDEX(Sheet2!$AA$2:$AS$228,QUOTIENT(ROW()-1,19)+1,MOD(ROW()-2,19)+1)</f>
        <v>42084.3</v>
      </c>
      <c r="DL3775">
        <f>IFERROR(INDEX(Sheet2!$AU$2:$BM$228,QUOTIENT(ROW()-1,19)+1,MOD(ROW()-2,19)+1),NA())</f>
        <v>0.25</v>
      </c>
      <c r="DM3775" s="4">
        <f t="shared" si="195"/>
        <v>42084.3</v>
      </c>
      <c r="DN3775">
        <f t="shared" si="196"/>
        <v>0.25</v>
      </c>
      <c r="DO3775">
        <f t="shared" si="197"/>
        <v>0.25</v>
      </c>
    </row>
    <row r="3776" spans="7:119" x14ac:dyDescent="0.25">
      <c r="G3776"/>
      <c r="DI3776" s="4">
        <f>INDEX(Sheet2!A:A,QUOTIENT(ROW()-1,19)+2)</f>
        <v>41808</v>
      </c>
      <c r="DJ3776" s="4">
        <f>INDEX(Sheet2!C:C,QUOTIENT(ROW()-1,19)+2)</f>
        <v>42004</v>
      </c>
      <c r="DK3776" s="4">
        <f>INDEX(Sheet2!$AA$2:$AS$228,QUOTIENT(ROW()-1,19)+1,MOD(ROW()-2,19)+1)</f>
        <v>42104.375</v>
      </c>
      <c r="DL3776">
        <f>IFERROR(INDEX(Sheet2!$AU$2:$BM$228,QUOTIENT(ROW()-1,19)+1,MOD(ROW()-2,19)+1),NA())</f>
        <v>0.25</v>
      </c>
      <c r="DM3776" s="4">
        <f t="shared" si="195"/>
        <v>42104.375</v>
      </c>
      <c r="DN3776">
        <f t="shared" si="196"/>
        <v>0.25</v>
      </c>
      <c r="DO3776">
        <f t="shared" si="197"/>
        <v>0.25</v>
      </c>
    </row>
    <row r="3777" spans="7:119" x14ac:dyDescent="0.25">
      <c r="G3777"/>
      <c r="DI3777" s="4">
        <f>INDEX(Sheet2!A:A,QUOTIENT(ROW()-1,19)+2)</f>
        <v>41808</v>
      </c>
      <c r="DJ3777" s="4">
        <f>INDEX(Sheet2!C:C,QUOTIENT(ROW()-1,19)+2)</f>
        <v>42004</v>
      </c>
      <c r="DK3777" s="4">
        <f>INDEX(Sheet2!$AA$2:$AS$228,QUOTIENT(ROW()-1,19)+1,MOD(ROW()-2,19)+1)</f>
        <v>42124.450000000004</v>
      </c>
      <c r="DL3777">
        <f>IFERROR(INDEX(Sheet2!$AU$2:$BM$228,QUOTIENT(ROW()-1,19)+1,MOD(ROW()-2,19)+1),NA())</f>
        <v>0.25</v>
      </c>
      <c r="DM3777" s="4">
        <f t="shared" si="195"/>
        <v>42124.450000000004</v>
      </c>
      <c r="DN3777">
        <f t="shared" si="196"/>
        <v>0.25</v>
      </c>
      <c r="DO3777">
        <f t="shared" si="197"/>
        <v>0.25</v>
      </c>
    </row>
    <row r="3778" spans="7:119" x14ac:dyDescent="0.25">
      <c r="G3778"/>
      <c r="DI3778" s="4">
        <f>INDEX(Sheet2!A:A,QUOTIENT(ROW()-1,19)+2)</f>
        <v>41808</v>
      </c>
      <c r="DJ3778" s="4">
        <f>INDEX(Sheet2!C:C,QUOTIENT(ROW()-1,19)+2)</f>
        <v>42004</v>
      </c>
      <c r="DK3778" s="4">
        <f>INDEX(Sheet2!$AA$2:$AS$228,QUOTIENT(ROW()-1,19)+1,MOD(ROW()-2,19)+1)</f>
        <v>42144.525000000001</v>
      </c>
      <c r="DL3778">
        <f>IFERROR(INDEX(Sheet2!$AU$2:$BM$228,QUOTIENT(ROW()-1,19)+1,MOD(ROW()-2,19)+1),NA())</f>
        <v>0.25</v>
      </c>
      <c r="DM3778" s="4">
        <f t="shared" ref="DM3778:DM3841" si="198">+IF($C$2=$DI3778,DK3778,NA())</f>
        <v>42144.525000000001</v>
      </c>
      <c r="DN3778">
        <f t="shared" ref="DN3778:DN3841" si="199">+IF($C$2=$DI3778,DL3778,NA())</f>
        <v>0.25</v>
      </c>
      <c r="DO3778">
        <f t="shared" si="197"/>
        <v>0.25</v>
      </c>
    </row>
    <row r="3779" spans="7:119" x14ac:dyDescent="0.25">
      <c r="G3779"/>
      <c r="DI3779" s="4">
        <f>INDEX(Sheet2!A:A,QUOTIENT(ROW()-1,19)+2)</f>
        <v>41808</v>
      </c>
      <c r="DJ3779" s="4">
        <f>INDEX(Sheet2!C:C,QUOTIENT(ROW()-1,19)+2)</f>
        <v>42004</v>
      </c>
      <c r="DK3779" s="4" t="e">
        <f>INDEX(Sheet2!$AA$2:$AS$228,QUOTIENT(ROW()-1,19)+1,MOD(ROW()-2,19)+1)</f>
        <v>#N/A</v>
      </c>
      <c r="DL3779" t="str">
        <f>IFERROR(INDEX(Sheet2!$AU$2:$BM$228,QUOTIENT(ROW()-1,19)+1,MOD(ROW()-2,19)+1),NA())</f>
        <v/>
      </c>
      <c r="DM3779" s="4" t="e">
        <f t="shared" si="198"/>
        <v>#N/A</v>
      </c>
      <c r="DN3779" t="str">
        <f t="shared" si="199"/>
        <v/>
      </c>
      <c r="DO3779" t="e">
        <f t="shared" ref="DO3779:DO3842" si="200">IF(DN3779="",NA(),DN3779)</f>
        <v>#N/A</v>
      </c>
    </row>
    <row r="3780" spans="7:119" x14ac:dyDescent="0.25">
      <c r="G3780"/>
      <c r="DI3780" s="4">
        <f>INDEX(Sheet2!A:A,QUOTIENT(ROW()-1,19)+2)</f>
        <v>41808</v>
      </c>
      <c r="DJ3780" s="4">
        <f>INDEX(Sheet2!C:C,QUOTIENT(ROW()-1,19)+2)</f>
        <v>42004</v>
      </c>
      <c r="DK3780" s="4" t="e">
        <f>INDEX(Sheet2!$AA$2:$AS$228,QUOTIENT(ROW()-1,19)+1,MOD(ROW()-2,19)+1)</f>
        <v>#N/A</v>
      </c>
      <c r="DL3780" t="str">
        <f>IFERROR(INDEX(Sheet2!$AU$2:$BM$228,QUOTIENT(ROW()-1,19)+1,MOD(ROW()-2,19)+1),NA())</f>
        <v/>
      </c>
      <c r="DM3780" s="4" t="e">
        <f t="shared" si="198"/>
        <v>#N/A</v>
      </c>
      <c r="DN3780" t="str">
        <f t="shared" si="199"/>
        <v/>
      </c>
      <c r="DO3780" t="e">
        <f t="shared" si="200"/>
        <v>#N/A</v>
      </c>
    </row>
    <row r="3781" spans="7:119" x14ac:dyDescent="0.25">
      <c r="G3781"/>
      <c r="DI3781" s="4">
        <f>INDEX(Sheet2!A:A,QUOTIENT(ROW()-1,19)+2)</f>
        <v>41808</v>
      </c>
      <c r="DJ3781" s="4">
        <f>INDEX(Sheet2!C:C,QUOTIENT(ROW()-1,19)+2)</f>
        <v>42004</v>
      </c>
      <c r="DK3781" s="4" t="e">
        <f>INDEX(Sheet2!$AA$2:$AS$228,QUOTIENT(ROW()-1,19)+1,MOD(ROW()-2,19)+1)</f>
        <v>#N/A</v>
      </c>
      <c r="DL3781" t="str">
        <f>IFERROR(INDEX(Sheet2!$AU$2:$BM$228,QUOTIENT(ROW()-1,19)+1,MOD(ROW()-2,19)+1),NA())</f>
        <v/>
      </c>
      <c r="DM3781" s="4" t="e">
        <f t="shared" si="198"/>
        <v>#N/A</v>
      </c>
      <c r="DN3781" t="str">
        <f t="shared" si="199"/>
        <v/>
      </c>
      <c r="DO3781" t="e">
        <f t="shared" si="200"/>
        <v>#N/A</v>
      </c>
    </row>
    <row r="3782" spans="7:119" x14ac:dyDescent="0.25">
      <c r="G3782"/>
      <c r="DI3782" s="4">
        <f>INDEX(Sheet2!A:A,QUOTIENT(ROW()-1,19)+2)</f>
        <v>41808</v>
      </c>
      <c r="DJ3782" s="4">
        <f>INDEX(Sheet2!C:C,QUOTIENT(ROW()-1,19)+2)</f>
        <v>42004</v>
      </c>
      <c r="DK3782" s="4" t="e">
        <f>INDEX(Sheet2!$AA$2:$AS$228,QUOTIENT(ROW()-1,19)+1,MOD(ROW()-2,19)+1)</f>
        <v>#N/A</v>
      </c>
      <c r="DL3782" t="str">
        <f>IFERROR(INDEX(Sheet2!$AU$2:$BM$228,QUOTIENT(ROW()-1,19)+1,MOD(ROW()-2,19)+1),NA())</f>
        <v/>
      </c>
      <c r="DM3782" s="4" t="e">
        <f t="shared" si="198"/>
        <v>#N/A</v>
      </c>
      <c r="DN3782" t="str">
        <f t="shared" si="199"/>
        <v/>
      </c>
      <c r="DO3782" t="e">
        <f t="shared" si="200"/>
        <v>#N/A</v>
      </c>
    </row>
    <row r="3783" spans="7:119" x14ac:dyDescent="0.25">
      <c r="G3783"/>
      <c r="DI3783" s="4">
        <f>INDEX(Sheet2!A:A,QUOTIENT(ROW()-1,19)+2)</f>
        <v>41808</v>
      </c>
      <c r="DJ3783" s="4">
        <f>INDEX(Sheet2!C:C,QUOTIENT(ROW()-1,19)+2)</f>
        <v>42004</v>
      </c>
      <c r="DK3783" s="4">
        <f>INDEX(Sheet2!$AA$2:$AS$228,QUOTIENT(ROW()-1,19)+1,MOD(ROW()-2,19)+1)</f>
        <v>42004</v>
      </c>
      <c r="DL3783">
        <f>IFERROR(INDEX(Sheet2!$AU$2:$BM$228,QUOTIENT(ROW()-1,19)+1,MOD(ROW()-2,19)+1),NA())</f>
        <v>0.5</v>
      </c>
      <c r="DM3783" s="4">
        <f t="shared" si="198"/>
        <v>42004</v>
      </c>
      <c r="DN3783">
        <f t="shared" si="199"/>
        <v>0.5</v>
      </c>
      <c r="DO3783">
        <f t="shared" si="200"/>
        <v>0.5</v>
      </c>
    </row>
    <row r="3784" spans="7:119" x14ac:dyDescent="0.25">
      <c r="G3784"/>
      <c r="DI3784" s="4">
        <f>INDEX(Sheet2!A:A,QUOTIENT(ROW()-1,19)+2)</f>
        <v>41808</v>
      </c>
      <c r="DJ3784" s="4">
        <f>INDEX(Sheet2!C:C,QUOTIENT(ROW()-1,19)+2)</f>
        <v>42004</v>
      </c>
      <c r="DK3784" s="4" t="e">
        <f>INDEX(Sheet2!$AA$2:$AS$228,QUOTIENT(ROW()-1,19)+1,MOD(ROW()-2,19)+1)</f>
        <v>#N/A</v>
      </c>
      <c r="DL3784" t="str">
        <f>IFERROR(INDEX(Sheet2!$AU$2:$BM$228,QUOTIENT(ROW()-1,19)+1,MOD(ROW()-2,19)+1),NA())</f>
        <v/>
      </c>
      <c r="DM3784" s="4" t="e">
        <f t="shared" si="198"/>
        <v>#N/A</v>
      </c>
      <c r="DN3784" t="str">
        <f t="shared" si="199"/>
        <v/>
      </c>
      <c r="DO3784" t="e">
        <f t="shared" si="200"/>
        <v>#N/A</v>
      </c>
    </row>
    <row r="3785" spans="7:119" x14ac:dyDescent="0.25">
      <c r="G3785"/>
      <c r="DI3785" s="4">
        <f>INDEX(Sheet2!A:A,QUOTIENT(ROW()-1,19)+2)</f>
        <v>41808</v>
      </c>
      <c r="DJ3785" s="4">
        <f>INDEX(Sheet2!C:C,QUOTIENT(ROW()-1,19)+2)</f>
        <v>42004</v>
      </c>
      <c r="DK3785" s="4" t="e">
        <f>INDEX(Sheet2!$AA$2:$AS$228,QUOTIENT(ROW()-1,19)+1,MOD(ROW()-2,19)+1)</f>
        <v>#N/A</v>
      </c>
      <c r="DL3785" t="str">
        <f>IFERROR(INDEX(Sheet2!$AU$2:$BM$228,QUOTIENT(ROW()-1,19)+1,MOD(ROW()-2,19)+1),NA())</f>
        <v/>
      </c>
      <c r="DM3785" s="4" t="e">
        <f t="shared" si="198"/>
        <v>#N/A</v>
      </c>
      <c r="DN3785" t="str">
        <f t="shared" si="199"/>
        <v/>
      </c>
      <c r="DO3785" t="e">
        <f t="shared" si="200"/>
        <v>#N/A</v>
      </c>
    </row>
    <row r="3786" spans="7:119" x14ac:dyDescent="0.25">
      <c r="G3786"/>
      <c r="DI3786" s="4">
        <f>INDEX(Sheet2!A:A,QUOTIENT(ROW()-1,19)+2)</f>
        <v>41808</v>
      </c>
      <c r="DJ3786" s="4">
        <f>INDEX(Sheet2!C:C,QUOTIENT(ROW()-1,19)+2)</f>
        <v>42004</v>
      </c>
      <c r="DK3786" s="4" t="e">
        <f>INDEX(Sheet2!$AA$2:$AS$228,QUOTIENT(ROW()-1,19)+1,MOD(ROW()-2,19)+1)</f>
        <v>#N/A</v>
      </c>
      <c r="DL3786" t="str">
        <f>IFERROR(INDEX(Sheet2!$AU$2:$BM$228,QUOTIENT(ROW()-1,19)+1,MOD(ROW()-2,19)+1),NA())</f>
        <v/>
      </c>
      <c r="DM3786" s="4" t="e">
        <f t="shared" si="198"/>
        <v>#N/A</v>
      </c>
      <c r="DN3786" t="str">
        <f t="shared" si="199"/>
        <v/>
      </c>
      <c r="DO3786" t="e">
        <f t="shared" si="200"/>
        <v>#N/A</v>
      </c>
    </row>
    <row r="3787" spans="7:119" x14ac:dyDescent="0.25">
      <c r="G3787"/>
      <c r="DI3787" s="4">
        <f>INDEX(Sheet2!A:A,QUOTIENT(ROW()-1,19)+2)</f>
        <v>41808</v>
      </c>
      <c r="DJ3787" s="4">
        <f>INDEX(Sheet2!C:C,QUOTIENT(ROW()-1,19)+2)</f>
        <v>42004</v>
      </c>
      <c r="DK3787" s="4" t="e">
        <f>INDEX(Sheet2!$AA$2:$AS$228,QUOTIENT(ROW()-1,19)+1,MOD(ROW()-2,19)+1)</f>
        <v>#N/A</v>
      </c>
      <c r="DL3787" t="str">
        <f>IFERROR(INDEX(Sheet2!$AU$2:$BM$228,QUOTIENT(ROW()-1,19)+1,MOD(ROW()-2,19)+1),NA())</f>
        <v/>
      </c>
      <c r="DM3787" s="4" t="e">
        <f t="shared" si="198"/>
        <v>#N/A</v>
      </c>
      <c r="DN3787" t="str">
        <f t="shared" si="199"/>
        <v/>
      </c>
      <c r="DO3787" t="e">
        <f t="shared" si="200"/>
        <v>#N/A</v>
      </c>
    </row>
    <row r="3788" spans="7:119" x14ac:dyDescent="0.25">
      <c r="G3788"/>
      <c r="DI3788" s="4">
        <f>INDEX(Sheet2!A:A,QUOTIENT(ROW()-1,19)+2)</f>
        <v>41808</v>
      </c>
      <c r="DJ3788" s="4">
        <f>INDEX(Sheet2!C:C,QUOTIENT(ROW()-1,19)+2)</f>
        <v>42004</v>
      </c>
      <c r="DK3788" s="4" t="e">
        <f>INDEX(Sheet2!$AA$2:$AS$228,QUOTIENT(ROW()-1,19)+1,MOD(ROW()-2,19)+1)</f>
        <v>#N/A</v>
      </c>
      <c r="DL3788" t="str">
        <f>IFERROR(INDEX(Sheet2!$AU$2:$BM$228,QUOTIENT(ROW()-1,19)+1,MOD(ROW()-2,19)+1),NA())</f>
        <v/>
      </c>
      <c r="DM3788" s="4" t="e">
        <f t="shared" si="198"/>
        <v>#N/A</v>
      </c>
      <c r="DN3788" t="str">
        <f t="shared" si="199"/>
        <v/>
      </c>
      <c r="DO3788" t="e">
        <f t="shared" si="200"/>
        <v>#N/A</v>
      </c>
    </row>
    <row r="3789" spans="7:119" x14ac:dyDescent="0.25">
      <c r="G3789"/>
      <c r="DI3789" s="4">
        <f>INDEX(Sheet2!A:A,QUOTIENT(ROW()-1,19)+2)</f>
        <v>41808</v>
      </c>
      <c r="DJ3789" s="4">
        <f>INDEX(Sheet2!C:C,QUOTIENT(ROW()-1,19)+2)</f>
        <v>42004</v>
      </c>
      <c r="DK3789" s="4" t="e">
        <f>INDEX(Sheet2!$AA$2:$AS$228,QUOTIENT(ROW()-1,19)+1,MOD(ROW()-2,19)+1)</f>
        <v>#N/A</v>
      </c>
      <c r="DL3789" t="str">
        <f>IFERROR(INDEX(Sheet2!$AU$2:$BM$228,QUOTIENT(ROW()-1,19)+1,MOD(ROW()-2,19)+1),NA())</f>
        <v/>
      </c>
      <c r="DM3789" s="4" t="e">
        <f t="shared" si="198"/>
        <v>#N/A</v>
      </c>
      <c r="DN3789" t="str">
        <f t="shared" si="199"/>
        <v/>
      </c>
      <c r="DO3789" t="e">
        <f t="shared" si="200"/>
        <v>#N/A</v>
      </c>
    </row>
    <row r="3790" spans="7:119" x14ac:dyDescent="0.25">
      <c r="G3790"/>
      <c r="DI3790" s="4">
        <f>INDEX(Sheet2!A:A,QUOTIENT(ROW()-1,19)+2)</f>
        <v>41808</v>
      </c>
      <c r="DJ3790" s="4">
        <f>INDEX(Sheet2!C:C,QUOTIENT(ROW()-1,19)+2)</f>
        <v>42004</v>
      </c>
      <c r="DK3790" s="4" t="e">
        <f>INDEX(Sheet2!$AA$2:$AS$228,QUOTIENT(ROW()-1,19)+1,MOD(ROW()-2,19)+1)</f>
        <v>#N/A</v>
      </c>
      <c r="DL3790" t="str">
        <f>IFERROR(INDEX(Sheet2!$AU$2:$BM$228,QUOTIENT(ROW()-1,19)+1,MOD(ROW()-2,19)+1),NA())</f>
        <v/>
      </c>
      <c r="DM3790" s="4" t="e">
        <f t="shared" si="198"/>
        <v>#N/A</v>
      </c>
      <c r="DN3790" t="str">
        <f t="shared" si="199"/>
        <v/>
      </c>
      <c r="DO3790" t="e">
        <f t="shared" si="200"/>
        <v>#N/A</v>
      </c>
    </row>
    <row r="3791" spans="7:119" x14ac:dyDescent="0.25">
      <c r="G3791"/>
      <c r="DI3791" s="4">
        <f>INDEX(Sheet2!A:A,QUOTIENT(ROW()-1,19)+2)</f>
        <v>41808</v>
      </c>
      <c r="DJ3791" s="4">
        <f>INDEX(Sheet2!C:C,QUOTIENT(ROW()-1,19)+2)</f>
        <v>42004</v>
      </c>
      <c r="DK3791" s="4" t="e">
        <f>INDEX(Sheet2!$AA$2:$AS$228,QUOTIENT(ROW()-1,19)+1,MOD(ROW()-2,19)+1)</f>
        <v>#N/A</v>
      </c>
      <c r="DL3791" t="str">
        <f>IFERROR(INDEX(Sheet2!$AU$2:$BM$228,QUOTIENT(ROW()-1,19)+1,MOD(ROW()-2,19)+1),NA())</f>
        <v/>
      </c>
      <c r="DM3791" s="4" t="e">
        <f t="shared" si="198"/>
        <v>#N/A</v>
      </c>
      <c r="DN3791" t="str">
        <f t="shared" si="199"/>
        <v/>
      </c>
      <c r="DO3791" t="e">
        <f t="shared" si="200"/>
        <v>#N/A</v>
      </c>
    </row>
    <row r="3792" spans="7:119" x14ac:dyDescent="0.25">
      <c r="G3792"/>
      <c r="DI3792" s="4">
        <f>INDEX(Sheet2!A:A,QUOTIENT(ROW()-1,19)+2)</f>
        <v>41808</v>
      </c>
      <c r="DJ3792" s="4">
        <f>INDEX(Sheet2!C:C,QUOTIENT(ROW()-1,19)+2)</f>
        <v>42004</v>
      </c>
      <c r="DK3792" s="4" t="e">
        <f>INDEX(Sheet2!$AA$2:$AS$228,QUOTIENT(ROW()-1,19)+1,MOD(ROW()-2,19)+1)</f>
        <v>#N/A</v>
      </c>
      <c r="DL3792" t="str">
        <f>IFERROR(INDEX(Sheet2!$AU$2:$BM$228,QUOTIENT(ROW()-1,19)+1,MOD(ROW()-2,19)+1),NA())</f>
        <v/>
      </c>
      <c r="DM3792" s="4" t="e">
        <f t="shared" si="198"/>
        <v>#N/A</v>
      </c>
      <c r="DN3792" t="str">
        <f t="shared" si="199"/>
        <v/>
      </c>
      <c r="DO3792" t="e">
        <f t="shared" si="200"/>
        <v>#N/A</v>
      </c>
    </row>
    <row r="3793" spans="7:119" x14ac:dyDescent="0.25">
      <c r="G3793"/>
      <c r="DI3793" s="4">
        <f>INDEX(Sheet2!A:A,QUOTIENT(ROW()-1,19)+2)</f>
        <v>41808</v>
      </c>
      <c r="DJ3793" s="4">
        <f>INDEX(Sheet2!C:C,QUOTIENT(ROW()-1,19)+2)</f>
        <v>42004</v>
      </c>
      <c r="DK3793" s="4" t="e">
        <f>INDEX(Sheet2!$AA$2:$AS$228,QUOTIENT(ROW()-1,19)+1,MOD(ROW()-2,19)+1)</f>
        <v>#N/A</v>
      </c>
      <c r="DL3793" t="str">
        <f>IFERROR(INDEX(Sheet2!$AU$2:$BM$228,QUOTIENT(ROW()-1,19)+1,MOD(ROW()-2,19)+1),NA())</f>
        <v/>
      </c>
      <c r="DM3793" s="4" t="e">
        <f t="shared" si="198"/>
        <v>#N/A</v>
      </c>
      <c r="DN3793" t="str">
        <f t="shared" si="199"/>
        <v/>
      </c>
      <c r="DO3793" t="e">
        <f t="shared" si="200"/>
        <v>#N/A</v>
      </c>
    </row>
    <row r="3794" spans="7:119" x14ac:dyDescent="0.25">
      <c r="G3794"/>
      <c r="DI3794" s="4">
        <f>INDEX(Sheet2!A:A,QUOTIENT(ROW()-1,19)+2)</f>
        <v>41808</v>
      </c>
      <c r="DJ3794" s="4">
        <f>INDEX(Sheet2!C:C,QUOTIENT(ROW()-1,19)+2)</f>
        <v>42004</v>
      </c>
      <c r="DK3794" s="4" t="e">
        <f>INDEX(Sheet2!$AA$2:$AS$228,QUOTIENT(ROW()-1,19)+1,MOD(ROW()-2,19)+1)</f>
        <v>#N/A</v>
      </c>
      <c r="DL3794" t="str">
        <f>IFERROR(INDEX(Sheet2!$AU$2:$BM$228,QUOTIENT(ROW()-1,19)+1,MOD(ROW()-2,19)+1),NA())</f>
        <v/>
      </c>
      <c r="DM3794" s="4" t="e">
        <f t="shared" si="198"/>
        <v>#N/A</v>
      </c>
      <c r="DN3794" t="str">
        <f t="shared" si="199"/>
        <v/>
      </c>
      <c r="DO3794" t="e">
        <f t="shared" si="200"/>
        <v>#N/A</v>
      </c>
    </row>
    <row r="3795" spans="7:119" x14ac:dyDescent="0.25">
      <c r="G3795"/>
      <c r="DI3795" s="4">
        <f>INDEX(Sheet2!A:A,QUOTIENT(ROW()-1,19)+2)</f>
        <v>41808</v>
      </c>
      <c r="DJ3795" s="4">
        <f>INDEX(Sheet2!C:C,QUOTIENT(ROW()-1,19)+2)</f>
        <v>42004</v>
      </c>
      <c r="DK3795" s="4" t="e">
        <f>INDEX(Sheet2!$AA$2:$AS$228,QUOTIENT(ROW()-1,19)+1,MOD(ROW()-2,19)+1)</f>
        <v>#N/A</v>
      </c>
      <c r="DL3795" t="str">
        <f>IFERROR(INDEX(Sheet2!$AU$2:$BM$228,QUOTIENT(ROW()-1,19)+1,MOD(ROW()-2,19)+1),NA())</f>
        <v/>
      </c>
      <c r="DM3795" s="4" t="e">
        <f t="shared" si="198"/>
        <v>#N/A</v>
      </c>
      <c r="DN3795" t="str">
        <f t="shared" si="199"/>
        <v/>
      </c>
      <c r="DO3795" t="e">
        <f t="shared" si="200"/>
        <v>#N/A</v>
      </c>
    </row>
    <row r="3796" spans="7:119" x14ac:dyDescent="0.25">
      <c r="G3796"/>
      <c r="DI3796" s="4">
        <f>INDEX(Sheet2!A:A,QUOTIENT(ROW()-1,19)+2)</f>
        <v>41808</v>
      </c>
      <c r="DJ3796" s="4">
        <f>INDEX(Sheet2!C:C,QUOTIENT(ROW()-1,19)+2)</f>
        <v>42004</v>
      </c>
      <c r="DK3796" s="4" t="e">
        <f>INDEX(Sheet2!$AA$2:$AS$228,QUOTIENT(ROW()-1,19)+1,MOD(ROW()-2,19)+1)</f>
        <v>#N/A</v>
      </c>
      <c r="DL3796" t="str">
        <f>IFERROR(INDEX(Sheet2!$AU$2:$BM$228,QUOTIENT(ROW()-1,19)+1,MOD(ROW()-2,19)+1),NA())</f>
        <v/>
      </c>
      <c r="DM3796" s="4" t="e">
        <f t="shared" si="198"/>
        <v>#N/A</v>
      </c>
      <c r="DN3796" t="str">
        <f t="shared" si="199"/>
        <v/>
      </c>
      <c r="DO3796" t="e">
        <f t="shared" si="200"/>
        <v>#N/A</v>
      </c>
    </row>
    <row r="3797" spans="7:119" x14ac:dyDescent="0.25">
      <c r="G3797"/>
      <c r="DI3797" s="4">
        <f>INDEX(Sheet2!A:A,QUOTIENT(ROW()-1,19)+2)</f>
        <v>41808</v>
      </c>
      <c r="DJ3797" s="4">
        <f>INDEX(Sheet2!C:C,QUOTIENT(ROW()-1,19)+2)</f>
        <v>42004</v>
      </c>
      <c r="DK3797" s="4" t="e">
        <f>INDEX(Sheet2!$AA$2:$AS$228,QUOTIENT(ROW()-1,19)+1,MOD(ROW()-2,19)+1)</f>
        <v>#N/A</v>
      </c>
      <c r="DL3797" t="str">
        <f>IFERROR(INDEX(Sheet2!$AU$2:$BM$228,QUOTIENT(ROW()-1,19)+1,MOD(ROW()-2,19)+1),NA())</f>
        <v/>
      </c>
      <c r="DM3797" s="4" t="e">
        <f t="shared" si="198"/>
        <v>#N/A</v>
      </c>
      <c r="DN3797" t="str">
        <f t="shared" si="199"/>
        <v/>
      </c>
      <c r="DO3797" t="e">
        <f t="shared" si="200"/>
        <v>#N/A</v>
      </c>
    </row>
    <row r="3798" spans="7:119" x14ac:dyDescent="0.25">
      <c r="G3798"/>
      <c r="DI3798" s="4">
        <f>INDEX(Sheet2!A:A,QUOTIENT(ROW()-1,19)+2)</f>
        <v>41808</v>
      </c>
      <c r="DJ3798" s="4">
        <f>INDEX(Sheet2!C:C,QUOTIENT(ROW()-1,19)+2)</f>
        <v>42004</v>
      </c>
      <c r="DK3798" s="4" t="e">
        <f>INDEX(Sheet2!$AA$2:$AS$228,QUOTIENT(ROW()-1,19)+1,MOD(ROW()-2,19)+1)</f>
        <v>#N/A</v>
      </c>
      <c r="DL3798" t="str">
        <f>IFERROR(INDEX(Sheet2!$AU$2:$BM$228,QUOTIENT(ROW()-1,19)+1,MOD(ROW()-2,19)+1),NA())</f>
        <v/>
      </c>
      <c r="DM3798" s="4" t="e">
        <f t="shared" si="198"/>
        <v>#N/A</v>
      </c>
      <c r="DN3798" t="str">
        <f t="shared" si="199"/>
        <v/>
      </c>
      <c r="DO3798" t="e">
        <f t="shared" si="200"/>
        <v>#N/A</v>
      </c>
    </row>
    <row r="3799" spans="7:119" x14ac:dyDescent="0.25">
      <c r="G3799"/>
      <c r="DI3799" s="4">
        <f>INDEX(Sheet2!A:A,QUOTIENT(ROW()-1,19)+2)</f>
        <v>41808</v>
      </c>
      <c r="DJ3799" s="4">
        <f>INDEX(Sheet2!C:C,QUOTIENT(ROW()-1,19)+2)</f>
        <v>42004</v>
      </c>
      <c r="DK3799" s="4" t="e">
        <f>INDEX(Sheet2!$AA$2:$AS$228,QUOTIENT(ROW()-1,19)+1,MOD(ROW()-2,19)+1)</f>
        <v>#N/A</v>
      </c>
      <c r="DL3799" t="str">
        <f>IFERROR(INDEX(Sheet2!$AU$2:$BM$228,QUOTIENT(ROW()-1,19)+1,MOD(ROW()-2,19)+1),NA())</f>
        <v/>
      </c>
      <c r="DM3799" s="4" t="e">
        <f t="shared" si="198"/>
        <v>#N/A</v>
      </c>
      <c r="DN3799" t="str">
        <f t="shared" si="199"/>
        <v/>
      </c>
      <c r="DO3799" t="e">
        <f t="shared" si="200"/>
        <v>#N/A</v>
      </c>
    </row>
    <row r="3800" spans="7:119" x14ac:dyDescent="0.25">
      <c r="G3800"/>
      <c r="DI3800" s="4">
        <f>INDEX(Sheet2!A:A,QUOTIENT(ROW()-1,19)+2)</f>
        <v>41808</v>
      </c>
      <c r="DJ3800" s="4">
        <f>INDEX(Sheet2!C:C,QUOTIENT(ROW()-1,19)+2)</f>
        <v>42004</v>
      </c>
      <c r="DK3800" s="4" t="e">
        <f>INDEX(Sheet2!$AA$2:$AS$228,QUOTIENT(ROW()-1,19)+1,MOD(ROW()-2,19)+1)</f>
        <v>#N/A</v>
      </c>
      <c r="DL3800" t="str">
        <f>IFERROR(INDEX(Sheet2!$AU$2:$BM$228,QUOTIENT(ROW()-1,19)+1,MOD(ROW()-2,19)+1),NA())</f>
        <v/>
      </c>
      <c r="DM3800" s="4" t="e">
        <f t="shared" si="198"/>
        <v>#N/A</v>
      </c>
      <c r="DN3800" t="str">
        <f t="shared" si="199"/>
        <v/>
      </c>
      <c r="DO3800" t="e">
        <f t="shared" si="200"/>
        <v>#N/A</v>
      </c>
    </row>
    <row r="3801" spans="7:119" x14ac:dyDescent="0.25">
      <c r="G3801"/>
      <c r="DI3801" s="4">
        <f>INDEX(Sheet2!A:A,QUOTIENT(ROW()-1,19)+2)</f>
        <v>41808</v>
      </c>
      <c r="DJ3801" s="4">
        <f>INDEX(Sheet2!C:C,QUOTIENT(ROW()-1,19)+2)</f>
        <v>42369</v>
      </c>
      <c r="DK3801" s="4" t="e">
        <f>INDEX(Sheet2!$AA$2:$AS$228,QUOTIENT(ROW()-1,19)+1,MOD(ROW()-2,19)+1)</f>
        <v>#N/A</v>
      </c>
      <c r="DL3801" t="str">
        <f>IFERROR(INDEX(Sheet2!$AU$2:$BM$228,QUOTIENT(ROW()-1,19)+1,MOD(ROW()-2,19)+1),NA())</f>
        <v/>
      </c>
      <c r="DM3801" s="4" t="e">
        <f t="shared" si="198"/>
        <v>#N/A</v>
      </c>
      <c r="DN3801" t="str">
        <f t="shared" si="199"/>
        <v/>
      </c>
      <c r="DO3801" t="e">
        <f t="shared" si="200"/>
        <v>#N/A</v>
      </c>
    </row>
    <row r="3802" spans="7:119" x14ac:dyDescent="0.25">
      <c r="G3802"/>
      <c r="DI3802" s="4">
        <f>INDEX(Sheet2!A:A,QUOTIENT(ROW()-1,19)+2)</f>
        <v>41808</v>
      </c>
      <c r="DJ3802" s="4">
        <f>INDEX(Sheet2!C:C,QUOTIENT(ROW()-1,19)+2)</f>
        <v>42369</v>
      </c>
      <c r="DK3802" s="4">
        <f>INDEX(Sheet2!$AA$2:$AS$228,QUOTIENT(ROW()-1,19)+1,MOD(ROW()-2,19)+1)</f>
        <v>42348.924999999996</v>
      </c>
      <c r="DL3802">
        <f>IFERROR(INDEX(Sheet2!$AU$2:$BM$228,QUOTIENT(ROW()-1,19)+1,MOD(ROW()-2,19)+1),NA())</f>
        <v>0.25</v>
      </c>
      <c r="DM3802" s="4">
        <f t="shared" si="198"/>
        <v>42348.924999999996</v>
      </c>
      <c r="DN3802">
        <f t="shared" si="199"/>
        <v>0.25</v>
      </c>
      <c r="DO3802">
        <f t="shared" si="200"/>
        <v>0.25</v>
      </c>
    </row>
    <row r="3803" spans="7:119" x14ac:dyDescent="0.25">
      <c r="G3803"/>
      <c r="DI3803" s="4">
        <f>INDEX(Sheet2!A:A,QUOTIENT(ROW()-1,19)+2)</f>
        <v>41808</v>
      </c>
      <c r="DJ3803" s="4">
        <f>INDEX(Sheet2!C:C,QUOTIENT(ROW()-1,19)+2)</f>
        <v>42369</v>
      </c>
      <c r="DK3803" s="4">
        <f>INDEX(Sheet2!$AA$2:$AS$228,QUOTIENT(ROW()-1,19)+1,MOD(ROW()-2,19)+1)</f>
        <v>42369</v>
      </c>
      <c r="DL3803">
        <f>IFERROR(INDEX(Sheet2!$AU$2:$BM$228,QUOTIENT(ROW()-1,19)+1,MOD(ROW()-2,19)+1),NA())</f>
        <v>0.25</v>
      </c>
      <c r="DM3803" s="4">
        <f t="shared" si="198"/>
        <v>42369</v>
      </c>
      <c r="DN3803">
        <f t="shared" si="199"/>
        <v>0.25</v>
      </c>
      <c r="DO3803">
        <f t="shared" si="200"/>
        <v>0.25</v>
      </c>
    </row>
    <row r="3804" spans="7:119" x14ac:dyDescent="0.25">
      <c r="G3804"/>
      <c r="DI3804" s="4">
        <f>INDEX(Sheet2!A:A,QUOTIENT(ROW()-1,19)+2)</f>
        <v>41808</v>
      </c>
      <c r="DJ3804" s="4">
        <f>INDEX(Sheet2!C:C,QUOTIENT(ROW()-1,19)+2)</f>
        <v>42369</v>
      </c>
      <c r="DK3804" s="4">
        <f>INDEX(Sheet2!$AA$2:$AS$228,QUOTIENT(ROW()-1,19)+1,MOD(ROW()-2,19)+1)</f>
        <v>42389.074999999997</v>
      </c>
      <c r="DL3804">
        <f>IFERROR(INDEX(Sheet2!$AU$2:$BM$228,QUOTIENT(ROW()-1,19)+1,MOD(ROW()-2,19)+1),NA())</f>
        <v>0.25</v>
      </c>
      <c r="DM3804" s="4">
        <f t="shared" si="198"/>
        <v>42389.074999999997</v>
      </c>
      <c r="DN3804">
        <f t="shared" si="199"/>
        <v>0.25</v>
      </c>
      <c r="DO3804">
        <f t="shared" si="200"/>
        <v>0.25</v>
      </c>
    </row>
    <row r="3805" spans="7:119" x14ac:dyDescent="0.25">
      <c r="G3805"/>
      <c r="DI3805" s="4">
        <f>INDEX(Sheet2!A:A,QUOTIENT(ROW()-1,19)+2)</f>
        <v>41808</v>
      </c>
      <c r="DJ3805" s="4">
        <f>INDEX(Sheet2!C:C,QUOTIENT(ROW()-1,19)+2)</f>
        <v>42369</v>
      </c>
      <c r="DK3805" s="4" t="e">
        <f>INDEX(Sheet2!$AA$2:$AS$228,QUOTIENT(ROW()-1,19)+1,MOD(ROW()-2,19)+1)</f>
        <v>#N/A</v>
      </c>
      <c r="DL3805" t="str">
        <f>IFERROR(INDEX(Sheet2!$AU$2:$BM$228,QUOTIENT(ROW()-1,19)+1,MOD(ROW()-2,19)+1),NA())</f>
        <v/>
      </c>
      <c r="DM3805" s="4" t="e">
        <f t="shared" si="198"/>
        <v>#N/A</v>
      </c>
      <c r="DN3805" t="str">
        <f t="shared" si="199"/>
        <v/>
      </c>
      <c r="DO3805" t="e">
        <f t="shared" si="200"/>
        <v>#N/A</v>
      </c>
    </row>
    <row r="3806" spans="7:119" x14ac:dyDescent="0.25">
      <c r="G3806"/>
      <c r="DI3806" s="4">
        <f>INDEX(Sheet2!A:A,QUOTIENT(ROW()-1,19)+2)</f>
        <v>41808</v>
      </c>
      <c r="DJ3806" s="4">
        <f>INDEX(Sheet2!C:C,QUOTIENT(ROW()-1,19)+2)</f>
        <v>42369</v>
      </c>
      <c r="DK3806" s="4" t="e">
        <f>INDEX(Sheet2!$AA$2:$AS$228,QUOTIENT(ROW()-1,19)+1,MOD(ROW()-2,19)+1)</f>
        <v>#N/A</v>
      </c>
      <c r="DL3806" t="str">
        <f>IFERROR(INDEX(Sheet2!$AU$2:$BM$228,QUOTIENT(ROW()-1,19)+1,MOD(ROW()-2,19)+1),NA())</f>
        <v/>
      </c>
      <c r="DM3806" s="4" t="e">
        <f t="shared" si="198"/>
        <v>#N/A</v>
      </c>
      <c r="DN3806" t="str">
        <f t="shared" si="199"/>
        <v/>
      </c>
      <c r="DO3806" t="e">
        <f t="shared" si="200"/>
        <v>#N/A</v>
      </c>
    </row>
    <row r="3807" spans="7:119" x14ac:dyDescent="0.25">
      <c r="G3807"/>
      <c r="DI3807" s="4">
        <f>INDEX(Sheet2!A:A,QUOTIENT(ROW()-1,19)+2)</f>
        <v>41808</v>
      </c>
      <c r="DJ3807" s="4">
        <f>INDEX(Sheet2!C:C,QUOTIENT(ROW()-1,19)+2)</f>
        <v>42369</v>
      </c>
      <c r="DK3807" s="4" t="e">
        <f>INDEX(Sheet2!$AA$2:$AS$228,QUOTIENT(ROW()-1,19)+1,MOD(ROW()-2,19)+1)</f>
        <v>#N/A</v>
      </c>
      <c r="DL3807" t="str">
        <f>IFERROR(INDEX(Sheet2!$AU$2:$BM$228,QUOTIENT(ROW()-1,19)+1,MOD(ROW()-2,19)+1),NA())</f>
        <v/>
      </c>
      <c r="DM3807" s="4" t="e">
        <f t="shared" si="198"/>
        <v>#N/A</v>
      </c>
      <c r="DN3807" t="str">
        <f t="shared" si="199"/>
        <v/>
      </c>
      <c r="DO3807" t="e">
        <f t="shared" si="200"/>
        <v>#N/A</v>
      </c>
    </row>
    <row r="3808" spans="7:119" x14ac:dyDescent="0.25">
      <c r="G3808"/>
      <c r="DI3808" s="4">
        <f>INDEX(Sheet2!A:A,QUOTIENT(ROW()-1,19)+2)</f>
        <v>41808</v>
      </c>
      <c r="DJ3808" s="4">
        <f>INDEX(Sheet2!C:C,QUOTIENT(ROW()-1,19)+2)</f>
        <v>42369</v>
      </c>
      <c r="DK3808" s="4" t="e">
        <f>INDEX(Sheet2!$AA$2:$AS$228,QUOTIENT(ROW()-1,19)+1,MOD(ROW()-2,19)+1)</f>
        <v>#N/A</v>
      </c>
      <c r="DL3808" t="str">
        <f>IFERROR(INDEX(Sheet2!$AU$2:$BM$228,QUOTIENT(ROW()-1,19)+1,MOD(ROW()-2,19)+1),NA())</f>
        <v/>
      </c>
      <c r="DM3808" s="4" t="e">
        <f t="shared" si="198"/>
        <v>#N/A</v>
      </c>
      <c r="DN3808" t="str">
        <f t="shared" si="199"/>
        <v/>
      </c>
      <c r="DO3808" t="e">
        <f t="shared" si="200"/>
        <v>#N/A</v>
      </c>
    </row>
    <row r="3809" spans="7:119" x14ac:dyDescent="0.25">
      <c r="G3809"/>
      <c r="DI3809" s="4">
        <f>INDEX(Sheet2!A:A,QUOTIENT(ROW()-1,19)+2)</f>
        <v>41808</v>
      </c>
      <c r="DJ3809" s="4">
        <f>INDEX(Sheet2!C:C,QUOTIENT(ROW()-1,19)+2)</f>
        <v>42369</v>
      </c>
      <c r="DK3809" s="4" t="e">
        <f>INDEX(Sheet2!$AA$2:$AS$228,QUOTIENT(ROW()-1,19)+1,MOD(ROW()-2,19)+1)</f>
        <v>#N/A</v>
      </c>
      <c r="DL3809" t="str">
        <f>IFERROR(INDEX(Sheet2!$AU$2:$BM$228,QUOTIENT(ROW()-1,19)+1,MOD(ROW()-2,19)+1),NA())</f>
        <v/>
      </c>
      <c r="DM3809" s="4" t="e">
        <f t="shared" si="198"/>
        <v>#N/A</v>
      </c>
      <c r="DN3809" t="str">
        <f t="shared" si="199"/>
        <v/>
      </c>
      <c r="DO3809" t="e">
        <f t="shared" si="200"/>
        <v>#N/A</v>
      </c>
    </row>
    <row r="3810" spans="7:119" x14ac:dyDescent="0.25">
      <c r="G3810"/>
      <c r="DI3810" s="4">
        <f>INDEX(Sheet2!A:A,QUOTIENT(ROW()-1,19)+2)</f>
        <v>41808</v>
      </c>
      <c r="DJ3810" s="4">
        <f>INDEX(Sheet2!C:C,QUOTIENT(ROW()-1,19)+2)</f>
        <v>42369</v>
      </c>
      <c r="DK3810" s="4" t="e">
        <f>INDEX(Sheet2!$AA$2:$AS$228,QUOTIENT(ROW()-1,19)+1,MOD(ROW()-2,19)+1)</f>
        <v>#N/A</v>
      </c>
      <c r="DL3810" t="str">
        <f>IFERROR(INDEX(Sheet2!$AU$2:$BM$228,QUOTIENT(ROW()-1,19)+1,MOD(ROW()-2,19)+1),NA())</f>
        <v/>
      </c>
      <c r="DM3810" s="4" t="e">
        <f t="shared" si="198"/>
        <v>#N/A</v>
      </c>
      <c r="DN3810" t="str">
        <f t="shared" si="199"/>
        <v/>
      </c>
      <c r="DO3810" t="e">
        <f t="shared" si="200"/>
        <v>#N/A</v>
      </c>
    </row>
    <row r="3811" spans="7:119" x14ac:dyDescent="0.25">
      <c r="G3811"/>
      <c r="DI3811" s="4">
        <f>INDEX(Sheet2!A:A,QUOTIENT(ROW()-1,19)+2)</f>
        <v>41808</v>
      </c>
      <c r="DJ3811" s="4">
        <f>INDEX(Sheet2!C:C,QUOTIENT(ROW()-1,19)+2)</f>
        <v>42369</v>
      </c>
      <c r="DK3811" s="4" t="e">
        <f>INDEX(Sheet2!$AA$2:$AS$228,QUOTIENT(ROW()-1,19)+1,MOD(ROW()-2,19)+1)</f>
        <v>#N/A</v>
      </c>
      <c r="DL3811" t="str">
        <f>IFERROR(INDEX(Sheet2!$AU$2:$BM$228,QUOTIENT(ROW()-1,19)+1,MOD(ROW()-2,19)+1),NA())</f>
        <v/>
      </c>
      <c r="DM3811" s="4" t="e">
        <f t="shared" si="198"/>
        <v>#N/A</v>
      </c>
      <c r="DN3811" t="str">
        <f t="shared" si="199"/>
        <v/>
      </c>
      <c r="DO3811" t="e">
        <f t="shared" si="200"/>
        <v>#N/A</v>
      </c>
    </row>
    <row r="3812" spans="7:119" x14ac:dyDescent="0.25">
      <c r="G3812"/>
      <c r="DI3812" s="4">
        <f>INDEX(Sheet2!A:A,QUOTIENT(ROW()-1,19)+2)</f>
        <v>41808</v>
      </c>
      <c r="DJ3812" s="4">
        <f>INDEX(Sheet2!C:C,QUOTIENT(ROW()-1,19)+2)</f>
        <v>42369</v>
      </c>
      <c r="DK3812" s="4" t="e">
        <f>INDEX(Sheet2!$AA$2:$AS$228,QUOTIENT(ROW()-1,19)+1,MOD(ROW()-2,19)+1)</f>
        <v>#N/A</v>
      </c>
      <c r="DL3812" t="str">
        <f>IFERROR(INDEX(Sheet2!$AU$2:$BM$228,QUOTIENT(ROW()-1,19)+1,MOD(ROW()-2,19)+1),NA())</f>
        <v/>
      </c>
      <c r="DM3812" s="4" t="e">
        <f t="shared" si="198"/>
        <v>#N/A</v>
      </c>
      <c r="DN3812" t="str">
        <f t="shared" si="199"/>
        <v/>
      </c>
      <c r="DO3812" t="e">
        <f t="shared" si="200"/>
        <v>#N/A</v>
      </c>
    </row>
    <row r="3813" spans="7:119" x14ac:dyDescent="0.25">
      <c r="G3813"/>
      <c r="DI3813" s="4">
        <f>INDEX(Sheet2!A:A,QUOTIENT(ROW()-1,19)+2)</f>
        <v>41808</v>
      </c>
      <c r="DJ3813" s="4">
        <f>INDEX(Sheet2!C:C,QUOTIENT(ROW()-1,19)+2)</f>
        <v>42369</v>
      </c>
      <c r="DK3813" s="4" t="e">
        <f>INDEX(Sheet2!$AA$2:$AS$228,QUOTIENT(ROW()-1,19)+1,MOD(ROW()-2,19)+1)</f>
        <v>#N/A</v>
      </c>
      <c r="DL3813" t="str">
        <f>IFERROR(INDEX(Sheet2!$AU$2:$BM$228,QUOTIENT(ROW()-1,19)+1,MOD(ROW()-2,19)+1),NA())</f>
        <v/>
      </c>
      <c r="DM3813" s="4" t="e">
        <f t="shared" si="198"/>
        <v>#N/A</v>
      </c>
      <c r="DN3813" t="str">
        <f t="shared" si="199"/>
        <v/>
      </c>
      <c r="DO3813" t="e">
        <f t="shared" si="200"/>
        <v>#N/A</v>
      </c>
    </row>
    <row r="3814" spans="7:119" x14ac:dyDescent="0.25">
      <c r="G3814"/>
      <c r="DI3814" s="4">
        <f>INDEX(Sheet2!A:A,QUOTIENT(ROW()-1,19)+2)</f>
        <v>41808</v>
      </c>
      <c r="DJ3814" s="4">
        <f>INDEX(Sheet2!C:C,QUOTIENT(ROW()-1,19)+2)</f>
        <v>42369</v>
      </c>
      <c r="DK3814" s="4" t="e">
        <f>INDEX(Sheet2!$AA$2:$AS$228,QUOTIENT(ROW()-1,19)+1,MOD(ROW()-2,19)+1)</f>
        <v>#N/A</v>
      </c>
      <c r="DL3814" t="str">
        <f>IFERROR(INDEX(Sheet2!$AU$2:$BM$228,QUOTIENT(ROW()-1,19)+1,MOD(ROW()-2,19)+1),NA())</f>
        <v/>
      </c>
      <c r="DM3814" s="4" t="e">
        <f t="shared" si="198"/>
        <v>#N/A</v>
      </c>
      <c r="DN3814" t="str">
        <f t="shared" si="199"/>
        <v/>
      </c>
      <c r="DO3814" t="e">
        <f t="shared" si="200"/>
        <v>#N/A</v>
      </c>
    </row>
    <row r="3815" spans="7:119" x14ac:dyDescent="0.25">
      <c r="G3815"/>
      <c r="DI3815" s="4">
        <f>INDEX(Sheet2!A:A,QUOTIENT(ROW()-1,19)+2)</f>
        <v>41808</v>
      </c>
      <c r="DJ3815" s="4">
        <f>INDEX(Sheet2!C:C,QUOTIENT(ROW()-1,19)+2)</f>
        <v>42369</v>
      </c>
      <c r="DK3815" s="4" t="e">
        <f>INDEX(Sheet2!$AA$2:$AS$228,QUOTIENT(ROW()-1,19)+1,MOD(ROW()-2,19)+1)</f>
        <v>#N/A</v>
      </c>
      <c r="DL3815" t="str">
        <f>IFERROR(INDEX(Sheet2!$AU$2:$BM$228,QUOTIENT(ROW()-1,19)+1,MOD(ROW()-2,19)+1),NA())</f>
        <v/>
      </c>
      <c r="DM3815" s="4" t="e">
        <f t="shared" si="198"/>
        <v>#N/A</v>
      </c>
      <c r="DN3815" t="str">
        <f t="shared" si="199"/>
        <v/>
      </c>
      <c r="DO3815" t="e">
        <f t="shared" si="200"/>
        <v>#N/A</v>
      </c>
    </row>
    <row r="3816" spans="7:119" x14ac:dyDescent="0.25">
      <c r="G3816"/>
      <c r="DI3816" s="4">
        <f>INDEX(Sheet2!A:A,QUOTIENT(ROW()-1,19)+2)</f>
        <v>41808</v>
      </c>
      <c r="DJ3816" s="4">
        <f>INDEX(Sheet2!C:C,QUOTIENT(ROW()-1,19)+2)</f>
        <v>42369</v>
      </c>
      <c r="DK3816" s="4" t="e">
        <f>INDEX(Sheet2!$AA$2:$AS$228,QUOTIENT(ROW()-1,19)+1,MOD(ROW()-2,19)+1)</f>
        <v>#N/A</v>
      </c>
      <c r="DL3816" t="str">
        <f>IFERROR(INDEX(Sheet2!$AU$2:$BM$228,QUOTIENT(ROW()-1,19)+1,MOD(ROW()-2,19)+1),NA())</f>
        <v/>
      </c>
      <c r="DM3816" s="4" t="e">
        <f t="shared" si="198"/>
        <v>#N/A</v>
      </c>
      <c r="DN3816" t="str">
        <f t="shared" si="199"/>
        <v/>
      </c>
      <c r="DO3816" t="e">
        <f t="shared" si="200"/>
        <v>#N/A</v>
      </c>
    </row>
    <row r="3817" spans="7:119" x14ac:dyDescent="0.25">
      <c r="G3817"/>
      <c r="DI3817" s="4">
        <f>INDEX(Sheet2!A:A,QUOTIENT(ROW()-1,19)+2)</f>
        <v>41808</v>
      </c>
      <c r="DJ3817" s="4">
        <f>INDEX(Sheet2!C:C,QUOTIENT(ROW()-1,19)+2)</f>
        <v>42369</v>
      </c>
      <c r="DK3817" s="4" t="e">
        <f>INDEX(Sheet2!$AA$2:$AS$228,QUOTIENT(ROW()-1,19)+1,MOD(ROW()-2,19)+1)</f>
        <v>#N/A</v>
      </c>
      <c r="DL3817" t="str">
        <f>IFERROR(INDEX(Sheet2!$AU$2:$BM$228,QUOTIENT(ROW()-1,19)+1,MOD(ROW()-2,19)+1),NA())</f>
        <v/>
      </c>
      <c r="DM3817" s="4" t="e">
        <f t="shared" si="198"/>
        <v>#N/A</v>
      </c>
      <c r="DN3817" t="str">
        <f t="shared" si="199"/>
        <v/>
      </c>
      <c r="DO3817" t="e">
        <f t="shared" si="200"/>
        <v>#N/A</v>
      </c>
    </row>
    <row r="3818" spans="7:119" x14ac:dyDescent="0.25">
      <c r="G3818"/>
      <c r="DI3818" s="4">
        <f>INDEX(Sheet2!A:A,QUOTIENT(ROW()-1,19)+2)</f>
        <v>41808</v>
      </c>
      <c r="DJ3818" s="4">
        <f>INDEX(Sheet2!C:C,QUOTIENT(ROW()-1,19)+2)</f>
        <v>42369</v>
      </c>
      <c r="DK3818" s="4" t="e">
        <f>INDEX(Sheet2!$AA$2:$AS$228,QUOTIENT(ROW()-1,19)+1,MOD(ROW()-2,19)+1)</f>
        <v>#N/A</v>
      </c>
      <c r="DL3818" t="str">
        <f>IFERROR(INDEX(Sheet2!$AU$2:$BM$228,QUOTIENT(ROW()-1,19)+1,MOD(ROW()-2,19)+1),NA())</f>
        <v/>
      </c>
      <c r="DM3818" s="4" t="e">
        <f t="shared" si="198"/>
        <v>#N/A</v>
      </c>
      <c r="DN3818" t="str">
        <f t="shared" si="199"/>
        <v/>
      </c>
      <c r="DO3818" t="e">
        <f t="shared" si="200"/>
        <v>#N/A</v>
      </c>
    </row>
    <row r="3819" spans="7:119" x14ac:dyDescent="0.25">
      <c r="G3819"/>
      <c r="DI3819" s="4">
        <f>INDEX(Sheet2!A:A,QUOTIENT(ROW()-1,19)+2)</f>
        <v>41808</v>
      </c>
      <c r="DJ3819" s="4">
        <f>INDEX(Sheet2!C:C,QUOTIENT(ROW()-1,19)+2)</f>
        <v>42369</v>
      </c>
      <c r="DK3819" s="4" t="e">
        <f>INDEX(Sheet2!$AA$2:$AS$228,QUOTIENT(ROW()-1,19)+1,MOD(ROW()-2,19)+1)</f>
        <v>#N/A</v>
      </c>
      <c r="DL3819" t="str">
        <f>IFERROR(INDEX(Sheet2!$AU$2:$BM$228,QUOTIENT(ROW()-1,19)+1,MOD(ROW()-2,19)+1),NA())</f>
        <v/>
      </c>
      <c r="DM3819" s="4" t="e">
        <f t="shared" si="198"/>
        <v>#N/A</v>
      </c>
      <c r="DN3819" t="str">
        <f t="shared" si="199"/>
        <v/>
      </c>
      <c r="DO3819" t="e">
        <f t="shared" si="200"/>
        <v>#N/A</v>
      </c>
    </row>
    <row r="3820" spans="7:119" x14ac:dyDescent="0.25">
      <c r="G3820"/>
      <c r="DI3820" s="4">
        <f>INDEX(Sheet2!A:A,QUOTIENT(ROW()-1,19)+2)</f>
        <v>41808</v>
      </c>
      <c r="DJ3820" s="4">
        <f>INDEX(Sheet2!C:C,QUOTIENT(ROW()-1,19)+2)</f>
        <v>42369</v>
      </c>
      <c r="DK3820" s="4" t="e">
        <f>INDEX(Sheet2!$AA$2:$AS$228,QUOTIENT(ROW()-1,19)+1,MOD(ROW()-2,19)+1)</f>
        <v>#N/A</v>
      </c>
      <c r="DL3820" t="str">
        <f>IFERROR(INDEX(Sheet2!$AU$2:$BM$228,QUOTIENT(ROW()-1,19)+1,MOD(ROW()-2,19)+1),NA())</f>
        <v/>
      </c>
      <c r="DM3820" s="4" t="e">
        <f t="shared" si="198"/>
        <v>#N/A</v>
      </c>
      <c r="DN3820" t="str">
        <f t="shared" si="199"/>
        <v/>
      </c>
      <c r="DO3820" t="e">
        <f t="shared" si="200"/>
        <v>#N/A</v>
      </c>
    </row>
    <row r="3821" spans="7:119" x14ac:dyDescent="0.25">
      <c r="G3821"/>
      <c r="DI3821" s="4">
        <f>INDEX(Sheet2!A:A,QUOTIENT(ROW()-1,19)+2)</f>
        <v>41808</v>
      </c>
      <c r="DJ3821" s="4">
        <f>INDEX(Sheet2!C:C,QUOTIENT(ROW()-1,19)+2)</f>
        <v>42369</v>
      </c>
      <c r="DK3821" s="4">
        <f>INDEX(Sheet2!$AA$2:$AS$228,QUOTIENT(ROW()-1,19)+1,MOD(ROW()-2,19)+1)</f>
        <v>42369</v>
      </c>
      <c r="DL3821">
        <f>IFERROR(INDEX(Sheet2!$AU$2:$BM$228,QUOTIENT(ROW()-1,19)+1,MOD(ROW()-2,19)+1),NA())</f>
        <v>0.5</v>
      </c>
      <c r="DM3821" s="4">
        <f t="shared" si="198"/>
        <v>42369</v>
      </c>
      <c r="DN3821">
        <f t="shared" si="199"/>
        <v>0.5</v>
      </c>
      <c r="DO3821">
        <f t="shared" si="200"/>
        <v>0.5</v>
      </c>
    </row>
    <row r="3822" spans="7:119" x14ac:dyDescent="0.25">
      <c r="G3822"/>
      <c r="DI3822" s="4">
        <f>INDEX(Sheet2!A:A,QUOTIENT(ROW()-1,19)+2)</f>
        <v>41808</v>
      </c>
      <c r="DJ3822" s="4">
        <f>INDEX(Sheet2!C:C,QUOTIENT(ROW()-1,19)+2)</f>
        <v>42369</v>
      </c>
      <c r="DK3822" s="4" t="e">
        <f>INDEX(Sheet2!$AA$2:$AS$228,QUOTIENT(ROW()-1,19)+1,MOD(ROW()-2,19)+1)</f>
        <v>#N/A</v>
      </c>
      <c r="DL3822" t="str">
        <f>IFERROR(INDEX(Sheet2!$AU$2:$BM$228,QUOTIENT(ROW()-1,19)+1,MOD(ROW()-2,19)+1),NA())</f>
        <v/>
      </c>
      <c r="DM3822" s="4" t="e">
        <f t="shared" si="198"/>
        <v>#N/A</v>
      </c>
      <c r="DN3822" t="str">
        <f t="shared" si="199"/>
        <v/>
      </c>
      <c r="DO3822" t="e">
        <f t="shared" si="200"/>
        <v>#N/A</v>
      </c>
    </row>
    <row r="3823" spans="7:119" x14ac:dyDescent="0.25">
      <c r="G3823"/>
      <c r="DI3823" s="4">
        <f>INDEX(Sheet2!A:A,QUOTIENT(ROW()-1,19)+2)</f>
        <v>41808</v>
      </c>
      <c r="DJ3823" s="4">
        <f>INDEX(Sheet2!C:C,QUOTIENT(ROW()-1,19)+2)</f>
        <v>42369</v>
      </c>
      <c r="DK3823" s="4" t="e">
        <f>INDEX(Sheet2!$AA$2:$AS$228,QUOTIENT(ROW()-1,19)+1,MOD(ROW()-2,19)+1)</f>
        <v>#N/A</v>
      </c>
      <c r="DL3823" t="str">
        <f>IFERROR(INDEX(Sheet2!$AU$2:$BM$228,QUOTIENT(ROW()-1,19)+1,MOD(ROW()-2,19)+1),NA())</f>
        <v/>
      </c>
      <c r="DM3823" s="4" t="e">
        <f t="shared" si="198"/>
        <v>#N/A</v>
      </c>
      <c r="DN3823" t="str">
        <f t="shared" si="199"/>
        <v/>
      </c>
      <c r="DO3823" t="e">
        <f t="shared" si="200"/>
        <v>#N/A</v>
      </c>
    </row>
    <row r="3824" spans="7:119" x14ac:dyDescent="0.25">
      <c r="G3824"/>
      <c r="DI3824" s="4">
        <f>INDEX(Sheet2!A:A,QUOTIENT(ROW()-1,19)+2)</f>
        <v>41808</v>
      </c>
      <c r="DJ3824" s="4">
        <f>INDEX(Sheet2!C:C,QUOTIENT(ROW()-1,19)+2)</f>
        <v>42369</v>
      </c>
      <c r="DK3824" s="4" t="e">
        <f>INDEX(Sheet2!$AA$2:$AS$228,QUOTIENT(ROW()-1,19)+1,MOD(ROW()-2,19)+1)</f>
        <v>#N/A</v>
      </c>
      <c r="DL3824" t="str">
        <f>IFERROR(INDEX(Sheet2!$AU$2:$BM$228,QUOTIENT(ROW()-1,19)+1,MOD(ROW()-2,19)+1),NA())</f>
        <v/>
      </c>
      <c r="DM3824" s="4" t="e">
        <f t="shared" si="198"/>
        <v>#N/A</v>
      </c>
      <c r="DN3824" t="str">
        <f t="shared" si="199"/>
        <v/>
      </c>
      <c r="DO3824" t="e">
        <f t="shared" si="200"/>
        <v>#N/A</v>
      </c>
    </row>
    <row r="3825" spans="7:119" x14ac:dyDescent="0.25">
      <c r="G3825"/>
      <c r="DI3825" s="4">
        <f>INDEX(Sheet2!A:A,QUOTIENT(ROW()-1,19)+2)</f>
        <v>41808</v>
      </c>
      <c r="DJ3825" s="4">
        <f>INDEX(Sheet2!C:C,QUOTIENT(ROW()-1,19)+2)</f>
        <v>42369</v>
      </c>
      <c r="DK3825" s="4" t="e">
        <f>INDEX(Sheet2!$AA$2:$AS$228,QUOTIENT(ROW()-1,19)+1,MOD(ROW()-2,19)+1)</f>
        <v>#N/A</v>
      </c>
      <c r="DL3825" t="str">
        <f>IFERROR(INDEX(Sheet2!$AU$2:$BM$228,QUOTIENT(ROW()-1,19)+1,MOD(ROW()-2,19)+1),NA())</f>
        <v/>
      </c>
      <c r="DM3825" s="4" t="e">
        <f t="shared" si="198"/>
        <v>#N/A</v>
      </c>
      <c r="DN3825" t="str">
        <f t="shared" si="199"/>
        <v/>
      </c>
      <c r="DO3825" t="e">
        <f t="shared" si="200"/>
        <v>#N/A</v>
      </c>
    </row>
    <row r="3826" spans="7:119" x14ac:dyDescent="0.25">
      <c r="G3826"/>
      <c r="DI3826" s="4">
        <f>INDEX(Sheet2!A:A,QUOTIENT(ROW()-1,19)+2)</f>
        <v>41808</v>
      </c>
      <c r="DJ3826" s="4">
        <f>INDEX(Sheet2!C:C,QUOTIENT(ROW()-1,19)+2)</f>
        <v>42369</v>
      </c>
      <c r="DK3826" s="4" t="e">
        <f>INDEX(Sheet2!$AA$2:$AS$228,QUOTIENT(ROW()-1,19)+1,MOD(ROW()-2,19)+1)</f>
        <v>#N/A</v>
      </c>
      <c r="DL3826" t="str">
        <f>IFERROR(INDEX(Sheet2!$AU$2:$BM$228,QUOTIENT(ROW()-1,19)+1,MOD(ROW()-2,19)+1),NA())</f>
        <v/>
      </c>
      <c r="DM3826" s="4" t="e">
        <f t="shared" si="198"/>
        <v>#N/A</v>
      </c>
      <c r="DN3826" t="str">
        <f t="shared" si="199"/>
        <v/>
      </c>
      <c r="DO3826" t="e">
        <f t="shared" si="200"/>
        <v>#N/A</v>
      </c>
    </row>
    <row r="3827" spans="7:119" x14ac:dyDescent="0.25">
      <c r="G3827"/>
      <c r="DI3827" s="4">
        <f>INDEX(Sheet2!A:A,QUOTIENT(ROW()-1,19)+2)</f>
        <v>41808</v>
      </c>
      <c r="DJ3827" s="4">
        <f>INDEX(Sheet2!C:C,QUOTIENT(ROW()-1,19)+2)</f>
        <v>42369</v>
      </c>
      <c r="DK3827" s="4" t="e">
        <f>INDEX(Sheet2!$AA$2:$AS$228,QUOTIENT(ROW()-1,19)+1,MOD(ROW()-2,19)+1)</f>
        <v>#N/A</v>
      </c>
      <c r="DL3827" t="str">
        <f>IFERROR(INDEX(Sheet2!$AU$2:$BM$228,QUOTIENT(ROW()-1,19)+1,MOD(ROW()-2,19)+1),NA())</f>
        <v/>
      </c>
      <c r="DM3827" s="4" t="e">
        <f t="shared" si="198"/>
        <v>#N/A</v>
      </c>
      <c r="DN3827" t="str">
        <f t="shared" si="199"/>
        <v/>
      </c>
      <c r="DO3827" t="e">
        <f t="shared" si="200"/>
        <v>#N/A</v>
      </c>
    </row>
    <row r="3828" spans="7:119" x14ac:dyDescent="0.25">
      <c r="G3828"/>
      <c r="DI3828" s="4">
        <f>INDEX(Sheet2!A:A,QUOTIENT(ROW()-1,19)+2)</f>
        <v>41808</v>
      </c>
      <c r="DJ3828" s="4">
        <f>INDEX(Sheet2!C:C,QUOTIENT(ROW()-1,19)+2)</f>
        <v>42369</v>
      </c>
      <c r="DK3828" s="4" t="e">
        <f>INDEX(Sheet2!$AA$2:$AS$228,QUOTIENT(ROW()-1,19)+1,MOD(ROW()-2,19)+1)</f>
        <v>#N/A</v>
      </c>
      <c r="DL3828" t="str">
        <f>IFERROR(INDEX(Sheet2!$AU$2:$BM$228,QUOTIENT(ROW()-1,19)+1,MOD(ROW()-2,19)+1),NA())</f>
        <v/>
      </c>
      <c r="DM3828" s="4" t="e">
        <f t="shared" si="198"/>
        <v>#N/A</v>
      </c>
      <c r="DN3828" t="str">
        <f t="shared" si="199"/>
        <v/>
      </c>
      <c r="DO3828" t="e">
        <f t="shared" si="200"/>
        <v>#N/A</v>
      </c>
    </row>
    <row r="3829" spans="7:119" x14ac:dyDescent="0.25">
      <c r="G3829"/>
      <c r="DI3829" s="4">
        <f>INDEX(Sheet2!A:A,QUOTIENT(ROW()-1,19)+2)</f>
        <v>41808</v>
      </c>
      <c r="DJ3829" s="4">
        <f>INDEX(Sheet2!C:C,QUOTIENT(ROW()-1,19)+2)</f>
        <v>42369</v>
      </c>
      <c r="DK3829" s="4" t="e">
        <f>INDEX(Sheet2!$AA$2:$AS$228,QUOTIENT(ROW()-1,19)+1,MOD(ROW()-2,19)+1)</f>
        <v>#N/A</v>
      </c>
      <c r="DL3829" t="str">
        <f>IFERROR(INDEX(Sheet2!$AU$2:$BM$228,QUOTIENT(ROW()-1,19)+1,MOD(ROW()-2,19)+1),NA())</f>
        <v/>
      </c>
      <c r="DM3829" s="4" t="e">
        <f t="shared" si="198"/>
        <v>#N/A</v>
      </c>
      <c r="DN3829" t="str">
        <f t="shared" si="199"/>
        <v/>
      </c>
      <c r="DO3829" t="e">
        <f t="shared" si="200"/>
        <v>#N/A</v>
      </c>
    </row>
    <row r="3830" spans="7:119" x14ac:dyDescent="0.25">
      <c r="G3830"/>
      <c r="DI3830" s="4">
        <f>INDEX(Sheet2!A:A,QUOTIENT(ROW()-1,19)+2)</f>
        <v>41808</v>
      </c>
      <c r="DJ3830" s="4">
        <f>INDEX(Sheet2!C:C,QUOTIENT(ROW()-1,19)+2)</f>
        <v>42369</v>
      </c>
      <c r="DK3830" s="4" t="e">
        <f>INDEX(Sheet2!$AA$2:$AS$228,QUOTIENT(ROW()-1,19)+1,MOD(ROW()-2,19)+1)</f>
        <v>#N/A</v>
      </c>
      <c r="DL3830" t="str">
        <f>IFERROR(INDEX(Sheet2!$AU$2:$BM$228,QUOTIENT(ROW()-1,19)+1,MOD(ROW()-2,19)+1),NA())</f>
        <v/>
      </c>
      <c r="DM3830" s="4" t="e">
        <f t="shared" si="198"/>
        <v>#N/A</v>
      </c>
      <c r="DN3830" t="str">
        <f t="shared" si="199"/>
        <v/>
      </c>
      <c r="DO3830" t="e">
        <f t="shared" si="200"/>
        <v>#N/A</v>
      </c>
    </row>
    <row r="3831" spans="7:119" x14ac:dyDescent="0.25">
      <c r="G3831"/>
      <c r="DI3831" s="4">
        <f>INDEX(Sheet2!A:A,QUOTIENT(ROW()-1,19)+2)</f>
        <v>41808</v>
      </c>
      <c r="DJ3831" s="4">
        <f>INDEX(Sheet2!C:C,QUOTIENT(ROW()-1,19)+2)</f>
        <v>42369</v>
      </c>
      <c r="DK3831" s="4" t="e">
        <f>INDEX(Sheet2!$AA$2:$AS$228,QUOTIENT(ROW()-1,19)+1,MOD(ROW()-2,19)+1)</f>
        <v>#N/A</v>
      </c>
      <c r="DL3831" t="str">
        <f>IFERROR(INDEX(Sheet2!$AU$2:$BM$228,QUOTIENT(ROW()-1,19)+1,MOD(ROW()-2,19)+1),NA())</f>
        <v/>
      </c>
      <c r="DM3831" s="4" t="e">
        <f t="shared" si="198"/>
        <v>#N/A</v>
      </c>
      <c r="DN3831" t="str">
        <f t="shared" si="199"/>
        <v/>
      </c>
      <c r="DO3831" t="e">
        <f t="shared" si="200"/>
        <v>#N/A</v>
      </c>
    </row>
    <row r="3832" spans="7:119" x14ac:dyDescent="0.25">
      <c r="G3832"/>
      <c r="DI3832" s="4">
        <f>INDEX(Sheet2!A:A,QUOTIENT(ROW()-1,19)+2)</f>
        <v>41808</v>
      </c>
      <c r="DJ3832" s="4">
        <f>INDEX(Sheet2!C:C,QUOTIENT(ROW()-1,19)+2)</f>
        <v>42369</v>
      </c>
      <c r="DK3832" s="4" t="e">
        <f>INDEX(Sheet2!$AA$2:$AS$228,QUOTIENT(ROW()-1,19)+1,MOD(ROW()-2,19)+1)</f>
        <v>#N/A</v>
      </c>
      <c r="DL3832" t="str">
        <f>IFERROR(INDEX(Sheet2!$AU$2:$BM$228,QUOTIENT(ROW()-1,19)+1,MOD(ROW()-2,19)+1),NA())</f>
        <v/>
      </c>
      <c r="DM3832" s="4" t="e">
        <f t="shared" si="198"/>
        <v>#N/A</v>
      </c>
      <c r="DN3832" t="str">
        <f t="shared" si="199"/>
        <v/>
      </c>
      <c r="DO3832" t="e">
        <f t="shared" si="200"/>
        <v>#N/A</v>
      </c>
    </row>
    <row r="3833" spans="7:119" x14ac:dyDescent="0.25">
      <c r="G3833"/>
      <c r="DI3833" s="4">
        <f>INDEX(Sheet2!A:A,QUOTIENT(ROW()-1,19)+2)</f>
        <v>41808</v>
      </c>
      <c r="DJ3833" s="4">
        <f>INDEX(Sheet2!C:C,QUOTIENT(ROW()-1,19)+2)</f>
        <v>42369</v>
      </c>
      <c r="DK3833" s="4" t="e">
        <f>INDEX(Sheet2!$AA$2:$AS$228,QUOTIENT(ROW()-1,19)+1,MOD(ROW()-2,19)+1)</f>
        <v>#N/A</v>
      </c>
      <c r="DL3833" t="str">
        <f>IFERROR(INDEX(Sheet2!$AU$2:$BM$228,QUOTIENT(ROW()-1,19)+1,MOD(ROW()-2,19)+1),NA())</f>
        <v/>
      </c>
      <c r="DM3833" s="4" t="e">
        <f t="shared" si="198"/>
        <v>#N/A</v>
      </c>
      <c r="DN3833" t="str">
        <f t="shared" si="199"/>
        <v/>
      </c>
      <c r="DO3833" t="e">
        <f t="shared" si="200"/>
        <v>#N/A</v>
      </c>
    </row>
    <row r="3834" spans="7:119" x14ac:dyDescent="0.25">
      <c r="G3834"/>
      <c r="DI3834" s="4">
        <f>INDEX(Sheet2!A:A,QUOTIENT(ROW()-1,19)+2)</f>
        <v>41808</v>
      </c>
      <c r="DJ3834" s="4">
        <f>INDEX(Sheet2!C:C,QUOTIENT(ROW()-1,19)+2)</f>
        <v>42369</v>
      </c>
      <c r="DK3834" s="4" t="e">
        <f>INDEX(Sheet2!$AA$2:$AS$228,QUOTIENT(ROW()-1,19)+1,MOD(ROW()-2,19)+1)</f>
        <v>#N/A</v>
      </c>
      <c r="DL3834" t="str">
        <f>IFERROR(INDEX(Sheet2!$AU$2:$BM$228,QUOTIENT(ROW()-1,19)+1,MOD(ROW()-2,19)+1),NA())</f>
        <v/>
      </c>
      <c r="DM3834" s="4" t="e">
        <f t="shared" si="198"/>
        <v>#N/A</v>
      </c>
      <c r="DN3834" t="str">
        <f t="shared" si="199"/>
        <v/>
      </c>
      <c r="DO3834" t="e">
        <f t="shared" si="200"/>
        <v>#N/A</v>
      </c>
    </row>
    <row r="3835" spans="7:119" x14ac:dyDescent="0.25">
      <c r="G3835"/>
      <c r="DI3835" s="4">
        <f>INDEX(Sheet2!A:A,QUOTIENT(ROW()-1,19)+2)</f>
        <v>41808</v>
      </c>
      <c r="DJ3835" s="4">
        <f>INDEX(Sheet2!C:C,QUOTIENT(ROW()-1,19)+2)</f>
        <v>42369</v>
      </c>
      <c r="DK3835" s="4" t="e">
        <f>INDEX(Sheet2!$AA$2:$AS$228,QUOTIENT(ROW()-1,19)+1,MOD(ROW()-2,19)+1)</f>
        <v>#N/A</v>
      </c>
      <c r="DL3835" t="str">
        <f>IFERROR(INDEX(Sheet2!$AU$2:$BM$228,QUOTIENT(ROW()-1,19)+1,MOD(ROW()-2,19)+1),NA())</f>
        <v/>
      </c>
      <c r="DM3835" s="4" t="e">
        <f t="shared" si="198"/>
        <v>#N/A</v>
      </c>
      <c r="DN3835" t="str">
        <f t="shared" si="199"/>
        <v/>
      </c>
      <c r="DO3835" t="e">
        <f t="shared" si="200"/>
        <v>#N/A</v>
      </c>
    </row>
    <row r="3836" spans="7:119" x14ac:dyDescent="0.25">
      <c r="G3836"/>
      <c r="DI3836" s="4">
        <f>INDEX(Sheet2!A:A,QUOTIENT(ROW()-1,19)+2)</f>
        <v>41808</v>
      </c>
      <c r="DJ3836" s="4">
        <f>INDEX(Sheet2!C:C,QUOTIENT(ROW()-1,19)+2)</f>
        <v>42369</v>
      </c>
      <c r="DK3836" s="4" t="e">
        <f>INDEX(Sheet2!$AA$2:$AS$228,QUOTIENT(ROW()-1,19)+1,MOD(ROW()-2,19)+1)</f>
        <v>#N/A</v>
      </c>
      <c r="DL3836" t="str">
        <f>IFERROR(INDEX(Sheet2!$AU$2:$BM$228,QUOTIENT(ROW()-1,19)+1,MOD(ROW()-2,19)+1),NA())</f>
        <v/>
      </c>
      <c r="DM3836" s="4" t="e">
        <f t="shared" si="198"/>
        <v>#N/A</v>
      </c>
      <c r="DN3836" t="str">
        <f t="shared" si="199"/>
        <v/>
      </c>
      <c r="DO3836" t="e">
        <f t="shared" si="200"/>
        <v>#N/A</v>
      </c>
    </row>
    <row r="3837" spans="7:119" x14ac:dyDescent="0.25">
      <c r="G3837"/>
      <c r="DI3837" s="4">
        <f>INDEX(Sheet2!A:A,QUOTIENT(ROW()-1,19)+2)</f>
        <v>41808</v>
      </c>
      <c r="DJ3837" s="4">
        <f>INDEX(Sheet2!C:C,QUOTIENT(ROW()-1,19)+2)</f>
        <v>42369</v>
      </c>
      <c r="DK3837" s="4" t="e">
        <f>INDEX(Sheet2!$AA$2:$AS$228,QUOTIENT(ROW()-1,19)+1,MOD(ROW()-2,19)+1)</f>
        <v>#N/A</v>
      </c>
      <c r="DL3837" t="str">
        <f>IFERROR(INDEX(Sheet2!$AU$2:$BM$228,QUOTIENT(ROW()-1,19)+1,MOD(ROW()-2,19)+1),NA())</f>
        <v/>
      </c>
      <c r="DM3837" s="4" t="e">
        <f t="shared" si="198"/>
        <v>#N/A</v>
      </c>
      <c r="DN3837" t="str">
        <f t="shared" si="199"/>
        <v/>
      </c>
      <c r="DO3837" t="e">
        <f t="shared" si="200"/>
        <v>#N/A</v>
      </c>
    </row>
    <row r="3838" spans="7:119" x14ac:dyDescent="0.25">
      <c r="G3838"/>
      <c r="DI3838" s="4">
        <f>INDEX(Sheet2!A:A,QUOTIENT(ROW()-1,19)+2)</f>
        <v>41808</v>
      </c>
      <c r="DJ3838" s="4">
        <f>INDEX(Sheet2!C:C,QUOTIENT(ROW()-1,19)+2)</f>
        <v>42369</v>
      </c>
      <c r="DK3838" s="4" t="e">
        <f>INDEX(Sheet2!$AA$2:$AS$228,QUOTIENT(ROW()-1,19)+1,MOD(ROW()-2,19)+1)</f>
        <v>#N/A</v>
      </c>
      <c r="DL3838" t="str">
        <f>IFERROR(INDEX(Sheet2!$AU$2:$BM$228,QUOTIENT(ROW()-1,19)+1,MOD(ROW()-2,19)+1),NA())</f>
        <v/>
      </c>
      <c r="DM3838" s="4" t="e">
        <f t="shared" si="198"/>
        <v>#N/A</v>
      </c>
      <c r="DN3838" t="str">
        <f t="shared" si="199"/>
        <v/>
      </c>
      <c r="DO3838" t="e">
        <f t="shared" si="200"/>
        <v>#N/A</v>
      </c>
    </row>
    <row r="3839" spans="7:119" x14ac:dyDescent="0.25">
      <c r="G3839"/>
      <c r="DI3839" s="4">
        <f>INDEX(Sheet2!A:A,QUOTIENT(ROW()-1,19)+2)</f>
        <v>41808</v>
      </c>
      <c r="DJ3839" s="4">
        <f>INDEX(Sheet2!C:C,QUOTIENT(ROW()-1,19)+2)</f>
        <v>42369</v>
      </c>
      <c r="DK3839" s="4" t="e">
        <f>INDEX(Sheet2!$AA$2:$AS$228,QUOTIENT(ROW()-1,19)+1,MOD(ROW()-2,19)+1)</f>
        <v>#N/A</v>
      </c>
      <c r="DL3839" t="str">
        <f>IFERROR(INDEX(Sheet2!$AU$2:$BM$228,QUOTIENT(ROW()-1,19)+1,MOD(ROW()-2,19)+1),NA())</f>
        <v/>
      </c>
      <c r="DM3839" s="4" t="e">
        <f t="shared" si="198"/>
        <v>#N/A</v>
      </c>
      <c r="DN3839" t="str">
        <f t="shared" si="199"/>
        <v/>
      </c>
      <c r="DO3839" t="e">
        <f t="shared" si="200"/>
        <v>#N/A</v>
      </c>
    </row>
    <row r="3840" spans="7:119" x14ac:dyDescent="0.25">
      <c r="G3840"/>
      <c r="DI3840" s="4">
        <f>INDEX(Sheet2!A:A,QUOTIENT(ROW()-1,19)+2)</f>
        <v>41808</v>
      </c>
      <c r="DJ3840" s="4">
        <f>INDEX(Sheet2!C:C,QUOTIENT(ROW()-1,19)+2)</f>
        <v>42369</v>
      </c>
      <c r="DK3840" s="4">
        <f>INDEX(Sheet2!$AA$2:$AS$228,QUOTIENT(ROW()-1,19)+1,MOD(ROW()-2,19)+1)</f>
        <v>42369</v>
      </c>
      <c r="DL3840">
        <f>IFERROR(INDEX(Sheet2!$AU$2:$BM$228,QUOTIENT(ROW()-1,19)+1,MOD(ROW()-2,19)+1),NA())</f>
        <v>0.75</v>
      </c>
      <c r="DM3840" s="4">
        <f t="shared" si="198"/>
        <v>42369</v>
      </c>
      <c r="DN3840">
        <f t="shared" si="199"/>
        <v>0.75</v>
      </c>
      <c r="DO3840">
        <f t="shared" si="200"/>
        <v>0.75</v>
      </c>
    </row>
    <row r="3841" spans="7:119" x14ac:dyDescent="0.25">
      <c r="G3841"/>
      <c r="DI3841" s="4">
        <f>INDEX(Sheet2!A:A,QUOTIENT(ROW()-1,19)+2)</f>
        <v>41808</v>
      </c>
      <c r="DJ3841" s="4">
        <f>INDEX(Sheet2!C:C,QUOTIENT(ROW()-1,19)+2)</f>
        <v>42369</v>
      </c>
      <c r="DK3841" s="4" t="e">
        <f>INDEX(Sheet2!$AA$2:$AS$228,QUOTIENT(ROW()-1,19)+1,MOD(ROW()-2,19)+1)</f>
        <v>#N/A</v>
      </c>
      <c r="DL3841" t="str">
        <f>IFERROR(INDEX(Sheet2!$AU$2:$BM$228,QUOTIENT(ROW()-1,19)+1,MOD(ROW()-2,19)+1),NA())</f>
        <v/>
      </c>
      <c r="DM3841" s="4" t="e">
        <f t="shared" si="198"/>
        <v>#N/A</v>
      </c>
      <c r="DN3841" t="str">
        <f t="shared" si="199"/>
        <v/>
      </c>
      <c r="DO3841" t="e">
        <f t="shared" si="200"/>
        <v>#N/A</v>
      </c>
    </row>
    <row r="3842" spans="7:119" x14ac:dyDescent="0.25">
      <c r="G3842"/>
      <c r="DI3842" s="4">
        <f>INDEX(Sheet2!A:A,QUOTIENT(ROW()-1,19)+2)</f>
        <v>41808</v>
      </c>
      <c r="DJ3842" s="4">
        <f>INDEX(Sheet2!C:C,QUOTIENT(ROW()-1,19)+2)</f>
        <v>42369</v>
      </c>
      <c r="DK3842" s="4" t="e">
        <f>INDEX(Sheet2!$AA$2:$AS$228,QUOTIENT(ROW()-1,19)+1,MOD(ROW()-2,19)+1)</f>
        <v>#N/A</v>
      </c>
      <c r="DL3842" t="str">
        <f>IFERROR(INDEX(Sheet2!$AU$2:$BM$228,QUOTIENT(ROW()-1,19)+1,MOD(ROW()-2,19)+1),NA())</f>
        <v/>
      </c>
      <c r="DM3842" s="4" t="e">
        <f t="shared" ref="DM3842:DM3905" si="201">+IF($C$2=$DI3842,DK3842,NA())</f>
        <v>#N/A</v>
      </c>
      <c r="DN3842" t="str">
        <f t="shared" ref="DN3842:DN3905" si="202">+IF($C$2=$DI3842,DL3842,NA())</f>
        <v/>
      </c>
      <c r="DO3842" t="e">
        <f t="shared" si="200"/>
        <v>#N/A</v>
      </c>
    </row>
    <row r="3843" spans="7:119" x14ac:dyDescent="0.25">
      <c r="G3843"/>
      <c r="DI3843" s="4">
        <f>INDEX(Sheet2!A:A,QUOTIENT(ROW()-1,19)+2)</f>
        <v>41808</v>
      </c>
      <c r="DJ3843" s="4">
        <f>INDEX(Sheet2!C:C,QUOTIENT(ROW()-1,19)+2)</f>
        <v>42369</v>
      </c>
      <c r="DK3843" s="4" t="e">
        <f>INDEX(Sheet2!$AA$2:$AS$228,QUOTIENT(ROW()-1,19)+1,MOD(ROW()-2,19)+1)</f>
        <v>#N/A</v>
      </c>
      <c r="DL3843" t="str">
        <f>IFERROR(INDEX(Sheet2!$AU$2:$BM$228,QUOTIENT(ROW()-1,19)+1,MOD(ROW()-2,19)+1),NA())</f>
        <v/>
      </c>
      <c r="DM3843" s="4" t="e">
        <f t="shared" si="201"/>
        <v>#N/A</v>
      </c>
      <c r="DN3843" t="str">
        <f t="shared" si="202"/>
        <v/>
      </c>
      <c r="DO3843" t="e">
        <f t="shared" ref="DO3843:DO3906" si="203">IF(DN3843="",NA(),DN3843)</f>
        <v>#N/A</v>
      </c>
    </row>
    <row r="3844" spans="7:119" x14ac:dyDescent="0.25">
      <c r="G3844"/>
      <c r="DI3844" s="4">
        <f>INDEX(Sheet2!A:A,QUOTIENT(ROW()-1,19)+2)</f>
        <v>41808</v>
      </c>
      <c r="DJ3844" s="4">
        <f>INDEX(Sheet2!C:C,QUOTIENT(ROW()-1,19)+2)</f>
        <v>42369</v>
      </c>
      <c r="DK3844" s="4" t="e">
        <f>INDEX(Sheet2!$AA$2:$AS$228,QUOTIENT(ROW()-1,19)+1,MOD(ROW()-2,19)+1)</f>
        <v>#N/A</v>
      </c>
      <c r="DL3844" t="str">
        <f>IFERROR(INDEX(Sheet2!$AU$2:$BM$228,QUOTIENT(ROW()-1,19)+1,MOD(ROW()-2,19)+1),NA())</f>
        <v/>
      </c>
      <c r="DM3844" s="4" t="e">
        <f t="shared" si="201"/>
        <v>#N/A</v>
      </c>
      <c r="DN3844" t="str">
        <f t="shared" si="202"/>
        <v/>
      </c>
      <c r="DO3844" t="e">
        <f t="shared" si="203"/>
        <v>#N/A</v>
      </c>
    </row>
    <row r="3845" spans="7:119" x14ac:dyDescent="0.25">
      <c r="G3845"/>
      <c r="DI3845" s="4">
        <f>INDEX(Sheet2!A:A,QUOTIENT(ROW()-1,19)+2)</f>
        <v>41808</v>
      </c>
      <c r="DJ3845" s="4">
        <f>INDEX(Sheet2!C:C,QUOTIENT(ROW()-1,19)+2)</f>
        <v>42369</v>
      </c>
      <c r="DK3845" s="4" t="e">
        <f>INDEX(Sheet2!$AA$2:$AS$228,QUOTIENT(ROW()-1,19)+1,MOD(ROW()-2,19)+1)</f>
        <v>#N/A</v>
      </c>
      <c r="DL3845" t="str">
        <f>IFERROR(INDEX(Sheet2!$AU$2:$BM$228,QUOTIENT(ROW()-1,19)+1,MOD(ROW()-2,19)+1),NA())</f>
        <v/>
      </c>
      <c r="DM3845" s="4" t="e">
        <f t="shared" si="201"/>
        <v>#N/A</v>
      </c>
      <c r="DN3845" t="str">
        <f t="shared" si="202"/>
        <v/>
      </c>
      <c r="DO3845" t="e">
        <f t="shared" si="203"/>
        <v>#N/A</v>
      </c>
    </row>
    <row r="3846" spans="7:119" x14ac:dyDescent="0.25">
      <c r="G3846"/>
      <c r="DI3846" s="4">
        <f>INDEX(Sheet2!A:A,QUOTIENT(ROW()-1,19)+2)</f>
        <v>41808</v>
      </c>
      <c r="DJ3846" s="4">
        <f>INDEX(Sheet2!C:C,QUOTIENT(ROW()-1,19)+2)</f>
        <v>42369</v>
      </c>
      <c r="DK3846" s="4" t="e">
        <f>INDEX(Sheet2!$AA$2:$AS$228,QUOTIENT(ROW()-1,19)+1,MOD(ROW()-2,19)+1)</f>
        <v>#N/A</v>
      </c>
      <c r="DL3846" t="str">
        <f>IFERROR(INDEX(Sheet2!$AU$2:$BM$228,QUOTIENT(ROW()-1,19)+1,MOD(ROW()-2,19)+1),NA())</f>
        <v/>
      </c>
      <c r="DM3846" s="4" t="e">
        <f t="shared" si="201"/>
        <v>#N/A</v>
      </c>
      <c r="DN3846" t="str">
        <f t="shared" si="202"/>
        <v/>
      </c>
      <c r="DO3846" t="e">
        <f t="shared" si="203"/>
        <v>#N/A</v>
      </c>
    </row>
    <row r="3847" spans="7:119" x14ac:dyDescent="0.25">
      <c r="G3847"/>
      <c r="DI3847" s="4">
        <f>INDEX(Sheet2!A:A,QUOTIENT(ROW()-1,19)+2)</f>
        <v>41808</v>
      </c>
      <c r="DJ3847" s="4">
        <f>INDEX(Sheet2!C:C,QUOTIENT(ROW()-1,19)+2)</f>
        <v>42369</v>
      </c>
      <c r="DK3847" s="4" t="e">
        <f>INDEX(Sheet2!$AA$2:$AS$228,QUOTIENT(ROW()-1,19)+1,MOD(ROW()-2,19)+1)</f>
        <v>#N/A</v>
      </c>
      <c r="DL3847" t="str">
        <f>IFERROR(INDEX(Sheet2!$AU$2:$BM$228,QUOTIENT(ROW()-1,19)+1,MOD(ROW()-2,19)+1),NA())</f>
        <v/>
      </c>
      <c r="DM3847" s="4" t="e">
        <f t="shared" si="201"/>
        <v>#N/A</v>
      </c>
      <c r="DN3847" t="str">
        <f t="shared" si="202"/>
        <v/>
      </c>
      <c r="DO3847" t="e">
        <f t="shared" si="203"/>
        <v>#N/A</v>
      </c>
    </row>
    <row r="3848" spans="7:119" x14ac:dyDescent="0.25">
      <c r="G3848"/>
      <c r="DI3848" s="4">
        <f>INDEX(Sheet2!A:A,QUOTIENT(ROW()-1,19)+2)</f>
        <v>41808</v>
      </c>
      <c r="DJ3848" s="4">
        <f>INDEX(Sheet2!C:C,QUOTIENT(ROW()-1,19)+2)</f>
        <v>42369</v>
      </c>
      <c r="DK3848" s="4" t="e">
        <f>INDEX(Sheet2!$AA$2:$AS$228,QUOTIENT(ROW()-1,19)+1,MOD(ROW()-2,19)+1)</f>
        <v>#N/A</v>
      </c>
      <c r="DL3848" t="str">
        <f>IFERROR(INDEX(Sheet2!$AU$2:$BM$228,QUOTIENT(ROW()-1,19)+1,MOD(ROW()-2,19)+1),NA())</f>
        <v/>
      </c>
      <c r="DM3848" s="4" t="e">
        <f t="shared" si="201"/>
        <v>#N/A</v>
      </c>
      <c r="DN3848" t="str">
        <f t="shared" si="202"/>
        <v/>
      </c>
      <c r="DO3848" t="e">
        <f t="shared" si="203"/>
        <v>#N/A</v>
      </c>
    </row>
    <row r="3849" spans="7:119" x14ac:dyDescent="0.25">
      <c r="G3849"/>
      <c r="DI3849" s="4">
        <f>INDEX(Sheet2!A:A,QUOTIENT(ROW()-1,19)+2)</f>
        <v>41808</v>
      </c>
      <c r="DJ3849" s="4">
        <f>INDEX(Sheet2!C:C,QUOTIENT(ROW()-1,19)+2)</f>
        <v>42369</v>
      </c>
      <c r="DK3849" s="4" t="e">
        <f>INDEX(Sheet2!$AA$2:$AS$228,QUOTIENT(ROW()-1,19)+1,MOD(ROW()-2,19)+1)</f>
        <v>#N/A</v>
      </c>
      <c r="DL3849" t="str">
        <f>IFERROR(INDEX(Sheet2!$AU$2:$BM$228,QUOTIENT(ROW()-1,19)+1,MOD(ROW()-2,19)+1),NA())</f>
        <v/>
      </c>
      <c r="DM3849" s="4" t="e">
        <f t="shared" si="201"/>
        <v>#N/A</v>
      </c>
      <c r="DN3849" t="str">
        <f t="shared" si="202"/>
        <v/>
      </c>
      <c r="DO3849" t="e">
        <f t="shared" si="203"/>
        <v>#N/A</v>
      </c>
    </row>
    <row r="3850" spans="7:119" x14ac:dyDescent="0.25">
      <c r="G3850"/>
      <c r="DI3850" s="4">
        <f>INDEX(Sheet2!A:A,QUOTIENT(ROW()-1,19)+2)</f>
        <v>41808</v>
      </c>
      <c r="DJ3850" s="4">
        <f>INDEX(Sheet2!C:C,QUOTIENT(ROW()-1,19)+2)</f>
        <v>42369</v>
      </c>
      <c r="DK3850" s="4" t="e">
        <f>INDEX(Sheet2!$AA$2:$AS$228,QUOTIENT(ROW()-1,19)+1,MOD(ROW()-2,19)+1)</f>
        <v>#N/A</v>
      </c>
      <c r="DL3850" t="str">
        <f>IFERROR(INDEX(Sheet2!$AU$2:$BM$228,QUOTIENT(ROW()-1,19)+1,MOD(ROW()-2,19)+1),NA())</f>
        <v/>
      </c>
      <c r="DM3850" s="4" t="e">
        <f t="shared" si="201"/>
        <v>#N/A</v>
      </c>
      <c r="DN3850" t="str">
        <f t="shared" si="202"/>
        <v/>
      </c>
      <c r="DO3850" t="e">
        <f t="shared" si="203"/>
        <v>#N/A</v>
      </c>
    </row>
    <row r="3851" spans="7:119" x14ac:dyDescent="0.25">
      <c r="G3851"/>
      <c r="DI3851" s="4">
        <f>INDEX(Sheet2!A:A,QUOTIENT(ROW()-1,19)+2)</f>
        <v>41808</v>
      </c>
      <c r="DJ3851" s="4">
        <f>INDEX(Sheet2!C:C,QUOTIENT(ROW()-1,19)+2)</f>
        <v>42369</v>
      </c>
      <c r="DK3851" s="4" t="e">
        <f>INDEX(Sheet2!$AA$2:$AS$228,QUOTIENT(ROW()-1,19)+1,MOD(ROW()-2,19)+1)</f>
        <v>#N/A</v>
      </c>
      <c r="DL3851" t="str">
        <f>IFERROR(INDEX(Sheet2!$AU$2:$BM$228,QUOTIENT(ROW()-1,19)+1,MOD(ROW()-2,19)+1),NA())</f>
        <v/>
      </c>
      <c r="DM3851" s="4" t="e">
        <f t="shared" si="201"/>
        <v>#N/A</v>
      </c>
      <c r="DN3851" t="str">
        <f t="shared" si="202"/>
        <v/>
      </c>
      <c r="DO3851" t="e">
        <f t="shared" si="203"/>
        <v>#N/A</v>
      </c>
    </row>
    <row r="3852" spans="7:119" x14ac:dyDescent="0.25">
      <c r="G3852"/>
      <c r="DI3852" s="4">
        <f>INDEX(Sheet2!A:A,QUOTIENT(ROW()-1,19)+2)</f>
        <v>41808</v>
      </c>
      <c r="DJ3852" s="4">
        <f>INDEX(Sheet2!C:C,QUOTIENT(ROW()-1,19)+2)</f>
        <v>42369</v>
      </c>
      <c r="DK3852" s="4" t="e">
        <f>INDEX(Sheet2!$AA$2:$AS$228,QUOTIENT(ROW()-1,19)+1,MOD(ROW()-2,19)+1)</f>
        <v>#N/A</v>
      </c>
      <c r="DL3852" t="str">
        <f>IFERROR(INDEX(Sheet2!$AU$2:$BM$228,QUOTIENT(ROW()-1,19)+1,MOD(ROW()-2,19)+1),NA())</f>
        <v/>
      </c>
      <c r="DM3852" s="4" t="e">
        <f t="shared" si="201"/>
        <v>#N/A</v>
      </c>
      <c r="DN3852" t="str">
        <f t="shared" si="202"/>
        <v/>
      </c>
      <c r="DO3852" t="e">
        <f t="shared" si="203"/>
        <v>#N/A</v>
      </c>
    </row>
    <row r="3853" spans="7:119" x14ac:dyDescent="0.25">
      <c r="G3853"/>
      <c r="DI3853" s="4">
        <f>INDEX(Sheet2!A:A,QUOTIENT(ROW()-1,19)+2)</f>
        <v>41808</v>
      </c>
      <c r="DJ3853" s="4">
        <f>INDEX(Sheet2!C:C,QUOTIENT(ROW()-1,19)+2)</f>
        <v>42369</v>
      </c>
      <c r="DK3853" s="4" t="e">
        <f>INDEX(Sheet2!$AA$2:$AS$228,QUOTIENT(ROW()-1,19)+1,MOD(ROW()-2,19)+1)</f>
        <v>#N/A</v>
      </c>
      <c r="DL3853" t="str">
        <f>IFERROR(INDEX(Sheet2!$AU$2:$BM$228,QUOTIENT(ROW()-1,19)+1,MOD(ROW()-2,19)+1),NA())</f>
        <v/>
      </c>
      <c r="DM3853" s="4" t="e">
        <f t="shared" si="201"/>
        <v>#N/A</v>
      </c>
      <c r="DN3853" t="str">
        <f t="shared" si="202"/>
        <v/>
      </c>
      <c r="DO3853" t="e">
        <f t="shared" si="203"/>
        <v>#N/A</v>
      </c>
    </row>
    <row r="3854" spans="7:119" x14ac:dyDescent="0.25">
      <c r="G3854"/>
      <c r="DI3854" s="4">
        <f>INDEX(Sheet2!A:A,QUOTIENT(ROW()-1,19)+2)</f>
        <v>41808</v>
      </c>
      <c r="DJ3854" s="4">
        <f>INDEX(Sheet2!C:C,QUOTIENT(ROW()-1,19)+2)</f>
        <v>42369</v>
      </c>
      <c r="DK3854" s="4" t="e">
        <f>INDEX(Sheet2!$AA$2:$AS$228,QUOTIENT(ROW()-1,19)+1,MOD(ROW()-2,19)+1)</f>
        <v>#N/A</v>
      </c>
      <c r="DL3854" t="str">
        <f>IFERROR(INDEX(Sheet2!$AU$2:$BM$228,QUOTIENT(ROW()-1,19)+1,MOD(ROW()-2,19)+1),NA())</f>
        <v/>
      </c>
      <c r="DM3854" s="4" t="e">
        <f t="shared" si="201"/>
        <v>#N/A</v>
      </c>
      <c r="DN3854" t="str">
        <f t="shared" si="202"/>
        <v/>
      </c>
      <c r="DO3854" t="e">
        <f t="shared" si="203"/>
        <v>#N/A</v>
      </c>
    </row>
    <row r="3855" spans="7:119" x14ac:dyDescent="0.25">
      <c r="G3855"/>
      <c r="DI3855" s="4">
        <f>INDEX(Sheet2!A:A,QUOTIENT(ROW()-1,19)+2)</f>
        <v>41808</v>
      </c>
      <c r="DJ3855" s="4">
        <f>INDEX(Sheet2!C:C,QUOTIENT(ROW()-1,19)+2)</f>
        <v>42369</v>
      </c>
      <c r="DK3855" s="4" t="e">
        <f>INDEX(Sheet2!$AA$2:$AS$228,QUOTIENT(ROW()-1,19)+1,MOD(ROW()-2,19)+1)</f>
        <v>#N/A</v>
      </c>
      <c r="DL3855" t="str">
        <f>IFERROR(INDEX(Sheet2!$AU$2:$BM$228,QUOTIENT(ROW()-1,19)+1,MOD(ROW()-2,19)+1),NA())</f>
        <v/>
      </c>
      <c r="DM3855" s="4" t="e">
        <f t="shared" si="201"/>
        <v>#N/A</v>
      </c>
      <c r="DN3855" t="str">
        <f t="shared" si="202"/>
        <v/>
      </c>
      <c r="DO3855" t="e">
        <f t="shared" si="203"/>
        <v>#N/A</v>
      </c>
    </row>
    <row r="3856" spans="7:119" x14ac:dyDescent="0.25">
      <c r="G3856"/>
      <c r="DI3856" s="4">
        <f>INDEX(Sheet2!A:A,QUOTIENT(ROW()-1,19)+2)</f>
        <v>41808</v>
      </c>
      <c r="DJ3856" s="4">
        <f>INDEX(Sheet2!C:C,QUOTIENT(ROW()-1,19)+2)</f>
        <v>42369</v>
      </c>
      <c r="DK3856" s="4" t="e">
        <f>INDEX(Sheet2!$AA$2:$AS$228,QUOTIENT(ROW()-1,19)+1,MOD(ROW()-2,19)+1)</f>
        <v>#N/A</v>
      </c>
      <c r="DL3856" t="str">
        <f>IFERROR(INDEX(Sheet2!$AU$2:$BM$228,QUOTIENT(ROW()-1,19)+1,MOD(ROW()-2,19)+1),NA())</f>
        <v/>
      </c>
      <c r="DM3856" s="4" t="e">
        <f t="shared" si="201"/>
        <v>#N/A</v>
      </c>
      <c r="DN3856" t="str">
        <f t="shared" si="202"/>
        <v/>
      </c>
      <c r="DO3856" t="e">
        <f t="shared" si="203"/>
        <v>#N/A</v>
      </c>
    </row>
    <row r="3857" spans="7:119" x14ac:dyDescent="0.25">
      <c r="G3857"/>
      <c r="DI3857" s="4">
        <f>INDEX(Sheet2!A:A,QUOTIENT(ROW()-1,19)+2)</f>
        <v>41808</v>
      </c>
      <c r="DJ3857" s="4">
        <f>INDEX(Sheet2!C:C,QUOTIENT(ROW()-1,19)+2)</f>
        <v>42369</v>
      </c>
      <c r="DK3857" s="4" t="e">
        <f>INDEX(Sheet2!$AA$2:$AS$228,QUOTIENT(ROW()-1,19)+1,MOD(ROW()-2,19)+1)</f>
        <v>#N/A</v>
      </c>
      <c r="DL3857" t="str">
        <f>IFERROR(INDEX(Sheet2!$AU$2:$BM$228,QUOTIENT(ROW()-1,19)+1,MOD(ROW()-2,19)+1),NA())</f>
        <v/>
      </c>
      <c r="DM3857" s="4" t="e">
        <f t="shared" si="201"/>
        <v>#N/A</v>
      </c>
      <c r="DN3857" t="str">
        <f t="shared" si="202"/>
        <v/>
      </c>
      <c r="DO3857" t="e">
        <f t="shared" si="203"/>
        <v>#N/A</v>
      </c>
    </row>
    <row r="3858" spans="7:119" x14ac:dyDescent="0.25">
      <c r="G3858"/>
      <c r="DI3858" s="4">
        <f>INDEX(Sheet2!A:A,QUOTIENT(ROW()-1,19)+2)</f>
        <v>41808</v>
      </c>
      <c r="DJ3858" s="4">
        <f>INDEX(Sheet2!C:C,QUOTIENT(ROW()-1,19)+2)</f>
        <v>42369</v>
      </c>
      <c r="DK3858" s="4" t="e">
        <f>INDEX(Sheet2!$AA$2:$AS$228,QUOTIENT(ROW()-1,19)+1,MOD(ROW()-2,19)+1)</f>
        <v>#N/A</v>
      </c>
      <c r="DL3858" t="str">
        <f>IFERROR(INDEX(Sheet2!$AU$2:$BM$228,QUOTIENT(ROW()-1,19)+1,MOD(ROW()-2,19)+1),NA())</f>
        <v/>
      </c>
      <c r="DM3858" s="4" t="e">
        <f t="shared" si="201"/>
        <v>#N/A</v>
      </c>
      <c r="DN3858" t="str">
        <f t="shared" si="202"/>
        <v/>
      </c>
      <c r="DO3858" t="e">
        <f t="shared" si="203"/>
        <v>#N/A</v>
      </c>
    </row>
    <row r="3859" spans="7:119" x14ac:dyDescent="0.25">
      <c r="G3859"/>
      <c r="DI3859" s="4">
        <f>INDEX(Sheet2!A:A,QUOTIENT(ROW()-1,19)+2)</f>
        <v>41808</v>
      </c>
      <c r="DJ3859" s="4">
        <f>INDEX(Sheet2!C:C,QUOTIENT(ROW()-1,19)+2)</f>
        <v>42369</v>
      </c>
      <c r="DK3859" s="4">
        <f>INDEX(Sheet2!$AA$2:$AS$228,QUOTIENT(ROW()-1,19)+1,MOD(ROW()-2,19)+1)</f>
        <v>42348.924999999996</v>
      </c>
      <c r="DL3859">
        <f>IFERROR(INDEX(Sheet2!$AU$2:$BM$228,QUOTIENT(ROW()-1,19)+1,MOD(ROW()-2,19)+1),NA())</f>
        <v>1</v>
      </c>
      <c r="DM3859" s="4">
        <f t="shared" si="201"/>
        <v>42348.924999999996</v>
      </c>
      <c r="DN3859">
        <f t="shared" si="202"/>
        <v>1</v>
      </c>
      <c r="DO3859">
        <f t="shared" si="203"/>
        <v>1</v>
      </c>
    </row>
    <row r="3860" spans="7:119" x14ac:dyDescent="0.25">
      <c r="G3860"/>
      <c r="DI3860" s="4">
        <f>INDEX(Sheet2!A:A,QUOTIENT(ROW()-1,19)+2)</f>
        <v>41808</v>
      </c>
      <c r="DJ3860" s="4">
        <f>INDEX(Sheet2!C:C,QUOTIENT(ROW()-1,19)+2)</f>
        <v>42369</v>
      </c>
      <c r="DK3860" s="4">
        <f>INDEX(Sheet2!$AA$2:$AS$228,QUOTIENT(ROW()-1,19)+1,MOD(ROW()-2,19)+1)</f>
        <v>42369</v>
      </c>
      <c r="DL3860">
        <f>IFERROR(INDEX(Sheet2!$AU$2:$BM$228,QUOTIENT(ROW()-1,19)+1,MOD(ROW()-2,19)+1),NA())</f>
        <v>1</v>
      </c>
      <c r="DM3860" s="4">
        <f t="shared" si="201"/>
        <v>42369</v>
      </c>
      <c r="DN3860">
        <f t="shared" si="202"/>
        <v>1</v>
      </c>
      <c r="DO3860">
        <f t="shared" si="203"/>
        <v>1</v>
      </c>
    </row>
    <row r="3861" spans="7:119" x14ac:dyDescent="0.25">
      <c r="G3861"/>
      <c r="DI3861" s="4">
        <f>INDEX(Sheet2!A:A,QUOTIENT(ROW()-1,19)+2)</f>
        <v>41808</v>
      </c>
      <c r="DJ3861" s="4">
        <f>INDEX(Sheet2!C:C,QUOTIENT(ROW()-1,19)+2)</f>
        <v>42369</v>
      </c>
      <c r="DK3861" s="4">
        <f>INDEX(Sheet2!$AA$2:$AS$228,QUOTIENT(ROW()-1,19)+1,MOD(ROW()-2,19)+1)</f>
        <v>42389.074999999997</v>
      </c>
      <c r="DL3861">
        <f>IFERROR(INDEX(Sheet2!$AU$2:$BM$228,QUOTIENT(ROW()-1,19)+1,MOD(ROW()-2,19)+1),NA())</f>
        <v>1</v>
      </c>
      <c r="DM3861" s="4">
        <f t="shared" si="201"/>
        <v>42389.074999999997</v>
      </c>
      <c r="DN3861">
        <f t="shared" si="202"/>
        <v>1</v>
      </c>
      <c r="DO3861">
        <f t="shared" si="203"/>
        <v>1</v>
      </c>
    </row>
    <row r="3862" spans="7:119" x14ac:dyDescent="0.25">
      <c r="G3862"/>
      <c r="DI3862" s="4">
        <f>INDEX(Sheet2!A:A,QUOTIENT(ROW()-1,19)+2)</f>
        <v>41808</v>
      </c>
      <c r="DJ3862" s="4">
        <f>INDEX(Sheet2!C:C,QUOTIENT(ROW()-1,19)+2)</f>
        <v>42369</v>
      </c>
      <c r="DK3862" s="4" t="e">
        <f>INDEX(Sheet2!$AA$2:$AS$228,QUOTIENT(ROW()-1,19)+1,MOD(ROW()-2,19)+1)</f>
        <v>#N/A</v>
      </c>
      <c r="DL3862" t="str">
        <f>IFERROR(INDEX(Sheet2!$AU$2:$BM$228,QUOTIENT(ROW()-1,19)+1,MOD(ROW()-2,19)+1),NA())</f>
        <v/>
      </c>
      <c r="DM3862" s="4" t="e">
        <f t="shared" si="201"/>
        <v>#N/A</v>
      </c>
      <c r="DN3862" t="str">
        <f t="shared" si="202"/>
        <v/>
      </c>
      <c r="DO3862" t="e">
        <f t="shared" si="203"/>
        <v>#N/A</v>
      </c>
    </row>
    <row r="3863" spans="7:119" x14ac:dyDescent="0.25">
      <c r="G3863"/>
      <c r="DI3863" s="4">
        <f>INDEX(Sheet2!A:A,QUOTIENT(ROW()-1,19)+2)</f>
        <v>41808</v>
      </c>
      <c r="DJ3863" s="4">
        <f>INDEX(Sheet2!C:C,QUOTIENT(ROW()-1,19)+2)</f>
        <v>42369</v>
      </c>
      <c r="DK3863" s="4" t="e">
        <f>INDEX(Sheet2!$AA$2:$AS$228,QUOTIENT(ROW()-1,19)+1,MOD(ROW()-2,19)+1)</f>
        <v>#N/A</v>
      </c>
      <c r="DL3863" t="str">
        <f>IFERROR(INDEX(Sheet2!$AU$2:$BM$228,QUOTIENT(ROW()-1,19)+1,MOD(ROW()-2,19)+1),NA())</f>
        <v/>
      </c>
      <c r="DM3863" s="4" t="e">
        <f t="shared" si="201"/>
        <v>#N/A</v>
      </c>
      <c r="DN3863" t="str">
        <f t="shared" si="202"/>
        <v/>
      </c>
      <c r="DO3863" t="e">
        <f t="shared" si="203"/>
        <v>#N/A</v>
      </c>
    </row>
    <row r="3864" spans="7:119" x14ac:dyDescent="0.25">
      <c r="G3864"/>
      <c r="DI3864" s="4">
        <f>INDEX(Sheet2!A:A,QUOTIENT(ROW()-1,19)+2)</f>
        <v>41808</v>
      </c>
      <c r="DJ3864" s="4">
        <f>INDEX(Sheet2!C:C,QUOTIENT(ROW()-1,19)+2)</f>
        <v>42369</v>
      </c>
      <c r="DK3864" s="4" t="e">
        <f>INDEX(Sheet2!$AA$2:$AS$228,QUOTIENT(ROW()-1,19)+1,MOD(ROW()-2,19)+1)</f>
        <v>#N/A</v>
      </c>
      <c r="DL3864" t="str">
        <f>IFERROR(INDEX(Sheet2!$AU$2:$BM$228,QUOTIENT(ROW()-1,19)+1,MOD(ROW()-2,19)+1),NA())</f>
        <v/>
      </c>
      <c r="DM3864" s="4" t="e">
        <f t="shared" si="201"/>
        <v>#N/A</v>
      </c>
      <c r="DN3864" t="str">
        <f t="shared" si="202"/>
        <v/>
      </c>
      <c r="DO3864" t="e">
        <f t="shared" si="203"/>
        <v>#N/A</v>
      </c>
    </row>
    <row r="3865" spans="7:119" x14ac:dyDescent="0.25">
      <c r="G3865"/>
      <c r="DI3865" s="4">
        <f>INDEX(Sheet2!A:A,QUOTIENT(ROW()-1,19)+2)</f>
        <v>41808</v>
      </c>
      <c r="DJ3865" s="4">
        <f>INDEX(Sheet2!C:C,QUOTIENT(ROW()-1,19)+2)</f>
        <v>42369</v>
      </c>
      <c r="DK3865" s="4" t="e">
        <f>INDEX(Sheet2!$AA$2:$AS$228,QUOTIENT(ROW()-1,19)+1,MOD(ROW()-2,19)+1)</f>
        <v>#N/A</v>
      </c>
      <c r="DL3865" t="str">
        <f>IFERROR(INDEX(Sheet2!$AU$2:$BM$228,QUOTIENT(ROW()-1,19)+1,MOD(ROW()-2,19)+1),NA())</f>
        <v/>
      </c>
      <c r="DM3865" s="4" t="e">
        <f t="shared" si="201"/>
        <v>#N/A</v>
      </c>
      <c r="DN3865" t="str">
        <f t="shared" si="202"/>
        <v/>
      </c>
      <c r="DO3865" t="e">
        <f t="shared" si="203"/>
        <v>#N/A</v>
      </c>
    </row>
    <row r="3866" spans="7:119" x14ac:dyDescent="0.25">
      <c r="G3866"/>
      <c r="DI3866" s="4">
        <f>INDEX(Sheet2!A:A,QUOTIENT(ROW()-1,19)+2)</f>
        <v>41808</v>
      </c>
      <c r="DJ3866" s="4">
        <f>INDEX(Sheet2!C:C,QUOTIENT(ROW()-1,19)+2)</f>
        <v>42369</v>
      </c>
      <c r="DK3866" s="4" t="e">
        <f>INDEX(Sheet2!$AA$2:$AS$228,QUOTIENT(ROW()-1,19)+1,MOD(ROW()-2,19)+1)</f>
        <v>#N/A</v>
      </c>
      <c r="DL3866" t="str">
        <f>IFERROR(INDEX(Sheet2!$AU$2:$BM$228,QUOTIENT(ROW()-1,19)+1,MOD(ROW()-2,19)+1),NA())</f>
        <v/>
      </c>
      <c r="DM3866" s="4" t="e">
        <f t="shared" si="201"/>
        <v>#N/A</v>
      </c>
      <c r="DN3866" t="str">
        <f t="shared" si="202"/>
        <v/>
      </c>
      <c r="DO3866" t="e">
        <f t="shared" si="203"/>
        <v>#N/A</v>
      </c>
    </row>
    <row r="3867" spans="7:119" x14ac:dyDescent="0.25">
      <c r="G3867"/>
      <c r="DI3867" s="4">
        <f>INDEX(Sheet2!A:A,QUOTIENT(ROW()-1,19)+2)</f>
        <v>41808</v>
      </c>
      <c r="DJ3867" s="4">
        <f>INDEX(Sheet2!C:C,QUOTIENT(ROW()-1,19)+2)</f>
        <v>42369</v>
      </c>
      <c r="DK3867" s="4" t="e">
        <f>INDEX(Sheet2!$AA$2:$AS$228,QUOTIENT(ROW()-1,19)+1,MOD(ROW()-2,19)+1)</f>
        <v>#N/A</v>
      </c>
      <c r="DL3867" t="str">
        <f>IFERROR(INDEX(Sheet2!$AU$2:$BM$228,QUOTIENT(ROW()-1,19)+1,MOD(ROW()-2,19)+1),NA())</f>
        <v/>
      </c>
      <c r="DM3867" s="4" t="e">
        <f t="shared" si="201"/>
        <v>#N/A</v>
      </c>
      <c r="DN3867" t="str">
        <f t="shared" si="202"/>
        <v/>
      </c>
      <c r="DO3867" t="e">
        <f t="shared" si="203"/>
        <v>#N/A</v>
      </c>
    </row>
    <row r="3868" spans="7:119" x14ac:dyDescent="0.25">
      <c r="G3868"/>
      <c r="DI3868" s="4">
        <f>INDEX(Sheet2!A:A,QUOTIENT(ROW()-1,19)+2)</f>
        <v>41808</v>
      </c>
      <c r="DJ3868" s="4">
        <f>INDEX(Sheet2!C:C,QUOTIENT(ROW()-1,19)+2)</f>
        <v>42369</v>
      </c>
      <c r="DK3868" s="4" t="e">
        <f>INDEX(Sheet2!$AA$2:$AS$228,QUOTIENT(ROW()-1,19)+1,MOD(ROW()-2,19)+1)</f>
        <v>#N/A</v>
      </c>
      <c r="DL3868" t="str">
        <f>IFERROR(INDEX(Sheet2!$AU$2:$BM$228,QUOTIENT(ROW()-1,19)+1,MOD(ROW()-2,19)+1),NA())</f>
        <v/>
      </c>
      <c r="DM3868" s="4" t="e">
        <f t="shared" si="201"/>
        <v>#N/A</v>
      </c>
      <c r="DN3868" t="str">
        <f t="shared" si="202"/>
        <v/>
      </c>
      <c r="DO3868" t="e">
        <f t="shared" si="203"/>
        <v>#N/A</v>
      </c>
    </row>
    <row r="3869" spans="7:119" x14ac:dyDescent="0.25">
      <c r="G3869"/>
      <c r="DI3869" s="4">
        <f>INDEX(Sheet2!A:A,QUOTIENT(ROW()-1,19)+2)</f>
        <v>41808</v>
      </c>
      <c r="DJ3869" s="4">
        <f>INDEX(Sheet2!C:C,QUOTIENT(ROW()-1,19)+2)</f>
        <v>42369</v>
      </c>
      <c r="DK3869" s="4" t="e">
        <f>INDEX(Sheet2!$AA$2:$AS$228,QUOTIENT(ROW()-1,19)+1,MOD(ROW()-2,19)+1)</f>
        <v>#N/A</v>
      </c>
      <c r="DL3869" t="str">
        <f>IFERROR(INDEX(Sheet2!$AU$2:$BM$228,QUOTIENT(ROW()-1,19)+1,MOD(ROW()-2,19)+1),NA())</f>
        <v/>
      </c>
      <c r="DM3869" s="4" t="e">
        <f t="shared" si="201"/>
        <v>#N/A</v>
      </c>
      <c r="DN3869" t="str">
        <f t="shared" si="202"/>
        <v/>
      </c>
      <c r="DO3869" t="e">
        <f t="shared" si="203"/>
        <v>#N/A</v>
      </c>
    </row>
    <row r="3870" spans="7:119" x14ac:dyDescent="0.25">
      <c r="G3870"/>
      <c r="DI3870" s="4">
        <f>INDEX(Sheet2!A:A,QUOTIENT(ROW()-1,19)+2)</f>
        <v>41808</v>
      </c>
      <c r="DJ3870" s="4">
        <f>INDEX(Sheet2!C:C,QUOTIENT(ROW()-1,19)+2)</f>
        <v>42369</v>
      </c>
      <c r="DK3870" s="4" t="e">
        <f>INDEX(Sheet2!$AA$2:$AS$228,QUOTIENT(ROW()-1,19)+1,MOD(ROW()-2,19)+1)</f>
        <v>#N/A</v>
      </c>
      <c r="DL3870" t="str">
        <f>IFERROR(INDEX(Sheet2!$AU$2:$BM$228,QUOTIENT(ROW()-1,19)+1,MOD(ROW()-2,19)+1),NA())</f>
        <v/>
      </c>
      <c r="DM3870" s="4" t="e">
        <f t="shared" si="201"/>
        <v>#N/A</v>
      </c>
      <c r="DN3870" t="str">
        <f t="shared" si="202"/>
        <v/>
      </c>
      <c r="DO3870" t="e">
        <f t="shared" si="203"/>
        <v>#N/A</v>
      </c>
    </row>
    <row r="3871" spans="7:119" x14ac:dyDescent="0.25">
      <c r="G3871"/>
      <c r="DI3871" s="4">
        <f>INDEX(Sheet2!A:A,QUOTIENT(ROW()-1,19)+2)</f>
        <v>41808</v>
      </c>
      <c r="DJ3871" s="4">
        <f>INDEX(Sheet2!C:C,QUOTIENT(ROW()-1,19)+2)</f>
        <v>42369</v>
      </c>
      <c r="DK3871" s="4" t="e">
        <f>INDEX(Sheet2!$AA$2:$AS$228,QUOTIENT(ROW()-1,19)+1,MOD(ROW()-2,19)+1)</f>
        <v>#N/A</v>
      </c>
      <c r="DL3871" t="str">
        <f>IFERROR(INDEX(Sheet2!$AU$2:$BM$228,QUOTIENT(ROW()-1,19)+1,MOD(ROW()-2,19)+1),NA())</f>
        <v/>
      </c>
      <c r="DM3871" s="4" t="e">
        <f t="shared" si="201"/>
        <v>#N/A</v>
      </c>
      <c r="DN3871" t="str">
        <f t="shared" si="202"/>
        <v/>
      </c>
      <c r="DO3871" t="e">
        <f t="shared" si="203"/>
        <v>#N/A</v>
      </c>
    </row>
    <row r="3872" spans="7:119" x14ac:dyDescent="0.25">
      <c r="G3872"/>
      <c r="DI3872" s="4">
        <f>INDEX(Sheet2!A:A,QUOTIENT(ROW()-1,19)+2)</f>
        <v>41808</v>
      </c>
      <c r="DJ3872" s="4">
        <f>INDEX(Sheet2!C:C,QUOTIENT(ROW()-1,19)+2)</f>
        <v>42369</v>
      </c>
      <c r="DK3872" s="4" t="e">
        <f>INDEX(Sheet2!$AA$2:$AS$228,QUOTIENT(ROW()-1,19)+1,MOD(ROW()-2,19)+1)</f>
        <v>#N/A</v>
      </c>
      <c r="DL3872" t="str">
        <f>IFERROR(INDEX(Sheet2!$AU$2:$BM$228,QUOTIENT(ROW()-1,19)+1,MOD(ROW()-2,19)+1),NA())</f>
        <v/>
      </c>
      <c r="DM3872" s="4" t="e">
        <f t="shared" si="201"/>
        <v>#N/A</v>
      </c>
      <c r="DN3872" t="str">
        <f t="shared" si="202"/>
        <v/>
      </c>
      <c r="DO3872" t="e">
        <f t="shared" si="203"/>
        <v>#N/A</v>
      </c>
    </row>
    <row r="3873" spans="7:119" x14ac:dyDescent="0.25">
      <c r="G3873"/>
      <c r="DI3873" s="4">
        <f>INDEX(Sheet2!A:A,QUOTIENT(ROW()-1,19)+2)</f>
        <v>41808</v>
      </c>
      <c r="DJ3873" s="4">
        <f>INDEX(Sheet2!C:C,QUOTIENT(ROW()-1,19)+2)</f>
        <v>42369</v>
      </c>
      <c r="DK3873" s="4" t="e">
        <f>INDEX(Sheet2!$AA$2:$AS$228,QUOTIENT(ROW()-1,19)+1,MOD(ROW()-2,19)+1)</f>
        <v>#N/A</v>
      </c>
      <c r="DL3873" t="str">
        <f>IFERROR(INDEX(Sheet2!$AU$2:$BM$228,QUOTIENT(ROW()-1,19)+1,MOD(ROW()-2,19)+1),NA())</f>
        <v/>
      </c>
      <c r="DM3873" s="4" t="e">
        <f t="shared" si="201"/>
        <v>#N/A</v>
      </c>
      <c r="DN3873" t="str">
        <f t="shared" si="202"/>
        <v/>
      </c>
      <c r="DO3873" t="e">
        <f t="shared" si="203"/>
        <v>#N/A</v>
      </c>
    </row>
    <row r="3874" spans="7:119" x14ac:dyDescent="0.25">
      <c r="G3874"/>
      <c r="DI3874" s="4">
        <f>INDEX(Sheet2!A:A,QUOTIENT(ROW()-1,19)+2)</f>
        <v>41808</v>
      </c>
      <c r="DJ3874" s="4">
        <f>INDEX(Sheet2!C:C,QUOTIENT(ROW()-1,19)+2)</f>
        <v>42369</v>
      </c>
      <c r="DK3874" s="4" t="e">
        <f>INDEX(Sheet2!$AA$2:$AS$228,QUOTIENT(ROW()-1,19)+1,MOD(ROW()-2,19)+1)</f>
        <v>#N/A</v>
      </c>
      <c r="DL3874" t="str">
        <f>IFERROR(INDEX(Sheet2!$AU$2:$BM$228,QUOTIENT(ROW()-1,19)+1,MOD(ROW()-2,19)+1),NA())</f>
        <v/>
      </c>
      <c r="DM3874" s="4" t="e">
        <f t="shared" si="201"/>
        <v>#N/A</v>
      </c>
      <c r="DN3874" t="str">
        <f t="shared" si="202"/>
        <v/>
      </c>
      <c r="DO3874" t="e">
        <f t="shared" si="203"/>
        <v>#N/A</v>
      </c>
    </row>
    <row r="3875" spans="7:119" x14ac:dyDescent="0.25">
      <c r="G3875"/>
      <c r="DI3875" s="4">
        <f>INDEX(Sheet2!A:A,QUOTIENT(ROW()-1,19)+2)</f>
        <v>41808</v>
      </c>
      <c r="DJ3875" s="4">
        <f>INDEX(Sheet2!C:C,QUOTIENT(ROW()-1,19)+2)</f>
        <v>42369</v>
      </c>
      <c r="DK3875" s="4" t="e">
        <f>INDEX(Sheet2!$AA$2:$AS$228,QUOTIENT(ROW()-1,19)+1,MOD(ROW()-2,19)+1)</f>
        <v>#N/A</v>
      </c>
      <c r="DL3875" t="str">
        <f>IFERROR(INDEX(Sheet2!$AU$2:$BM$228,QUOTIENT(ROW()-1,19)+1,MOD(ROW()-2,19)+1),NA())</f>
        <v/>
      </c>
      <c r="DM3875" s="4" t="e">
        <f t="shared" si="201"/>
        <v>#N/A</v>
      </c>
      <c r="DN3875" t="str">
        <f t="shared" si="202"/>
        <v/>
      </c>
      <c r="DO3875" t="e">
        <f t="shared" si="203"/>
        <v>#N/A</v>
      </c>
    </row>
    <row r="3876" spans="7:119" x14ac:dyDescent="0.25">
      <c r="G3876"/>
      <c r="DI3876" s="4">
        <f>INDEX(Sheet2!A:A,QUOTIENT(ROW()-1,19)+2)</f>
        <v>41808</v>
      </c>
      <c r="DJ3876" s="4">
        <f>INDEX(Sheet2!C:C,QUOTIENT(ROW()-1,19)+2)</f>
        <v>42369</v>
      </c>
      <c r="DK3876" s="4" t="e">
        <f>INDEX(Sheet2!$AA$2:$AS$228,QUOTIENT(ROW()-1,19)+1,MOD(ROW()-2,19)+1)</f>
        <v>#N/A</v>
      </c>
      <c r="DL3876" t="str">
        <f>IFERROR(INDEX(Sheet2!$AU$2:$BM$228,QUOTIENT(ROW()-1,19)+1,MOD(ROW()-2,19)+1),NA())</f>
        <v/>
      </c>
      <c r="DM3876" s="4" t="e">
        <f t="shared" si="201"/>
        <v>#N/A</v>
      </c>
      <c r="DN3876" t="str">
        <f t="shared" si="202"/>
        <v/>
      </c>
      <c r="DO3876" t="e">
        <f t="shared" si="203"/>
        <v>#N/A</v>
      </c>
    </row>
    <row r="3877" spans="7:119" x14ac:dyDescent="0.25">
      <c r="G3877"/>
      <c r="DI3877" s="4">
        <f>INDEX(Sheet2!A:A,QUOTIENT(ROW()-1,19)+2)</f>
        <v>41808</v>
      </c>
      <c r="DJ3877" s="4">
        <f>INDEX(Sheet2!C:C,QUOTIENT(ROW()-1,19)+2)</f>
        <v>42369</v>
      </c>
      <c r="DK3877" s="4" t="e">
        <f>INDEX(Sheet2!$AA$2:$AS$228,QUOTIENT(ROW()-1,19)+1,MOD(ROW()-2,19)+1)</f>
        <v>#N/A</v>
      </c>
      <c r="DL3877" t="str">
        <f>IFERROR(INDEX(Sheet2!$AU$2:$BM$228,QUOTIENT(ROW()-1,19)+1,MOD(ROW()-2,19)+1),NA())</f>
        <v/>
      </c>
      <c r="DM3877" s="4" t="e">
        <f t="shared" si="201"/>
        <v>#N/A</v>
      </c>
      <c r="DN3877" t="str">
        <f t="shared" si="202"/>
        <v/>
      </c>
      <c r="DO3877" t="e">
        <f t="shared" si="203"/>
        <v>#N/A</v>
      </c>
    </row>
    <row r="3878" spans="7:119" x14ac:dyDescent="0.25">
      <c r="G3878"/>
      <c r="DI3878" s="4">
        <f>INDEX(Sheet2!A:A,QUOTIENT(ROW()-1,19)+2)</f>
        <v>41808</v>
      </c>
      <c r="DJ3878" s="4">
        <f>INDEX(Sheet2!C:C,QUOTIENT(ROW()-1,19)+2)</f>
        <v>42369</v>
      </c>
      <c r="DK3878" s="4">
        <f>INDEX(Sheet2!$AA$2:$AS$228,QUOTIENT(ROW()-1,19)+1,MOD(ROW()-2,19)+1)</f>
        <v>42348.924999999996</v>
      </c>
      <c r="DL3878">
        <f>IFERROR(INDEX(Sheet2!$AU$2:$BM$228,QUOTIENT(ROW()-1,19)+1,MOD(ROW()-2,19)+1),NA())</f>
        <v>1.25</v>
      </c>
      <c r="DM3878" s="4">
        <f t="shared" si="201"/>
        <v>42348.924999999996</v>
      </c>
      <c r="DN3878">
        <f t="shared" si="202"/>
        <v>1.25</v>
      </c>
      <c r="DO3878">
        <f t="shared" si="203"/>
        <v>1.25</v>
      </c>
    </row>
    <row r="3879" spans="7:119" x14ac:dyDescent="0.25">
      <c r="G3879"/>
      <c r="DI3879" s="4">
        <f>INDEX(Sheet2!A:A,QUOTIENT(ROW()-1,19)+2)</f>
        <v>41808</v>
      </c>
      <c r="DJ3879" s="4">
        <f>INDEX(Sheet2!C:C,QUOTIENT(ROW()-1,19)+2)</f>
        <v>42369</v>
      </c>
      <c r="DK3879" s="4">
        <f>INDEX(Sheet2!$AA$2:$AS$228,QUOTIENT(ROW()-1,19)+1,MOD(ROW()-2,19)+1)</f>
        <v>42369</v>
      </c>
      <c r="DL3879">
        <f>IFERROR(INDEX(Sheet2!$AU$2:$BM$228,QUOTIENT(ROW()-1,19)+1,MOD(ROW()-2,19)+1),NA())</f>
        <v>1.25</v>
      </c>
      <c r="DM3879" s="4">
        <f t="shared" si="201"/>
        <v>42369</v>
      </c>
      <c r="DN3879">
        <f t="shared" si="202"/>
        <v>1.25</v>
      </c>
      <c r="DO3879">
        <f t="shared" si="203"/>
        <v>1.25</v>
      </c>
    </row>
    <row r="3880" spans="7:119" x14ac:dyDescent="0.25">
      <c r="G3880"/>
      <c r="DI3880" s="4">
        <f>INDEX(Sheet2!A:A,QUOTIENT(ROW()-1,19)+2)</f>
        <v>41808</v>
      </c>
      <c r="DJ3880" s="4">
        <f>INDEX(Sheet2!C:C,QUOTIENT(ROW()-1,19)+2)</f>
        <v>42369</v>
      </c>
      <c r="DK3880" s="4">
        <f>INDEX(Sheet2!$AA$2:$AS$228,QUOTIENT(ROW()-1,19)+1,MOD(ROW()-2,19)+1)</f>
        <v>42389.074999999997</v>
      </c>
      <c r="DL3880">
        <f>IFERROR(INDEX(Sheet2!$AU$2:$BM$228,QUOTIENT(ROW()-1,19)+1,MOD(ROW()-2,19)+1),NA())</f>
        <v>1.25</v>
      </c>
      <c r="DM3880" s="4">
        <f t="shared" si="201"/>
        <v>42389.074999999997</v>
      </c>
      <c r="DN3880">
        <f t="shared" si="202"/>
        <v>1.25</v>
      </c>
      <c r="DO3880">
        <f t="shared" si="203"/>
        <v>1.25</v>
      </c>
    </row>
    <row r="3881" spans="7:119" x14ac:dyDescent="0.25">
      <c r="G3881"/>
      <c r="DI3881" s="4">
        <f>INDEX(Sheet2!A:A,QUOTIENT(ROW()-1,19)+2)</f>
        <v>41808</v>
      </c>
      <c r="DJ3881" s="4">
        <f>INDEX(Sheet2!C:C,QUOTIENT(ROW()-1,19)+2)</f>
        <v>42369</v>
      </c>
      <c r="DK3881" s="4" t="e">
        <f>INDEX(Sheet2!$AA$2:$AS$228,QUOTIENT(ROW()-1,19)+1,MOD(ROW()-2,19)+1)</f>
        <v>#N/A</v>
      </c>
      <c r="DL3881" t="str">
        <f>IFERROR(INDEX(Sheet2!$AU$2:$BM$228,QUOTIENT(ROW()-1,19)+1,MOD(ROW()-2,19)+1),NA())</f>
        <v/>
      </c>
      <c r="DM3881" s="4" t="e">
        <f t="shared" si="201"/>
        <v>#N/A</v>
      </c>
      <c r="DN3881" t="str">
        <f t="shared" si="202"/>
        <v/>
      </c>
      <c r="DO3881" t="e">
        <f t="shared" si="203"/>
        <v>#N/A</v>
      </c>
    </row>
    <row r="3882" spans="7:119" x14ac:dyDescent="0.25">
      <c r="G3882"/>
      <c r="DI3882" s="4">
        <f>INDEX(Sheet2!A:A,QUOTIENT(ROW()-1,19)+2)</f>
        <v>41808</v>
      </c>
      <c r="DJ3882" s="4">
        <f>INDEX(Sheet2!C:C,QUOTIENT(ROW()-1,19)+2)</f>
        <v>42369</v>
      </c>
      <c r="DK3882" s="4" t="e">
        <f>INDEX(Sheet2!$AA$2:$AS$228,QUOTIENT(ROW()-1,19)+1,MOD(ROW()-2,19)+1)</f>
        <v>#N/A</v>
      </c>
      <c r="DL3882" t="str">
        <f>IFERROR(INDEX(Sheet2!$AU$2:$BM$228,QUOTIENT(ROW()-1,19)+1,MOD(ROW()-2,19)+1),NA())</f>
        <v/>
      </c>
      <c r="DM3882" s="4" t="e">
        <f t="shared" si="201"/>
        <v>#N/A</v>
      </c>
      <c r="DN3882" t="str">
        <f t="shared" si="202"/>
        <v/>
      </c>
      <c r="DO3882" t="e">
        <f t="shared" si="203"/>
        <v>#N/A</v>
      </c>
    </row>
    <row r="3883" spans="7:119" x14ac:dyDescent="0.25">
      <c r="G3883"/>
      <c r="DI3883" s="4">
        <f>INDEX(Sheet2!A:A,QUOTIENT(ROW()-1,19)+2)</f>
        <v>41808</v>
      </c>
      <c r="DJ3883" s="4">
        <f>INDEX(Sheet2!C:C,QUOTIENT(ROW()-1,19)+2)</f>
        <v>42369</v>
      </c>
      <c r="DK3883" s="4" t="e">
        <f>INDEX(Sheet2!$AA$2:$AS$228,QUOTIENT(ROW()-1,19)+1,MOD(ROW()-2,19)+1)</f>
        <v>#N/A</v>
      </c>
      <c r="DL3883" t="str">
        <f>IFERROR(INDEX(Sheet2!$AU$2:$BM$228,QUOTIENT(ROW()-1,19)+1,MOD(ROW()-2,19)+1),NA())</f>
        <v/>
      </c>
      <c r="DM3883" s="4" t="e">
        <f t="shared" si="201"/>
        <v>#N/A</v>
      </c>
      <c r="DN3883" t="str">
        <f t="shared" si="202"/>
        <v/>
      </c>
      <c r="DO3883" t="e">
        <f t="shared" si="203"/>
        <v>#N/A</v>
      </c>
    </row>
    <row r="3884" spans="7:119" x14ac:dyDescent="0.25">
      <c r="G3884"/>
      <c r="DI3884" s="4">
        <f>INDEX(Sheet2!A:A,QUOTIENT(ROW()-1,19)+2)</f>
        <v>41808</v>
      </c>
      <c r="DJ3884" s="4">
        <f>INDEX(Sheet2!C:C,QUOTIENT(ROW()-1,19)+2)</f>
        <v>42369</v>
      </c>
      <c r="DK3884" s="4" t="e">
        <f>INDEX(Sheet2!$AA$2:$AS$228,QUOTIENT(ROW()-1,19)+1,MOD(ROW()-2,19)+1)</f>
        <v>#N/A</v>
      </c>
      <c r="DL3884" t="str">
        <f>IFERROR(INDEX(Sheet2!$AU$2:$BM$228,QUOTIENT(ROW()-1,19)+1,MOD(ROW()-2,19)+1),NA())</f>
        <v/>
      </c>
      <c r="DM3884" s="4" t="e">
        <f t="shared" si="201"/>
        <v>#N/A</v>
      </c>
      <c r="DN3884" t="str">
        <f t="shared" si="202"/>
        <v/>
      </c>
      <c r="DO3884" t="e">
        <f t="shared" si="203"/>
        <v>#N/A</v>
      </c>
    </row>
    <row r="3885" spans="7:119" x14ac:dyDescent="0.25">
      <c r="G3885"/>
      <c r="DI3885" s="4">
        <f>INDEX(Sheet2!A:A,QUOTIENT(ROW()-1,19)+2)</f>
        <v>41808</v>
      </c>
      <c r="DJ3885" s="4">
        <f>INDEX(Sheet2!C:C,QUOTIENT(ROW()-1,19)+2)</f>
        <v>42369</v>
      </c>
      <c r="DK3885" s="4" t="e">
        <f>INDEX(Sheet2!$AA$2:$AS$228,QUOTIENT(ROW()-1,19)+1,MOD(ROW()-2,19)+1)</f>
        <v>#N/A</v>
      </c>
      <c r="DL3885" t="str">
        <f>IFERROR(INDEX(Sheet2!$AU$2:$BM$228,QUOTIENT(ROW()-1,19)+1,MOD(ROW()-2,19)+1),NA())</f>
        <v/>
      </c>
      <c r="DM3885" s="4" t="e">
        <f t="shared" si="201"/>
        <v>#N/A</v>
      </c>
      <c r="DN3885" t="str">
        <f t="shared" si="202"/>
        <v/>
      </c>
      <c r="DO3885" t="e">
        <f t="shared" si="203"/>
        <v>#N/A</v>
      </c>
    </row>
    <row r="3886" spans="7:119" x14ac:dyDescent="0.25">
      <c r="G3886"/>
      <c r="DI3886" s="4">
        <f>INDEX(Sheet2!A:A,QUOTIENT(ROW()-1,19)+2)</f>
        <v>41808</v>
      </c>
      <c r="DJ3886" s="4">
        <f>INDEX(Sheet2!C:C,QUOTIENT(ROW()-1,19)+2)</f>
        <v>42369</v>
      </c>
      <c r="DK3886" s="4" t="e">
        <f>INDEX(Sheet2!$AA$2:$AS$228,QUOTIENT(ROW()-1,19)+1,MOD(ROW()-2,19)+1)</f>
        <v>#N/A</v>
      </c>
      <c r="DL3886" t="str">
        <f>IFERROR(INDEX(Sheet2!$AU$2:$BM$228,QUOTIENT(ROW()-1,19)+1,MOD(ROW()-2,19)+1),NA())</f>
        <v/>
      </c>
      <c r="DM3886" s="4" t="e">
        <f t="shared" si="201"/>
        <v>#N/A</v>
      </c>
      <c r="DN3886" t="str">
        <f t="shared" si="202"/>
        <v/>
      </c>
      <c r="DO3886" t="e">
        <f t="shared" si="203"/>
        <v>#N/A</v>
      </c>
    </row>
    <row r="3887" spans="7:119" x14ac:dyDescent="0.25">
      <c r="G3887"/>
      <c r="DI3887" s="4">
        <f>INDEX(Sheet2!A:A,QUOTIENT(ROW()-1,19)+2)</f>
        <v>41808</v>
      </c>
      <c r="DJ3887" s="4">
        <f>INDEX(Sheet2!C:C,QUOTIENT(ROW()-1,19)+2)</f>
        <v>42369</v>
      </c>
      <c r="DK3887" s="4" t="e">
        <f>INDEX(Sheet2!$AA$2:$AS$228,QUOTIENT(ROW()-1,19)+1,MOD(ROW()-2,19)+1)</f>
        <v>#N/A</v>
      </c>
      <c r="DL3887" t="str">
        <f>IFERROR(INDEX(Sheet2!$AU$2:$BM$228,QUOTIENT(ROW()-1,19)+1,MOD(ROW()-2,19)+1),NA())</f>
        <v/>
      </c>
      <c r="DM3887" s="4" t="e">
        <f t="shared" si="201"/>
        <v>#N/A</v>
      </c>
      <c r="DN3887" t="str">
        <f t="shared" si="202"/>
        <v/>
      </c>
      <c r="DO3887" t="e">
        <f t="shared" si="203"/>
        <v>#N/A</v>
      </c>
    </row>
    <row r="3888" spans="7:119" x14ac:dyDescent="0.25">
      <c r="G3888"/>
      <c r="DI3888" s="4">
        <f>INDEX(Sheet2!A:A,QUOTIENT(ROW()-1,19)+2)</f>
        <v>41808</v>
      </c>
      <c r="DJ3888" s="4">
        <f>INDEX(Sheet2!C:C,QUOTIENT(ROW()-1,19)+2)</f>
        <v>42369</v>
      </c>
      <c r="DK3888" s="4" t="e">
        <f>INDEX(Sheet2!$AA$2:$AS$228,QUOTIENT(ROW()-1,19)+1,MOD(ROW()-2,19)+1)</f>
        <v>#N/A</v>
      </c>
      <c r="DL3888" t="str">
        <f>IFERROR(INDEX(Sheet2!$AU$2:$BM$228,QUOTIENT(ROW()-1,19)+1,MOD(ROW()-2,19)+1),NA())</f>
        <v/>
      </c>
      <c r="DM3888" s="4" t="e">
        <f t="shared" si="201"/>
        <v>#N/A</v>
      </c>
      <c r="DN3888" t="str">
        <f t="shared" si="202"/>
        <v/>
      </c>
      <c r="DO3888" t="e">
        <f t="shared" si="203"/>
        <v>#N/A</v>
      </c>
    </row>
    <row r="3889" spans="7:119" x14ac:dyDescent="0.25">
      <c r="G3889"/>
      <c r="DI3889" s="4">
        <f>INDEX(Sheet2!A:A,QUOTIENT(ROW()-1,19)+2)</f>
        <v>41808</v>
      </c>
      <c r="DJ3889" s="4">
        <f>INDEX(Sheet2!C:C,QUOTIENT(ROW()-1,19)+2)</f>
        <v>42369</v>
      </c>
      <c r="DK3889" s="4" t="e">
        <f>INDEX(Sheet2!$AA$2:$AS$228,QUOTIENT(ROW()-1,19)+1,MOD(ROW()-2,19)+1)</f>
        <v>#N/A</v>
      </c>
      <c r="DL3889" t="str">
        <f>IFERROR(INDEX(Sheet2!$AU$2:$BM$228,QUOTIENT(ROW()-1,19)+1,MOD(ROW()-2,19)+1),NA())</f>
        <v/>
      </c>
      <c r="DM3889" s="4" t="e">
        <f t="shared" si="201"/>
        <v>#N/A</v>
      </c>
      <c r="DN3889" t="str">
        <f t="shared" si="202"/>
        <v/>
      </c>
      <c r="DO3889" t="e">
        <f t="shared" si="203"/>
        <v>#N/A</v>
      </c>
    </row>
    <row r="3890" spans="7:119" x14ac:dyDescent="0.25">
      <c r="G3890"/>
      <c r="DI3890" s="4">
        <f>INDEX(Sheet2!A:A,QUOTIENT(ROW()-1,19)+2)</f>
        <v>41808</v>
      </c>
      <c r="DJ3890" s="4">
        <f>INDEX(Sheet2!C:C,QUOTIENT(ROW()-1,19)+2)</f>
        <v>42369</v>
      </c>
      <c r="DK3890" s="4" t="e">
        <f>INDEX(Sheet2!$AA$2:$AS$228,QUOTIENT(ROW()-1,19)+1,MOD(ROW()-2,19)+1)</f>
        <v>#N/A</v>
      </c>
      <c r="DL3890" t="str">
        <f>IFERROR(INDEX(Sheet2!$AU$2:$BM$228,QUOTIENT(ROW()-1,19)+1,MOD(ROW()-2,19)+1),NA())</f>
        <v/>
      </c>
      <c r="DM3890" s="4" t="e">
        <f t="shared" si="201"/>
        <v>#N/A</v>
      </c>
      <c r="DN3890" t="str">
        <f t="shared" si="202"/>
        <v/>
      </c>
      <c r="DO3890" t="e">
        <f t="shared" si="203"/>
        <v>#N/A</v>
      </c>
    </row>
    <row r="3891" spans="7:119" x14ac:dyDescent="0.25">
      <c r="G3891"/>
      <c r="DI3891" s="4">
        <f>INDEX(Sheet2!A:A,QUOTIENT(ROW()-1,19)+2)</f>
        <v>41808</v>
      </c>
      <c r="DJ3891" s="4">
        <f>INDEX(Sheet2!C:C,QUOTIENT(ROW()-1,19)+2)</f>
        <v>42369</v>
      </c>
      <c r="DK3891" s="4" t="e">
        <f>INDEX(Sheet2!$AA$2:$AS$228,QUOTIENT(ROW()-1,19)+1,MOD(ROW()-2,19)+1)</f>
        <v>#N/A</v>
      </c>
      <c r="DL3891" t="str">
        <f>IFERROR(INDEX(Sheet2!$AU$2:$BM$228,QUOTIENT(ROW()-1,19)+1,MOD(ROW()-2,19)+1),NA())</f>
        <v/>
      </c>
      <c r="DM3891" s="4" t="e">
        <f t="shared" si="201"/>
        <v>#N/A</v>
      </c>
      <c r="DN3891" t="str">
        <f t="shared" si="202"/>
        <v/>
      </c>
      <c r="DO3891" t="e">
        <f t="shared" si="203"/>
        <v>#N/A</v>
      </c>
    </row>
    <row r="3892" spans="7:119" x14ac:dyDescent="0.25">
      <c r="G3892"/>
      <c r="DI3892" s="4">
        <f>INDEX(Sheet2!A:A,QUOTIENT(ROW()-1,19)+2)</f>
        <v>41808</v>
      </c>
      <c r="DJ3892" s="4">
        <f>INDEX(Sheet2!C:C,QUOTIENT(ROW()-1,19)+2)</f>
        <v>42369</v>
      </c>
      <c r="DK3892" s="4" t="e">
        <f>INDEX(Sheet2!$AA$2:$AS$228,QUOTIENT(ROW()-1,19)+1,MOD(ROW()-2,19)+1)</f>
        <v>#N/A</v>
      </c>
      <c r="DL3892" t="str">
        <f>IFERROR(INDEX(Sheet2!$AU$2:$BM$228,QUOTIENT(ROW()-1,19)+1,MOD(ROW()-2,19)+1),NA())</f>
        <v/>
      </c>
      <c r="DM3892" s="4" t="e">
        <f t="shared" si="201"/>
        <v>#N/A</v>
      </c>
      <c r="DN3892" t="str">
        <f t="shared" si="202"/>
        <v/>
      </c>
      <c r="DO3892" t="e">
        <f t="shared" si="203"/>
        <v>#N/A</v>
      </c>
    </row>
    <row r="3893" spans="7:119" x14ac:dyDescent="0.25">
      <c r="G3893"/>
      <c r="DI3893" s="4">
        <f>INDEX(Sheet2!A:A,QUOTIENT(ROW()-1,19)+2)</f>
        <v>41808</v>
      </c>
      <c r="DJ3893" s="4">
        <f>INDEX(Sheet2!C:C,QUOTIENT(ROW()-1,19)+2)</f>
        <v>42369</v>
      </c>
      <c r="DK3893" s="4" t="e">
        <f>INDEX(Sheet2!$AA$2:$AS$228,QUOTIENT(ROW()-1,19)+1,MOD(ROW()-2,19)+1)</f>
        <v>#N/A</v>
      </c>
      <c r="DL3893" t="str">
        <f>IFERROR(INDEX(Sheet2!$AU$2:$BM$228,QUOTIENT(ROW()-1,19)+1,MOD(ROW()-2,19)+1),NA())</f>
        <v/>
      </c>
      <c r="DM3893" s="4" t="e">
        <f t="shared" si="201"/>
        <v>#N/A</v>
      </c>
      <c r="DN3893" t="str">
        <f t="shared" si="202"/>
        <v/>
      </c>
      <c r="DO3893" t="e">
        <f t="shared" si="203"/>
        <v>#N/A</v>
      </c>
    </row>
    <row r="3894" spans="7:119" x14ac:dyDescent="0.25">
      <c r="G3894"/>
      <c r="DI3894" s="4">
        <f>INDEX(Sheet2!A:A,QUOTIENT(ROW()-1,19)+2)</f>
        <v>41808</v>
      </c>
      <c r="DJ3894" s="4">
        <f>INDEX(Sheet2!C:C,QUOTIENT(ROW()-1,19)+2)</f>
        <v>42369</v>
      </c>
      <c r="DK3894" s="4" t="e">
        <f>INDEX(Sheet2!$AA$2:$AS$228,QUOTIENT(ROW()-1,19)+1,MOD(ROW()-2,19)+1)</f>
        <v>#N/A</v>
      </c>
      <c r="DL3894" t="str">
        <f>IFERROR(INDEX(Sheet2!$AU$2:$BM$228,QUOTIENT(ROW()-1,19)+1,MOD(ROW()-2,19)+1),NA())</f>
        <v/>
      </c>
      <c r="DM3894" s="4" t="e">
        <f t="shared" si="201"/>
        <v>#N/A</v>
      </c>
      <c r="DN3894" t="str">
        <f t="shared" si="202"/>
        <v/>
      </c>
      <c r="DO3894" t="e">
        <f t="shared" si="203"/>
        <v>#N/A</v>
      </c>
    </row>
    <row r="3895" spans="7:119" x14ac:dyDescent="0.25">
      <c r="G3895"/>
      <c r="DI3895" s="4">
        <f>INDEX(Sheet2!A:A,QUOTIENT(ROW()-1,19)+2)</f>
        <v>41808</v>
      </c>
      <c r="DJ3895" s="4">
        <f>INDEX(Sheet2!C:C,QUOTIENT(ROW()-1,19)+2)</f>
        <v>42369</v>
      </c>
      <c r="DK3895" s="4" t="e">
        <f>INDEX(Sheet2!$AA$2:$AS$228,QUOTIENT(ROW()-1,19)+1,MOD(ROW()-2,19)+1)</f>
        <v>#N/A</v>
      </c>
      <c r="DL3895" t="str">
        <f>IFERROR(INDEX(Sheet2!$AU$2:$BM$228,QUOTIENT(ROW()-1,19)+1,MOD(ROW()-2,19)+1),NA())</f>
        <v/>
      </c>
      <c r="DM3895" s="4" t="e">
        <f t="shared" si="201"/>
        <v>#N/A</v>
      </c>
      <c r="DN3895" t="str">
        <f t="shared" si="202"/>
        <v/>
      </c>
      <c r="DO3895" t="e">
        <f t="shared" si="203"/>
        <v>#N/A</v>
      </c>
    </row>
    <row r="3896" spans="7:119" x14ac:dyDescent="0.25">
      <c r="G3896"/>
      <c r="DI3896" s="4">
        <f>INDEX(Sheet2!A:A,QUOTIENT(ROW()-1,19)+2)</f>
        <v>41808</v>
      </c>
      <c r="DJ3896" s="4">
        <f>INDEX(Sheet2!C:C,QUOTIENT(ROW()-1,19)+2)</f>
        <v>42369</v>
      </c>
      <c r="DK3896" s="4" t="e">
        <f>INDEX(Sheet2!$AA$2:$AS$228,QUOTIENT(ROW()-1,19)+1,MOD(ROW()-2,19)+1)</f>
        <v>#N/A</v>
      </c>
      <c r="DL3896" t="str">
        <f>IFERROR(INDEX(Sheet2!$AU$2:$BM$228,QUOTIENT(ROW()-1,19)+1,MOD(ROW()-2,19)+1),NA())</f>
        <v/>
      </c>
      <c r="DM3896" s="4" t="e">
        <f t="shared" si="201"/>
        <v>#N/A</v>
      </c>
      <c r="DN3896" t="str">
        <f t="shared" si="202"/>
        <v/>
      </c>
      <c r="DO3896" t="e">
        <f t="shared" si="203"/>
        <v>#N/A</v>
      </c>
    </row>
    <row r="3897" spans="7:119" x14ac:dyDescent="0.25">
      <c r="G3897"/>
      <c r="DI3897" s="4">
        <f>INDEX(Sheet2!A:A,QUOTIENT(ROW()-1,19)+2)</f>
        <v>41808</v>
      </c>
      <c r="DJ3897" s="4">
        <f>INDEX(Sheet2!C:C,QUOTIENT(ROW()-1,19)+2)</f>
        <v>42369</v>
      </c>
      <c r="DK3897" s="4">
        <f>INDEX(Sheet2!$AA$2:$AS$228,QUOTIENT(ROW()-1,19)+1,MOD(ROW()-2,19)+1)</f>
        <v>42369</v>
      </c>
      <c r="DL3897">
        <f>IFERROR(INDEX(Sheet2!$AU$2:$BM$228,QUOTIENT(ROW()-1,19)+1,MOD(ROW()-2,19)+1),NA())</f>
        <v>1.5</v>
      </c>
      <c r="DM3897" s="4">
        <f t="shared" si="201"/>
        <v>42369</v>
      </c>
      <c r="DN3897">
        <f t="shared" si="202"/>
        <v>1.5</v>
      </c>
      <c r="DO3897">
        <f t="shared" si="203"/>
        <v>1.5</v>
      </c>
    </row>
    <row r="3898" spans="7:119" x14ac:dyDescent="0.25">
      <c r="G3898"/>
      <c r="DI3898" s="4">
        <f>INDEX(Sheet2!A:A,QUOTIENT(ROW()-1,19)+2)</f>
        <v>41808</v>
      </c>
      <c r="DJ3898" s="4">
        <f>INDEX(Sheet2!C:C,QUOTIENT(ROW()-1,19)+2)</f>
        <v>42369</v>
      </c>
      <c r="DK3898" s="4" t="e">
        <f>INDEX(Sheet2!$AA$2:$AS$228,QUOTIENT(ROW()-1,19)+1,MOD(ROW()-2,19)+1)</f>
        <v>#N/A</v>
      </c>
      <c r="DL3898" t="str">
        <f>IFERROR(INDEX(Sheet2!$AU$2:$BM$228,QUOTIENT(ROW()-1,19)+1,MOD(ROW()-2,19)+1),NA())</f>
        <v/>
      </c>
      <c r="DM3898" s="4" t="e">
        <f t="shared" si="201"/>
        <v>#N/A</v>
      </c>
      <c r="DN3898" t="str">
        <f t="shared" si="202"/>
        <v/>
      </c>
      <c r="DO3898" t="e">
        <f t="shared" si="203"/>
        <v>#N/A</v>
      </c>
    </row>
    <row r="3899" spans="7:119" x14ac:dyDescent="0.25">
      <c r="G3899"/>
      <c r="DI3899" s="4">
        <f>INDEX(Sheet2!A:A,QUOTIENT(ROW()-1,19)+2)</f>
        <v>41808</v>
      </c>
      <c r="DJ3899" s="4">
        <f>INDEX(Sheet2!C:C,QUOTIENT(ROW()-1,19)+2)</f>
        <v>42369</v>
      </c>
      <c r="DK3899" s="4" t="e">
        <f>INDEX(Sheet2!$AA$2:$AS$228,QUOTIENT(ROW()-1,19)+1,MOD(ROW()-2,19)+1)</f>
        <v>#N/A</v>
      </c>
      <c r="DL3899" t="str">
        <f>IFERROR(INDEX(Sheet2!$AU$2:$BM$228,QUOTIENT(ROW()-1,19)+1,MOD(ROW()-2,19)+1),NA())</f>
        <v/>
      </c>
      <c r="DM3899" s="4" t="e">
        <f t="shared" si="201"/>
        <v>#N/A</v>
      </c>
      <c r="DN3899" t="str">
        <f t="shared" si="202"/>
        <v/>
      </c>
      <c r="DO3899" t="e">
        <f t="shared" si="203"/>
        <v>#N/A</v>
      </c>
    </row>
    <row r="3900" spans="7:119" x14ac:dyDescent="0.25">
      <c r="G3900"/>
      <c r="DI3900" s="4">
        <f>INDEX(Sheet2!A:A,QUOTIENT(ROW()-1,19)+2)</f>
        <v>41808</v>
      </c>
      <c r="DJ3900" s="4">
        <f>INDEX(Sheet2!C:C,QUOTIENT(ROW()-1,19)+2)</f>
        <v>42369</v>
      </c>
      <c r="DK3900" s="4" t="e">
        <f>INDEX(Sheet2!$AA$2:$AS$228,QUOTIENT(ROW()-1,19)+1,MOD(ROW()-2,19)+1)</f>
        <v>#N/A</v>
      </c>
      <c r="DL3900" t="str">
        <f>IFERROR(INDEX(Sheet2!$AU$2:$BM$228,QUOTIENT(ROW()-1,19)+1,MOD(ROW()-2,19)+1),NA())</f>
        <v/>
      </c>
      <c r="DM3900" s="4" t="e">
        <f t="shared" si="201"/>
        <v>#N/A</v>
      </c>
      <c r="DN3900" t="str">
        <f t="shared" si="202"/>
        <v/>
      </c>
      <c r="DO3900" t="e">
        <f t="shared" si="203"/>
        <v>#N/A</v>
      </c>
    </row>
    <row r="3901" spans="7:119" x14ac:dyDescent="0.25">
      <c r="G3901"/>
      <c r="DI3901" s="4">
        <f>INDEX(Sheet2!A:A,QUOTIENT(ROW()-1,19)+2)</f>
        <v>41808</v>
      </c>
      <c r="DJ3901" s="4">
        <f>INDEX(Sheet2!C:C,QUOTIENT(ROW()-1,19)+2)</f>
        <v>42369</v>
      </c>
      <c r="DK3901" s="4" t="e">
        <f>INDEX(Sheet2!$AA$2:$AS$228,QUOTIENT(ROW()-1,19)+1,MOD(ROW()-2,19)+1)</f>
        <v>#N/A</v>
      </c>
      <c r="DL3901" t="str">
        <f>IFERROR(INDEX(Sheet2!$AU$2:$BM$228,QUOTIENT(ROW()-1,19)+1,MOD(ROW()-2,19)+1),NA())</f>
        <v/>
      </c>
      <c r="DM3901" s="4" t="e">
        <f t="shared" si="201"/>
        <v>#N/A</v>
      </c>
      <c r="DN3901" t="str">
        <f t="shared" si="202"/>
        <v/>
      </c>
      <c r="DO3901" t="e">
        <f t="shared" si="203"/>
        <v>#N/A</v>
      </c>
    </row>
    <row r="3902" spans="7:119" x14ac:dyDescent="0.25">
      <c r="G3902"/>
      <c r="DI3902" s="4">
        <f>INDEX(Sheet2!A:A,QUOTIENT(ROW()-1,19)+2)</f>
        <v>41808</v>
      </c>
      <c r="DJ3902" s="4">
        <f>INDEX(Sheet2!C:C,QUOTIENT(ROW()-1,19)+2)</f>
        <v>42369</v>
      </c>
      <c r="DK3902" s="4" t="e">
        <f>INDEX(Sheet2!$AA$2:$AS$228,QUOTIENT(ROW()-1,19)+1,MOD(ROW()-2,19)+1)</f>
        <v>#N/A</v>
      </c>
      <c r="DL3902" t="str">
        <f>IFERROR(INDEX(Sheet2!$AU$2:$BM$228,QUOTIENT(ROW()-1,19)+1,MOD(ROW()-2,19)+1),NA())</f>
        <v/>
      </c>
      <c r="DM3902" s="4" t="e">
        <f t="shared" si="201"/>
        <v>#N/A</v>
      </c>
      <c r="DN3902" t="str">
        <f t="shared" si="202"/>
        <v/>
      </c>
      <c r="DO3902" t="e">
        <f t="shared" si="203"/>
        <v>#N/A</v>
      </c>
    </row>
    <row r="3903" spans="7:119" x14ac:dyDescent="0.25">
      <c r="G3903"/>
      <c r="DI3903" s="4">
        <f>INDEX(Sheet2!A:A,QUOTIENT(ROW()-1,19)+2)</f>
        <v>41808</v>
      </c>
      <c r="DJ3903" s="4">
        <f>INDEX(Sheet2!C:C,QUOTIENT(ROW()-1,19)+2)</f>
        <v>42369</v>
      </c>
      <c r="DK3903" s="4" t="e">
        <f>INDEX(Sheet2!$AA$2:$AS$228,QUOTIENT(ROW()-1,19)+1,MOD(ROW()-2,19)+1)</f>
        <v>#N/A</v>
      </c>
      <c r="DL3903" t="str">
        <f>IFERROR(INDEX(Sheet2!$AU$2:$BM$228,QUOTIENT(ROW()-1,19)+1,MOD(ROW()-2,19)+1),NA())</f>
        <v/>
      </c>
      <c r="DM3903" s="4" t="e">
        <f t="shared" si="201"/>
        <v>#N/A</v>
      </c>
      <c r="DN3903" t="str">
        <f t="shared" si="202"/>
        <v/>
      </c>
      <c r="DO3903" t="e">
        <f t="shared" si="203"/>
        <v>#N/A</v>
      </c>
    </row>
    <row r="3904" spans="7:119" x14ac:dyDescent="0.25">
      <c r="G3904"/>
      <c r="DI3904" s="4">
        <f>INDEX(Sheet2!A:A,QUOTIENT(ROW()-1,19)+2)</f>
        <v>41808</v>
      </c>
      <c r="DJ3904" s="4">
        <f>INDEX(Sheet2!C:C,QUOTIENT(ROW()-1,19)+2)</f>
        <v>42369</v>
      </c>
      <c r="DK3904" s="4" t="e">
        <f>INDEX(Sheet2!$AA$2:$AS$228,QUOTIENT(ROW()-1,19)+1,MOD(ROW()-2,19)+1)</f>
        <v>#N/A</v>
      </c>
      <c r="DL3904" t="str">
        <f>IFERROR(INDEX(Sheet2!$AU$2:$BM$228,QUOTIENT(ROW()-1,19)+1,MOD(ROW()-2,19)+1),NA())</f>
        <v/>
      </c>
      <c r="DM3904" s="4" t="e">
        <f t="shared" si="201"/>
        <v>#N/A</v>
      </c>
      <c r="DN3904" t="str">
        <f t="shared" si="202"/>
        <v/>
      </c>
      <c r="DO3904" t="e">
        <f t="shared" si="203"/>
        <v>#N/A</v>
      </c>
    </row>
    <row r="3905" spans="7:119" x14ac:dyDescent="0.25">
      <c r="G3905"/>
      <c r="DI3905" s="4">
        <f>INDEX(Sheet2!A:A,QUOTIENT(ROW()-1,19)+2)</f>
        <v>41808</v>
      </c>
      <c r="DJ3905" s="4">
        <f>INDEX(Sheet2!C:C,QUOTIENT(ROW()-1,19)+2)</f>
        <v>42369</v>
      </c>
      <c r="DK3905" s="4" t="e">
        <f>INDEX(Sheet2!$AA$2:$AS$228,QUOTIENT(ROW()-1,19)+1,MOD(ROW()-2,19)+1)</f>
        <v>#N/A</v>
      </c>
      <c r="DL3905" t="str">
        <f>IFERROR(INDEX(Sheet2!$AU$2:$BM$228,QUOTIENT(ROW()-1,19)+1,MOD(ROW()-2,19)+1),NA())</f>
        <v/>
      </c>
      <c r="DM3905" s="4" t="e">
        <f t="shared" si="201"/>
        <v>#N/A</v>
      </c>
      <c r="DN3905" t="str">
        <f t="shared" si="202"/>
        <v/>
      </c>
      <c r="DO3905" t="e">
        <f t="shared" si="203"/>
        <v>#N/A</v>
      </c>
    </row>
    <row r="3906" spans="7:119" x14ac:dyDescent="0.25">
      <c r="G3906"/>
      <c r="DI3906" s="4">
        <f>INDEX(Sheet2!A:A,QUOTIENT(ROW()-1,19)+2)</f>
        <v>41808</v>
      </c>
      <c r="DJ3906" s="4">
        <f>INDEX(Sheet2!C:C,QUOTIENT(ROW()-1,19)+2)</f>
        <v>42369</v>
      </c>
      <c r="DK3906" s="4" t="e">
        <f>INDEX(Sheet2!$AA$2:$AS$228,QUOTIENT(ROW()-1,19)+1,MOD(ROW()-2,19)+1)</f>
        <v>#N/A</v>
      </c>
      <c r="DL3906" t="str">
        <f>IFERROR(INDEX(Sheet2!$AU$2:$BM$228,QUOTIENT(ROW()-1,19)+1,MOD(ROW()-2,19)+1),NA())</f>
        <v/>
      </c>
      <c r="DM3906" s="4" t="e">
        <f t="shared" ref="DM3906:DM3969" si="204">+IF($C$2=$DI3906,DK3906,NA())</f>
        <v>#N/A</v>
      </c>
      <c r="DN3906" t="str">
        <f t="shared" ref="DN3906:DN3969" si="205">+IF($C$2=$DI3906,DL3906,NA())</f>
        <v/>
      </c>
      <c r="DO3906" t="e">
        <f t="shared" si="203"/>
        <v>#N/A</v>
      </c>
    </row>
    <row r="3907" spans="7:119" x14ac:dyDescent="0.25">
      <c r="G3907"/>
      <c r="DI3907" s="4">
        <f>INDEX(Sheet2!A:A,QUOTIENT(ROW()-1,19)+2)</f>
        <v>41808</v>
      </c>
      <c r="DJ3907" s="4">
        <f>INDEX(Sheet2!C:C,QUOTIENT(ROW()-1,19)+2)</f>
        <v>42369</v>
      </c>
      <c r="DK3907" s="4" t="e">
        <f>INDEX(Sheet2!$AA$2:$AS$228,QUOTIENT(ROW()-1,19)+1,MOD(ROW()-2,19)+1)</f>
        <v>#N/A</v>
      </c>
      <c r="DL3907" t="str">
        <f>IFERROR(INDEX(Sheet2!$AU$2:$BM$228,QUOTIENT(ROW()-1,19)+1,MOD(ROW()-2,19)+1),NA())</f>
        <v/>
      </c>
      <c r="DM3907" s="4" t="e">
        <f t="shared" si="204"/>
        <v>#N/A</v>
      </c>
      <c r="DN3907" t="str">
        <f t="shared" si="205"/>
        <v/>
      </c>
      <c r="DO3907" t="e">
        <f t="shared" ref="DO3907:DO3970" si="206">IF(DN3907="",NA(),DN3907)</f>
        <v>#N/A</v>
      </c>
    </row>
    <row r="3908" spans="7:119" x14ac:dyDescent="0.25">
      <c r="G3908"/>
      <c r="DI3908" s="4">
        <f>INDEX(Sheet2!A:A,QUOTIENT(ROW()-1,19)+2)</f>
        <v>41808</v>
      </c>
      <c r="DJ3908" s="4">
        <f>INDEX(Sheet2!C:C,QUOTIENT(ROW()-1,19)+2)</f>
        <v>42369</v>
      </c>
      <c r="DK3908" s="4" t="e">
        <f>INDEX(Sheet2!$AA$2:$AS$228,QUOTIENT(ROW()-1,19)+1,MOD(ROW()-2,19)+1)</f>
        <v>#N/A</v>
      </c>
      <c r="DL3908" t="str">
        <f>IFERROR(INDEX(Sheet2!$AU$2:$BM$228,QUOTIENT(ROW()-1,19)+1,MOD(ROW()-2,19)+1),NA())</f>
        <v/>
      </c>
      <c r="DM3908" s="4" t="e">
        <f t="shared" si="204"/>
        <v>#N/A</v>
      </c>
      <c r="DN3908" t="str">
        <f t="shared" si="205"/>
        <v/>
      </c>
      <c r="DO3908" t="e">
        <f t="shared" si="206"/>
        <v>#N/A</v>
      </c>
    </row>
    <row r="3909" spans="7:119" x14ac:dyDescent="0.25">
      <c r="G3909"/>
      <c r="DI3909" s="4">
        <f>INDEX(Sheet2!A:A,QUOTIENT(ROW()-1,19)+2)</f>
        <v>41808</v>
      </c>
      <c r="DJ3909" s="4">
        <f>INDEX(Sheet2!C:C,QUOTIENT(ROW()-1,19)+2)</f>
        <v>42369</v>
      </c>
      <c r="DK3909" s="4" t="e">
        <f>INDEX(Sheet2!$AA$2:$AS$228,QUOTIENT(ROW()-1,19)+1,MOD(ROW()-2,19)+1)</f>
        <v>#N/A</v>
      </c>
      <c r="DL3909" t="str">
        <f>IFERROR(INDEX(Sheet2!$AU$2:$BM$228,QUOTIENT(ROW()-1,19)+1,MOD(ROW()-2,19)+1),NA())</f>
        <v/>
      </c>
      <c r="DM3909" s="4" t="e">
        <f t="shared" si="204"/>
        <v>#N/A</v>
      </c>
      <c r="DN3909" t="str">
        <f t="shared" si="205"/>
        <v/>
      </c>
      <c r="DO3909" t="e">
        <f t="shared" si="206"/>
        <v>#N/A</v>
      </c>
    </row>
    <row r="3910" spans="7:119" x14ac:dyDescent="0.25">
      <c r="G3910"/>
      <c r="DI3910" s="4">
        <f>INDEX(Sheet2!A:A,QUOTIENT(ROW()-1,19)+2)</f>
        <v>41808</v>
      </c>
      <c r="DJ3910" s="4">
        <f>INDEX(Sheet2!C:C,QUOTIENT(ROW()-1,19)+2)</f>
        <v>42369</v>
      </c>
      <c r="DK3910" s="4" t="e">
        <f>INDEX(Sheet2!$AA$2:$AS$228,QUOTIENT(ROW()-1,19)+1,MOD(ROW()-2,19)+1)</f>
        <v>#N/A</v>
      </c>
      <c r="DL3910" t="str">
        <f>IFERROR(INDEX(Sheet2!$AU$2:$BM$228,QUOTIENT(ROW()-1,19)+1,MOD(ROW()-2,19)+1),NA())</f>
        <v/>
      </c>
      <c r="DM3910" s="4" t="e">
        <f t="shared" si="204"/>
        <v>#N/A</v>
      </c>
      <c r="DN3910" t="str">
        <f t="shared" si="205"/>
        <v/>
      </c>
      <c r="DO3910" t="e">
        <f t="shared" si="206"/>
        <v>#N/A</v>
      </c>
    </row>
    <row r="3911" spans="7:119" x14ac:dyDescent="0.25">
      <c r="G3911"/>
      <c r="DI3911" s="4">
        <f>INDEX(Sheet2!A:A,QUOTIENT(ROW()-1,19)+2)</f>
        <v>41808</v>
      </c>
      <c r="DJ3911" s="4">
        <f>INDEX(Sheet2!C:C,QUOTIENT(ROW()-1,19)+2)</f>
        <v>42369</v>
      </c>
      <c r="DK3911" s="4" t="e">
        <f>INDEX(Sheet2!$AA$2:$AS$228,QUOTIENT(ROW()-1,19)+1,MOD(ROW()-2,19)+1)</f>
        <v>#N/A</v>
      </c>
      <c r="DL3911" t="str">
        <f>IFERROR(INDEX(Sheet2!$AU$2:$BM$228,QUOTIENT(ROW()-1,19)+1,MOD(ROW()-2,19)+1),NA())</f>
        <v/>
      </c>
      <c r="DM3911" s="4" t="e">
        <f t="shared" si="204"/>
        <v>#N/A</v>
      </c>
      <c r="DN3911" t="str">
        <f t="shared" si="205"/>
        <v/>
      </c>
      <c r="DO3911" t="e">
        <f t="shared" si="206"/>
        <v>#N/A</v>
      </c>
    </row>
    <row r="3912" spans="7:119" x14ac:dyDescent="0.25">
      <c r="G3912"/>
      <c r="DI3912" s="4">
        <f>INDEX(Sheet2!A:A,QUOTIENT(ROW()-1,19)+2)</f>
        <v>41808</v>
      </c>
      <c r="DJ3912" s="4">
        <f>INDEX(Sheet2!C:C,QUOTIENT(ROW()-1,19)+2)</f>
        <v>42369</v>
      </c>
      <c r="DK3912" s="4" t="e">
        <f>INDEX(Sheet2!$AA$2:$AS$228,QUOTIENT(ROW()-1,19)+1,MOD(ROW()-2,19)+1)</f>
        <v>#N/A</v>
      </c>
      <c r="DL3912" t="str">
        <f>IFERROR(INDEX(Sheet2!$AU$2:$BM$228,QUOTIENT(ROW()-1,19)+1,MOD(ROW()-2,19)+1),NA())</f>
        <v/>
      </c>
      <c r="DM3912" s="4" t="e">
        <f t="shared" si="204"/>
        <v>#N/A</v>
      </c>
      <c r="DN3912" t="str">
        <f t="shared" si="205"/>
        <v/>
      </c>
      <c r="DO3912" t="e">
        <f t="shared" si="206"/>
        <v>#N/A</v>
      </c>
    </row>
    <row r="3913" spans="7:119" x14ac:dyDescent="0.25">
      <c r="G3913"/>
      <c r="DI3913" s="4">
        <f>INDEX(Sheet2!A:A,QUOTIENT(ROW()-1,19)+2)</f>
        <v>41808</v>
      </c>
      <c r="DJ3913" s="4">
        <f>INDEX(Sheet2!C:C,QUOTIENT(ROW()-1,19)+2)</f>
        <v>42369</v>
      </c>
      <c r="DK3913" s="4" t="e">
        <f>INDEX(Sheet2!$AA$2:$AS$228,QUOTIENT(ROW()-1,19)+1,MOD(ROW()-2,19)+1)</f>
        <v>#N/A</v>
      </c>
      <c r="DL3913" t="str">
        <f>IFERROR(INDEX(Sheet2!$AU$2:$BM$228,QUOTIENT(ROW()-1,19)+1,MOD(ROW()-2,19)+1),NA())</f>
        <v/>
      </c>
      <c r="DM3913" s="4" t="e">
        <f t="shared" si="204"/>
        <v>#N/A</v>
      </c>
      <c r="DN3913" t="str">
        <f t="shared" si="205"/>
        <v/>
      </c>
      <c r="DO3913" t="e">
        <f t="shared" si="206"/>
        <v>#N/A</v>
      </c>
    </row>
    <row r="3914" spans="7:119" x14ac:dyDescent="0.25">
      <c r="G3914"/>
      <c r="DI3914" s="4">
        <f>INDEX(Sheet2!A:A,QUOTIENT(ROW()-1,19)+2)</f>
        <v>41808</v>
      </c>
      <c r="DJ3914" s="4">
        <f>INDEX(Sheet2!C:C,QUOTIENT(ROW()-1,19)+2)</f>
        <v>42369</v>
      </c>
      <c r="DK3914" s="4" t="e">
        <f>INDEX(Sheet2!$AA$2:$AS$228,QUOTIENT(ROW()-1,19)+1,MOD(ROW()-2,19)+1)</f>
        <v>#N/A</v>
      </c>
      <c r="DL3914" t="str">
        <f>IFERROR(INDEX(Sheet2!$AU$2:$BM$228,QUOTIENT(ROW()-1,19)+1,MOD(ROW()-2,19)+1),NA())</f>
        <v/>
      </c>
      <c r="DM3914" s="4" t="e">
        <f t="shared" si="204"/>
        <v>#N/A</v>
      </c>
      <c r="DN3914" t="str">
        <f t="shared" si="205"/>
        <v/>
      </c>
      <c r="DO3914" t="e">
        <f t="shared" si="206"/>
        <v>#N/A</v>
      </c>
    </row>
    <row r="3915" spans="7:119" x14ac:dyDescent="0.25">
      <c r="G3915"/>
      <c r="DI3915" s="4">
        <f>INDEX(Sheet2!A:A,QUOTIENT(ROW()-1,19)+2)</f>
        <v>41808</v>
      </c>
      <c r="DJ3915" s="4">
        <f>INDEX(Sheet2!C:C,QUOTIENT(ROW()-1,19)+2)</f>
        <v>42369</v>
      </c>
      <c r="DK3915" s="4" t="e">
        <f>INDEX(Sheet2!$AA$2:$AS$228,QUOTIENT(ROW()-1,19)+1,MOD(ROW()-2,19)+1)</f>
        <v>#N/A</v>
      </c>
      <c r="DL3915" t="str">
        <f>IFERROR(INDEX(Sheet2!$AU$2:$BM$228,QUOTIENT(ROW()-1,19)+1,MOD(ROW()-2,19)+1),NA())</f>
        <v/>
      </c>
      <c r="DM3915" s="4" t="e">
        <f t="shared" si="204"/>
        <v>#N/A</v>
      </c>
      <c r="DN3915" t="str">
        <f t="shared" si="205"/>
        <v/>
      </c>
      <c r="DO3915" t="e">
        <f t="shared" si="206"/>
        <v>#N/A</v>
      </c>
    </row>
    <row r="3916" spans="7:119" x14ac:dyDescent="0.25">
      <c r="G3916"/>
      <c r="DI3916" s="4">
        <f>INDEX(Sheet2!A:A,QUOTIENT(ROW()-1,19)+2)</f>
        <v>41808</v>
      </c>
      <c r="DJ3916" s="4">
        <f>INDEX(Sheet2!C:C,QUOTIENT(ROW()-1,19)+2)</f>
        <v>42369</v>
      </c>
      <c r="DK3916" s="4">
        <f>INDEX(Sheet2!$AA$2:$AS$228,QUOTIENT(ROW()-1,19)+1,MOD(ROW()-2,19)+1)</f>
        <v>42369</v>
      </c>
      <c r="DL3916">
        <f>IFERROR(INDEX(Sheet2!$AU$2:$BM$228,QUOTIENT(ROW()-1,19)+1,MOD(ROW()-2,19)+1),NA())</f>
        <v>1.75</v>
      </c>
      <c r="DM3916" s="4">
        <f t="shared" si="204"/>
        <v>42369</v>
      </c>
      <c r="DN3916">
        <f t="shared" si="205"/>
        <v>1.75</v>
      </c>
      <c r="DO3916">
        <f t="shared" si="206"/>
        <v>1.75</v>
      </c>
    </row>
    <row r="3917" spans="7:119" x14ac:dyDescent="0.25">
      <c r="G3917"/>
      <c r="DI3917" s="4">
        <f>INDEX(Sheet2!A:A,QUOTIENT(ROW()-1,19)+2)</f>
        <v>41808</v>
      </c>
      <c r="DJ3917" s="4">
        <f>INDEX(Sheet2!C:C,QUOTIENT(ROW()-1,19)+2)</f>
        <v>42369</v>
      </c>
      <c r="DK3917" s="4" t="e">
        <f>INDEX(Sheet2!$AA$2:$AS$228,QUOTIENT(ROW()-1,19)+1,MOD(ROW()-2,19)+1)</f>
        <v>#N/A</v>
      </c>
      <c r="DL3917" t="str">
        <f>IFERROR(INDEX(Sheet2!$AU$2:$BM$228,QUOTIENT(ROW()-1,19)+1,MOD(ROW()-2,19)+1),NA())</f>
        <v/>
      </c>
      <c r="DM3917" s="4" t="e">
        <f t="shared" si="204"/>
        <v>#N/A</v>
      </c>
      <c r="DN3917" t="str">
        <f t="shared" si="205"/>
        <v/>
      </c>
      <c r="DO3917" t="e">
        <f t="shared" si="206"/>
        <v>#N/A</v>
      </c>
    </row>
    <row r="3918" spans="7:119" x14ac:dyDescent="0.25">
      <c r="G3918"/>
      <c r="DI3918" s="4">
        <f>INDEX(Sheet2!A:A,QUOTIENT(ROW()-1,19)+2)</f>
        <v>41808</v>
      </c>
      <c r="DJ3918" s="4">
        <f>INDEX(Sheet2!C:C,QUOTIENT(ROW()-1,19)+2)</f>
        <v>42369</v>
      </c>
      <c r="DK3918" s="4" t="e">
        <f>INDEX(Sheet2!$AA$2:$AS$228,QUOTIENT(ROW()-1,19)+1,MOD(ROW()-2,19)+1)</f>
        <v>#N/A</v>
      </c>
      <c r="DL3918" t="str">
        <f>IFERROR(INDEX(Sheet2!$AU$2:$BM$228,QUOTIENT(ROW()-1,19)+1,MOD(ROW()-2,19)+1),NA())</f>
        <v/>
      </c>
      <c r="DM3918" s="4" t="e">
        <f t="shared" si="204"/>
        <v>#N/A</v>
      </c>
      <c r="DN3918" t="str">
        <f t="shared" si="205"/>
        <v/>
      </c>
      <c r="DO3918" t="e">
        <f t="shared" si="206"/>
        <v>#N/A</v>
      </c>
    </row>
    <row r="3919" spans="7:119" x14ac:dyDescent="0.25">
      <c r="G3919"/>
      <c r="DI3919" s="4">
        <f>INDEX(Sheet2!A:A,QUOTIENT(ROW()-1,19)+2)</f>
        <v>41808</v>
      </c>
      <c r="DJ3919" s="4">
        <f>INDEX(Sheet2!C:C,QUOTIENT(ROW()-1,19)+2)</f>
        <v>42369</v>
      </c>
      <c r="DK3919" s="4" t="e">
        <f>INDEX(Sheet2!$AA$2:$AS$228,QUOTIENT(ROW()-1,19)+1,MOD(ROW()-2,19)+1)</f>
        <v>#N/A</v>
      </c>
      <c r="DL3919" t="str">
        <f>IFERROR(INDEX(Sheet2!$AU$2:$BM$228,QUOTIENT(ROW()-1,19)+1,MOD(ROW()-2,19)+1),NA())</f>
        <v/>
      </c>
      <c r="DM3919" s="4" t="e">
        <f t="shared" si="204"/>
        <v>#N/A</v>
      </c>
      <c r="DN3919" t="str">
        <f t="shared" si="205"/>
        <v/>
      </c>
      <c r="DO3919" t="e">
        <f t="shared" si="206"/>
        <v>#N/A</v>
      </c>
    </row>
    <row r="3920" spans="7:119" x14ac:dyDescent="0.25">
      <c r="G3920"/>
      <c r="DI3920" s="4">
        <f>INDEX(Sheet2!A:A,QUOTIENT(ROW()-1,19)+2)</f>
        <v>41808</v>
      </c>
      <c r="DJ3920" s="4">
        <f>INDEX(Sheet2!C:C,QUOTIENT(ROW()-1,19)+2)</f>
        <v>42369</v>
      </c>
      <c r="DK3920" s="4" t="e">
        <f>INDEX(Sheet2!$AA$2:$AS$228,QUOTIENT(ROW()-1,19)+1,MOD(ROW()-2,19)+1)</f>
        <v>#N/A</v>
      </c>
      <c r="DL3920" t="str">
        <f>IFERROR(INDEX(Sheet2!$AU$2:$BM$228,QUOTIENT(ROW()-1,19)+1,MOD(ROW()-2,19)+1),NA())</f>
        <v/>
      </c>
      <c r="DM3920" s="4" t="e">
        <f t="shared" si="204"/>
        <v>#N/A</v>
      </c>
      <c r="DN3920" t="str">
        <f t="shared" si="205"/>
        <v/>
      </c>
      <c r="DO3920" t="e">
        <f t="shared" si="206"/>
        <v>#N/A</v>
      </c>
    </row>
    <row r="3921" spans="7:119" x14ac:dyDescent="0.25">
      <c r="G3921"/>
      <c r="DI3921" s="4">
        <f>INDEX(Sheet2!A:A,QUOTIENT(ROW()-1,19)+2)</f>
        <v>41808</v>
      </c>
      <c r="DJ3921" s="4">
        <f>INDEX(Sheet2!C:C,QUOTIENT(ROW()-1,19)+2)</f>
        <v>42369</v>
      </c>
      <c r="DK3921" s="4" t="e">
        <f>INDEX(Sheet2!$AA$2:$AS$228,QUOTIENT(ROW()-1,19)+1,MOD(ROW()-2,19)+1)</f>
        <v>#N/A</v>
      </c>
      <c r="DL3921" t="str">
        <f>IFERROR(INDEX(Sheet2!$AU$2:$BM$228,QUOTIENT(ROW()-1,19)+1,MOD(ROW()-2,19)+1),NA())</f>
        <v/>
      </c>
      <c r="DM3921" s="4" t="e">
        <f t="shared" si="204"/>
        <v>#N/A</v>
      </c>
      <c r="DN3921" t="str">
        <f t="shared" si="205"/>
        <v/>
      </c>
      <c r="DO3921" t="e">
        <f t="shared" si="206"/>
        <v>#N/A</v>
      </c>
    </row>
    <row r="3922" spans="7:119" x14ac:dyDescent="0.25">
      <c r="G3922"/>
      <c r="DI3922" s="4">
        <f>INDEX(Sheet2!A:A,QUOTIENT(ROW()-1,19)+2)</f>
        <v>41808</v>
      </c>
      <c r="DJ3922" s="4">
        <f>INDEX(Sheet2!C:C,QUOTIENT(ROW()-1,19)+2)</f>
        <v>42369</v>
      </c>
      <c r="DK3922" s="4" t="e">
        <f>INDEX(Sheet2!$AA$2:$AS$228,QUOTIENT(ROW()-1,19)+1,MOD(ROW()-2,19)+1)</f>
        <v>#N/A</v>
      </c>
      <c r="DL3922" t="str">
        <f>IFERROR(INDEX(Sheet2!$AU$2:$BM$228,QUOTIENT(ROW()-1,19)+1,MOD(ROW()-2,19)+1),NA())</f>
        <v/>
      </c>
      <c r="DM3922" s="4" t="e">
        <f t="shared" si="204"/>
        <v>#N/A</v>
      </c>
      <c r="DN3922" t="str">
        <f t="shared" si="205"/>
        <v/>
      </c>
      <c r="DO3922" t="e">
        <f t="shared" si="206"/>
        <v>#N/A</v>
      </c>
    </row>
    <row r="3923" spans="7:119" x14ac:dyDescent="0.25">
      <c r="G3923"/>
      <c r="DI3923" s="4">
        <f>INDEX(Sheet2!A:A,QUOTIENT(ROW()-1,19)+2)</f>
        <v>41808</v>
      </c>
      <c r="DJ3923" s="4">
        <f>INDEX(Sheet2!C:C,QUOTIENT(ROW()-1,19)+2)</f>
        <v>42369</v>
      </c>
      <c r="DK3923" s="4" t="e">
        <f>INDEX(Sheet2!$AA$2:$AS$228,QUOTIENT(ROW()-1,19)+1,MOD(ROW()-2,19)+1)</f>
        <v>#N/A</v>
      </c>
      <c r="DL3923" t="str">
        <f>IFERROR(INDEX(Sheet2!$AU$2:$BM$228,QUOTIENT(ROW()-1,19)+1,MOD(ROW()-2,19)+1),NA())</f>
        <v/>
      </c>
      <c r="DM3923" s="4" t="e">
        <f t="shared" si="204"/>
        <v>#N/A</v>
      </c>
      <c r="DN3923" t="str">
        <f t="shared" si="205"/>
        <v/>
      </c>
      <c r="DO3923" t="e">
        <f t="shared" si="206"/>
        <v>#N/A</v>
      </c>
    </row>
    <row r="3924" spans="7:119" x14ac:dyDescent="0.25">
      <c r="G3924"/>
      <c r="DI3924" s="4">
        <f>INDEX(Sheet2!A:A,QUOTIENT(ROW()-1,19)+2)</f>
        <v>41808</v>
      </c>
      <c r="DJ3924" s="4">
        <f>INDEX(Sheet2!C:C,QUOTIENT(ROW()-1,19)+2)</f>
        <v>42369</v>
      </c>
      <c r="DK3924" s="4" t="e">
        <f>INDEX(Sheet2!$AA$2:$AS$228,QUOTIENT(ROW()-1,19)+1,MOD(ROW()-2,19)+1)</f>
        <v>#N/A</v>
      </c>
      <c r="DL3924" t="str">
        <f>IFERROR(INDEX(Sheet2!$AU$2:$BM$228,QUOTIENT(ROW()-1,19)+1,MOD(ROW()-2,19)+1),NA())</f>
        <v/>
      </c>
      <c r="DM3924" s="4" t="e">
        <f t="shared" si="204"/>
        <v>#N/A</v>
      </c>
      <c r="DN3924" t="str">
        <f t="shared" si="205"/>
        <v/>
      </c>
      <c r="DO3924" t="e">
        <f t="shared" si="206"/>
        <v>#N/A</v>
      </c>
    </row>
    <row r="3925" spans="7:119" x14ac:dyDescent="0.25">
      <c r="G3925"/>
      <c r="DI3925" s="4">
        <f>INDEX(Sheet2!A:A,QUOTIENT(ROW()-1,19)+2)</f>
        <v>41808</v>
      </c>
      <c r="DJ3925" s="4">
        <f>INDEX(Sheet2!C:C,QUOTIENT(ROW()-1,19)+2)</f>
        <v>42369</v>
      </c>
      <c r="DK3925" s="4" t="e">
        <f>INDEX(Sheet2!$AA$2:$AS$228,QUOTIENT(ROW()-1,19)+1,MOD(ROW()-2,19)+1)</f>
        <v>#N/A</v>
      </c>
      <c r="DL3925" t="str">
        <f>IFERROR(INDEX(Sheet2!$AU$2:$BM$228,QUOTIENT(ROW()-1,19)+1,MOD(ROW()-2,19)+1),NA())</f>
        <v/>
      </c>
      <c r="DM3925" s="4" t="e">
        <f t="shared" si="204"/>
        <v>#N/A</v>
      </c>
      <c r="DN3925" t="str">
        <f t="shared" si="205"/>
        <v/>
      </c>
      <c r="DO3925" t="e">
        <f t="shared" si="206"/>
        <v>#N/A</v>
      </c>
    </row>
    <row r="3926" spans="7:119" x14ac:dyDescent="0.25">
      <c r="G3926"/>
      <c r="DI3926" s="4">
        <f>INDEX(Sheet2!A:A,QUOTIENT(ROW()-1,19)+2)</f>
        <v>41808</v>
      </c>
      <c r="DJ3926" s="4">
        <f>INDEX(Sheet2!C:C,QUOTIENT(ROW()-1,19)+2)</f>
        <v>42369</v>
      </c>
      <c r="DK3926" s="4" t="e">
        <f>INDEX(Sheet2!$AA$2:$AS$228,QUOTIENT(ROW()-1,19)+1,MOD(ROW()-2,19)+1)</f>
        <v>#N/A</v>
      </c>
      <c r="DL3926" t="str">
        <f>IFERROR(INDEX(Sheet2!$AU$2:$BM$228,QUOTIENT(ROW()-1,19)+1,MOD(ROW()-2,19)+1),NA())</f>
        <v/>
      </c>
      <c r="DM3926" s="4" t="e">
        <f t="shared" si="204"/>
        <v>#N/A</v>
      </c>
      <c r="DN3926" t="str">
        <f t="shared" si="205"/>
        <v/>
      </c>
      <c r="DO3926" t="e">
        <f t="shared" si="206"/>
        <v>#N/A</v>
      </c>
    </row>
    <row r="3927" spans="7:119" x14ac:dyDescent="0.25">
      <c r="G3927"/>
      <c r="DI3927" s="4">
        <f>INDEX(Sheet2!A:A,QUOTIENT(ROW()-1,19)+2)</f>
        <v>41808</v>
      </c>
      <c r="DJ3927" s="4">
        <f>INDEX(Sheet2!C:C,QUOTIENT(ROW()-1,19)+2)</f>
        <v>42369</v>
      </c>
      <c r="DK3927" s="4" t="e">
        <f>INDEX(Sheet2!$AA$2:$AS$228,QUOTIENT(ROW()-1,19)+1,MOD(ROW()-2,19)+1)</f>
        <v>#N/A</v>
      </c>
      <c r="DL3927" t="str">
        <f>IFERROR(INDEX(Sheet2!$AU$2:$BM$228,QUOTIENT(ROW()-1,19)+1,MOD(ROW()-2,19)+1),NA())</f>
        <v/>
      </c>
      <c r="DM3927" s="4" t="e">
        <f t="shared" si="204"/>
        <v>#N/A</v>
      </c>
      <c r="DN3927" t="str">
        <f t="shared" si="205"/>
        <v/>
      </c>
      <c r="DO3927" t="e">
        <f t="shared" si="206"/>
        <v>#N/A</v>
      </c>
    </row>
    <row r="3928" spans="7:119" x14ac:dyDescent="0.25">
      <c r="G3928"/>
      <c r="DI3928" s="4">
        <f>INDEX(Sheet2!A:A,QUOTIENT(ROW()-1,19)+2)</f>
        <v>41808</v>
      </c>
      <c r="DJ3928" s="4">
        <f>INDEX(Sheet2!C:C,QUOTIENT(ROW()-1,19)+2)</f>
        <v>42369</v>
      </c>
      <c r="DK3928" s="4" t="e">
        <f>INDEX(Sheet2!$AA$2:$AS$228,QUOTIENT(ROW()-1,19)+1,MOD(ROW()-2,19)+1)</f>
        <v>#N/A</v>
      </c>
      <c r="DL3928" t="str">
        <f>IFERROR(INDEX(Sheet2!$AU$2:$BM$228,QUOTIENT(ROW()-1,19)+1,MOD(ROW()-2,19)+1),NA())</f>
        <v/>
      </c>
      <c r="DM3928" s="4" t="e">
        <f t="shared" si="204"/>
        <v>#N/A</v>
      </c>
      <c r="DN3928" t="str">
        <f t="shared" si="205"/>
        <v/>
      </c>
      <c r="DO3928" t="e">
        <f t="shared" si="206"/>
        <v>#N/A</v>
      </c>
    </row>
    <row r="3929" spans="7:119" x14ac:dyDescent="0.25">
      <c r="G3929"/>
      <c r="DI3929" s="4">
        <f>INDEX(Sheet2!A:A,QUOTIENT(ROW()-1,19)+2)</f>
        <v>41808</v>
      </c>
      <c r="DJ3929" s="4">
        <f>INDEX(Sheet2!C:C,QUOTIENT(ROW()-1,19)+2)</f>
        <v>42369</v>
      </c>
      <c r="DK3929" s="4" t="e">
        <f>INDEX(Sheet2!$AA$2:$AS$228,QUOTIENT(ROW()-1,19)+1,MOD(ROW()-2,19)+1)</f>
        <v>#N/A</v>
      </c>
      <c r="DL3929" t="str">
        <f>IFERROR(INDEX(Sheet2!$AU$2:$BM$228,QUOTIENT(ROW()-1,19)+1,MOD(ROW()-2,19)+1),NA())</f>
        <v/>
      </c>
      <c r="DM3929" s="4" t="e">
        <f t="shared" si="204"/>
        <v>#N/A</v>
      </c>
      <c r="DN3929" t="str">
        <f t="shared" si="205"/>
        <v/>
      </c>
      <c r="DO3929" t="e">
        <f t="shared" si="206"/>
        <v>#N/A</v>
      </c>
    </row>
    <row r="3930" spans="7:119" x14ac:dyDescent="0.25">
      <c r="G3930"/>
      <c r="DI3930" s="4">
        <f>INDEX(Sheet2!A:A,QUOTIENT(ROW()-1,19)+2)</f>
        <v>41808</v>
      </c>
      <c r="DJ3930" s="4">
        <f>INDEX(Sheet2!C:C,QUOTIENT(ROW()-1,19)+2)</f>
        <v>42369</v>
      </c>
      <c r="DK3930" s="4" t="e">
        <f>INDEX(Sheet2!$AA$2:$AS$228,QUOTIENT(ROW()-1,19)+1,MOD(ROW()-2,19)+1)</f>
        <v>#N/A</v>
      </c>
      <c r="DL3930" t="str">
        <f>IFERROR(INDEX(Sheet2!$AU$2:$BM$228,QUOTIENT(ROW()-1,19)+1,MOD(ROW()-2,19)+1),NA())</f>
        <v/>
      </c>
      <c r="DM3930" s="4" t="e">
        <f t="shared" si="204"/>
        <v>#N/A</v>
      </c>
      <c r="DN3930" t="str">
        <f t="shared" si="205"/>
        <v/>
      </c>
      <c r="DO3930" t="e">
        <f t="shared" si="206"/>
        <v>#N/A</v>
      </c>
    </row>
    <row r="3931" spans="7:119" x14ac:dyDescent="0.25">
      <c r="G3931"/>
      <c r="DI3931" s="4">
        <f>INDEX(Sheet2!A:A,QUOTIENT(ROW()-1,19)+2)</f>
        <v>41808</v>
      </c>
      <c r="DJ3931" s="4">
        <f>INDEX(Sheet2!C:C,QUOTIENT(ROW()-1,19)+2)</f>
        <v>42369</v>
      </c>
      <c r="DK3931" s="4" t="e">
        <f>INDEX(Sheet2!$AA$2:$AS$228,QUOTIENT(ROW()-1,19)+1,MOD(ROW()-2,19)+1)</f>
        <v>#N/A</v>
      </c>
      <c r="DL3931" t="str">
        <f>IFERROR(INDEX(Sheet2!$AU$2:$BM$228,QUOTIENT(ROW()-1,19)+1,MOD(ROW()-2,19)+1),NA())</f>
        <v/>
      </c>
      <c r="DM3931" s="4" t="e">
        <f t="shared" si="204"/>
        <v>#N/A</v>
      </c>
      <c r="DN3931" t="str">
        <f t="shared" si="205"/>
        <v/>
      </c>
      <c r="DO3931" t="e">
        <f t="shared" si="206"/>
        <v>#N/A</v>
      </c>
    </row>
    <row r="3932" spans="7:119" x14ac:dyDescent="0.25">
      <c r="G3932"/>
      <c r="DI3932" s="4">
        <f>INDEX(Sheet2!A:A,QUOTIENT(ROW()-1,19)+2)</f>
        <v>41808</v>
      </c>
      <c r="DJ3932" s="4">
        <f>INDEX(Sheet2!C:C,QUOTIENT(ROW()-1,19)+2)</f>
        <v>42369</v>
      </c>
      <c r="DK3932" s="4" t="e">
        <f>INDEX(Sheet2!$AA$2:$AS$228,QUOTIENT(ROW()-1,19)+1,MOD(ROW()-2,19)+1)</f>
        <v>#N/A</v>
      </c>
      <c r="DL3932" t="str">
        <f>IFERROR(INDEX(Sheet2!$AU$2:$BM$228,QUOTIENT(ROW()-1,19)+1,MOD(ROW()-2,19)+1),NA())</f>
        <v/>
      </c>
      <c r="DM3932" s="4" t="e">
        <f t="shared" si="204"/>
        <v>#N/A</v>
      </c>
      <c r="DN3932" t="str">
        <f t="shared" si="205"/>
        <v/>
      </c>
      <c r="DO3932" t="e">
        <f t="shared" si="206"/>
        <v>#N/A</v>
      </c>
    </row>
    <row r="3933" spans="7:119" x14ac:dyDescent="0.25">
      <c r="G3933"/>
      <c r="DI3933" s="4">
        <f>INDEX(Sheet2!A:A,QUOTIENT(ROW()-1,19)+2)</f>
        <v>41808</v>
      </c>
      <c r="DJ3933" s="4">
        <f>INDEX(Sheet2!C:C,QUOTIENT(ROW()-1,19)+2)</f>
        <v>42369</v>
      </c>
      <c r="DK3933" s="4" t="e">
        <f>INDEX(Sheet2!$AA$2:$AS$228,QUOTIENT(ROW()-1,19)+1,MOD(ROW()-2,19)+1)</f>
        <v>#N/A</v>
      </c>
      <c r="DL3933" t="str">
        <f>IFERROR(INDEX(Sheet2!$AU$2:$BM$228,QUOTIENT(ROW()-1,19)+1,MOD(ROW()-2,19)+1),NA())</f>
        <v/>
      </c>
      <c r="DM3933" s="4" t="e">
        <f t="shared" si="204"/>
        <v>#N/A</v>
      </c>
      <c r="DN3933" t="str">
        <f t="shared" si="205"/>
        <v/>
      </c>
      <c r="DO3933" t="e">
        <f t="shared" si="206"/>
        <v>#N/A</v>
      </c>
    </row>
    <row r="3934" spans="7:119" x14ac:dyDescent="0.25">
      <c r="G3934"/>
      <c r="DI3934" s="4">
        <f>INDEX(Sheet2!A:A,QUOTIENT(ROW()-1,19)+2)</f>
        <v>41808</v>
      </c>
      <c r="DJ3934" s="4">
        <f>INDEX(Sheet2!C:C,QUOTIENT(ROW()-1,19)+2)</f>
        <v>42369</v>
      </c>
      <c r="DK3934" s="4" t="e">
        <f>INDEX(Sheet2!$AA$2:$AS$228,QUOTIENT(ROW()-1,19)+1,MOD(ROW()-2,19)+1)</f>
        <v>#N/A</v>
      </c>
      <c r="DL3934" t="str">
        <f>IFERROR(INDEX(Sheet2!$AU$2:$BM$228,QUOTIENT(ROW()-1,19)+1,MOD(ROW()-2,19)+1),NA())</f>
        <v/>
      </c>
      <c r="DM3934" s="4" t="e">
        <f t="shared" si="204"/>
        <v>#N/A</v>
      </c>
      <c r="DN3934" t="str">
        <f t="shared" si="205"/>
        <v/>
      </c>
      <c r="DO3934" t="e">
        <f t="shared" si="206"/>
        <v>#N/A</v>
      </c>
    </row>
    <row r="3935" spans="7:119" x14ac:dyDescent="0.25">
      <c r="G3935"/>
      <c r="DI3935" s="4">
        <f>INDEX(Sheet2!A:A,QUOTIENT(ROW()-1,19)+2)</f>
        <v>41808</v>
      </c>
      <c r="DJ3935" s="4">
        <f>INDEX(Sheet2!C:C,QUOTIENT(ROW()-1,19)+2)</f>
        <v>42369</v>
      </c>
      <c r="DK3935" s="4">
        <f>INDEX(Sheet2!$AA$2:$AS$228,QUOTIENT(ROW()-1,19)+1,MOD(ROW()-2,19)+1)</f>
        <v>42369</v>
      </c>
      <c r="DL3935">
        <f>IFERROR(INDEX(Sheet2!$AU$2:$BM$228,QUOTIENT(ROW()-1,19)+1,MOD(ROW()-2,19)+1),NA())</f>
        <v>2</v>
      </c>
      <c r="DM3935" s="4">
        <f t="shared" si="204"/>
        <v>42369</v>
      </c>
      <c r="DN3935">
        <f t="shared" si="205"/>
        <v>2</v>
      </c>
      <c r="DO3935">
        <f t="shared" si="206"/>
        <v>2</v>
      </c>
    </row>
    <row r="3936" spans="7:119" x14ac:dyDescent="0.25">
      <c r="G3936"/>
      <c r="DI3936" s="4">
        <f>INDEX(Sheet2!A:A,QUOTIENT(ROW()-1,19)+2)</f>
        <v>41808</v>
      </c>
      <c r="DJ3936" s="4">
        <f>INDEX(Sheet2!C:C,QUOTIENT(ROW()-1,19)+2)</f>
        <v>42369</v>
      </c>
      <c r="DK3936" s="4" t="e">
        <f>INDEX(Sheet2!$AA$2:$AS$228,QUOTIENT(ROW()-1,19)+1,MOD(ROW()-2,19)+1)</f>
        <v>#N/A</v>
      </c>
      <c r="DL3936" t="str">
        <f>IFERROR(INDEX(Sheet2!$AU$2:$BM$228,QUOTIENT(ROW()-1,19)+1,MOD(ROW()-2,19)+1),NA())</f>
        <v/>
      </c>
      <c r="DM3936" s="4" t="e">
        <f t="shared" si="204"/>
        <v>#N/A</v>
      </c>
      <c r="DN3936" t="str">
        <f t="shared" si="205"/>
        <v/>
      </c>
      <c r="DO3936" t="e">
        <f t="shared" si="206"/>
        <v>#N/A</v>
      </c>
    </row>
    <row r="3937" spans="7:119" x14ac:dyDescent="0.25">
      <c r="G3937"/>
      <c r="DI3937" s="4">
        <f>INDEX(Sheet2!A:A,QUOTIENT(ROW()-1,19)+2)</f>
        <v>41808</v>
      </c>
      <c r="DJ3937" s="4">
        <f>INDEX(Sheet2!C:C,QUOTIENT(ROW()-1,19)+2)</f>
        <v>42369</v>
      </c>
      <c r="DK3937" s="4" t="e">
        <f>INDEX(Sheet2!$AA$2:$AS$228,QUOTIENT(ROW()-1,19)+1,MOD(ROW()-2,19)+1)</f>
        <v>#N/A</v>
      </c>
      <c r="DL3937" t="str">
        <f>IFERROR(INDEX(Sheet2!$AU$2:$BM$228,QUOTIENT(ROW()-1,19)+1,MOD(ROW()-2,19)+1),NA())</f>
        <v/>
      </c>
      <c r="DM3937" s="4" t="e">
        <f t="shared" si="204"/>
        <v>#N/A</v>
      </c>
      <c r="DN3937" t="str">
        <f t="shared" si="205"/>
        <v/>
      </c>
      <c r="DO3937" t="e">
        <f t="shared" si="206"/>
        <v>#N/A</v>
      </c>
    </row>
    <row r="3938" spans="7:119" x14ac:dyDescent="0.25">
      <c r="G3938"/>
      <c r="DI3938" s="4">
        <f>INDEX(Sheet2!A:A,QUOTIENT(ROW()-1,19)+2)</f>
        <v>41808</v>
      </c>
      <c r="DJ3938" s="4">
        <f>INDEX(Sheet2!C:C,QUOTIENT(ROW()-1,19)+2)</f>
        <v>42369</v>
      </c>
      <c r="DK3938" s="4" t="e">
        <f>INDEX(Sheet2!$AA$2:$AS$228,QUOTIENT(ROW()-1,19)+1,MOD(ROW()-2,19)+1)</f>
        <v>#N/A</v>
      </c>
      <c r="DL3938" t="str">
        <f>IFERROR(INDEX(Sheet2!$AU$2:$BM$228,QUOTIENT(ROW()-1,19)+1,MOD(ROW()-2,19)+1),NA())</f>
        <v/>
      </c>
      <c r="DM3938" s="4" t="e">
        <f t="shared" si="204"/>
        <v>#N/A</v>
      </c>
      <c r="DN3938" t="str">
        <f t="shared" si="205"/>
        <v/>
      </c>
      <c r="DO3938" t="e">
        <f t="shared" si="206"/>
        <v>#N/A</v>
      </c>
    </row>
    <row r="3939" spans="7:119" x14ac:dyDescent="0.25">
      <c r="G3939"/>
      <c r="DI3939" s="4">
        <f>INDEX(Sheet2!A:A,QUOTIENT(ROW()-1,19)+2)</f>
        <v>41808</v>
      </c>
      <c r="DJ3939" s="4">
        <f>INDEX(Sheet2!C:C,QUOTIENT(ROW()-1,19)+2)</f>
        <v>42369</v>
      </c>
      <c r="DK3939" s="4" t="e">
        <f>INDEX(Sheet2!$AA$2:$AS$228,QUOTIENT(ROW()-1,19)+1,MOD(ROW()-2,19)+1)</f>
        <v>#N/A</v>
      </c>
      <c r="DL3939" t="str">
        <f>IFERROR(INDEX(Sheet2!$AU$2:$BM$228,QUOTIENT(ROW()-1,19)+1,MOD(ROW()-2,19)+1),NA())</f>
        <v/>
      </c>
      <c r="DM3939" s="4" t="e">
        <f t="shared" si="204"/>
        <v>#N/A</v>
      </c>
      <c r="DN3939" t="str">
        <f t="shared" si="205"/>
        <v/>
      </c>
      <c r="DO3939" t="e">
        <f t="shared" si="206"/>
        <v>#N/A</v>
      </c>
    </row>
    <row r="3940" spans="7:119" x14ac:dyDescent="0.25">
      <c r="G3940"/>
      <c r="DI3940" s="4">
        <f>INDEX(Sheet2!A:A,QUOTIENT(ROW()-1,19)+2)</f>
        <v>41808</v>
      </c>
      <c r="DJ3940" s="4">
        <f>INDEX(Sheet2!C:C,QUOTIENT(ROW()-1,19)+2)</f>
        <v>42369</v>
      </c>
      <c r="DK3940" s="4" t="e">
        <f>INDEX(Sheet2!$AA$2:$AS$228,QUOTIENT(ROW()-1,19)+1,MOD(ROW()-2,19)+1)</f>
        <v>#N/A</v>
      </c>
      <c r="DL3940" t="str">
        <f>IFERROR(INDEX(Sheet2!$AU$2:$BM$228,QUOTIENT(ROW()-1,19)+1,MOD(ROW()-2,19)+1),NA())</f>
        <v/>
      </c>
      <c r="DM3940" s="4" t="e">
        <f t="shared" si="204"/>
        <v>#N/A</v>
      </c>
      <c r="DN3940" t="str">
        <f t="shared" si="205"/>
        <v/>
      </c>
      <c r="DO3940" t="e">
        <f t="shared" si="206"/>
        <v>#N/A</v>
      </c>
    </row>
    <row r="3941" spans="7:119" x14ac:dyDescent="0.25">
      <c r="G3941"/>
      <c r="DI3941" s="4">
        <f>INDEX(Sheet2!A:A,QUOTIENT(ROW()-1,19)+2)</f>
        <v>41808</v>
      </c>
      <c r="DJ3941" s="4">
        <f>INDEX(Sheet2!C:C,QUOTIENT(ROW()-1,19)+2)</f>
        <v>42369</v>
      </c>
      <c r="DK3941" s="4" t="e">
        <f>INDEX(Sheet2!$AA$2:$AS$228,QUOTIENT(ROW()-1,19)+1,MOD(ROW()-2,19)+1)</f>
        <v>#N/A</v>
      </c>
      <c r="DL3941" t="str">
        <f>IFERROR(INDEX(Sheet2!$AU$2:$BM$228,QUOTIENT(ROW()-1,19)+1,MOD(ROW()-2,19)+1),NA())</f>
        <v/>
      </c>
      <c r="DM3941" s="4" t="e">
        <f t="shared" si="204"/>
        <v>#N/A</v>
      </c>
      <c r="DN3941" t="str">
        <f t="shared" si="205"/>
        <v/>
      </c>
      <c r="DO3941" t="e">
        <f t="shared" si="206"/>
        <v>#N/A</v>
      </c>
    </row>
    <row r="3942" spans="7:119" x14ac:dyDescent="0.25">
      <c r="G3942"/>
      <c r="DI3942" s="4">
        <f>INDEX(Sheet2!A:A,QUOTIENT(ROW()-1,19)+2)</f>
        <v>41808</v>
      </c>
      <c r="DJ3942" s="4">
        <f>INDEX(Sheet2!C:C,QUOTIENT(ROW()-1,19)+2)</f>
        <v>42369</v>
      </c>
      <c r="DK3942" s="4" t="e">
        <f>INDEX(Sheet2!$AA$2:$AS$228,QUOTIENT(ROW()-1,19)+1,MOD(ROW()-2,19)+1)</f>
        <v>#N/A</v>
      </c>
      <c r="DL3942" t="str">
        <f>IFERROR(INDEX(Sheet2!$AU$2:$BM$228,QUOTIENT(ROW()-1,19)+1,MOD(ROW()-2,19)+1),NA())</f>
        <v/>
      </c>
      <c r="DM3942" s="4" t="e">
        <f t="shared" si="204"/>
        <v>#N/A</v>
      </c>
      <c r="DN3942" t="str">
        <f t="shared" si="205"/>
        <v/>
      </c>
      <c r="DO3942" t="e">
        <f t="shared" si="206"/>
        <v>#N/A</v>
      </c>
    </row>
    <row r="3943" spans="7:119" x14ac:dyDescent="0.25">
      <c r="G3943"/>
      <c r="DI3943" s="4">
        <f>INDEX(Sheet2!A:A,QUOTIENT(ROW()-1,19)+2)</f>
        <v>41808</v>
      </c>
      <c r="DJ3943" s="4">
        <f>INDEX(Sheet2!C:C,QUOTIENT(ROW()-1,19)+2)</f>
        <v>42369</v>
      </c>
      <c r="DK3943" s="4" t="e">
        <f>INDEX(Sheet2!$AA$2:$AS$228,QUOTIENT(ROW()-1,19)+1,MOD(ROW()-2,19)+1)</f>
        <v>#N/A</v>
      </c>
      <c r="DL3943" t="str">
        <f>IFERROR(INDEX(Sheet2!$AU$2:$BM$228,QUOTIENT(ROW()-1,19)+1,MOD(ROW()-2,19)+1),NA())</f>
        <v/>
      </c>
      <c r="DM3943" s="4" t="e">
        <f t="shared" si="204"/>
        <v>#N/A</v>
      </c>
      <c r="DN3943" t="str">
        <f t="shared" si="205"/>
        <v/>
      </c>
      <c r="DO3943" t="e">
        <f t="shared" si="206"/>
        <v>#N/A</v>
      </c>
    </row>
    <row r="3944" spans="7:119" x14ac:dyDescent="0.25">
      <c r="G3944"/>
      <c r="DI3944" s="4">
        <f>INDEX(Sheet2!A:A,QUOTIENT(ROW()-1,19)+2)</f>
        <v>41808</v>
      </c>
      <c r="DJ3944" s="4">
        <f>INDEX(Sheet2!C:C,QUOTIENT(ROW()-1,19)+2)</f>
        <v>42369</v>
      </c>
      <c r="DK3944" s="4" t="e">
        <f>INDEX(Sheet2!$AA$2:$AS$228,QUOTIENT(ROW()-1,19)+1,MOD(ROW()-2,19)+1)</f>
        <v>#N/A</v>
      </c>
      <c r="DL3944" t="str">
        <f>IFERROR(INDEX(Sheet2!$AU$2:$BM$228,QUOTIENT(ROW()-1,19)+1,MOD(ROW()-2,19)+1),NA())</f>
        <v/>
      </c>
      <c r="DM3944" s="4" t="e">
        <f t="shared" si="204"/>
        <v>#N/A</v>
      </c>
      <c r="DN3944" t="str">
        <f t="shared" si="205"/>
        <v/>
      </c>
      <c r="DO3944" t="e">
        <f t="shared" si="206"/>
        <v>#N/A</v>
      </c>
    </row>
    <row r="3945" spans="7:119" x14ac:dyDescent="0.25">
      <c r="G3945"/>
      <c r="DI3945" s="4">
        <f>INDEX(Sheet2!A:A,QUOTIENT(ROW()-1,19)+2)</f>
        <v>41808</v>
      </c>
      <c r="DJ3945" s="4">
        <f>INDEX(Sheet2!C:C,QUOTIENT(ROW()-1,19)+2)</f>
        <v>42369</v>
      </c>
      <c r="DK3945" s="4" t="e">
        <f>INDEX(Sheet2!$AA$2:$AS$228,QUOTIENT(ROW()-1,19)+1,MOD(ROW()-2,19)+1)</f>
        <v>#N/A</v>
      </c>
      <c r="DL3945" t="str">
        <f>IFERROR(INDEX(Sheet2!$AU$2:$BM$228,QUOTIENT(ROW()-1,19)+1,MOD(ROW()-2,19)+1),NA())</f>
        <v/>
      </c>
      <c r="DM3945" s="4" t="e">
        <f t="shared" si="204"/>
        <v>#N/A</v>
      </c>
      <c r="DN3945" t="str">
        <f t="shared" si="205"/>
        <v/>
      </c>
      <c r="DO3945" t="e">
        <f t="shared" si="206"/>
        <v>#N/A</v>
      </c>
    </row>
    <row r="3946" spans="7:119" x14ac:dyDescent="0.25">
      <c r="G3946"/>
      <c r="DI3946" s="4">
        <f>INDEX(Sheet2!A:A,QUOTIENT(ROW()-1,19)+2)</f>
        <v>41808</v>
      </c>
      <c r="DJ3946" s="4">
        <f>INDEX(Sheet2!C:C,QUOTIENT(ROW()-1,19)+2)</f>
        <v>42369</v>
      </c>
      <c r="DK3946" s="4" t="e">
        <f>INDEX(Sheet2!$AA$2:$AS$228,QUOTIENT(ROW()-1,19)+1,MOD(ROW()-2,19)+1)</f>
        <v>#N/A</v>
      </c>
      <c r="DL3946" t="str">
        <f>IFERROR(INDEX(Sheet2!$AU$2:$BM$228,QUOTIENT(ROW()-1,19)+1,MOD(ROW()-2,19)+1),NA())</f>
        <v/>
      </c>
      <c r="DM3946" s="4" t="e">
        <f t="shared" si="204"/>
        <v>#N/A</v>
      </c>
      <c r="DN3946" t="str">
        <f t="shared" si="205"/>
        <v/>
      </c>
      <c r="DO3946" t="e">
        <f t="shared" si="206"/>
        <v>#N/A</v>
      </c>
    </row>
    <row r="3947" spans="7:119" x14ac:dyDescent="0.25">
      <c r="G3947"/>
      <c r="DI3947" s="4">
        <f>INDEX(Sheet2!A:A,QUOTIENT(ROW()-1,19)+2)</f>
        <v>41808</v>
      </c>
      <c r="DJ3947" s="4">
        <f>INDEX(Sheet2!C:C,QUOTIENT(ROW()-1,19)+2)</f>
        <v>42369</v>
      </c>
      <c r="DK3947" s="4" t="e">
        <f>INDEX(Sheet2!$AA$2:$AS$228,QUOTIENT(ROW()-1,19)+1,MOD(ROW()-2,19)+1)</f>
        <v>#N/A</v>
      </c>
      <c r="DL3947" t="str">
        <f>IFERROR(INDEX(Sheet2!$AU$2:$BM$228,QUOTIENT(ROW()-1,19)+1,MOD(ROW()-2,19)+1),NA())</f>
        <v/>
      </c>
      <c r="DM3947" s="4" t="e">
        <f t="shared" si="204"/>
        <v>#N/A</v>
      </c>
      <c r="DN3947" t="str">
        <f t="shared" si="205"/>
        <v/>
      </c>
      <c r="DO3947" t="e">
        <f t="shared" si="206"/>
        <v>#N/A</v>
      </c>
    </row>
    <row r="3948" spans="7:119" x14ac:dyDescent="0.25">
      <c r="G3948"/>
      <c r="DI3948" s="4">
        <f>INDEX(Sheet2!A:A,QUOTIENT(ROW()-1,19)+2)</f>
        <v>41808</v>
      </c>
      <c r="DJ3948" s="4">
        <f>INDEX(Sheet2!C:C,QUOTIENT(ROW()-1,19)+2)</f>
        <v>42369</v>
      </c>
      <c r="DK3948" s="4" t="e">
        <f>INDEX(Sheet2!$AA$2:$AS$228,QUOTIENT(ROW()-1,19)+1,MOD(ROW()-2,19)+1)</f>
        <v>#N/A</v>
      </c>
      <c r="DL3948" t="str">
        <f>IFERROR(INDEX(Sheet2!$AU$2:$BM$228,QUOTIENT(ROW()-1,19)+1,MOD(ROW()-2,19)+1),NA())</f>
        <v/>
      </c>
      <c r="DM3948" s="4" t="e">
        <f t="shared" si="204"/>
        <v>#N/A</v>
      </c>
      <c r="DN3948" t="str">
        <f t="shared" si="205"/>
        <v/>
      </c>
      <c r="DO3948" t="e">
        <f t="shared" si="206"/>
        <v>#N/A</v>
      </c>
    </row>
    <row r="3949" spans="7:119" x14ac:dyDescent="0.25">
      <c r="G3949"/>
      <c r="DI3949" s="4">
        <f>INDEX(Sheet2!A:A,QUOTIENT(ROW()-1,19)+2)</f>
        <v>41808</v>
      </c>
      <c r="DJ3949" s="4">
        <f>INDEX(Sheet2!C:C,QUOTIENT(ROW()-1,19)+2)</f>
        <v>42369</v>
      </c>
      <c r="DK3949" s="4" t="e">
        <f>INDEX(Sheet2!$AA$2:$AS$228,QUOTIENT(ROW()-1,19)+1,MOD(ROW()-2,19)+1)</f>
        <v>#N/A</v>
      </c>
      <c r="DL3949" t="str">
        <f>IFERROR(INDEX(Sheet2!$AU$2:$BM$228,QUOTIENT(ROW()-1,19)+1,MOD(ROW()-2,19)+1),NA())</f>
        <v/>
      </c>
      <c r="DM3949" s="4" t="e">
        <f t="shared" si="204"/>
        <v>#N/A</v>
      </c>
      <c r="DN3949" t="str">
        <f t="shared" si="205"/>
        <v/>
      </c>
      <c r="DO3949" t="e">
        <f t="shared" si="206"/>
        <v>#N/A</v>
      </c>
    </row>
    <row r="3950" spans="7:119" x14ac:dyDescent="0.25">
      <c r="G3950"/>
      <c r="DI3950" s="4">
        <f>INDEX(Sheet2!A:A,QUOTIENT(ROW()-1,19)+2)</f>
        <v>41808</v>
      </c>
      <c r="DJ3950" s="4">
        <f>INDEX(Sheet2!C:C,QUOTIENT(ROW()-1,19)+2)</f>
        <v>42369</v>
      </c>
      <c r="DK3950" s="4" t="e">
        <f>INDEX(Sheet2!$AA$2:$AS$228,QUOTIENT(ROW()-1,19)+1,MOD(ROW()-2,19)+1)</f>
        <v>#N/A</v>
      </c>
      <c r="DL3950" t="str">
        <f>IFERROR(INDEX(Sheet2!$AU$2:$BM$228,QUOTIENT(ROW()-1,19)+1,MOD(ROW()-2,19)+1),NA())</f>
        <v/>
      </c>
      <c r="DM3950" s="4" t="e">
        <f t="shared" si="204"/>
        <v>#N/A</v>
      </c>
      <c r="DN3950" t="str">
        <f t="shared" si="205"/>
        <v/>
      </c>
      <c r="DO3950" t="e">
        <f t="shared" si="206"/>
        <v>#N/A</v>
      </c>
    </row>
    <row r="3951" spans="7:119" x14ac:dyDescent="0.25">
      <c r="G3951"/>
      <c r="DI3951" s="4">
        <f>INDEX(Sheet2!A:A,QUOTIENT(ROW()-1,19)+2)</f>
        <v>41808</v>
      </c>
      <c r="DJ3951" s="4">
        <f>INDEX(Sheet2!C:C,QUOTIENT(ROW()-1,19)+2)</f>
        <v>42369</v>
      </c>
      <c r="DK3951" s="4" t="e">
        <f>INDEX(Sheet2!$AA$2:$AS$228,QUOTIENT(ROW()-1,19)+1,MOD(ROW()-2,19)+1)</f>
        <v>#N/A</v>
      </c>
      <c r="DL3951" t="str">
        <f>IFERROR(INDEX(Sheet2!$AU$2:$BM$228,QUOTIENT(ROW()-1,19)+1,MOD(ROW()-2,19)+1),NA())</f>
        <v/>
      </c>
      <c r="DM3951" s="4" t="e">
        <f t="shared" si="204"/>
        <v>#N/A</v>
      </c>
      <c r="DN3951" t="str">
        <f t="shared" si="205"/>
        <v/>
      </c>
      <c r="DO3951" t="e">
        <f t="shared" si="206"/>
        <v>#N/A</v>
      </c>
    </row>
    <row r="3952" spans="7:119" x14ac:dyDescent="0.25">
      <c r="G3952"/>
      <c r="DI3952" s="4">
        <f>INDEX(Sheet2!A:A,QUOTIENT(ROW()-1,19)+2)</f>
        <v>41808</v>
      </c>
      <c r="DJ3952" s="4">
        <f>INDEX(Sheet2!C:C,QUOTIENT(ROW()-1,19)+2)</f>
        <v>42369</v>
      </c>
      <c r="DK3952" s="4" t="e">
        <f>INDEX(Sheet2!$AA$2:$AS$228,QUOTIENT(ROW()-1,19)+1,MOD(ROW()-2,19)+1)</f>
        <v>#N/A</v>
      </c>
      <c r="DL3952" t="str">
        <f>IFERROR(INDEX(Sheet2!$AU$2:$BM$228,QUOTIENT(ROW()-1,19)+1,MOD(ROW()-2,19)+1),NA())</f>
        <v/>
      </c>
      <c r="DM3952" s="4" t="e">
        <f t="shared" si="204"/>
        <v>#N/A</v>
      </c>
      <c r="DN3952" t="str">
        <f t="shared" si="205"/>
        <v/>
      </c>
      <c r="DO3952" t="e">
        <f t="shared" si="206"/>
        <v>#N/A</v>
      </c>
    </row>
    <row r="3953" spans="7:119" x14ac:dyDescent="0.25">
      <c r="G3953"/>
      <c r="DI3953" s="4">
        <f>INDEX(Sheet2!A:A,QUOTIENT(ROW()-1,19)+2)</f>
        <v>41808</v>
      </c>
      <c r="DJ3953" s="4">
        <f>INDEX(Sheet2!C:C,QUOTIENT(ROW()-1,19)+2)</f>
        <v>42369</v>
      </c>
      <c r="DK3953" s="4" t="e">
        <f>INDEX(Sheet2!$AA$2:$AS$228,QUOTIENT(ROW()-1,19)+1,MOD(ROW()-2,19)+1)</f>
        <v>#N/A</v>
      </c>
      <c r="DL3953" t="str">
        <f>IFERROR(INDEX(Sheet2!$AU$2:$BM$228,QUOTIENT(ROW()-1,19)+1,MOD(ROW()-2,19)+1),NA())</f>
        <v/>
      </c>
      <c r="DM3953" s="4" t="e">
        <f t="shared" si="204"/>
        <v>#N/A</v>
      </c>
      <c r="DN3953" t="str">
        <f t="shared" si="205"/>
        <v/>
      </c>
      <c r="DO3953" t="e">
        <f t="shared" si="206"/>
        <v>#N/A</v>
      </c>
    </row>
    <row r="3954" spans="7:119" x14ac:dyDescent="0.25">
      <c r="G3954"/>
      <c r="DI3954" s="4">
        <f>INDEX(Sheet2!A:A,QUOTIENT(ROW()-1,19)+2)</f>
        <v>41808</v>
      </c>
      <c r="DJ3954" s="4">
        <f>INDEX(Sheet2!C:C,QUOTIENT(ROW()-1,19)+2)</f>
        <v>42369</v>
      </c>
      <c r="DK3954" s="4">
        <f>INDEX(Sheet2!$AA$2:$AS$228,QUOTIENT(ROW()-1,19)+1,MOD(ROW()-2,19)+1)</f>
        <v>42369</v>
      </c>
      <c r="DL3954">
        <f>IFERROR(INDEX(Sheet2!$AU$2:$BM$228,QUOTIENT(ROW()-1,19)+1,MOD(ROW()-2,19)+1),NA())</f>
        <v>2.25</v>
      </c>
      <c r="DM3954" s="4">
        <f t="shared" si="204"/>
        <v>42369</v>
      </c>
      <c r="DN3954">
        <f t="shared" si="205"/>
        <v>2.25</v>
      </c>
      <c r="DO3954">
        <f t="shared" si="206"/>
        <v>2.25</v>
      </c>
    </row>
    <row r="3955" spans="7:119" x14ac:dyDescent="0.25">
      <c r="G3955"/>
      <c r="DI3955" s="4">
        <f>INDEX(Sheet2!A:A,QUOTIENT(ROW()-1,19)+2)</f>
        <v>41808</v>
      </c>
      <c r="DJ3955" s="4">
        <f>INDEX(Sheet2!C:C,QUOTIENT(ROW()-1,19)+2)</f>
        <v>42369</v>
      </c>
      <c r="DK3955" s="4" t="e">
        <f>INDEX(Sheet2!$AA$2:$AS$228,QUOTIENT(ROW()-1,19)+1,MOD(ROW()-2,19)+1)</f>
        <v>#N/A</v>
      </c>
      <c r="DL3955" t="str">
        <f>IFERROR(INDEX(Sheet2!$AU$2:$BM$228,QUOTIENT(ROW()-1,19)+1,MOD(ROW()-2,19)+1),NA())</f>
        <v/>
      </c>
      <c r="DM3955" s="4" t="e">
        <f t="shared" si="204"/>
        <v>#N/A</v>
      </c>
      <c r="DN3955" t="str">
        <f t="shared" si="205"/>
        <v/>
      </c>
      <c r="DO3955" t="e">
        <f t="shared" si="206"/>
        <v>#N/A</v>
      </c>
    </row>
    <row r="3956" spans="7:119" x14ac:dyDescent="0.25">
      <c r="G3956"/>
      <c r="DI3956" s="4">
        <f>INDEX(Sheet2!A:A,QUOTIENT(ROW()-1,19)+2)</f>
        <v>41808</v>
      </c>
      <c r="DJ3956" s="4">
        <f>INDEX(Sheet2!C:C,QUOTIENT(ROW()-1,19)+2)</f>
        <v>42369</v>
      </c>
      <c r="DK3956" s="4" t="e">
        <f>INDEX(Sheet2!$AA$2:$AS$228,QUOTIENT(ROW()-1,19)+1,MOD(ROW()-2,19)+1)</f>
        <v>#N/A</v>
      </c>
      <c r="DL3956" t="str">
        <f>IFERROR(INDEX(Sheet2!$AU$2:$BM$228,QUOTIENT(ROW()-1,19)+1,MOD(ROW()-2,19)+1),NA())</f>
        <v/>
      </c>
      <c r="DM3956" s="4" t="e">
        <f t="shared" si="204"/>
        <v>#N/A</v>
      </c>
      <c r="DN3956" t="str">
        <f t="shared" si="205"/>
        <v/>
      </c>
      <c r="DO3956" t="e">
        <f t="shared" si="206"/>
        <v>#N/A</v>
      </c>
    </row>
    <row r="3957" spans="7:119" x14ac:dyDescent="0.25">
      <c r="G3957"/>
      <c r="DI3957" s="4">
        <f>INDEX(Sheet2!A:A,QUOTIENT(ROW()-1,19)+2)</f>
        <v>41808</v>
      </c>
      <c r="DJ3957" s="4">
        <f>INDEX(Sheet2!C:C,QUOTIENT(ROW()-1,19)+2)</f>
        <v>42369</v>
      </c>
      <c r="DK3957" s="4" t="e">
        <f>INDEX(Sheet2!$AA$2:$AS$228,QUOTIENT(ROW()-1,19)+1,MOD(ROW()-2,19)+1)</f>
        <v>#N/A</v>
      </c>
      <c r="DL3957" t="str">
        <f>IFERROR(INDEX(Sheet2!$AU$2:$BM$228,QUOTIENT(ROW()-1,19)+1,MOD(ROW()-2,19)+1),NA())</f>
        <v/>
      </c>
      <c r="DM3957" s="4" t="e">
        <f t="shared" si="204"/>
        <v>#N/A</v>
      </c>
      <c r="DN3957" t="str">
        <f t="shared" si="205"/>
        <v/>
      </c>
      <c r="DO3957" t="e">
        <f t="shared" si="206"/>
        <v>#N/A</v>
      </c>
    </row>
    <row r="3958" spans="7:119" x14ac:dyDescent="0.25">
      <c r="G3958"/>
      <c r="DI3958" s="4">
        <f>INDEX(Sheet2!A:A,QUOTIENT(ROW()-1,19)+2)</f>
        <v>41808</v>
      </c>
      <c r="DJ3958" s="4">
        <f>INDEX(Sheet2!C:C,QUOTIENT(ROW()-1,19)+2)</f>
        <v>42369</v>
      </c>
      <c r="DK3958" s="4" t="e">
        <f>INDEX(Sheet2!$AA$2:$AS$228,QUOTIENT(ROW()-1,19)+1,MOD(ROW()-2,19)+1)</f>
        <v>#N/A</v>
      </c>
      <c r="DL3958" t="str">
        <f>IFERROR(INDEX(Sheet2!$AU$2:$BM$228,QUOTIENT(ROW()-1,19)+1,MOD(ROW()-2,19)+1),NA())</f>
        <v/>
      </c>
      <c r="DM3958" s="4" t="e">
        <f t="shared" si="204"/>
        <v>#N/A</v>
      </c>
      <c r="DN3958" t="str">
        <f t="shared" si="205"/>
        <v/>
      </c>
      <c r="DO3958" t="e">
        <f t="shared" si="206"/>
        <v>#N/A</v>
      </c>
    </row>
    <row r="3959" spans="7:119" x14ac:dyDescent="0.25">
      <c r="G3959"/>
      <c r="DI3959" s="4">
        <f>INDEX(Sheet2!A:A,QUOTIENT(ROW()-1,19)+2)</f>
        <v>41808</v>
      </c>
      <c r="DJ3959" s="4">
        <f>INDEX(Sheet2!C:C,QUOTIENT(ROW()-1,19)+2)</f>
        <v>42369</v>
      </c>
      <c r="DK3959" s="4" t="e">
        <f>INDEX(Sheet2!$AA$2:$AS$228,QUOTIENT(ROW()-1,19)+1,MOD(ROW()-2,19)+1)</f>
        <v>#N/A</v>
      </c>
      <c r="DL3959" t="str">
        <f>IFERROR(INDEX(Sheet2!$AU$2:$BM$228,QUOTIENT(ROW()-1,19)+1,MOD(ROW()-2,19)+1),NA())</f>
        <v/>
      </c>
      <c r="DM3959" s="4" t="e">
        <f t="shared" si="204"/>
        <v>#N/A</v>
      </c>
      <c r="DN3959" t="str">
        <f t="shared" si="205"/>
        <v/>
      </c>
      <c r="DO3959" t="e">
        <f t="shared" si="206"/>
        <v>#N/A</v>
      </c>
    </row>
    <row r="3960" spans="7:119" x14ac:dyDescent="0.25">
      <c r="G3960"/>
      <c r="DI3960" s="4">
        <f>INDEX(Sheet2!A:A,QUOTIENT(ROW()-1,19)+2)</f>
        <v>41808</v>
      </c>
      <c r="DJ3960" s="4">
        <f>INDEX(Sheet2!C:C,QUOTIENT(ROW()-1,19)+2)</f>
        <v>42369</v>
      </c>
      <c r="DK3960" s="4" t="e">
        <f>INDEX(Sheet2!$AA$2:$AS$228,QUOTIENT(ROW()-1,19)+1,MOD(ROW()-2,19)+1)</f>
        <v>#N/A</v>
      </c>
      <c r="DL3960" t="str">
        <f>IFERROR(INDEX(Sheet2!$AU$2:$BM$228,QUOTIENT(ROW()-1,19)+1,MOD(ROW()-2,19)+1),NA())</f>
        <v/>
      </c>
      <c r="DM3960" s="4" t="e">
        <f t="shared" si="204"/>
        <v>#N/A</v>
      </c>
      <c r="DN3960" t="str">
        <f t="shared" si="205"/>
        <v/>
      </c>
      <c r="DO3960" t="e">
        <f t="shared" si="206"/>
        <v>#N/A</v>
      </c>
    </row>
    <row r="3961" spans="7:119" x14ac:dyDescent="0.25">
      <c r="G3961"/>
      <c r="DI3961" s="4">
        <f>INDEX(Sheet2!A:A,QUOTIENT(ROW()-1,19)+2)</f>
        <v>41808</v>
      </c>
      <c r="DJ3961" s="4">
        <f>INDEX(Sheet2!C:C,QUOTIENT(ROW()-1,19)+2)</f>
        <v>42369</v>
      </c>
      <c r="DK3961" s="4" t="e">
        <f>INDEX(Sheet2!$AA$2:$AS$228,QUOTIENT(ROW()-1,19)+1,MOD(ROW()-2,19)+1)</f>
        <v>#N/A</v>
      </c>
      <c r="DL3961" t="str">
        <f>IFERROR(INDEX(Sheet2!$AU$2:$BM$228,QUOTIENT(ROW()-1,19)+1,MOD(ROW()-2,19)+1),NA())</f>
        <v/>
      </c>
      <c r="DM3961" s="4" t="e">
        <f t="shared" si="204"/>
        <v>#N/A</v>
      </c>
      <c r="DN3961" t="str">
        <f t="shared" si="205"/>
        <v/>
      </c>
      <c r="DO3961" t="e">
        <f t="shared" si="206"/>
        <v>#N/A</v>
      </c>
    </row>
    <row r="3962" spans="7:119" x14ac:dyDescent="0.25">
      <c r="G3962"/>
      <c r="DI3962" s="4">
        <f>INDEX(Sheet2!A:A,QUOTIENT(ROW()-1,19)+2)</f>
        <v>41808</v>
      </c>
      <c r="DJ3962" s="4">
        <f>INDEX(Sheet2!C:C,QUOTIENT(ROW()-1,19)+2)</f>
        <v>42369</v>
      </c>
      <c r="DK3962" s="4" t="e">
        <f>INDEX(Sheet2!$AA$2:$AS$228,QUOTIENT(ROW()-1,19)+1,MOD(ROW()-2,19)+1)</f>
        <v>#N/A</v>
      </c>
      <c r="DL3962" t="str">
        <f>IFERROR(INDEX(Sheet2!$AU$2:$BM$228,QUOTIENT(ROW()-1,19)+1,MOD(ROW()-2,19)+1),NA())</f>
        <v/>
      </c>
      <c r="DM3962" s="4" t="e">
        <f t="shared" si="204"/>
        <v>#N/A</v>
      </c>
      <c r="DN3962" t="str">
        <f t="shared" si="205"/>
        <v/>
      </c>
      <c r="DO3962" t="e">
        <f t="shared" si="206"/>
        <v>#N/A</v>
      </c>
    </row>
    <row r="3963" spans="7:119" x14ac:dyDescent="0.25">
      <c r="G3963"/>
      <c r="DI3963" s="4">
        <f>INDEX(Sheet2!A:A,QUOTIENT(ROW()-1,19)+2)</f>
        <v>41808</v>
      </c>
      <c r="DJ3963" s="4">
        <f>INDEX(Sheet2!C:C,QUOTIENT(ROW()-1,19)+2)</f>
        <v>42369</v>
      </c>
      <c r="DK3963" s="4" t="e">
        <f>INDEX(Sheet2!$AA$2:$AS$228,QUOTIENT(ROW()-1,19)+1,MOD(ROW()-2,19)+1)</f>
        <v>#N/A</v>
      </c>
      <c r="DL3963" t="str">
        <f>IFERROR(INDEX(Sheet2!$AU$2:$BM$228,QUOTIENT(ROW()-1,19)+1,MOD(ROW()-2,19)+1),NA())</f>
        <v/>
      </c>
      <c r="DM3963" s="4" t="e">
        <f t="shared" si="204"/>
        <v>#N/A</v>
      </c>
      <c r="DN3963" t="str">
        <f t="shared" si="205"/>
        <v/>
      </c>
      <c r="DO3963" t="e">
        <f t="shared" si="206"/>
        <v>#N/A</v>
      </c>
    </row>
    <row r="3964" spans="7:119" x14ac:dyDescent="0.25">
      <c r="G3964"/>
      <c r="DI3964" s="4">
        <f>INDEX(Sheet2!A:A,QUOTIENT(ROW()-1,19)+2)</f>
        <v>41808</v>
      </c>
      <c r="DJ3964" s="4">
        <f>INDEX(Sheet2!C:C,QUOTIENT(ROW()-1,19)+2)</f>
        <v>42369</v>
      </c>
      <c r="DK3964" s="4" t="e">
        <f>INDEX(Sheet2!$AA$2:$AS$228,QUOTIENT(ROW()-1,19)+1,MOD(ROW()-2,19)+1)</f>
        <v>#N/A</v>
      </c>
      <c r="DL3964" t="str">
        <f>IFERROR(INDEX(Sheet2!$AU$2:$BM$228,QUOTIENT(ROW()-1,19)+1,MOD(ROW()-2,19)+1),NA())</f>
        <v/>
      </c>
      <c r="DM3964" s="4" t="e">
        <f t="shared" si="204"/>
        <v>#N/A</v>
      </c>
      <c r="DN3964" t="str">
        <f t="shared" si="205"/>
        <v/>
      </c>
      <c r="DO3964" t="e">
        <f t="shared" si="206"/>
        <v>#N/A</v>
      </c>
    </row>
    <row r="3965" spans="7:119" x14ac:dyDescent="0.25">
      <c r="G3965"/>
      <c r="DI3965" s="4">
        <f>INDEX(Sheet2!A:A,QUOTIENT(ROW()-1,19)+2)</f>
        <v>41808</v>
      </c>
      <c r="DJ3965" s="4">
        <f>INDEX(Sheet2!C:C,QUOTIENT(ROW()-1,19)+2)</f>
        <v>42369</v>
      </c>
      <c r="DK3965" s="4" t="e">
        <f>INDEX(Sheet2!$AA$2:$AS$228,QUOTIENT(ROW()-1,19)+1,MOD(ROW()-2,19)+1)</f>
        <v>#N/A</v>
      </c>
      <c r="DL3965" t="str">
        <f>IFERROR(INDEX(Sheet2!$AU$2:$BM$228,QUOTIENT(ROW()-1,19)+1,MOD(ROW()-2,19)+1),NA())</f>
        <v/>
      </c>
      <c r="DM3965" s="4" t="e">
        <f t="shared" si="204"/>
        <v>#N/A</v>
      </c>
      <c r="DN3965" t="str">
        <f t="shared" si="205"/>
        <v/>
      </c>
      <c r="DO3965" t="e">
        <f t="shared" si="206"/>
        <v>#N/A</v>
      </c>
    </row>
    <row r="3966" spans="7:119" x14ac:dyDescent="0.25">
      <c r="G3966"/>
      <c r="DI3966" s="4">
        <f>INDEX(Sheet2!A:A,QUOTIENT(ROW()-1,19)+2)</f>
        <v>41808</v>
      </c>
      <c r="DJ3966" s="4">
        <f>INDEX(Sheet2!C:C,QUOTIENT(ROW()-1,19)+2)</f>
        <v>42369</v>
      </c>
      <c r="DK3966" s="4" t="e">
        <f>INDEX(Sheet2!$AA$2:$AS$228,QUOTIENT(ROW()-1,19)+1,MOD(ROW()-2,19)+1)</f>
        <v>#N/A</v>
      </c>
      <c r="DL3966" t="str">
        <f>IFERROR(INDEX(Sheet2!$AU$2:$BM$228,QUOTIENT(ROW()-1,19)+1,MOD(ROW()-2,19)+1),NA())</f>
        <v/>
      </c>
      <c r="DM3966" s="4" t="e">
        <f t="shared" si="204"/>
        <v>#N/A</v>
      </c>
      <c r="DN3966" t="str">
        <f t="shared" si="205"/>
        <v/>
      </c>
      <c r="DO3966" t="e">
        <f t="shared" si="206"/>
        <v>#N/A</v>
      </c>
    </row>
    <row r="3967" spans="7:119" x14ac:dyDescent="0.25">
      <c r="G3967"/>
      <c r="DI3967" s="4">
        <f>INDEX(Sheet2!A:A,QUOTIENT(ROW()-1,19)+2)</f>
        <v>41808</v>
      </c>
      <c r="DJ3967" s="4">
        <f>INDEX(Sheet2!C:C,QUOTIENT(ROW()-1,19)+2)</f>
        <v>42369</v>
      </c>
      <c r="DK3967" s="4" t="e">
        <f>INDEX(Sheet2!$AA$2:$AS$228,QUOTIENT(ROW()-1,19)+1,MOD(ROW()-2,19)+1)</f>
        <v>#N/A</v>
      </c>
      <c r="DL3967" t="str">
        <f>IFERROR(INDEX(Sheet2!$AU$2:$BM$228,QUOTIENT(ROW()-1,19)+1,MOD(ROW()-2,19)+1),NA())</f>
        <v/>
      </c>
      <c r="DM3967" s="4" t="e">
        <f t="shared" si="204"/>
        <v>#N/A</v>
      </c>
      <c r="DN3967" t="str">
        <f t="shared" si="205"/>
        <v/>
      </c>
      <c r="DO3967" t="e">
        <f t="shared" si="206"/>
        <v>#N/A</v>
      </c>
    </row>
    <row r="3968" spans="7:119" x14ac:dyDescent="0.25">
      <c r="G3968"/>
      <c r="DI3968" s="4">
        <f>INDEX(Sheet2!A:A,QUOTIENT(ROW()-1,19)+2)</f>
        <v>41808</v>
      </c>
      <c r="DJ3968" s="4">
        <f>INDEX(Sheet2!C:C,QUOTIENT(ROW()-1,19)+2)</f>
        <v>42369</v>
      </c>
      <c r="DK3968" s="4" t="e">
        <f>INDEX(Sheet2!$AA$2:$AS$228,QUOTIENT(ROW()-1,19)+1,MOD(ROW()-2,19)+1)</f>
        <v>#N/A</v>
      </c>
      <c r="DL3968" t="str">
        <f>IFERROR(INDEX(Sheet2!$AU$2:$BM$228,QUOTIENT(ROW()-1,19)+1,MOD(ROW()-2,19)+1),NA())</f>
        <v/>
      </c>
      <c r="DM3968" s="4" t="e">
        <f t="shared" si="204"/>
        <v>#N/A</v>
      </c>
      <c r="DN3968" t="str">
        <f t="shared" si="205"/>
        <v/>
      </c>
      <c r="DO3968" t="e">
        <f t="shared" si="206"/>
        <v>#N/A</v>
      </c>
    </row>
    <row r="3969" spans="7:119" x14ac:dyDescent="0.25">
      <c r="G3969"/>
      <c r="DI3969" s="4">
        <f>INDEX(Sheet2!A:A,QUOTIENT(ROW()-1,19)+2)</f>
        <v>41808</v>
      </c>
      <c r="DJ3969" s="4">
        <f>INDEX(Sheet2!C:C,QUOTIENT(ROW()-1,19)+2)</f>
        <v>42369</v>
      </c>
      <c r="DK3969" s="4" t="e">
        <f>INDEX(Sheet2!$AA$2:$AS$228,QUOTIENT(ROW()-1,19)+1,MOD(ROW()-2,19)+1)</f>
        <v>#N/A</v>
      </c>
      <c r="DL3969" t="str">
        <f>IFERROR(INDEX(Sheet2!$AU$2:$BM$228,QUOTIENT(ROW()-1,19)+1,MOD(ROW()-2,19)+1),NA())</f>
        <v/>
      </c>
      <c r="DM3969" s="4" t="e">
        <f t="shared" si="204"/>
        <v>#N/A</v>
      </c>
      <c r="DN3969" t="str">
        <f t="shared" si="205"/>
        <v/>
      </c>
      <c r="DO3969" t="e">
        <f t="shared" si="206"/>
        <v>#N/A</v>
      </c>
    </row>
    <row r="3970" spans="7:119" x14ac:dyDescent="0.25">
      <c r="G3970"/>
      <c r="DI3970" s="4">
        <f>INDEX(Sheet2!A:A,QUOTIENT(ROW()-1,19)+2)</f>
        <v>41808</v>
      </c>
      <c r="DJ3970" s="4">
        <f>INDEX(Sheet2!C:C,QUOTIENT(ROW()-1,19)+2)</f>
        <v>42369</v>
      </c>
      <c r="DK3970" s="4" t="e">
        <f>INDEX(Sheet2!$AA$2:$AS$228,QUOTIENT(ROW()-1,19)+1,MOD(ROW()-2,19)+1)</f>
        <v>#N/A</v>
      </c>
      <c r="DL3970" t="str">
        <f>IFERROR(INDEX(Sheet2!$AU$2:$BM$228,QUOTIENT(ROW()-1,19)+1,MOD(ROW()-2,19)+1),NA())</f>
        <v/>
      </c>
      <c r="DM3970" s="4" t="e">
        <f t="shared" ref="DM3970:DM4033" si="207">+IF($C$2=$DI3970,DK3970,NA())</f>
        <v>#N/A</v>
      </c>
      <c r="DN3970" t="str">
        <f t="shared" ref="DN3970:DN4033" si="208">+IF($C$2=$DI3970,DL3970,NA())</f>
        <v/>
      </c>
      <c r="DO3970" t="e">
        <f t="shared" si="206"/>
        <v>#N/A</v>
      </c>
    </row>
    <row r="3971" spans="7:119" x14ac:dyDescent="0.25">
      <c r="G3971"/>
      <c r="DI3971" s="4">
        <f>INDEX(Sheet2!A:A,QUOTIENT(ROW()-1,19)+2)</f>
        <v>41808</v>
      </c>
      <c r="DJ3971" s="4">
        <f>INDEX(Sheet2!C:C,QUOTIENT(ROW()-1,19)+2)</f>
        <v>42369</v>
      </c>
      <c r="DK3971" s="4" t="e">
        <f>INDEX(Sheet2!$AA$2:$AS$228,QUOTIENT(ROW()-1,19)+1,MOD(ROW()-2,19)+1)</f>
        <v>#N/A</v>
      </c>
      <c r="DL3971" t="str">
        <f>IFERROR(INDEX(Sheet2!$AU$2:$BM$228,QUOTIENT(ROW()-1,19)+1,MOD(ROW()-2,19)+1),NA())</f>
        <v/>
      </c>
      <c r="DM3971" s="4" t="e">
        <f t="shared" si="207"/>
        <v>#N/A</v>
      </c>
      <c r="DN3971" t="str">
        <f t="shared" si="208"/>
        <v/>
      </c>
      <c r="DO3971" t="e">
        <f t="shared" ref="DO3971:DO4034" si="209">IF(DN3971="",NA(),DN3971)</f>
        <v>#N/A</v>
      </c>
    </row>
    <row r="3972" spans="7:119" x14ac:dyDescent="0.25">
      <c r="G3972"/>
      <c r="DI3972" s="4">
        <f>INDEX(Sheet2!A:A,QUOTIENT(ROW()-1,19)+2)</f>
        <v>41808</v>
      </c>
      <c r="DJ3972" s="4">
        <f>INDEX(Sheet2!C:C,QUOTIENT(ROW()-1,19)+2)</f>
        <v>42369</v>
      </c>
      <c r="DK3972" s="4" t="e">
        <f>INDEX(Sheet2!$AA$2:$AS$228,QUOTIENT(ROW()-1,19)+1,MOD(ROW()-2,19)+1)</f>
        <v>#N/A</v>
      </c>
      <c r="DL3972" t="str">
        <f>IFERROR(INDEX(Sheet2!$AU$2:$BM$228,QUOTIENT(ROW()-1,19)+1,MOD(ROW()-2,19)+1),NA())</f>
        <v/>
      </c>
      <c r="DM3972" s="4" t="e">
        <f t="shared" si="207"/>
        <v>#N/A</v>
      </c>
      <c r="DN3972" t="str">
        <f t="shared" si="208"/>
        <v/>
      </c>
      <c r="DO3972" t="e">
        <f t="shared" si="209"/>
        <v>#N/A</v>
      </c>
    </row>
    <row r="3973" spans="7:119" x14ac:dyDescent="0.25">
      <c r="G3973"/>
      <c r="DI3973" s="4">
        <f>INDEX(Sheet2!A:A,QUOTIENT(ROW()-1,19)+2)</f>
        <v>41808</v>
      </c>
      <c r="DJ3973" s="4">
        <f>INDEX(Sheet2!C:C,QUOTIENT(ROW()-1,19)+2)</f>
        <v>42369</v>
      </c>
      <c r="DK3973" s="4">
        <f>INDEX(Sheet2!$AA$2:$AS$228,QUOTIENT(ROW()-1,19)+1,MOD(ROW()-2,19)+1)</f>
        <v>42369</v>
      </c>
      <c r="DL3973">
        <f>IFERROR(INDEX(Sheet2!$AU$2:$BM$228,QUOTIENT(ROW()-1,19)+1,MOD(ROW()-2,19)+1),NA())</f>
        <v>3</v>
      </c>
      <c r="DM3973" s="4">
        <f t="shared" si="207"/>
        <v>42369</v>
      </c>
      <c r="DN3973">
        <f t="shared" si="208"/>
        <v>3</v>
      </c>
      <c r="DO3973">
        <f t="shared" si="209"/>
        <v>3</v>
      </c>
    </row>
    <row r="3974" spans="7:119" x14ac:dyDescent="0.25">
      <c r="G3974"/>
      <c r="DI3974" s="4">
        <f>INDEX(Sheet2!A:A,QUOTIENT(ROW()-1,19)+2)</f>
        <v>41808</v>
      </c>
      <c r="DJ3974" s="4">
        <f>INDEX(Sheet2!C:C,QUOTIENT(ROW()-1,19)+2)</f>
        <v>42369</v>
      </c>
      <c r="DK3974" s="4" t="e">
        <f>INDEX(Sheet2!$AA$2:$AS$228,QUOTIENT(ROW()-1,19)+1,MOD(ROW()-2,19)+1)</f>
        <v>#N/A</v>
      </c>
      <c r="DL3974" t="str">
        <f>IFERROR(INDEX(Sheet2!$AU$2:$BM$228,QUOTIENT(ROW()-1,19)+1,MOD(ROW()-2,19)+1),NA())</f>
        <v/>
      </c>
      <c r="DM3974" s="4" t="e">
        <f t="shared" si="207"/>
        <v>#N/A</v>
      </c>
      <c r="DN3974" t="str">
        <f t="shared" si="208"/>
        <v/>
      </c>
      <c r="DO3974" t="e">
        <f t="shared" si="209"/>
        <v>#N/A</v>
      </c>
    </row>
    <row r="3975" spans="7:119" x14ac:dyDescent="0.25">
      <c r="G3975"/>
      <c r="DI3975" s="4">
        <f>INDEX(Sheet2!A:A,QUOTIENT(ROW()-1,19)+2)</f>
        <v>41808</v>
      </c>
      <c r="DJ3975" s="4">
        <f>INDEX(Sheet2!C:C,QUOTIENT(ROW()-1,19)+2)</f>
        <v>42369</v>
      </c>
      <c r="DK3975" s="4" t="e">
        <f>INDEX(Sheet2!$AA$2:$AS$228,QUOTIENT(ROW()-1,19)+1,MOD(ROW()-2,19)+1)</f>
        <v>#N/A</v>
      </c>
      <c r="DL3975" t="str">
        <f>IFERROR(INDEX(Sheet2!$AU$2:$BM$228,QUOTIENT(ROW()-1,19)+1,MOD(ROW()-2,19)+1),NA())</f>
        <v/>
      </c>
      <c r="DM3975" s="4" t="e">
        <f t="shared" si="207"/>
        <v>#N/A</v>
      </c>
      <c r="DN3975" t="str">
        <f t="shared" si="208"/>
        <v/>
      </c>
      <c r="DO3975" t="e">
        <f t="shared" si="209"/>
        <v>#N/A</v>
      </c>
    </row>
    <row r="3976" spans="7:119" x14ac:dyDescent="0.25">
      <c r="G3976"/>
      <c r="DI3976" s="4">
        <f>INDEX(Sheet2!A:A,QUOTIENT(ROW()-1,19)+2)</f>
        <v>41808</v>
      </c>
      <c r="DJ3976" s="4">
        <f>INDEX(Sheet2!C:C,QUOTIENT(ROW()-1,19)+2)</f>
        <v>42369</v>
      </c>
      <c r="DK3976" s="4" t="e">
        <f>INDEX(Sheet2!$AA$2:$AS$228,QUOTIENT(ROW()-1,19)+1,MOD(ROW()-2,19)+1)</f>
        <v>#N/A</v>
      </c>
      <c r="DL3976" t="str">
        <f>IFERROR(INDEX(Sheet2!$AU$2:$BM$228,QUOTIENT(ROW()-1,19)+1,MOD(ROW()-2,19)+1),NA())</f>
        <v/>
      </c>
      <c r="DM3976" s="4" t="e">
        <f t="shared" si="207"/>
        <v>#N/A</v>
      </c>
      <c r="DN3976" t="str">
        <f t="shared" si="208"/>
        <v/>
      </c>
      <c r="DO3976" t="e">
        <f t="shared" si="209"/>
        <v>#N/A</v>
      </c>
    </row>
    <row r="3977" spans="7:119" x14ac:dyDescent="0.25">
      <c r="G3977"/>
      <c r="DI3977" s="4">
        <f>INDEX(Sheet2!A:A,QUOTIENT(ROW()-1,19)+2)</f>
        <v>41808</v>
      </c>
      <c r="DJ3977" s="4">
        <f>INDEX(Sheet2!C:C,QUOTIENT(ROW()-1,19)+2)</f>
        <v>42369</v>
      </c>
      <c r="DK3977" s="4" t="e">
        <f>INDEX(Sheet2!$AA$2:$AS$228,QUOTIENT(ROW()-1,19)+1,MOD(ROW()-2,19)+1)</f>
        <v>#N/A</v>
      </c>
      <c r="DL3977" t="str">
        <f>IFERROR(INDEX(Sheet2!$AU$2:$BM$228,QUOTIENT(ROW()-1,19)+1,MOD(ROW()-2,19)+1),NA())</f>
        <v/>
      </c>
      <c r="DM3977" s="4" t="e">
        <f t="shared" si="207"/>
        <v>#N/A</v>
      </c>
      <c r="DN3977" t="str">
        <f t="shared" si="208"/>
        <v/>
      </c>
      <c r="DO3977" t="e">
        <f t="shared" si="209"/>
        <v>#N/A</v>
      </c>
    </row>
    <row r="3978" spans="7:119" x14ac:dyDescent="0.25">
      <c r="G3978"/>
      <c r="DI3978" s="4">
        <f>INDEX(Sheet2!A:A,QUOTIENT(ROW()-1,19)+2)</f>
        <v>41808</v>
      </c>
      <c r="DJ3978" s="4">
        <f>INDEX(Sheet2!C:C,QUOTIENT(ROW()-1,19)+2)</f>
        <v>42369</v>
      </c>
      <c r="DK3978" s="4" t="e">
        <f>INDEX(Sheet2!$AA$2:$AS$228,QUOTIENT(ROW()-1,19)+1,MOD(ROW()-2,19)+1)</f>
        <v>#N/A</v>
      </c>
      <c r="DL3978" t="str">
        <f>IFERROR(INDEX(Sheet2!$AU$2:$BM$228,QUOTIENT(ROW()-1,19)+1,MOD(ROW()-2,19)+1),NA())</f>
        <v/>
      </c>
      <c r="DM3978" s="4" t="e">
        <f t="shared" si="207"/>
        <v>#N/A</v>
      </c>
      <c r="DN3978" t="str">
        <f t="shared" si="208"/>
        <v/>
      </c>
      <c r="DO3978" t="e">
        <f t="shared" si="209"/>
        <v>#N/A</v>
      </c>
    </row>
    <row r="3979" spans="7:119" x14ac:dyDescent="0.25">
      <c r="G3979"/>
      <c r="DI3979" s="4">
        <f>INDEX(Sheet2!A:A,QUOTIENT(ROW()-1,19)+2)</f>
        <v>41808</v>
      </c>
      <c r="DJ3979" s="4">
        <f>INDEX(Sheet2!C:C,QUOTIENT(ROW()-1,19)+2)</f>
        <v>42369</v>
      </c>
      <c r="DK3979" s="4" t="e">
        <f>INDEX(Sheet2!$AA$2:$AS$228,QUOTIENT(ROW()-1,19)+1,MOD(ROW()-2,19)+1)</f>
        <v>#N/A</v>
      </c>
      <c r="DL3979" t="str">
        <f>IFERROR(INDEX(Sheet2!$AU$2:$BM$228,QUOTIENT(ROW()-1,19)+1,MOD(ROW()-2,19)+1),NA())</f>
        <v/>
      </c>
      <c r="DM3979" s="4" t="e">
        <f t="shared" si="207"/>
        <v>#N/A</v>
      </c>
      <c r="DN3979" t="str">
        <f t="shared" si="208"/>
        <v/>
      </c>
      <c r="DO3979" t="e">
        <f t="shared" si="209"/>
        <v>#N/A</v>
      </c>
    </row>
    <row r="3980" spans="7:119" x14ac:dyDescent="0.25">
      <c r="G3980"/>
      <c r="DI3980" s="4">
        <f>INDEX(Sheet2!A:A,QUOTIENT(ROW()-1,19)+2)</f>
        <v>41808</v>
      </c>
      <c r="DJ3980" s="4">
        <f>INDEX(Sheet2!C:C,QUOTIENT(ROW()-1,19)+2)</f>
        <v>42369</v>
      </c>
      <c r="DK3980" s="4" t="e">
        <f>INDEX(Sheet2!$AA$2:$AS$228,QUOTIENT(ROW()-1,19)+1,MOD(ROW()-2,19)+1)</f>
        <v>#N/A</v>
      </c>
      <c r="DL3980" t="str">
        <f>IFERROR(INDEX(Sheet2!$AU$2:$BM$228,QUOTIENT(ROW()-1,19)+1,MOD(ROW()-2,19)+1),NA())</f>
        <v/>
      </c>
      <c r="DM3980" s="4" t="e">
        <f t="shared" si="207"/>
        <v>#N/A</v>
      </c>
      <c r="DN3980" t="str">
        <f t="shared" si="208"/>
        <v/>
      </c>
      <c r="DO3980" t="e">
        <f t="shared" si="209"/>
        <v>#N/A</v>
      </c>
    </row>
    <row r="3981" spans="7:119" x14ac:dyDescent="0.25">
      <c r="G3981"/>
      <c r="DI3981" s="4">
        <f>INDEX(Sheet2!A:A,QUOTIENT(ROW()-1,19)+2)</f>
        <v>41808</v>
      </c>
      <c r="DJ3981" s="4">
        <f>INDEX(Sheet2!C:C,QUOTIENT(ROW()-1,19)+2)</f>
        <v>42369</v>
      </c>
      <c r="DK3981" s="4" t="e">
        <f>INDEX(Sheet2!$AA$2:$AS$228,QUOTIENT(ROW()-1,19)+1,MOD(ROW()-2,19)+1)</f>
        <v>#N/A</v>
      </c>
      <c r="DL3981" t="str">
        <f>IFERROR(INDEX(Sheet2!$AU$2:$BM$228,QUOTIENT(ROW()-1,19)+1,MOD(ROW()-2,19)+1),NA())</f>
        <v/>
      </c>
      <c r="DM3981" s="4" t="e">
        <f t="shared" si="207"/>
        <v>#N/A</v>
      </c>
      <c r="DN3981" t="str">
        <f t="shared" si="208"/>
        <v/>
      </c>
      <c r="DO3981" t="e">
        <f t="shared" si="209"/>
        <v>#N/A</v>
      </c>
    </row>
    <row r="3982" spans="7:119" x14ac:dyDescent="0.25">
      <c r="G3982"/>
      <c r="DI3982" s="4">
        <f>INDEX(Sheet2!A:A,QUOTIENT(ROW()-1,19)+2)</f>
        <v>41808</v>
      </c>
      <c r="DJ3982" s="4">
        <f>INDEX(Sheet2!C:C,QUOTIENT(ROW()-1,19)+2)</f>
        <v>42369</v>
      </c>
      <c r="DK3982" s="4" t="e">
        <f>INDEX(Sheet2!$AA$2:$AS$228,QUOTIENT(ROW()-1,19)+1,MOD(ROW()-2,19)+1)</f>
        <v>#N/A</v>
      </c>
      <c r="DL3982" t="str">
        <f>IFERROR(INDEX(Sheet2!$AU$2:$BM$228,QUOTIENT(ROW()-1,19)+1,MOD(ROW()-2,19)+1),NA())</f>
        <v/>
      </c>
      <c r="DM3982" s="4" t="e">
        <f t="shared" si="207"/>
        <v>#N/A</v>
      </c>
      <c r="DN3982" t="str">
        <f t="shared" si="208"/>
        <v/>
      </c>
      <c r="DO3982" t="e">
        <f t="shared" si="209"/>
        <v>#N/A</v>
      </c>
    </row>
    <row r="3983" spans="7:119" x14ac:dyDescent="0.25">
      <c r="G3983"/>
      <c r="DI3983" s="4">
        <f>INDEX(Sheet2!A:A,QUOTIENT(ROW()-1,19)+2)</f>
        <v>41808</v>
      </c>
      <c r="DJ3983" s="4">
        <f>INDEX(Sheet2!C:C,QUOTIENT(ROW()-1,19)+2)</f>
        <v>42369</v>
      </c>
      <c r="DK3983" s="4" t="e">
        <f>INDEX(Sheet2!$AA$2:$AS$228,QUOTIENT(ROW()-1,19)+1,MOD(ROW()-2,19)+1)</f>
        <v>#N/A</v>
      </c>
      <c r="DL3983" t="str">
        <f>IFERROR(INDEX(Sheet2!$AU$2:$BM$228,QUOTIENT(ROW()-1,19)+1,MOD(ROW()-2,19)+1),NA())</f>
        <v/>
      </c>
      <c r="DM3983" s="4" t="e">
        <f t="shared" si="207"/>
        <v>#N/A</v>
      </c>
      <c r="DN3983" t="str">
        <f t="shared" si="208"/>
        <v/>
      </c>
      <c r="DO3983" t="e">
        <f t="shared" si="209"/>
        <v>#N/A</v>
      </c>
    </row>
    <row r="3984" spans="7:119" x14ac:dyDescent="0.25">
      <c r="G3984"/>
      <c r="DI3984" s="4">
        <f>INDEX(Sheet2!A:A,QUOTIENT(ROW()-1,19)+2)</f>
        <v>41808</v>
      </c>
      <c r="DJ3984" s="4">
        <f>INDEX(Sheet2!C:C,QUOTIENT(ROW()-1,19)+2)</f>
        <v>42369</v>
      </c>
      <c r="DK3984" s="4" t="e">
        <f>INDEX(Sheet2!$AA$2:$AS$228,QUOTIENT(ROW()-1,19)+1,MOD(ROW()-2,19)+1)</f>
        <v>#N/A</v>
      </c>
      <c r="DL3984" t="str">
        <f>IFERROR(INDEX(Sheet2!$AU$2:$BM$228,QUOTIENT(ROW()-1,19)+1,MOD(ROW()-2,19)+1),NA())</f>
        <v/>
      </c>
      <c r="DM3984" s="4" t="e">
        <f t="shared" si="207"/>
        <v>#N/A</v>
      </c>
      <c r="DN3984" t="str">
        <f t="shared" si="208"/>
        <v/>
      </c>
      <c r="DO3984" t="e">
        <f t="shared" si="209"/>
        <v>#N/A</v>
      </c>
    </row>
    <row r="3985" spans="7:119" x14ac:dyDescent="0.25">
      <c r="G3985"/>
      <c r="DI3985" s="4">
        <f>INDEX(Sheet2!A:A,QUOTIENT(ROW()-1,19)+2)</f>
        <v>41808</v>
      </c>
      <c r="DJ3985" s="4">
        <f>INDEX(Sheet2!C:C,QUOTIENT(ROW()-1,19)+2)</f>
        <v>42369</v>
      </c>
      <c r="DK3985" s="4" t="e">
        <f>INDEX(Sheet2!$AA$2:$AS$228,QUOTIENT(ROW()-1,19)+1,MOD(ROW()-2,19)+1)</f>
        <v>#N/A</v>
      </c>
      <c r="DL3985" t="str">
        <f>IFERROR(INDEX(Sheet2!$AU$2:$BM$228,QUOTIENT(ROW()-1,19)+1,MOD(ROW()-2,19)+1),NA())</f>
        <v/>
      </c>
      <c r="DM3985" s="4" t="e">
        <f t="shared" si="207"/>
        <v>#N/A</v>
      </c>
      <c r="DN3985" t="str">
        <f t="shared" si="208"/>
        <v/>
      </c>
      <c r="DO3985" t="e">
        <f t="shared" si="209"/>
        <v>#N/A</v>
      </c>
    </row>
    <row r="3986" spans="7:119" x14ac:dyDescent="0.25">
      <c r="G3986"/>
      <c r="DI3986" s="4">
        <f>INDEX(Sheet2!A:A,QUOTIENT(ROW()-1,19)+2)</f>
        <v>41808</v>
      </c>
      <c r="DJ3986" s="4">
        <f>INDEX(Sheet2!C:C,QUOTIENT(ROW()-1,19)+2)</f>
        <v>42369</v>
      </c>
      <c r="DK3986" s="4" t="e">
        <f>INDEX(Sheet2!$AA$2:$AS$228,QUOTIENT(ROW()-1,19)+1,MOD(ROW()-2,19)+1)</f>
        <v>#N/A</v>
      </c>
      <c r="DL3986" t="str">
        <f>IFERROR(INDEX(Sheet2!$AU$2:$BM$228,QUOTIENT(ROW()-1,19)+1,MOD(ROW()-2,19)+1),NA())</f>
        <v/>
      </c>
      <c r="DM3986" s="4" t="e">
        <f t="shared" si="207"/>
        <v>#N/A</v>
      </c>
      <c r="DN3986" t="str">
        <f t="shared" si="208"/>
        <v/>
      </c>
      <c r="DO3986" t="e">
        <f t="shared" si="209"/>
        <v>#N/A</v>
      </c>
    </row>
    <row r="3987" spans="7:119" x14ac:dyDescent="0.25">
      <c r="G3987"/>
      <c r="DI3987" s="4">
        <f>INDEX(Sheet2!A:A,QUOTIENT(ROW()-1,19)+2)</f>
        <v>41808</v>
      </c>
      <c r="DJ3987" s="4">
        <f>INDEX(Sheet2!C:C,QUOTIENT(ROW()-1,19)+2)</f>
        <v>42369</v>
      </c>
      <c r="DK3987" s="4" t="e">
        <f>INDEX(Sheet2!$AA$2:$AS$228,QUOTIENT(ROW()-1,19)+1,MOD(ROW()-2,19)+1)</f>
        <v>#N/A</v>
      </c>
      <c r="DL3987" t="str">
        <f>IFERROR(INDEX(Sheet2!$AU$2:$BM$228,QUOTIENT(ROW()-1,19)+1,MOD(ROW()-2,19)+1),NA())</f>
        <v/>
      </c>
      <c r="DM3987" s="4" t="e">
        <f t="shared" si="207"/>
        <v>#N/A</v>
      </c>
      <c r="DN3987" t="str">
        <f t="shared" si="208"/>
        <v/>
      </c>
      <c r="DO3987" t="e">
        <f t="shared" si="209"/>
        <v>#N/A</v>
      </c>
    </row>
    <row r="3988" spans="7:119" x14ac:dyDescent="0.25">
      <c r="G3988"/>
      <c r="DI3988" s="4">
        <f>INDEX(Sheet2!A:A,QUOTIENT(ROW()-1,19)+2)</f>
        <v>41808</v>
      </c>
      <c r="DJ3988" s="4">
        <f>INDEX(Sheet2!C:C,QUOTIENT(ROW()-1,19)+2)</f>
        <v>42369</v>
      </c>
      <c r="DK3988" s="4" t="e">
        <f>INDEX(Sheet2!$AA$2:$AS$228,QUOTIENT(ROW()-1,19)+1,MOD(ROW()-2,19)+1)</f>
        <v>#N/A</v>
      </c>
      <c r="DL3988" t="str">
        <f>IFERROR(INDEX(Sheet2!$AU$2:$BM$228,QUOTIENT(ROW()-1,19)+1,MOD(ROW()-2,19)+1),NA())</f>
        <v/>
      </c>
      <c r="DM3988" s="4" t="e">
        <f t="shared" si="207"/>
        <v>#N/A</v>
      </c>
      <c r="DN3988" t="str">
        <f t="shared" si="208"/>
        <v/>
      </c>
      <c r="DO3988" t="e">
        <f t="shared" si="209"/>
        <v>#N/A</v>
      </c>
    </row>
    <row r="3989" spans="7:119" x14ac:dyDescent="0.25">
      <c r="G3989"/>
      <c r="DI3989" s="4">
        <f>INDEX(Sheet2!A:A,QUOTIENT(ROW()-1,19)+2)</f>
        <v>41808</v>
      </c>
      <c r="DJ3989" s="4">
        <f>INDEX(Sheet2!C:C,QUOTIENT(ROW()-1,19)+2)</f>
        <v>42369</v>
      </c>
      <c r="DK3989" s="4" t="e">
        <f>INDEX(Sheet2!$AA$2:$AS$228,QUOTIENT(ROW()-1,19)+1,MOD(ROW()-2,19)+1)</f>
        <v>#N/A</v>
      </c>
      <c r="DL3989" t="str">
        <f>IFERROR(INDEX(Sheet2!$AU$2:$BM$228,QUOTIENT(ROW()-1,19)+1,MOD(ROW()-2,19)+1),NA())</f>
        <v/>
      </c>
      <c r="DM3989" s="4" t="e">
        <f t="shared" si="207"/>
        <v>#N/A</v>
      </c>
      <c r="DN3989" t="str">
        <f t="shared" si="208"/>
        <v/>
      </c>
      <c r="DO3989" t="e">
        <f t="shared" si="209"/>
        <v>#N/A</v>
      </c>
    </row>
    <row r="3990" spans="7:119" x14ac:dyDescent="0.25">
      <c r="G3990"/>
      <c r="DI3990" s="4">
        <f>INDEX(Sheet2!A:A,QUOTIENT(ROW()-1,19)+2)</f>
        <v>41808</v>
      </c>
      <c r="DJ3990" s="4">
        <f>INDEX(Sheet2!C:C,QUOTIENT(ROW()-1,19)+2)</f>
        <v>42369</v>
      </c>
      <c r="DK3990" s="4" t="e">
        <f>INDEX(Sheet2!$AA$2:$AS$228,QUOTIENT(ROW()-1,19)+1,MOD(ROW()-2,19)+1)</f>
        <v>#N/A</v>
      </c>
      <c r="DL3990" t="str">
        <f>IFERROR(INDEX(Sheet2!$AU$2:$BM$228,QUOTIENT(ROW()-1,19)+1,MOD(ROW()-2,19)+1),NA())</f>
        <v/>
      </c>
      <c r="DM3990" s="4" t="e">
        <f t="shared" si="207"/>
        <v>#N/A</v>
      </c>
      <c r="DN3990" t="str">
        <f t="shared" si="208"/>
        <v/>
      </c>
      <c r="DO3990" t="e">
        <f t="shared" si="209"/>
        <v>#N/A</v>
      </c>
    </row>
    <row r="3991" spans="7:119" x14ac:dyDescent="0.25">
      <c r="G3991"/>
      <c r="DI3991" s="4">
        <f>INDEX(Sheet2!A:A,QUOTIENT(ROW()-1,19)+2)</f>
        <v>41808</v>
      </c>
      <c r="DJ3991" s="4">
        <f>INDEX(Sheet2!C:C,QUOTIENT(ROW()-1,19)+2)</f>
        <v>42735</v>
      </c>
      <c r="DK3991" s="4" t="e">
        <f>INDEX(Sheet2!$AA$2:$AS$228,QUOTIENT(ROW()-1,19)+1,MOD(ROW()-2,19)+1)</f>
        <v>#N/A</v>
      </c>
      <c r="DL3991" t="str">
        <f>IFERROR(INDEX(Sheet2!$AU$2:$BM$228,QUOTIENT(ROW()-1,19)+1,MOD(ROW()-2,19)+1),NA())</f>
        <v/>
      </c>
      <c r="DM3991" s="4" t="e">
        <f t="shared" si="207"/>
        <v>#N/A</v>
      </c>
      <c r="DN3991" t="str">
        <f t="shared" si="208"/>
        <v/>
      </c>
      <c r="DO3991" t="e">
        <f t="shared" si="209"/>
        <v>#N/A</v>
      </c>
    </row>
    <row r="3992" spans="7:119" x14ac:dyDescent="0.25">
      <c r="G3992"/>
      <c r="DI3992" s="4">
        <f>INDEX(Sheet2!A:A,QUOTIENT(ROW()-1,19)+2)</f>
        <v>41808</v>
      </c>
      <c r="DJ3992" s="4">
        <f>INDEX(Sheet2!C:C,QUOTIENT(ROW()-1,19)+2)</f>
        <v>42735</v>
      </c>
      <c r="DK3992" s="4">
        <f>INDEX(Sheet2!$AA$2:$AS$228,QUOTIENT(ROW()-1,19)+1,MOD(ROW()-2,19)+1)</f>
        <v>42735</v>
      </c>
      <c r="DL3992">
        <f>IFERROR(INDEX(Sheet2!$AU$2:$BM$228,QUOTIENT(ROW()-1,19)+1,MOD(ROW()-2,19)+1),NA())</f>
        <v>0.5</v>
      </c>
      <c r="DM3992" s="4">
        <f t="shared" si="207"/>
        <v>42735</v>
      </c>
      <c r="DN3992">
        <f t="shared" si="208"/>
        <v>0.5</v>
      </c>
      <c r="DO3992">
        <f t="shared" si="209"/>
        <v>0.5</v>
      </c>
    </row>
    <row r="3993" spans="7:119" x14ac:dyDescent="0.25">
      <c r="G3993"/>
      <c r="DI3993" s="4">
        <f>INDEX(Sheet2!A:A,QUOTIENT(ROW()-1,19)+2)</f>
        <v>41808</v>
      </c>
      <c r="DJ3993" s="4">
        <f>INDEX(Sheet2!C:C,QUOTIENT(ROW()-1,19)+2)</f>
        <v>42735</v>
      </c>
      <c r="DK3993" s="4" t="e">
        <f>INDEX(Sheet2!$AA$2:$AS$228,QUOTIENT(ROW()-1,19)+1,MOD(ROW()-2,19)+1)</f>
        <v>#N/A</v>
      </c>
      <c r="DL3993" t="str">
        <f>IFERROR(INDEX(Sheet2!$AU$2:$BM$228,QUOTIENT(ROW()-1,19)+1,MOD(ROW()-2,19)+1),NA())</f>
        <v/>
      </c>
      <c r="DM3993" s="4" t="e">
        <f t="shared" si="207"/>
        <v>#N/A</v>
      </c>
      <c r="DN3993" t="str">
        <f t="shared" si="208"/>
        <v/>
      </c>
      <c r="DO3993" t="e">
        <f t="shared" si="209"/>
        <v>#N/A</v>
      </c>
    </row>
    <row r="3994" spans="7:119" x14ac:dyDescent="0.25">
      <c r="G3994"/>
      <c r="DI3994" s="4">
        <f>INDEX(Sheet2!A:A,QUOTIENT(ROW()-1,19)+2)</f>
        <v>41808</v>
      </c>
      <c r="DJ3994" s="4">
        <f>INDEX(Sheet2!C:C,QUOTIENT(ROW()-1,19)+2)</f>
        <v>42735</v>
      </c>
      <c r="DK3994" s="4" t="e">
        <f>INDEX(Sheet2!$AA$2:$AS$228,QUOTIENT(ROW()-1,19)+1,MOD(ROW()-2,19)+1)</f>
        <v>#N/A</v>
      </c>
      <c r="DL3994" t="str">
        <f>IFERROR(INDEX(Sheet2!$AU$2:$BM$228,QUOTIENT(ROW()-1,19)+1,MOD(ROW()-2,19)+1),NA())</f>
        <v/>
      </c>
      <c r="DM3994" s="4" t="e">
        <f t="shared" si="207"/>
        <v>#N/A</v>
      </c>
      <c r="DN3994" t="str">
        <f t="shared" si="208"/>
        <v/>
      </c>
      <c r="DO3994" t="e">
        <f t="shared" si="209"/>
        <v>#N/A</v>
      </c>
    </row>
    <row r="3995" spans="7:119" x14ac:dyDescent="0.25">
      <c r="G3995"/>
      <c r="DI3995" s="4">
        <f>INDEX(Sheet2!A:A,QUOTIENT(ROW()-1,19)+2)</f>
        <v>41808</v>
      </c>
      <c r="DJ3995" s="4">
        <f>INDEX(Sheet2!C:C,QUOTIENT(ROW()-1,19)+2)</f>
        <v>42735</v>
      </c>
      <c r="DK3995" s="4" t="e">
        <f>INDEX(Sheet2!$AA$2:$AS$228,QUOTIENT(ROW()-1,19)+1,MOD(ROW()-2,19)+1)</f>
        <v>#N/A</v>
      </c>
      <c r="DL3995" t="str">
        <f>IFERROR(INDEX(Sheet2!$AU$2:$BM$228,QUOTIENT(ROW()-1,19)+1,MOD(ROW()-2,19)+1),NA())</f>
        <v/>
      </c>
      <c r="DM3995" s="4" t="e">
        <f t="shared" si="207"/>
        <v>#N/A</v>
      </c>
      <c r="DN3995" t="str">
        <f t="shared" si="208"/>
        <v/>
      </c>
      <c r="DO3995" t="e">
        <f t="shared" si="209"/>
        <v>#N/A</v>
      </c>
    </row>
    <row r="3996" spans="7:119" x14ac:dyDescent="0.25">
      <c r="G3996"/>
      <c r="DI3996" s="4">
        <f>INDEX(Sheet2!A:A,QUOTIENT(ROW()-1,19)+2)</f>
        <v>41808</v>
      </c>
      <c r="DJ3996" s="4">
        <f>INDEX(Sheet2!C:C,QUOTIENT(ROW()-1,19)+2)</f>
        <v>42735</v>
      </c>
      <c r="DK3996" s="4" t="e">
        <f>INDEX(Sheet2!$AA$2:$AS$228,QUOTIENT(ROW()-1,19)+1,MOD(ROW()-2,19)+1)</f>
        <v>#N/A</v>
      </c>
      <c r="DL3996" t="str">
        <f>IFERROR(INDEX(Sheet2!$AU$2:$BM$228,QUOTIENT(ROW()-1,19)+1,MOD(ROW()-2,19)+1),NA())</f>
        <v/>
      </c>
      <c r="DM3996" s="4" t="e">
        <f t="shared" si="207"/>
        <v>#N/A</v>
      </c>
      <c r="DN3996" t="str">
        <f t="shared" si="208"/>
        <v/>
      </c>
      <c r="DO3996" t="e">
        <f t="shared" si="209"/>
        <v>#N/A</v>
      </c>
    </row>
    <row r="3997" spans="7:119" x14ac:dyDescent="0.25">
      <c r="G3997"/>
      <c r="DI3997" s="4">
        <f>INDEX(Sheet2!A:A,QUOTIENT(ROW()-1,19)+2)</f>
        <v>41808</v>
      </c>
      <c r="DJ3997" s="4">
        <f>INDEX(Sheet2!C:C,QUOTIENT(ROW()-1,19)+2)</f>
        <v>42735</v>
      </c>
      <c r="DK3997" s="4" t="e">
        <f>INDEX(Sheet2!$AA$2:$AS$228,QUOTIENT(ROW()-1,19)+1,MOD(ROW()-2,19)+1)</f>
        <v>#N/A</v>
      </c>
      <c r="DL3997" t="str">
        <f>IFERROR(INDEX(Sheet2!$AU$2:$BM$228,QUOTIENT(ROW()-1,19)+1,MOD(ROW()-2,19)+1),NA())</f>
        <v/>
      </c>
      <c r="DM3997" s="4" t="e">
        <f t="shared" si="207"/>
        <v>#N/A</v>
      </c>
      <c r="DN3997" t="str">
        <f t="shared" si="208"/>
        <v/>
      </c>
      <c r="DO3997" t="e">
        <f t="shared" si="209"/>
        <v>#N/A</v>
      </c>
    </row>
    <row r="3998" spans="7:119" x14ac:dyDescent="0.25">
      <c r="G3998"/>
      <c r="DI3998" s="4">
        <f>INDEX(Sheet2!A:A,QUOTIENT(ROW()-1,19)+2)</f>
        <v>41808</v>
      </c>
      <c r="DJ3998" s="4">
        <f>INDEX(Sheet2!C:C,QUOTIENT(ROW()-1,19)+2)</f>
        <v>42735</v>
      </c>
      <c r="DK3998" s="4" t="e">
        <f>INDEX(Sheet2!$AA$2:$AS$228,QUOTIENT(ROW()-1,19)+1,MOD(ROW()-2,19)+1)</f>
        <v>#N/A</v>
      </c>
      <c r="DL3998" t="str">
        <f>IFERROR(INDEX(Sheet2!$AU$2:$BM$228,QUOTIENT(ROW()-1,19)+1,MOD(ROW()-2,19)+1),NA())</f>
        <v/>
      </c>
      <c r="DM3998" s="4" t="e">
        <f t="shared" si="207"/>
        <v>#N/A</v>
      </c>
      <c r="DN3998" t="str">
        <f t="shared" si="208"/>
        <v/>
      </c>
      <c r="DO3998" t="e">
        <f t="shared" si="209"/>
        <v>#N/A</v>
      </c>
    </row>
    <row r="3999" spans="7:119" x14ac:dyDescent="0.25">
      <c r="G3999"/>
      <c r="DI3999" s="4">
        <f>INDEX(Sheet2!A:A,QUOTIENT(ROW()-1,19)+2)</f>
        <v>41808</v>
      </c>
      <c r="DJ3999" s="4">
        <f>INDEX(Sheet2!C:C,QUOTIENT(ROW()-1,19)+2)</f>
        <v>42735</v>
      </c>
      <c r="DK3999" s="4" t="e">
        <f>INDEX(Sheet2!$AA$2:$AS$228,QUOTIENT(ROW()-1,19)+1,MOD(ROW()-2,19)+1)</f>
        <v>#N/A</v>
      </c>
      <c r="DL3999" t="str">
        <f>IFERROR(INDEX(Sheet2!$AU$2:$BM$228,QUOTIENT(ROW()-1,19)+1,MOD(ROW()-2,19)+1),NA())</f>
        <v/>
      </c>
      <c r="DM3999" s="4" t="e">
        <f t="shared" si="207"/>
        <v>#N/A</v>
      </c>
      <c r="DN3999" t="str">
        <f t="shared" si="208"/>
        <v/>
      </c>
      <c r="DO3999" t="e">
        <f t="shared" si="209"/>
        <v>#N/A</v>
      </c>
    </row>
    <row r="4000" spans="7:119" x14ac:dyDescent="0.25">
      <c r="G4000"/>
      <c r="DI4000" s="4">
        <f>INDEX(Sheet2!A:A,QUOTIENT(ROW()-1,19)+2)</f>
        <v>41808</v>
      </c>
      <c r="DJ4000" s="4">
        <f>INDEX(Sheet2!C:C,QUOTIENT(ROW()-1,19)+2)</f>
        <v>42735</v>
      </c>
      <c r="DK4000" s="4" t="e">
        <f>INDEX(Sheet2!$AA$2:$AS$228,QUOTIENT(ROW()-1,19)+1,MOD(ROW()-2,19)+1)</f>
        <v>#N/A</v>
      </c>
      <c r="DL4000" t="str">
        <f>IFERROR(INDEX(Sheet2!$AU$2:$BM$228,QUOTIENT(ROW()-1,19)+1,MOD(ROW()-2,19)+1),NA())</f>
        <v/>
      </c>
      <c r="DM4000" s="4" t="e">
        <f t="shared" si="207"/>
        <v>#N/A</v>
      </c>
      <c r="DN4000" t="str">
        <f t="shared" si="208"/>
        <v/>
      </c>
      <c r="DO4000" t="e">
        <f t="shared" si="209"/>
        <v>#N/A</v>
      </c>
    </row>
    <row r="4001" spans="7:119" x14ac:dyDescent="0.25">
      <c r="G4001"/>
      <c r="DI4001" s="4">
        <f>INDEX(Sheet2!A:A,QUOTIENT(ROW()-1,19)+2)</f>
        <v>41808</v>
      </c>
      <c r="DJ4001" s="4">
        <f>INDEX(Sheet2!C:C,QUOTIENT(ROW()-1,19)+2)</f>
        <v>42735</v>
      </c>
      <c r="DK4001" s="4" t="e">
        <f>INDEX(Sheet2!$AA$2:$AS$228,QUOTIENT(ROW()-1,19)+1,MOD(ROW()-2,19)+1)</f>
        <v>#N/A</v>
      </c>
      <c r="DL4001" t="str">
        <f>IFERROR(INDEX(Sheet2!$AU$2:$BM$228,QUOTIENT(ROW()-1,19)+1,MOD(ROW()-2,19)+1),NA())</f>
        <v/>
      </c>
      <c r="DM4001" s="4" t="e">
        <f t="shared" si="207"/>
        <v>#N/A</v>
      </c>
      <c r="DN4001" t="str">
        <f t="shared" si="208"/>
        <v/>
      </c>
      <c r="DO4001" t="e">
        <f t="shared" si="209"/>
        <v>#N/A</v>
      </c>
    </row>
    <row r="4002" spans="7:119" x14ac:dyDescent="0.25">
      <c r="G4002"/>
      <c r="DI4002" s="4">
        <f>INDEX(Sheet2!A:A,QUOTIENT(ROW()-1,19)+2)</f>
        <v>41808</v>
      </c>
      <c r="DJ4002" s="4">
        <f>INDEX(Sheet2!C:C,QUOTIENT(ROW()-1,19)+2)</f>
        <v>42735</v>
      </c>
      <c r="DK4002" s="4" t="e">
        <f>INDEX(Sheet2!$AA$2:$AS$228,QUOTIENT(ROW()-1,19)+1,MOD(ROW()-2,19)+1)</f>
        <v>#N/A</v>
      </c>
      <c r="DL4002" t="str">
        <f>IFERROR(INDEX(Sheet2!$AU$2:$BM$228,QUOTIENT(ROW()-1,19)+1,MOD(ROW()-2,19)+1),NA())</f>
        <v/>
      </c>
      <c r="DM4002" s="4" t="e">
        <f t="shared" si="207"/>
        <v>#N/A</v>
      </c>
      <c r="DN4002" t="str">
        <f t="shared" si="208"/>
        <v/>
      </c>
      <c r="DO4002" t="e">
        <f t="shared" si="209"/>
        <v>#N/A</v>
      </c>
    </row>
    <row r="4003" spans="7:119" x14ac:dyDescent="0.25">
      <c r="G4003"/>
      <c r="DI4003" s="4">
        <f>INDEX(Sheet2!A:A,QUOTIENT(ROW()-1,19)+2)</f>
        <v>41808</v>
      </c>
      <c r="DJ4003" s="4">
        <f>INDEX(Sheet2!C:C,QUOTIENT(ROW()-1,19)+2)</f>
        <v>42735</v>
      </c>
      <c r="DK4003" s="4" t="e">
        <f>INDEX(Sheet2!$AA$2:$AS$228,QUOTIENT(ROW()-1,19)+1,MOD(ROW()-2,19)+1)</f>
        <v>#N/A</v>
      </c>
      <c r="DL4003" t="str">
        <f>IFERROR(INDEX(Sheet2!$AU$2:$BM$228,QUOTIENT(ROW()-1,19)+1,MOD(ROW()-2,19)+1),NA())</f>
        <v/>
      </c>
      <c r="DM4003" s="4" t="e">
        <f t="shared" si="207"/>
        <v>#N/A</v>
      </c>
      <c r="DN4003" t="str">
        <f t="shared" si="208"/>
        <v/>
      </c>
      <c r="DO4003" t="e">
        <f t="shared" si="209"/>
        <v>#N/A</v>
      </c>
    </row>
    <row r="4004" spans="7:119" x14ac:dyDescent="0.25">
      <c r="G4004"/>
      <c r="DI4004" s="4">
        <f>INDEX(Sheet2!A:A,QUOTIENT(ROW()-1,19)+2)</f>
        <v>41808</v>
      </c>
      <c r="DJ4004" s="4">
        <f>INDEX(Sheet2!C:C,QUOTIENT(ROW()-1,19)+2)</f>
        <v>42735</v>
      </c>
      <c r="DK4004" s="4" t="e">
        <f>INDEX(Sheet2!$AA$2:$AS$228,QUOTIENT(ROW()-1,19)+1,MOD(ROW()-2,19)+1)</f>
        <v>#N/A</v>
      </c>
      <c r="DL4004" t="str">
        <f>IFERROR(INDEX(Sheet2!$AU$2:$BM$228,QUOTIENT(ROW()-1,19)+1,MOD(ROW()-2,19)+1),NA())</f>
        <v/>
      </c>
      <c r="DM4004" s="4" t="e">
        <f t="shared" si="207"/>
        <v>#N/A</v>
      </c>
      <c r="DN4004" t="str">
        <f t="shared" si="208"/>
        <v/>
      </c>
      <c r="DO4004" t="e">
        <f t="shared" si="209"/>
        <v>#N/A</v>
      </c>
    </row>
    <row r="4005" spans="7:119" x14ac:dyDescent="0.25">
      <c r="G4005"/>
      <c r="DI4005" s="4">
        <f>INDEX(Sheet2!A:A,QUOTIENT(ROW()-1,19)+2)</f>
        <v>41808</v>
      </c>
      <c r="DJ4005" s="4">
        <f>INDEX(Sheet2!C:C,QUOTIENT(ROW()-1,19)+2)</f>
        <v>42735</v>
      </c>
      <c r="DK4005" s="4" t="e">
        <f>INDEX(Sheet2!$AA$2:$AS$228,QUOTIENT(ROW()-1,19)+1,MOD(ROW()-2,19)+1)</f>
        <v>#N/A</v>
      </c>
      <c r="DL4005" t="str">
        <f>IFERROR(INDEX(Sheet2!$AU$2:$BM$228,QUOTIENT(ROW()-1,19)+1,MOD(ROW()-2,19)+1),NA())</f>
        <v/>
      </c>
      <c r="DM4005" s="4" t="e">
        <f t="shared" si="207"/>
        <v>#N/A</v>
      </c>
      <c r="DN4005" t="str">
        <f t="shared" si="208"/>
        <v/>
      </c>
      <c r="DO4005" t="e">
        <f t="shared" si="209"/>
        <v>#N/A</v>
      </c>
    </row>
    <row r="4006" spans="7:119" x14ac:dyDescent="0.25">
      <c r="G4006"/>
      <c r="DI4006" s="4">
        <f>INDEX(Sheet2!A:A,QUOTIENT(ROW()-1,19)+2)</f>
        <v>41808</v>
      </c>
      <c r="DJ4006" s="4">
        <f>INDEX(Sheet2!C:C,QUOTIENT(ROW()-1,19)+2)</f>
        <v>42735</v>
      </c>
      <c r="DK4006" s="4" t="e">
        <f>INDEX(Sheet2!$AA$2:$AS$228,QUOTIENT(ROW()-1,19)+1,MOD(ROW()-2,19)+1)</f>
        <v>#N/A</v>
      </c>
      <c r="DL4006" t="str">
        <f>IFERROR(INDEX(Sheet2!$AU$2:$BM$228,QUOTIENT(ROW()-1,19)+1,MOD(ROW()-2,19)+1),NA())</f>
        <v/>
      </c>
      <c r="DM4006" s="4" t="e">
        <f t="shared" si="207"/>
        <v>#N/A</v>
      </c>
      <c r="DN4006" t="str">
        <f t="shared" si="208"/>
        <v/>
      </c>
      <c r="DO4006" t="e">
        <f t="shared" si="209"/>
        <v>#N/A</v>
      </c>
    </row>
    <row r="4007" spans="7:119" x14ac:dyDescent="0.25">
      <c r="G4007"/>
      <c r="DI4007" s="4">
        <f>INDEX(Sheet2!A:A,QUOTIENT(ROW()-1,19)+2)</f>
        <v>41808</v>
      </c>
      <c r="DJ4007" s="4">
        <f>INDEX(Sheet2!C:C,QUOTIENT(ROW()-1,19)+2)</f>
        <v>42735</v>
      </c>
      <c r="DK4007" s="4" t="e">
        <f>INDEX(Sheet2!$AA$2:$AS$228,QUOTIENT(ROW()-1,19)+1,MOD(ROW()-2,19)+1)</f>
        <v>#N/A</v>
      </c>
      <c r="DL4007" t="str">
        <f>IFERROR(INDEX(Sheet2!$AU$2:$BM$228,QUOTIENT(ROW()-1,19)+1,MOD(ROW()-2,19)+1),NA())</f>
        <v/>
      </c>
      <c r="DM4007" s="4" t="e">
        <f t="shared" si="207"/>
        <v>#N/A</v>
      </c>
      <c r="DN4007" t="str">
        <f t="shared" si="208"/>
        <v/>
      </c>
      <c r="DO4007" t="e">
        <f t="shared" si="209"/>
        <v>#N/A</v>
      </c>
    </row>
    <row r="4008" spans="7:119" x14ac:dyDescent="0.25">
      <c r="G4008"/>
      <c r="DI4008" s="4">
        <f>INDEX(Sheet2!A:A,QUOTIENT(ROW()-1,19)+2)</f>
        <v>41808</v>
      </c>
      <c r="DJ4008" s="4">
        <f>INDEX(Sheet2!C:C,QUOTIENT(ROW()-1,19)+2)</f>
        <v>42735</v>
      </c>
      <c r="DK4008" s="4" t="e">
        <f>INDEX(Sheet2!$AA$2:$AS$228,QUOTIENT(ROW()-1,19)+1,MOD(ROW()-2,19)+1)</f>
        <v>#N/A</v>
      </c>
      <c r="DL4008" t="str">
        <f>IFERROR(INDEX(Sheet2!$AU$2:$BM$228,QUOTIENT(ROW()-1,19)+1,MOD(ROW()-2,19)+1),NA())</f>
        <v/>
      </c>
      <c r="DM4008" s="4" t="e">
        <f t="shared" si="207"/>
        <v>#N/A</v>
      </c>
      <c r="DN4008" t="str">
        <f t="shared" si="208"/>
        <v/>
      </c>
      <c r="DO4008" t="e">
        <f t="shared" si="209"/>
        <v>#N/A</v>
      </c>
    </row>
    <row r="4009" spans="7:119" x14ac:dyDescent="0.25">
      <c r="G4009"/>
      <c r="DI4009" s="4">
        <f>INDEX(Sheet2!A:A,QUOTIENT(ROW()-1,19)+2)</f>
        <v>41808</v>
      </c>
      <c r="DJ4009" s="4">
        <f>INDEX(Sheet2!C:C,QUOTIENT(ROW()-1,19)+2)</f>
        <v>42735</v>
      </c>
      <c r="DK4009" s="4" t="e">
        <f>INDEX(Sheet2!$AA$2:$AS$228,QUOTIENT(ROW()-1,19)+1,MOD(ROW()-2,19)+1)</f>
        <v>#N/A</v>
      </c>
      <c r="DL4009" t="str">
        <f>IFERROR(INDEX(Sheet2!$AU$2:$BM$228,QUOTIENT(ROW()-1,19)+1,MOD(ROW()-2,19)+1),NA())</f>
        <v/>
      </c>
      <c r="DM4009" s="4" t="e">
        <f t="shared" si="207"/>
        <v>#N/A</v>
      </c>
      <c r="DN4009" t="str">
        <f t="shared" si="208"/>
        <v/>
      </c>
      <c r="DO4009" t="e">
        <f t="shared" si="209"/>
        <v>#N/A</v>
      </c>
    </row>
    <row r="4010" spans="7:119" x14ac:dyDescent="0.25">
      <c r="G4010"/>
      <c r="DI4010" s="4">
        <f>INDEX(Sheet2!A:A,QUOTIENT(ROW()-1,19)+2)</f>
        <v>41808</v>
      </c>
      <c r="DJ4010" s="4">
        <f>INDEX(Sheet2!C:C,QUOTIENT(ROW()-1,19)+2)</f>
        <v>42735</v>
      </c>
      <c r="DK4010" s="4" t="e">
        <f>INDEX(Sheet2!$AA$2:$AS$228,QUOTIENT(ROW()-1,19)+1,MOD(ROW()-2,19)+1)</f>
        <v>#N/A</v>
      </c>
      <c r="DL4010" t="str">
        <f>IFERROR(INDEX(Sheet2!$AU$2:$BM$228,QUOTIENT(ROW()-1,19)+1,MOD(ROW()-2,19)+1),NA())</f>
        <v/>
      </c>
      <c r="DM4010" s="4" t="e">
        <f t="shared" si="207"/>
        <v>#N/A</v>
      </c>
      <c r="DN4010" t="str">
        <f t="shared" si="208"/>
        <v/>
      </c>
      <c r="DO4010" t="e">
        <f t="shared" si="209"/>
        <v>#N/A</v>
      </c>
    </row>
    <row r="4011" spans="7:119" x14ac:dyDescent="0.25">
      <c r="G4011"/>
      <c r="DI4011" s="4">
        <f>INDEX(Sheet2!A:A,QUOTIENT(ROW()-1,19)+2)</f>
        <v>41808</v>
      </c>
      <c r="DJ4011" s="4">
        <f>INDEX(Sheet2!C:C,QUOTIENT(ROW()-1,19)+2)</f>
        <v>42735</v>
      </c>
      <c r="DK4011" s="4">
        <f>INDEX(Sheet2!$AA$2:$AS$228,QUOTIENT(ROW()-1,19)+1,MOD(ROW()-2,19)+1)</f>
        <v>42735</v>
      </c>
      <c r="DL4011">
        <f>IFERROR(INDEX(Sheet2!$AU$2:$BM$228,QUOTIENT(ROW()-1,19)+1,MOD(ROW()-2,19)+1),NA())</f>
        <v>1</v>
      </c>
      <c r="DM4011" s="4">
        <f t="shared" si="207"/>
        <v>42735</v>
      </c>
      <c r="DN4011">
        <f t="shared" si="208"/>
        <v>1</v>
      </c>
      <c r="DO4011">
        <f t="shared" si="209"/>
        <v>1</v>
      </c>
    </row>
    <row r="4012" spans="7:119" x14ac:dyDescent="0.25">
      <c r="G4012"/>
      <c r="DI4012" s="4">
        <f>INDEX(Sheet2!A:A,QUOTIENT(ROW()-1,19)+2)</f>
        <v>41808</v>
      </c>
      <c r="DJ4012" s="4">
        <f>INDEX(Sheet2!C:C,QUOTIENT(ROW()-1,19)+2)</f>
        <v>42735</v>
      </c>
      <c r="DK4012" s="4" t="e">
        <f>INDEX(Sheet2!$AA$2:$AS$228,QUOTIENT(ROW()-1,19)+1,MOD(ROW()-2,19)+1)</f>
        <v>#N/A</v>
      </c>
      <c r="DL4012" t="str">
        <f>IFERROR(INDEX(Sheet2!$AU$2:$BM$228,QUOTIENT(ROW()-1,19)+1,MOD(ROW()-2,19)+1),NA())</f>
        <v/>
      </c>
      <c r="DM4012" s="4" t="e">
        <f t="shared" si="207"/>
        <v>#N/A</v>
      </c>
      <c r="DN4012" t="str">
        <f t="shared" si="208"/>
        <v/>
      </c>
      <c r="DO4012" t="e">
        <f t="shared" si="209"/>
        <v>#N/A</v>
      </c>
    </row>
    <row r="4013" spans="7:119" x14ac:dyDescent="0.25">
      <c r="G4013"/>
      <c r="DI4013" s="4">
        <f>INDEX(Sheet2!A:A,QUOTIENT(ROW()-1,19)+2)</f>
        <v>41808</v>
      </c>
      <c r="DJ4013" s="4">
        <f>INDEX(Sheet2!C:C,QUOTIENT(ROW()-1,19)+2)</f>
        <v>42735</v>
      </c>
      <c r="DK4013" s="4" t="e">
        <f>INDEX(Sheet2!$AA$2:$AS$228,QUOTIENT(ROW()-1,19)+1,MOD(ROW()-2,19)+1)</f>
        <v>#N/A</v>
      </c>
      <c r="DL4013" t="str">
        <f>IFERROR(INDEX(Sheet2!$AU$2:$BM$228,QUOTIENT(ROW()-1,19)+1,MOD(ROW()-2,19)+1),NA())</f>
        <v/>
      </c>
      <c r="DM4013" s="4" t="e">
        <f t="shared" si="207"/>
        <v>#N/A</v>
      </c>
      <c r="DN4013" t="str">
        <f t="shared" si="208"/>
        <v/>
      </c>
      <c r="DO4013" t="e">
        <f t="shared" si="209"/>
        <v>#N/A</v>
      </c>
    </row>
    <row r="4014" spans="7:119" x14ac:dyDescent="0.25">
      <c r="G4014"/>
      <c r="DI4014" s="4">
        <f>INDEX(Sheet2!A:A,QUOTIENT(ROW()-1,19)+2)</f>
        <v>41808</v>
      </c>
      <c r="DJ4014" s="4">
        <f>INDEX(Sheet2!C:C,QUOTIENT(ROW()-1,19)+2)</f>
        <v>42735</v>
      </c>
      <c r="DK4014" s="4" t="e">
        <f>INDEX(Sheet2!$AA$2:$AS$228,QUOTIENT(ROW()-1,19)+1,MOD(ROW()-2,19)+1)</f>
        <v>#N/A</v>
      </c>
      <c r="DL4014" t="str">
        <f>IFERROR(INDEX(Sheet2!$AU$2:$BM$228,QUOTIENT(ROW()-1,19)+1,MOD(ROW()-2,19)+1),NA())</f>
        <v/>
      </c>
      <c r="DM4014" s="4" t="e">
        <f t="shared" si="207"/>
        <v>#N/A</v>
      </c>
      <c r="DN4014" t="str">
        <f t="shared" si="208"/>
        <v/>
      </c>
      <c r="DO4014" t="e">
        <f t="shared" si="209"/>
        <v>#N/A</v>
      </c>
    </row>
    <row r="4015" spans="7:119" x14ac:dyDescent="0.25">
      <c r="G4015"/>
      <c r="DI4015" s="4">
        <f>INDEX(Sheet2!A:A,QUOTIENT(ROW()-1,19)+2)</f>
        <v>41808</v>
      </c>
      <c r="DJ4015" s="4">
        <f>INDEX(Sheet2!C:C,QUOTIENT(ROW()-1,19)+2)</f>
        <v>42735</v>
      </c>
      <c r="DK4015" s="4" t="e">
        <f>INDEX(Sheet2!$AA$2:$AS$228,QUOTIENT(ROW()-1,19)+1,MOD(ROW()-2,19)+1)</f>
        <v>#N/A</v>
      </c>
      <c r="DL4015" t="str">
        <f>IFERROR(INDEX(Sheet2!$AU$2:$BM$228,QUOTIENT(ROW()-1,19)+1,MOD(ROW()-2,19)+1),NA())</f>
        <v/>
      </c>
      <c r="DM4015" s="4" t="e">
        <f t="shared" si="207"/>
        <v>#N/A</v>
      </c>
      <c r="DN4015" t="str">
        <f t="shared" si="208"/>
        <v/>
      </c>
      <c r="DO4015" t="e">
        <f t="shared" si="209"/>
        <v>#N/A</v>
      </c>
    </row>
    <row r="4016" spans="7:119" x14ac:dyDescent="0.25">
      <c r="G4016"/>
      <c r="DI4016" s="4">
        <f>INDEX(Sheet2!A:A,QUOTIENT(ROW()-1,19)+2)</f>
        <v>41808</v>
      </c>
      <c r="DJ4016" s="4">
        <f>INDEX(Sheet2!C:C,QUOTIENT(ROW()-1,19)+2)</f>
        <v>42735</v>
      </c>
      <c r="DK4016" s="4" t="e">
        <f>INDEX(Sheet2!$AA$2:$AS$228,QUOTIENT(ROW()-1,19)+1,MOD(ROW()-2,19)+1)</f>
        <v>#N/A</v>
      </c>
      <c r="DL4016" t="str">
        <f>IFERROR(INDEX(Sheet2!$AU$2:$BM$228,QUOTIENT(ROW()-1,19)+1,MOD(ROW()-2,19)+1),NA())</f>
        <v/>
      </c>
      <c r="DM4016" s="4" t="e">
        <f t="shared" si="207"/>
        <v>#N/A</v>
      </c>
      <c r="DN4016" t="str">
        <f t="shared" si="208"/>
        <v/>
      </c>
      <c r="DO4016" t="e">
        <f t="shared" si="209"/>
        <v>#N/A</v>
      </c>
    </row>
    <row r="4017" spans="7:119" x14ac:dyDescent="0.25">
      <c r="G4017"/>
      <c r="DI4017" s="4">
        <f>INDEX(Sheet2!A:A,QUOTIENT(ROW()-1,19)+2)</f>
        <v>41808</v>
      </c>
      <c r="DJ4017" s="4">
        <f>INDEX(Sheet2!C:C,QUOTIENT(ROW()-1,19)+2)</f>
        <v>42735</v>
      </c>
      <c r="DK4017" s="4" t="e">
        <f>INDEX(Sheet2!$AA$2:$AS$228,QUOTIENT(ROW()-1,19)+1,MOD(ROW()-2,19)+1)</f>
        <v>#N/A</v>
      </c>
      <c r="DL4017" t="str">
        <f>IFERROR(INDEX(Sheet2!$AU$2:$BM$228,QUOTIENT(ROW()-1,19)+1,MOD(ROW()-2,19)+1),NA())</f>
        <v/>
      </c>
      <c r="DM4017" s="4" t="e">
        <f t="shared" si="207"/>
        <v>#N/A</v>
      </c>
      <c r="DN4017" t="str">
        <f t="shared" si="208"/>
        <v/>
      </c>
      <c r="DO4017" t="e">
        <f t="shared" si="209"/>
        <v>#N/A</v>
      </c>
    </row>
    <row r="4018" spans="7:119" x14ac:dyDescent="0.25">
      <c r="G4018"/>
      <c r="DI4018" s="4">
        <f>INDEX(Sheet2!A:A,QUOTIENT(ROW()-1,19)+2)</f>
        <v>41808</v>
      </c>
      <c r="DJ4018" s="4">
        <f>INDEX(Sheet2!C:C,QUOTIENT(ROW()-1,19)+2)</f>
        <v>42735</v>
      </c>
      <c r="DK4018" s="4" t="e">
        <f>INDEX(Sheet2!$AA$2:$AS$228,QUOTIENT(ROW()-1,19)+1,MOD(ROW()-2,19)+1)</f>
        <v>#N/A</v>
      </c>
      <c r="DL4018" t="str">
        <f>IFERROR(INDEX(Sheet2!$AU$2:$BM$228,QUOTIENT(ROW()-1,19)+1,MOD(ROW()-2,19)+1),NA())</f>
        <v/>
      </c>
      <c r="DM4018" s="4" t="e">
        <f t="shared" si="207"/>
        <v>#N/A</v>
      </c>
      <c r="DN4018" t="str">
        <f t="shared" si="208"/>
        <v/>
      </c>
      <c r="DO4018" t="e">
        <f t="shared" si="209"/>
        <v>#N/A</v>
      </c>
    </row>
    <row r="4019" spans="7:119" x14ac:dyDescent="0.25">
      <c r="G4019"/>
      <c r="DI4019" s="4">
        <f>INDEX(Sheet2!A:A,QUOTIENT(ROW()-1,19)+2)</f>
        <v>41808</v>
      </c>
      <c r="DJ4019" s="4">
        <f>INDEX(Sheet2!C:C,QUOTIENT(ROW()-1,19)+2)</f>
        <v>42735</v>
      </c>
      <c r="DK4019" s="4" t="e">
        <f>INDEX(Sheet2!$AA$2:$AS$228,QUOTIENT(ROW()-1,19)+1,MOD(ROW()-2,19)+1)</f>
        <v>#N/A</v>
      </c>
      <c r="DL4019" t="str">
        <f>IFERROR(INDEX(Sheet2!$AU$2:$BM$228,QUOTIENT(ROW()-1,19)+1,MOD(ROW()-2,19)+1),NA())</f>
        <v/>
      </c>
      <c r="DM4019" s="4" t="e">
        <f t="shared" si="207"/>
        <v>#N/A</v>
      </c>
      <c r="DN4019" t="str">
        <f t="shared" si="208"/>
        <v/>
      </c>
      <c r="DO4019" t="e">
        <f t="shared" si="209"/>
        <v>#N/A</v>
      </c>
    </row>
    <row r="4020" spans="7:119" x14ac:dyDescent="0.25">
      <c r="G4020"/>
      <c r="DI4020" s="4">
        <f>INDEX(Sheet2!A:A,QUOTIENT(ROW()-1,19)+2)</f>
        <v>41808</v>
      </c>
      <c r="DJ4020" s="4">
        <f>INDEX(Sheet2!C:C,QUOTIENT(ROW()-1,19)+2)</f>
        <v>42735</v>
      </c>
      <c r="DK4020" s="4" t="e">
        <f>INDEX(Sheet2!$AA$2:$AS$228,QUOTIENT(ROW()-1,19)+1,MOD(ROW()-2,19)+1)</f>
        <v>#N/A</v>
      </c>
      <c r="DL4020" t="str">
        <f>IFERROR(INDEX(Sheet2!$AU$2:$BM$228,QUOTIENT(ROW()-1,19)+1,MOD(ROW()-2,19)+1),NA())</f>
        <v/>
      </c>
      <c r="DM4020" s="4" t="e">
        <f t="shared" si="207"/>
        <v>#N/A</v>
      </c>
      <c r="DN4020" t="str">
        <f t="shared" si="208"/>
        <v/>
      </c>
      <c r="DO4020" t="e">
        <f t="shared" si="209"/>
        <v>#N/A</v>
      </c>
    </row>
    <row r="4021" spans="7:119" x14ac:dyDescent="0.25">
      <c r="G4021"/>
      <c r="DI4021" s="4">
        <f>INDEX(Sheet2!A:A,QUOTIENT(ROW()-1,19)+2)</f>
        <v>41808</v>
      </c>
      <c r="DJ4021" s="4">
        <f>INDEX(Sheet2!C:C,QUOTIENT(ROW()-1,19)+2)</f>
        <v>42735</v>
      </c>
      <c r="DK4021" s="4" t="e">
        <f>INDEX(Sheet2!$AA$2:$AS$228,QUOTIENT(ROW()-1,19)+1,MOD(ROW()-2,19)+1)</f>
        <v>#N/A</v>
      </c>
      <c r="DL4021" t="str">
        <f>IFERROR(INDEX(Sheet2!$AU$2:$BM$228,QUOTIENT(ROW()-1,19)+1,MOD(ROW()-2,19)+1),NA())</f>
        <v/>
      </c>
      <c r="DM4021" s="4" t="e">
        <f t="shared" si="207"/>
        <v>#N/A</v>
      </c>
      <c r="DN4021" t="str">
        <f t="shared" si="208"/>
        <v/>
      </c>
      <c r="DO4021" t="e">
        <f t="shared" si="209"/>
        <v>#N/A</v>
      </c>
    </row>
    <row r="4022" spans="7:119" x14ac:dyDescent="0.25">
      <c r="G4022"/>
      <c r="DI4022" s="4">
        <f>INDEX(Sheet2!A:A,QUOTIENT(ROW()-1,19)+2)</f>
        <v>41808</v>
      </c>
      <c r="DJ4022" s="4">
        <f>INDEX(Sheet2!C:C,QUOTIENT(ROW()-1,19)+2)</f>
        <v>42735</v>
      </c>
      <c r="DK4022" s="4" t="e">
        <f>INDEX(Sheet2!$AA$2:$AS$228,QUOTIENT(ROW()-1,19)+1,MOD(ROW()-2,19)+1)</f>
        <v>#N/A</v>
      </c>
      <c r="DL4022" t="str">
        <f>IFERROR(INDEX(Sheet2!$AU$2:$BM$228,QUOTIENT(ROW()-1,19)+1,MOD(ROW()-2,19)+1),NA())</f>
        <v/>
      </c>
      <c r="DM4022" s="4" t="e">
        <f t="shared" si="207"/>
        <v>#N/A</v>
      </c>
      <c r="DN4022" t="str">
        <f t="shared" si="208"/>
        <v/>
      </c>
      <c r="DO4022" t="e">
        <f t="shared" si="209"/>
        <v>#N/A</v>
      </c>
    </row>
    <row r="4023" spans="7:119" x14ac:dyDescent="0.25">
      <c r="G4023"/>
      <c r="DI4023" s="4">
        <f>INDEX(Sheet2!A:A,QUOTIENT(ROW()-1,19)+2)</f>
        <v>41808</v>
      </c>
      <c r="DJ4023" s="4">
        <f>INDEX(Sheet2!C:C,QUOTIENT(ROW()-1,19)+2)</f>
        <v>42735</v>
      </c>
      <c r="DK4023" s="4" t="e">
        <f>INDEX(Sheet2!$AA$2:$AS$228,QUOTIENT(ROW()-1,19)+1,MOD(ROW()-2,19)+1)</f>
        <v>#N/A</v>
      </c>
      <c r="DL4023" t="str">
        <f>IFERROR(INDEX(Sheet2!$AU$2:$BM$228,QUOTIENT(ROW()-1,19)+1,MOD(ROW()-2,19)+1),NA())</f>
        <v/>
      </c>
      <c r="DM4023" s="4" t="e">
        <f t="shared" si="207"/>
        <v>#N/A</v>
      </c>
      <c r="DN4023" t="str">
        <f t="shared" si="208"/>
        <v/>
      </c>
      <c r="DO4023" t="e">
        <f t="shared" si="209"/>
        <v>#N/A</v>
      </c>
    </row>
    <row r="4024" spans="7:119" x14ac:dyDescent="0.25">
      <c r="G4024"/>
      <c r="DI4024" s="4">
        <f>INDEX(Sheet2!A:A,QUOTIENT(ROW()-1,19)+2)</f>
        <v>41808</v>
      </c>
      <c r="DJ4024" s="4">
        <f>INDEX(Sheet2!C:C,QUOTIENT(ROW()-1,19)+2)</f>
        <v>42735</v>
      </c>
      <c r="DK4024" s="4" t="e">
        <f>INDEX(Sheet2!$AA$2:$AS$228,QUOTIENT(ROW()-1,19)+1,MOD(ROW()-2,19)+1)</f>
        <v>#N/A</v>
      </c>
      <c r="DL4024" t="str">
        <f>IFERROR(INDEX(Sheet2!$AU$2:$BM$228,QUOTIENT(ROW()-1,19)+1,MOD(ROW()-2,19)+1),NA())</f>
        <v/>
      </c>
      <c r="DM4024" s="4" t="e">
        <f t="shared" si="207"/>
        <v>#N/A</v>
      </c>
      <c r="DN4024" t="str">
        <f t="shared" si="208"/>
        <v/>
      </c>
      <c r="DO4024" t="e">
        <f t="shared" si="209"/>
        <v>#N/A</v>
      </c>
    </row>
    <row r="4025" spans="7:119" x14ac:dyDescent="0.25">
      <c r="G4025"/>
      <c r="DI4025" s="4">
        <f>INDEX(Sheet2!A:A,QUOTIENT(ROW()-1,19)+2)</f>
        <v>41808</v>
      </c>
      <c r="DJ4025" s="4">
        <f>INDEX(Sheet2!C:C,QUOTIENT(ROW()-1,19)+2)</f>
        <v>42735</v>
      </c>
      <c r="DK4025" s="4" t="e">
        <f>INDEX(Sheet2!$AA$2:$AS$228,QUOTIENT(ROW()-1,19)+1,MOD(ROW()-2,19)+1)</f>
        <v>#N/A</v>
      </c>
      <c r="DL4025" t="str">
        <f>IFERROR(INDEX(Sheet2!$AU$2:$BM$228,QUOTIENT(ROW()-1,19)+1,MOD(ROW()-2,19)+1),NA())</f>
        <v/>
      </c>
      <c r="DM4025" s="4" t="e">
        <f t="shared" si="207"/>
        <v>#N/A</v>
      </c>
      <c r="DN4025" t="str">
        <f t="shared" si="208"/>
        <v/>
      </c>
      <c r="DO4025" t="e">
        <f t="shared" si="209"/>
        <v>#N/A</v>
      </c>
    </row>
    <row r="4026" spans="7:119" x14ac:dyDescent="0.25">
      <c r="G4026"/>
      <c r="DI4026" s="4">
        <f>INDEX(Sheet2!A:A,QUOTIENT(ROW()-1,19)+2)</f>
        <v>41808</v>
      </c>
      <c r="DJ4026" s="4">
        <f>INDEX(Sheet2!C:C,QUOTIENT(ROW()-1,19)+2)</f>
        <v>42735</v>
      </c>
      <c r="DK4026" s="4" t="e">
        <f>INDEX(Sheet2!$AA$2:$AS$228,QUOTIENT(ROW()-1,19)+1,MOD(ROW()-2,19)+1)</f>
        <v>#N/A</v>
      </c>
      <c r="DL4026" t="str">
        <f>IFERROR(INDEX(Sheet2!$AU$2:$BM$228,QUOTIENT(ROW()-1,19)+1,MOD(ROW()-2,19)+1),NA())</f>
        <v/>
      </c>
      <c r="DM4026" s="4" t="e">
        <f t="shared" si="207"/>
        <v>#N/A</v>
      </c>
      <c r="DN4026" t="str">
        <f t="shared" si="208"/>
        <v/>
      </c>
      <c r="DO4026" t="e">
        <f t="shared" si="209"/>
        <v>#N/A</v>
      </c>
    </row>
    <row r="4027" spans="7:119" x14ac:dyDescent="0.25">
      <c r="G4027"/>
      <c r="DI4027" s="4">
        <f>INDEX(Sheet2!A:A,QUOTIENT(ROW()-1,19)+2)</f>
        <v>41808</v>
      </c>
      <c r="DJ4027" s="4">
        <f>INDEX(Sheet2!C:C,QUOTIENT(ROW()-1,19)+2)</f>
        <v>42735</v>
      </c>
      <c r="DK4027" s="4" t="e">
        <f>INDEX(Sheet2!$AA$2:$AS$228,QUOTIENT(ROW()-1,19)+1,MOD(ROW()-2,19)+1)</f>
        <v>#N/A</v>
      </c>
      <c r="DL4027" t="str">
        <f>IFERROR(INDEX(Sheet2!$AU$2:$BM$228,QUOTIENT(ROW()-1,19)+1,MOD(ROW()-2,19)+1),NA())</f>
        <v/>
      </c>
      <c r="DM4027" s="4" t="e">
        <f t="shared" si="207"/>
        <v>#N/A</v>
      </c>
      <c r="DN4027" t="str">
        <f t="shared" si="208"/>
        <v/>
      </c>
      <c r="DO4027" t="e">
        <f t="shared" si="209"/>
        <v>#N/A</v>
      </c>
    </row>
    <row r="4028" spans="7:119" x14ac:dyDescent="0.25">
      <c r="G4028"/>
      <c r="DI4028" s="4">
        <f>INDEX(Sheet2!A:A,QUOTIENT(ROW()-1,19)+2)</f>
        <v>41808</v>
      </c>
      <c r="DJ4028" s="4">
        <f>INDEX(Sheet2!C:C,QUOTIENT(ROW()-1,19)+2)</f>
        <v>42735</v>
      </c>
      <c r="DK4028" s="4" t="e">
        <f>INDEX(Sheet2!$AA$2:$AS$228,QUOTIENT(ROW()-1,19)+1,MOD(ROW()-2,19)+1)</f>
        <v>#N/A</v>
      </c>
      <c r="DL4028" t="str">
        <f>IFERROR(INDEX(Sheet2!$AU$2:$BM$228,QUOTIENT(ROW()-1,19)+1,MOD(ROW()-2,19)+1),NA())</f>
        <v/>
      </c>
      <c r="DM4028" s="4" t="e">
        <f t="shared" si="207"/>
        <v>#N/A</v>
      </c>
      <c r="DN4028" t="str">
        <f t="shared" si="208"/>
        <v/>
      </c>
      <c r="DO4028" t="e">
        <f t="shared" si="209"/>
        <v>#N/A</v>
      </c>
    </row>
    <row r="4029" spans="7:119" x14ac:dyDescent="0.25">
      <c r="G4029"/>
      <c r="DI4029" s="4">
        <f>INDEX(Sheet2!A:A,QUOTIENT(ROW()-1,19)+2)</f>
        <v>41808</v>
      </c>
      <c r="DJ4029" s="4">
        <f>INDEX(Sheet2!C:C,QUOTIENT(ROW()-1,19)+2)</f>
        <v>42735</v>
      </c>
      <c r="DK4029" s="4" t="e">
        <f>INDEX(Sheet2!$AA$2:$AS$228,QUOTIENT(ROW()-1,19)+1,MOD(ROW()-2,19)+1)</f>
        <v>#N/A</v>
      </c>
      <c r="DL4029" t="str">
        <f>IFERROR(INDEX(Sheet2!$AU$2:$BM$228,QUOTIENT(ROW()-1,19)+1,MOD(ROW()-2,19)+1),NA())</f>
        <v/>
      </c>
      <c r="DM4029" s="4" t="e">
        <f t="shared" si="207"/>
        <v>#N/A</v>
      </c>
      <c r="DN4029" t="str">
        <f t="shared" si="208"/>
        <v/>
      </c>
      <c r="DO4029" t="e">
        <f t="shared" si="209"/>
        <v>#N/A</v>
      </c>
    </row>
    <row r="4030" spans="7:119" x14ac:dyDescent="0.25">
      <c r="G4030"/>
      <c r="DI4030" s="4">
        <f>INDEX(Sheet2!A:A,QUOTIENT(ROW()-1,19)+2)</f>
        <v>41808</v>
      </c>
      <c r="DJ4030" s="4">
        <f>INDEX(Sheet2!C:C,QUOTIENT(ROW()-1,19)+2)</f>
        <v>42735</v>
      </c>
      <c r="DK4030" s="4">
        <f>INDEX(Sheet2!$AA$2:$AS$228,QUOTIENT(ROW()-1,19)+1,MOD(ROW()-2,19)+1)</f>
        <v>42735</v>
      </c>
      <c r="DL4030">
        <f>IFERROR(INDEX(Sheet2!$AU$2:$BM$228,QUOTIENT(ROW()-1,19)+1,MOD(ROW()-2,19)+1),NA())</f>
        <v>1.25</v>
      </c>
      <c r="DM4030" s="4">
        <f t="shared" si="207"/>
        <v>42735</v>
      </c>
      <c r="DN4030">
        <f t="shared" si="208"/>
        <v>1.25</v>
      </c>
      <c r="DO4030">
        <f t="shared" si="209"/>
        <v>1.25</v>
      </c>
    </row>
    <row r="4031" spans="7:119" x14ac:dyDescent="0.25">
      <c r="G4031"/>
      <c r="DI4031" s="4">
        <f>INDEX(Sheet2!A:A,QUOTIENT(ROW()-1,19)+2)</f>
        <v>41808</v>
      </c>
      <c r="DJ4031" s="4">
        <f>INDEX(Sheet2!C:C,QUOTIENT(ROW()-1,19)+2)</f>
        <v>42735</v>
      </c>
      <c r="DK4031" s="4" t="e">
        <f>INDEX(Sheet2!$AA$2:$AS$228,QUOTIENT(ROW()-1,19)+1,MOD(ROW()-2,19)+1)</f>
        <v>#N/A</v>
      </c>
      <c r="DL4031" t="str">
        <f>IFERROR(INDEX(Sheet2!$AU$2:$BM$228,QUOTIENT(ROW()-1,19)+1,MOD(ROW()-2,19)+1),NA())</f>
        <v/>
      </c>
      <c r="DM4031" s="4" t="e">
        <f t="shared" si="207"/>
        <v>#N/A</v>
      </c>
      <c r="DN4031" t="str">
        <f t="shared" si="208"/>
        <v/>
      </c>
      <c r="DO4031" t="e">
        <f t="shared" si="209"/>
        <v>#N/A</v>
      </c>
    </row>
    <row r="4032" spans="7:119" x14ac:dyDescent="0.25">
      <c r="G4032"/>
      <c r="DI4032" s="4">
        <f>INDEX(Sheet2!A:A,QUOTIENT(ROW()-1,19)+2)</f>
        <v>41808</v>
      </c>
      <c r="DJ4032" s="4">
        <f>INDEX(Sheet2!C:C,QUOTIENT(ROW()-1,19)+2)</f>
        <v>42735</v>
      </c>
      <c r="DK4032" s="4" t="e">
        <f>INDEX(Sheet2!$AA$2:$AS$228,QUOTIENT(ROW()-1,19)+1,MOD(ROW()-2,19)+1)</f>
        <v>#N/A</v>
      </c>
      <c r="DL4032" t="str">
        <f>IFERROR(INDEX(Sheet2!$AU$2:$BM$228,QUOTIENT(ROW()-1,19)+1,MOD(ROW()-2,19)+1),NA())</f>
        <v/>
      </c>
      <c r="DM4032" s="4" t="e">
        <f t="shared" si="207"/>
        <v>#N/A</v>
      </c>
      <c r="DN4032" t="str">
        <f t="shared" si="208"/>
        <v/>
      </c>
      <c r="DO4032" t="e">
        <f t="shared" si="209"/>
        <v>#N/A</v>
      </c>
    </row>
    <row r="4033" spans="7:119" x14ac:dyDescent="0.25">
      <c r="G4033"/>
      <c r="DI4033" s="4">
        <f>INDEX(Sheet2!A:A,QUOTIENT(ROW()-1,19)+2)</f>
        <v>41808</v>
      </c>
      <c r="DJ4033" s="4">
        <f>INDEX(Sheet2!C:C,QUOTIENT(ROW()-1,19)+2)</f>
        <v>42735</v>
      </c>
      <c r="DK4033" s="4" t="e">
        <f>INDEX(Sheet2!$AA$2:$AS$228,QUOTIENT(ROW()-1,19)+1,MOD(ROW()-2,19)+1)</f>
        <v>#N/A</v>
      </c>
      <c r="DL4033" t="str">
        <f>IFERROR(INDEX(Sheet2!$AU$2:$BM$228,QUOTIENT(ROW()-1,19)+1,MOD(ROW()-2,19)+1),NA())</f>
        <v/>
      </c>
      <c r="DM4033" s="4" t="e">
        <f t="shared" si="207"/>
        <v>#N/A</v>
      </c>
      <c r="DN4033" t="str">
        <f t="shared" si="208"/>
        <v/>
      </c>
      <c r="DO4033" t="e">
        <f t="shared" si="209"/>
        <v>#N/A</v>
      </c>
    </row>
    <row r="4034" spans="7:119" x14ac:dyDescent="0.25">
      <c r="G4034"/>
      <c r="DI4034" s="4">
        <f>INDEX(Sheet2!A:A,QUOTIENT(ROW()-1,19)+2)</f>
        <v>41808</v>
      </c>
      <c r="DJ4034" s="4">
        <f>INDEX(Sheet2!C:C,QUOTIENT(ROW()-1,19)+2)</f>
        <v>42735</v>
      </c>
      <c r="DK4034" s="4" t="e">
        <f>INDEX(Sheet2!$AA$2:$AS$228,QUOTIENT(ROW()-1,19)+1,MOD(ROW()-2,19)+1)</f>
        <v>#N/A</v>
      </c>
      <c r="DL4034" t="str">
        <f>IFERROR(INDEX(Sheet2!$AU$2:$BM$228,QUOTIENT(ROW()-1,19)+1,MOD(ROW()-2,19)+1),NA())</f>
        <v/>
      </c>
      <c r="DM4034" s="4" t="e">
        <f t="shared" ref="DM4034:DM4097" si="210">+IF($C$2=$DI4034,DK4034,NA())</f>
        <v>#N/A</v>
      </c>
      <c r="DN4034" t="str">
        <f t="shared" ref="DN4034:DN4097" si="211">+IF($C$2=$DI4034,DL4034,NA())</f>
        <v/>
      </c>
      <c r="DO4034" t="e">
        <f t="shared" si="209"/>
        <v>#N/A</v>
      </c>
    </row>
    <row r="4035" spans="7:119" x14ac:dyDescent="0.25">
      <c r="G4035"/>
      <c r="DI4035" s="4">
        <f>INDEX(Sheet2!A:A,QUOTIENT(ROW()-1,19)+2)</f>
        <v>41808</v>
      </c>
      <c r="DJ4035" s="4">
        <f>INDEX(Sheet2!C:C,QUOTIENT(ROW()-1,19)+2)</f>
        <v>42735</v>
      </c>
      <c r="DK4035" s="4" t="e">
        <f>INDEX(Sheet2!$AA$2:$AS$228,QUOTIENT(ROW()-1,19)+1,MOD(ROW()-2,19)+1)</f>
        <v>#N/A</v>
      </c>
      <c r="DL4035" t="str">
        <f>IFERROR(INDEX(Sheet2!$AU$2:$BM$228,QUOTIENT(ROW()-1,19)+1,MOD(ROW()-2,19)+1),NA())</f>
        <v/>
      </c>
      <c r="DM4035" s="4" t="e">
        <f t="shared" si="210"/>
        <v>#N/A</v>
      </c>
      <c r="DN4035" t="str">
        <f t="shared" si="211"/>
        <v/>
      </c>
      <c r="DO4035" t="e">
        <f t="shared" ref="DO4035:DO4098" si="212">IF(DN4035="",NA(),DN4035)</f>
        <v>#N/A</v>
      </c>
    </row>
    <row r="4036" spans="7:119" x14ac:dyDescent="0.25">
      <c r="G4036"/>
      <c r="DI4036" s="4">
        <f>INDEX(Sheet2!A:A,QUOTIENT(ROW()-1,19)+2)</f>
        <v>41808</v>
      </c>
      <c r="DJ4036" s="4">
        <f>INDEX(Sheet2!C:C,QUOTIENT(ROW()-1,19)+2)</f>
        <v>42735</v>
      </c>
      <c r="DK4036" s="4" t="e">
        <f>INDEX(Sheet2!$AA$2:$AS$228,QUOTIENT(ROW()-1,19)+1,MOD(ROW()-2,19)+1)</f>
        <v>#N/A</v>
      </c>
      <c r="DL4036" t="str">
        <f>IFERROR(INDEX(Sheet2!$AU$2:$BM$228,QUOTIENT(ROW()-1,19)+1,MOD(ROW()-2,19)+1),NA())</f>
        <v/>
      </c>
      <c r="DM4036" s="4" t="e">
        <f t="shared" si="210"/>
        <v>#N/A</v>
      </c>
      <c r="DN4036" t="str">
        <f t="shared" si="211"/>
        <v/>
      </c>
      <c r="DO4036" t="e">
        <f t="shared" si="212"/>
        <v>#N/A</v>
      </c>
    </row>
    <row r="4037" spans="7:119" x14ac:dyDescent="0.25">
      <c r="G4037"/>
      <c r="DI4037" s="4">
        <f>INDEX(Sheet2!A:A,QUOTIENT(ROW()-1,19)+2)</f>
        <v>41808</v>
      </c>
      <c r="DJ4037" s="4">
        <f>INDEX(Sheet2!C:C,QUOTIENT(ROW()-1,19)+2)</f>
        <v>42735</v>
      </c>
      <c r="DK4037" s="4" t="e">
        <f>INDEX(Sheet2!$AA$2:$AS$228,QUOTIENT(ROW()-1,19)+1,MOD(ROW()-2,19)+1)</f>
        <v>#N/A</v>
      </c>
      <c r="DL4037" t="str">
        <f>IFERROR(INDEX(Sheet2!$AU$2:$BM$228,QUOTIENT(ROW()-1,19)+1,MOD(ROW()-2,19)+1),NA())</f>
        <v/>
      </c>
      <c r="DM4037" s="4" t="e">
        <f t="shared" si="210"/>
        <v>#N/A</v>
      </c>
      <c r="DN4037" t="str">
        <f t="shared" si="211"/>
        <v/>
      </c>
      <c r="DO4037" t="e">
        <f t="shared" si="212"/>
        <v>#N/A</v>
      </c>
    </row>
    <row r="4038" spans="7:119" x14ac:dyDescent="0.25">
      <c r="G4038"/>
      <c r="DI4038" s="4">
        <f>INDEX(Sheet2!A:A,QUOTIENT(ROW()-1,19)+2)</f>
        <v>41808</v>
      </c>
      <c r="DJ4038" s="4">
        <f>INDEX(Sheet2!C:C,QUOTIENT(ROW()-1,19)+2)</f>
        <v>42735</v>
      </c>
      <c r="DK4038" s="4" t="e">
        <f>INDEX(Sheet2!$AA$2:$AS$228,QUOTIENT(ROW()-1,19)+1,MOD(ROW()-2,19)+1)</f>
        <v>#N/A</v>
      </c>
      <c r="DL4038" t="str">
        <f>IFERROR(INDEX(Sheet2!$AU$2:$BM$228,QUOTIENT(ROW()-1,19)+1,MOD(ROW()-2,19)+1),NA())</f>
        <v/>
      </c>
      <c r="DM4038" s="4" t="e">
        <f t="shared" si="210"/>
        <v>#N/A</v>
      </c>
      <c r="DN4038" t="str">
        <f t="shared" si="211"/>
        <v/>
      </c>
      <c r="DO4038" t="e">
        <f t="shared" si="212"/>
        <v>#N/A</v>
      </c>
    </row>
    <row r="4039" spans="7:119" x14ac:dyDescent="0.25">
      <c r="G4039"/>
      <c r="DI4039" s="4">
        <f>INDEX(Sheet2!A:A,QUOTIENT(ROW()-1,19)+2)</f>
        <v>41808</v>
      </c>
      <c r="DJ4039" s="4">
        <f>INDEX(Sheet2!C:C,QUOTIENT(ROW()-1,19)+2)</f>
        <v>42735</v>
      </c>
      <c r="DK4039" s="4" t="e">
        <f>INDEX(Sheet2!$AA$2:$AS$228,QUOTIENT(ROW()-1,19)+1,MOD(ROW()-2,19)+1)</f>
        <v>#N/A</v>
      </c>
      <c r="DL4039" t="str">
        <f>IFERROR(INDEX(Sheet2!$AU$2:$BM$228,QUOTIENT(ROW()-1,19)+1,MOD(ROW()-2,19)+1),NA())</f>
        <v/>
      </c>
      <c r="DM4039" s="4" t="e">
        <f t="shared" si="210"/>
        <v>#N/A</v>
      </c>
      <c r="DN4039" t="str">
        <f t="shared" si="211"/>
        <v/>
      </c>
      <c r="DO4039" t="e">
        <f t="shared" si="212"/>
        <v>#N/A</v>
      </c>
    </row>
    <row r="4040" spans="7:119" x14ac:dyDescent="0.25">
      <c r="G4040"/>
      <c r="DI4040" s="4">
        <f>INDEX(Sheet2!A:A,QUOTIENT(ROW()-1,19)+2)</f>
        <v>41808</v>
      </c>
      <c r="DJ4040" s="4">
        <f>INDEX(Sheet2!C:C,QUOTIENT(ROW()-1,19)+2)</f>
        <v>42735</v>
      </c>
      <c r="DK4040" s="4" t="e">
        <f>INDEX(Sheet2!$AA$2:$AS$228,QUOTIENT(ROW()-1,19)+1,MOD(ROW()-2,19)+1)</f>
        <v>#N/A</v>
      </c>
      <c r="DL4040" t="str">
        <f>IFERROR(INDEX(Sheet2!$AU$2:$BM$228,QUOTIENT(ROW()-1,19)+1,MOD(ROW()-2,19)+1),NA())</f>
        <v/>
      </c>
      <c r="DM4040" s="4" t="e">
        <f t="shared" si="210"/>
        <v>#N/A</v>
      </c>
      <c r="DN4040" t="str">
        <f t="shared" si="211"/>
        <v/>
      </c>
      <c r="DO4040" t="e">
        <f t="shared" si="212"/>
        <v>#N/A</v>
      </c>
    </row>
    <row r="4041" spans="7:119" x14ac:dyDescent="0.25">
      <c r="G4041"/>
      <c r="DI4041" s="4">
        <f>INDEX(Sheet2!A:A,QUOTIENT(ROW()-1,19)+2)</f>
        <v>41808</v>
      </c>
      <c r="DJ4041" s="4">
        <f>INDEX(Sheet2!C:C,QUOTIENT(ROW()-1,19)+2)</f>
        <v>42735</v>
      </c>
      <c r="DK4041" s="4" t="e">
        <f>INDEX(Sheet2!$AA$2:$AS$228,QUOTIENT(ROW()-1,19)+1,MOD(ROW()-2,19)+1)</f>
        <v>#N/A</v>
      </c>
      <c r="DL4041" t="str">
        <f>IFERROR(INDEX(Sheet2!$AU$2:$BM$228,QUOTIENT(ROW()-1,19)+1,MOD(ROW()-2,19)+1),NA())</f>
        <v/>
      </c>
      <c r="DM4041" s="4" t="e">
        <f t="shared" si="210"/>
        <v>#N/A</v>
      </c>
      <c r="DN4041" t="str">
        <f t="shared" si="211"/>
        <v/>
      </c>
      <c r="DO4041" t="e">
        <f t="shared" si="212"/>
        <v>#N/A</v>
      </c>
    </row>
    <row r="4042" spans="7:119" x14ac:dyDescent="0.25">
      <c r="G4042"/>
      <c r="DI4042" s="4">
        <f>INDEX(Sheet2!A:A,QUOTIENT(ROW()-1,19)+2)</f>
        <v>41808</v>
      </c>
      <c r="DJ4042" s="4">
        <f>INDEX(Sheet2!C:C,QUOTIENT(ROW()-1,19)+2)</f>
        <v>42735</v>
      </c>
      <c r="DK4042" s="4" t="e">
        <f>INDEX(Sheet2!$AA$2:$AS$228,QUOTIENT(ROW()-1,19)+1,MOD(ROW()-2,19)+1)</f>
        <v>#N/A</v>
      </c>
      <c r="DL4042" t="str">
        <f>IFERROR(INDEX(Sheet2!$AU$2:$BM$228,QUOTIENT(ROW()-1,19)+1,MOD(ROW()-2,19)+1),NA())</f>
        <v/>
      </c>
      <c r="DM4042" s="4" t="e">
        <f t="shared" si="210"/>
        <v>#N/A</v>
      </c>
      <c r="DN4042" t="str">
        <f t="shared" si="211"/>
        <v/>
      </c>
      <c r="DO4042" t="e">
        <f t="shared" si="212"/>
        <v>#N/A</v>
      </c>
    </row>
    <row r="4043" spans="7:119" x14ac:dyDescent="0.25">
      <c r="G4043"/>
      <c r="DI4043" s="4">
        <f>INDEX(Sheet2!A:A,QUOTIENT(ROW()-1,19)+2)</f>
        <v>41808</v>
      </c>
      <c r="DJ4043" s="4">
        <f>INDEX(Sheet2!C:C,QUOTIENT(ROW()-1,19)+2)</f>
        <v>42735</v>
      </c>
      <c r="DK4043" s="4" t="e">
        <f>INDEX(Sheet2!$AA$2:$AS$228,QUOTIENT(ROW()-1,19)+1,MOD(ROW()-2,19)+1)</f>
        <v>#N/A</v>
      </c>
      <c r="DL4043" t="str">
        <f>IFERROR(INDEX(Sheet2!$AU$2:$BM$228,QUOTIENT(ROW()-1,19)+1,MOD(ROW()-2,19)+1),NA())</f>
        <v/>
      </c>
      <c r="DM4043" s="4" t="e">
        <f t="shared" si="210"/>
        <v>#N/A</v>
      </c>
      <c r="DN4043" t="str">
        <f t="shared" si="211"/>
        <v/>
      </c>
      <c r="DO4043" t="e">
        <f t="shared" si="212"/>
        <v>#N/A</v>
      </c>
    </row>
    <row r="4044" spans="7:119" x14ac:dyDescent="0.25">
      <c r="G4044"/>
      <c r="DI4044" s="4">
        <f>INDEX(Sheet2!A:A,QUOTIENT(ROW()-1,19)+2)</f>
        <v>41808</v>
      </c>
      <c r="DJ4044" s="4">
        <f>INDEX(Sheet2!C:C,QUOTIENT(ROW()-1,19)+2)</f>
        <v>42735</v>
      </c>
      <c r="DK4044" s="4" t="e">
        <f>INDEX(Sheet2!$AA$2:$AS$228,QUOTIENT(ROW()-1,19)+1,MOD(ROW()-2,19)+1)</f>
        <v>#N/A</v>
      </c>
      <c r="DL4044" t="str">
        <f>IFERROR(INDEX(Sheet2!$AU$2:$BM$228,QUOTIENT(ROW()-1,19)+1,MOD(ROW()-2,19)+1),NA())</f>
        <v/>
      </c>
      <c r="DM4044" s="4" t="e">
        <f t="shared" si="210"/>
        <v>#N/A</v>
      </c>
      <c r="DN4044" t="str">
        <f t="shared" si="211"/>
        <v/>
      </c>
      <c r="DO4044" t="e">
        <f t="shared" si="212"/>
        <v>#N/A</v>
      </c>
    </row>
    <row r="4045" spans="7:119" x14ac:dyDescent="0.25">
      <c r="G4045"/>
      <c r="DI4045" s="4">
        <f>INDEX(Sheet2!A:A,QUOTIENT(ROW()-1,19)+2)</f>
        <v>41808</v>
      </c>
      <c r="DJ4045" s="4">
        <f>INDEX(Sheet2!C:C,QUOTIENT(ROW()-1,19)+2)</f>
        <v>42735</v>
      </c>
      <c r="DK4045" s="4" t="e">
        <f>INDEX(Sheet2!$AA$2:$AS$228,QUOTIENT(ROW()-1,19)+1,MOD(ROW()-2,19)+1)</f>
        <v>#N/A</v>
      </c>
      <c r="DL4045" t="str">
        <f>IFERROR(INDEX(Sheet2!$AU$2:$BM$228,QUOTIENT(ROW()-1,19)+1,MOD(ROW()-2,19)+1),NA())</f>
        <v/>
      </c>
      <c r="DM4045" s="4" t="e">
        <f t="shared" si="210"/>
        <v>#N/A</v>
      </c>
      <c r="DN4045" t="str">
        <f t="shared" si="211"/>
        <v/>
      </c>
      <c r="DO4045" t="e">
        <f t="shared" si="212"/>
        <v>#N/A</v>
      </c>
    </row>
    <row r="4046" spans="7:119" x14ac:dyDescent="0.25">
      <c r="G4046"/>
      <c r="DI4046" s="4">
        <f>INDEX(Sheet2!A:A,QUOTIENT(ROW()-1,19)+2)</f>
        <v>41808</v>
      </c>
      <c r="DJ4046" s="4">
        <f>INDEX(Sheet2!C:C,QUOTIENT(ROW()-1,19)+2)</f>
        <v>42735</v>
      </c>
      <c r="DK4046" s="4" t="e">
        <f>INDEX(Sheet2!$AA$2:$AS$228,QUOTIENT(ROW()-1,19)+1,MOD(ROW()-2,19)+1)</f>
        <v>#N/A</v>
      </c>
      <c r="DL4046" t="str">
        <f>IFERROR(INDEX(Sheet2!$AU$2:$BM$228,QUOTIENT(ROW()-1,19)+1,MOD(ROW()-2,19)+1),NA())</f>
        <v/>
      </c>
      <c r="DM4046" s="4" t="e">
        <f t="shared" si="210"/>
        <v>#N/A</v>
      </c>
      <c r="DN4046" t="str">
        <f t="shared" si="211"/>
        <v/>
      </c>
      <c r="DO4046" t="e">
        <f t="shared" si="212"/>
        <v>#N/A</v>
      </c>
    </row>
    <row r="4047" spans="7:119" x14ac:dyDescent="0.25">
      <c r="G4047"/>
      <c r="DI4047" s="4">
        <f>INDEX(Sheet2!A:A,QUOTIENT(ROW()-1,19)+2)</f>
        <v>41808</v>
      </c>
      <c r="DJ4047" s="4">
        <f>INDEX(Sheet2!C:C,QUOTIENT(ROW()-1,19)+2)</f>
        <v>42735</v>
      </c>
      <c r="DK4047" s="4" t="e">
        <f>INDEX(Sheet2!$AA$2:$AS$228,QUOTIENT(ROW()-1,19)+1,MOD(ROW()-2,19)+1)</f>
        <v>#N/A</v>
      </c>
      <c r="DL4047" t="str">
        <f>IFERROR(INDEX(Sheet2!$AU$2:$BM$228,QUOTIENT(ROW()-1,19)+1,MOD(ROW()-2,19)+1),NA())</f>
        <v/>
      </c>
      <c r="DM4047" s="4" t="e">
        <f t="shared" si="210"/>
        <v>#N/A</v>
      </c>
      <c r="DN4047" t="str">
        <f t="shared" si="211"/>
        <v/>
      </c>
      <c r="DO4047" t="e">
        <f t="shared" si="212"/>
        <v>#N/A</v>
      </c>
    </row>
    <row r="4048" spans="7:119" x14ac:dyDescent="0.25">
      <c r="G4048"/>
      <c r="DI4048" s="4">
        <f>INDEX(Sheet2!A:A,QUOTIENT(ROW()-1,19)+2)</f>
        <v>41808</v>
      </c>
      <c r="DJ4048" s="4">
        <f>INDEX(Sheet2!C:C,QUOTIENT(ROW()-1,19)+2)</f>
        <v>42735</v>
      </c>
      <c r="DK4048" s="4" t="e">
        <f>INDEX(Sheet2!$AA$2:$AS$228,QUOTIENT(ROW()-1,19)+1,MOD(ROW()-2,19)+1)</f>
        <v>#N/A</v>
      </c>
      <c r="DL4048" t="str">
        <f>IFERROR(INDEX(Sheet2!$AU$2:$BM$228,QUOTIENT(ROW()-1,19)+1,MOD(ROW()-2,19)+1),NA())</f>
        <v/>
      </c>
      <c r="DM4048" s="4" t="e">
        <f t="shared" si="210"/>
        <v>#N/A</v>
      </c>
      <c r="DN4048" t="str">
        <f t="shared" si="211"/>
        <v/>
      </c>
      <c r="DO4048" t="e">
        <f t="shared" si="212"/>
        <v>#N/A</v>
      </c>
    </row>
    <row r="4049" spans="7:119" x14ac:dyDescent="0.25">
      <c r="G4049"/>
      <c r="DI4049" s="4">
        <f>INDEX(Sheet2!A:A,QUOTIENT(ROW()-1,19)+2)</f>
        <v>41808</v>
      </c>
      <c r="DJ4049" s="4">
        <f>INDEX(Sheet2!C:C,QUOTIENT(ROW()-1,19)+2)</f>
        <v>42735</v>
      </c>
      <c r="DK4049" s="4">
        <f>INDEX(Sheet2!$AA$2:$AS$228,QUOTIENT(ROW()-1,19)+1,MOD(ROW()-2,19)+1)</f>
        <v>42724.962500000001</v>
      </c>
      <c r="DL4049">
        <f>IFERROR(INDEX(Sheet2!$AU$2:$BM$228,QUOTIENT(ROW()-1,19)+1,MOD(ROW()-2,19)+1),NA())</f>
        <v>2</v>
      </c>
      <c r="DM4049" s="4">
        <f t="shared" si="210"/>
        <v>42724.962500000001</v>
      </c>
      <c r="DN4049">
        <f t="shared" si="211"/>
        <v>2</v>
      </c>
      <c r="DO4049">
        <f t="shared" si="212"/>
        <v>2</v>
      </c>
    </row>
    <row r="4050" spans="7:119" x14ac:dyDescent="0.25">
      <c r="G4050"/>
      <c r="DI4050" s="4">
        <f>INDEX(Sheet2!A:A,QUOTIENT(ROW()-1,19)+2)</f>
        <v>41808</v>
      </c>
      <c r="DJ4050" s="4">
        <f>INDEX(Sheet2!C:C,QUOTIENT(ROW()-1,19)+2)</f>
        <v>42735</v>
      </c>
      <c r="DK4050" s="4">
        <f>INDEX(Sheet2!$AA$2:$AS$228,QUOTIENT(ROW()-1,19)+1,MOD(ROW()-2,19)+1)</f>
        <v>42745.037500000006</v>
      </c>
      <c r="DL4050">
        <f>IFERROR(INDEX(Sheet2!$AU$2:$BM$228,QUOTIENT(ROW()-1,19)+1,MOD(ROW()-2,19)+1),NA())</f>
        <v>2</v>
      </c>
      <c r="DM4050" s="4">
        <f t="shared" si="210"/>
        <v>42745.037500000006</v>
      </c>
      <c r="DN4050">
        <f t="shared" si="211"/>
        <v>2</v>
      </c>
      <c r="DO4050">
        <f t="shared" si="212"/>
        <v>2</v>
      </c>
    </row>
    <row r="4051" spans="7:119" x14ac:dyDescent="0.25">
      <c r="G4051"/>
      <c r="DI4051" s="4">
        <f>INDEX(Sheet2!A:A,QUOTIENT(ROW()-1,19)+2)</f>
        <v>41808</v>
      </c>
      <c r="DJ4051" s="4">
        <f>INDEX(Sheet2!C:C,QUOTIENT(ROW()-1,19)+2)</f>
        <v>42735</v>
      </c>
      <c r="DK4051" s="4" t="e">
        <f>INDEX(Sheet2!$AA$2:$AS$228,QUOTIENT(ROW()-1,19)+1,MOD(ROW()-2,19)+1)</f>
        <v>#N/A</v>
      </c>
      <c r="DL4051" t="str">
        <f>IFERROR(INDEX(Sheet2!$AU$2:$BM$228,QUOTIENT(ROW()-1,19)+1,MOD(ROW()-2,19)+1),NA())</f>
        <v/>
      </c>
      <c r="DM4051" s="4" t="e">
        <f t="shared" si="210"/>
        <v>#N/A</v>
      </c>
      <c r="DN4051" t="str">
        <f t="shared" si="211"/>
        <v/>
      </c>
      <c r="DO4051" t="e">
        <f t="shared" si="212"/>
        <v>#N/A</v>
      </c>
    </row>
    <row r="4052" spans="7:119" x14ac:dyDescent="0.25">
      <c r="G4052"/>
      <c r="DI4052" s="4">
        <f>INDEX(Sheet2!A:A,QUOTIENT(ROW()-1,19)+2)</f>
        <v>41808</v>
      </c>
      <c r="DJ4052" s="4">
        <f>INDEX(Sheet2!C:C,QUOTIENT(ROW()-1,19)+2)</f>
        <v>42735</v>
      </c>
      <c r="DK4052" s="4" t="e">
        <f>INDEX(Sheet2!$AA$2:$AS$228,QUOTIENT(ROW()-1,19)+1,MOD(ROW()-2,19)+1)</f>
        <v>#N/A</v>
      </c>
      <c r="DL4052" t="str">
        <f>IFERROR(INDEX(Sheet2!$AU$2:$BM$228,QUOTIENT(ROW()-1,19)+1,MOD(ROW()-2,19)+1),NA())</f>
        <v/>
      </c>
      <c r="DM4052" s="4" t="e">
        <f t="shared" si="210"/>
        <v>#N/A</v>
      </c>
      <c r="DN4052" t="str">
        <f t="shared" si="211"/>
        <v/>
      </c>
      <c r="DO4052" t="e">
        <f t="shared" si="212"/>
        <v>#N/A</v>
      </c>
    </row>
    <row r="4053" spans="7:119" x14ac:dyDescent="0.25">
      <c r="G4053"/>
      <c r="DI4053" s="4">
        <f>INDEX(Sheet2!A:A,QUOTIENT(ROW()-1,19)+2)</f>
        <v>41808</v>
      </c>
      <c r="DJ4053" s="4">
        <f>INDEX(Sheet2!C:C,QUOTIENT(ROW()-1,19)+2)</f>
        <v>42735</v>
      </c>
      <c r="DK4053" s="4" t="e">
        <f>INDEX(Sheet2!$AA$2:$AS$228,QUOTIENT(ROW()-1,19)+1,MOD(ROW()-2,19)+1)</f>
        <v>#N/A</v>
      </c>
      <c r="DL4053" t="str">
        <f>IFERROR(INDEX(Sheet2!$AU$2:$BM$228,QUOTIENT(ROW()-1,19)+1,MOD(ROW()-2,19)+1),NA())</f>
        <v/>
      </c>
      <c r="DM4053" s="4" t="e">
        <f t="shared" si="210"/>
        <v>#N/A</v>
      </c>
      <c r="DN4053" t="str">
        <f t="shared" si="211"/>
        <v/>
      </c>
      <c r="DO4053" t="e">
        <f t="shared" si="212"/>
        <v>#N/A</v>
      </c>
    </row>
    <row r="4054" spans="7:119" x14ac:dyDescent="0.25">
      <c r="G4054"/>
      <c r="DI4054" s="4">
        <f>INDEX(Sheet2!A:A,QUOTIENT(ROW()-1,19)+2)</f>
        <v>41808</v>
      </c>
      <c r="DJ4054" s="4">
        <f>INDEX(Sheet2!C:C,QUOTIENT(ROW()-1,19)+2)</f>
        <v>42735</v>
      </c>
      <c r="DK4054" s="4" t="e">
        <f>INDEX(Sheet2!$AA$2:$AS$228,QUOTIENT(ROW()-1,19)+1,MOD(ROW()-2,19)+1)</f>
        <v>#N/A</v>
      </c>
      <c r="DL4054" t="str">
        <f>IFERROR(INDEX(Sheet2!$AU$2:$BM$228,QUOTIENT(ROW()-1,19)+1,MOD(ROW()-2,19)+1),NA())</f>
        <v/>
      </c>
      <c r="DM4054" s="4" t="e">
        <f t="shared" si="210"/>
        <v>#N/A</v>
      </c>
      <c r="DN4054" t="str">
        <f t="shared" si="211"/>
        <v/>
      </c>
      <c r="DO4054" t="e">
        <f t="shared" si="212"/>
        <v>#N/A</v>
      </c>
    </row>
    <row r="4055" spans="7:119" x14ac:dyDescent="0.25">
      <c r="G4055"/>
      <c r="DI4055" s="4">
        <f>INDEX(Sheet2!A:A,QUOTIENT(ROW()-1,19)+2)</f>
        <v>41808</v>
      </c>
      <c r="DJ4055" s="4">
        <f>INDEX(Sheet2!C:C,QUOTIENT(ROW()-1,19)+2)</f>
        <v>42735</v>
      </c>
      <c r="DK4055" s="4" t="e">
        <f>INDEX(Sheet2!$AA$2:$AS$228,QUOTIENT(ROW()-1,19)+1,MOD(ROW()-2,19)+1)</f>
        <v>#N/A</v>
      </c>
      <c r="DL4055" t="str">
        <f>IFERROR(INDEX(Sheet2!$AU$2:$BM$228,QUOTIENT(ROW()-1,19)+1,MOD(ROW()-2,19)+1),NA())</f>
        <v/>
      </c>
      <c r="DM4055" s="4" t="e">
        <f t="shared" si="210"/>
        <v>#N/A</v>
      </c>
      <c r="DN4055" t="str">
        <f t="shared" si="211"/>
        <v/>
      </c>
      <c r="DO4055" t="e">
        <f t="shared" si="212"/>
        <v>#N/A</v>
      </c>
    </row>
    <row r="4056" spans="7:119" x14ac:dyDescent="0.25">
      <c r="G4056"/>
      <c r="DI4056" s="4">
        <f>INDEX(Sheet2!A:A,QUOTIENT(ROW()-1,19)+2)</f>
        <v>41808</v>
      </c>
      <c r="DJ4056" s="4">
        <f>INDEX(Sheet2!C:C,QUOTIENT(ROW()-1,19)+2)</f>
        <v>42735</v>
      </c>
      <c r="DK4056" s="4" t="e">
        <f>INDEX(Sheet2!$AA$2:$AS$228,QUOTIENT(ROW()-1,19)+1,MOD(ROW()-2,19)+1)</f>
        <v>#N/A</v>
      </c>
      <c r="DL4056" t="str">
        <f>IFERROR(INDEX(Sheet2!$AU$2:$BM$228,QUOTIENT(ROW()-1,19)+1,MOD(ROW()-2,19)+1),NA())</f>
        <v/>
      </c>
      <c r="DM4056" s="4" t="e">
        <f t="shared" si="210"/>
        <v>#N/A</v>
      </c>
      <c r="DN4056" t="str">
        <f t="shared" si="211"/>
        <v/>
      </c>
      <c r="DO4056" t="e">
        <f t="shared" si="212"/>
        <v>#N/A</v>
      </c>
    </row>
    <row r="4057" spans="7:119" x14ac:dyDescent="0.25">
      <c r="G4057"/>
      <c r="DI4057" s="4">
        <f>INDEX(Sheet2!A:A,QUOTIENT(ROW()-1,19)+2)</f>
        <v>41808</v>
      </c>
      <c r="DJ4057" s="4">
        <f>INDEX(Sheet2!C:C,QUOTIENT(ROW()-1,19)+2)</f>
        <v>42735</v>
      </c>
      <c r="DK4057" s="4" t="e">
        <f>INDEX(Sheet2!$AA$2:$AS$228,QUOTIENT(ROW()-1,19)+1,MOD(ROW()-2,19)+1)</f>
        <v>#N/A</v>
      </c>
      <c r="DL4057" t="str">
        <f>IFERROR(INDEX(Sheet2!$AU$2:$BM$228,QUOTIENT(ROW()-1,19)+1,MOD(ROW()-2,19)+1),NA())</f>
        <v/>
      </c>
      <c r="DM4057" s="4" t="e">
        <f t="shared" si="210"/>
        <v>#N/A</v>
      </c>
      <c r="DN4057" t="str">
        <f t="shared" si="211"/>
        <v/>
      </c>
      <c r="DO4057" t="e">
        <f t="shared" si="212"/>
        <v>#N/A</v>
      </c>
    </row>
    <row r="4058" spans="7:119" x14ac:dyDescent="0.25">
      <c r="G4058"/>
      <c r="DI4058" s="4">
        <f>INDEX(Sheet2!A:A,QUOTIENT(ROW()-1,19)+2)</f>
        <v>41808</v>
      </c>
      <c r="DJ4058" s="4">
        <f>INDEX(Sheet2!C:C,QUOTIENT(ROW()-1,19)+2)</f>
        <v>42735</v>
      </c>
      <c r="DK4058" s="4" t="e">
        <f>INDEX(Sheet2!$AA$2:$AS$228,QUOTIENT(ROW()-1,19)+1,MOD(ROW()-2,19)+1)</f>
        <v>#N/A</v>
      </c>
      <c r="DL4058" t="str">
        <f>IFERROR(INDEX(Sheet2!$AU$2:$BM$228,QUOTIENT(ROW()-1,19)+1,MOD(ROW()-2,19)+1),NA())</f>
        <v/>
      </c>
      <c r="DM4058" s="4" t="e">
        <f t="shared" si="210"/>
        <v>#N/A</v>
      </c>
      <c r="DN4058" t="str">
        <f t="shared" si="211"/>
        <v/>
      </c>
      <c r="DO4058" t="e">
        <f t="shared" si="212"/>
        <v>#N/A</v>
      </c>
    </row>
    <row r="4059" spans="7:119" x14ac:dyDescent="0.25">
      <c r="G4059"/>
      <c r="DI4059" s="4">
        <f>INDEX(Sheet2!A:A,QUOTIENT(ROW()-1,19)+2)</f>
        <v>41808</v>
      </c>
      <c r="DJ4059" s="4">
        <f>INDEX(Sheet2!C:C,QUOTIENT(ROW()-1,19)+2)</f>
        <v>42735</v>
      </c>
      <c r="DK4059" s="4" t="e">
        <f>INDEX(Sheet2!$AA$2:$AS$228,QUOTIENT(ROW()-1,19)+1,MOD(ROW()-2,19)+1)</f>
        <v>#N/A</v>
      </c>
      <c r="DL4059" t="str">
        <f>IFERROR(INDEX(Sheet2!$AU$2:$BM$228,QUOTIENT(ROW()-1,19)+1,MOD(ROW()-2,19)+1),NA())</f>
        <v/>
      </c>
      <c r="DM4059" s="4" t="e">
        <f t="shared" si="210"/>
        <v>#N/A</v>
      </c>
      <c r="DN4059" t="str">
        <f t="shared" si="211"/>
        <v/>
      </c>
      <c r="DO4059" t="e">
        <f t="shared" si="212"/>
        <v>#N/A</v>
      </c>
    </row>
    <row r="4060" spans="7:119" x14ac:dyDescent="0.25">
      <c r="G4060"/>
      <c r="DI4060" s="4">
        <f>INDEX(Sheet2!A:A,QUOTIENT(ROW()-1,19)+2)</f>
        <v>41808</v>
      </c>
      <c r="DJ4060" s="4">
        <f>INDEX(Sheet2!C:C,QUOTIENT(ROW()-1,19)+2)</f>
        <v>42735</v>
      </c>
      <c r="DK4060" s="4" t="e">
        <f>INDEX(Sheet2!$AA$2:$AS$228,QUOTIENT(ROW()-1,19)+1,MOD(ROW()-2,19)+1)</f>
        <v>#N/A</v>
      </c>
      <c r="DL4060" t="str">
        <f>IFERROR(INDEX(Sheet2!$AU$2:$BM$228,QUOTIENT(ROW()-1,19)+1,MOD(ROW()-2,19)+1),NA())</f>
        <v/>
      </c>
      <c r="DM4060" s="4" t="e">
        <f t="shared" si="210"/>
        <v>#N/A</v>
      </c>
      <c r="DN4060" t="str">
        <f t="shared" si="211"/>
        <v/>
      </c>
      <c r="DO4060" t="e">
        <f t="shared" si="212"/>
        <v>#N/A</v>
      </c>
    </row>
    <row r="4061" spans="7:119" x14ac:dyDescent="0.25">
      <c r="G4061"/>
      <c r="DI4061" s="4">
        <f>INDEX(Sheet2!A:A,QUOTIENT(ROW()-1,19)+2)</f>
        <v>41808</v>
      </c>
      <c r="DJ4061" s="4">
        <f>INDEX(Sheet2!C:C,QUOTIENT(ROW()-1,19)+2)</f>
        <v>42735</v>
      </c>
      <c r="DK4061" s="4" t="e">
        <f>INDEX(Sheet2!$AA$2:$AS$228,QUOTIENT(ROW()-1,19)+1,MOD(ROW()-2,19)+1)</f>
        <v>#N/A</v>
      </c>
      <c r="DL4061" t="str">
        <f>IFERROR(INDEX(Sheet2!$AU$2:$BM$228,QUOTIENT(ROW()-1,19)+1,MOD(ROW()-2,19)+1),NA())</f>
        <v/>
      </c>
      <c r="DM4061" s="4" t="e">
        <f t="shared" si="210"/>
        <v>#N/A</v>
      </c>
      <c r="DN4061" t="str">
        <f t="shared" si="211"/>
        <v/>
      </c>
      <c r="DO4061" t="e">
        <f t="shared" si="212"/>
        <v>#N/A</v>
      </c>
    </row>
    <row r="4062" spans="7:119" x14ac:dyDescent="0.25">
      <c r="G4062"/>
      <c r="DI4062" s="4">
        <f>INDEX(Sheet2!A:A,QUOTIENT(ROW()-1,19)+2)</f>
        <v>41808</v>
      </c>
      <c r="DJ4062" s="4">
        <f>INDEX(Sheet2!C:C,QUOTIENT(ROW()-1,19)+2)</f>
        <v>42735</v>
      </c>
      <c r="DK4062" s="4" t="e">
        <f>INDEX(Sheet2!$AA$2:$AS$228,QUOTIENT(ROW()-1,19)+1,MOD(ROW()-2,19)+1)</f>
        <v>#N/A</v>
      </c>
      <c r="DL4062" t="str">
        <f>IFERROR(INDEX(Sheet2!$AU$2:$BM$228,QUOTIENT(ROW()-1,19)+1,MOD(ROW()-2,19)+1),NA())</f>
        <v/>
      </c>
      <c r="DM4062" s="4" t="e">
        <f t="shared" si="210"/>
        <v>#N/A</v>
      </c>
      <c r="DN4062" t="str">
        <f t="shared" si="211"/>
        <v/>
      </c>
      <c r="DO4062" t="e">
        <f t="shared" si="212"/>
        <v>#N/A</v>
      </c>
    </row>
    <row r="4063" spans="7:119" x14ac:dyDescent="0.25">
      <c r="G4063"/>
      <c r="DI4063" s="4">
        <f>INDEX(Sheet2!A:A,QUOTIENT(ROW()-1,19)+2)</f>
        <v>41808</v>
      </c>
      <c r="DJ4063" s="4">
        <f>INDEX(Sheet2!C:C,QUOTIENT(ROW()-1,19)+2)</f>
        <v>42735</v>
      </c>
      <c r="DK4063" s="4" t="e">
        <f>INDEX(Sheet2!$AA$2:$AS$228,QUOTIENT(ROW()-1,19)+1,MOD(ROW()-2,19)+1)</f>
        <v>#N/A</v>
      </c>
      <c r="DL4063" t="str">
        <f>IFERROR(INDEX(Sheet2!$AU$2:$BM$228,QUOTIENT(ROW()-1,19)+1,MOD(ROW()-2,19)+1),NA())</f>
        <v/>
      </c>
      <c r="DM4063" s="4" t="e">
        <f t="shared" si="210"/>
        <v>#N/A</v>
      </c>
      <c r="DN4063" t="str">
        <f t="shared" si="211"/>
        <v/>
      </c>
      <c r="DO4063" t="e">
        <f t="shared" si="212"/>
        <v>#N/A</v>
      </c>
    </row>
    <row r="4064" spans="7:119" x14ac:dyDescent="0.25">
      <c r="G4064"/>
      <c r="DI4064" s="4">
        <f>INDEX(Sheet2!A:A,QUOTIENT(ROW()-1,19)+2)</f>
        <v>41808</v>
      </c>
      <c r="DJ4064" s="4">
        <f>INDEX(Sheet2!C:C,QUOTIENT(ROW()-1,19)+2)</f>
        <v>42735</v>
      </c>
      <c r="DK4064" s="4" t="e">
        <f>INDEX(Sheet2!$AA$2:$AS$228,QUOTIENT(ROW()-1,19)+1,MOD(ROW()-2,19)+1)</f>
        <v>#N/A</v>
      </c>
      <c r="DL4064" t="str">
        <f>IFERROR(INDEX(Sheet2!$AU$2:$BM$228,QUOTIENT(ROW()-1,19)+1,MOD(ROW()-2,19)+1),NA())</f>
        <v/>
      </c>
      <c r="DM4064" s="4" t="e">
        <f t="shared" si="210"/>
        <v>#N/A</v>
      </c>
      <c r="DN4064" t="str">
        <f t="shared" si="211"/>
        <v/>
      </c>
      <c r="DO4064" t="e">
        <f t="shared" si="212"/>
        <v>#N/A</v>
      </c>
    </row>
    <row r="4065" spans="7:119" x14ac:dyDescent="0.25">
      <c r="G4065"/>
      <c r="DI4065" s="4">
        <f>INDEX(Sheet2!A:A,QUOTIENT(ROW()-1,19)+2)</f>
        <v>41808</v>
      </c>
      <c r="DJ4065" s="4">
        <f>INDEX(Sheet2!C:C,QUOTIENT(ROW()-1,19)+2)</f>
        <v>42735</v>
      </c>
      <c r="DK4065" s="4" t="e">
        <f>INDEX(Sheet2!$AA$2:$AS$228,QUOTIENT(ROW()-1,19)+1,MOD(ROW()-2,19)+1)</f>
        <v>#N/A</v>
      </c>
      <c r="DL4065" t="str">
        <f>IFERROR(INDEX(Sheet2!$AU$2:$BM$228,QUOTIENT(ROW()-1,19)+1,MOD(ROW()-2,19)+1),NA())</f>
        <v/>
      </c>
      <c r="DM4065" s="4" t="e">
        <f t="shared" si="210"/>
        <v>#N/A</v>
      </c>
      <c r="DN4065" t="str">
        <f t="shared" si="211"/>
        <v/>
      </c>
      <c r="DO4065" t="e">
        <f t="shared" si="212"/>
        <v>#N/A</v>
      </c>
    </row>
    <row r="4066" spans="7:119" x14ac:dyDescent="0.25">
      <c r="G4066"/>
      <c r="DI4066" s="4">
        <f>INDEX(Sheet2!A:A,QUOTIENT(ROW()-1,19)+2)</f>
        <v>41808</v>
      </c>
      <c r="DJ4066" s="4">
        <f>INDEX(Sheet2!C:C,QUOTIENT(ROW()-1,19)+2)</f>
        <v>42735</v>
      </c>
      <c r="DK4066" s="4" t="e">
        <f>INDEX(Sheet2!$AA$2:$AS$228,QUOTIENT(ROW()-1,19)+1,MOD(ROW()-2,19)+1)</f>
        <v>#N/A</v>
      </c>
      <c r="DL4066" t="str">
        <f>IFERROR(INDEX(Sheet2!$AU$2:$BM$228,QUOTIENT(ROW()-1,19)+1,MOD(ROW()-2,19)+1),NA())</f>
        <v/>
      </c>
      <c r="DM4066" s="4" t="e">
        <f t="shared" si="210"/>
        <v>#N/A</v>
      </c>
      <c r="DN4066" t="str">
        <f t="shared" si="211"/>
        <v/>
      </c>
      <c r="DO4066" t="e">
        <f t="shared" si="212"/>
        <v>#N/A</v>
      </c>
    </row>
    <row r="4067" spans="7:119" x14ac:dyDescent="0.25">
      <c r="G4067"/>
      <c r="DI4067" s="4">
        <f>INDEX(Sheet2!A:A,QUOTIENT(ROW()-1,19)+2)</f>
        <v>41808</v>
      </c>
      <c r="DJ4067" s="4">
        <f>INDEX(Sheet2!C:C,QUOTIENT(ROW()-1,19)+2)</f>
        <v>42735</v>
      </c>
      <c r="DK4067" s="4" t="e">
        <f>INDEX(Sheet2!$AA$2:$AS$228,QUOTIENT(ROW()-1,19)+1,MOD(ROW()-2,19)+1)</f>
        <v>#N/A</v>
      </c>
      <c r="DL4067" t="str">
        <f>IFERROR(INDEX(Sheet2!$AU$2:$BM$228,QUOTIENT(ROW()-1,19)+1,MOD(ROW()-2,19)+1),NA())</f>
        <v/>
      </c>
      <c r="DM4067" s="4" t="e">
        <f t="shared" si="210"/>
        <v>#N/A</v>
      </c>
      <c r="DN4067" t="str">
        <f t="shared" si="211"/>
        <v/>
      </c>
      <c r="DO4067" t="e">
        <f t="shared" si="212"/>
        <v>#N/A</v>
      </c>
    </row>
    <row r="4068" spans="7:119" x14ac:dyDescent="0.25">
      <c r="G4068"/>
      <c r="DI4068" s="4">
        <f>INDEX(Sheet2!A:A,QUOTIENT(ROW()-1,19)+2)</f>
        <v>41808</v>
      </c>
      <c r="DJ4068" s="4">
        <f>INDEX(Sheet2!C:C,QUOTIENT(ROW()-1,19)+2)</f>
        <v>42735</v>
      </c>
      <c r="DK4068" s="4">
        <f>INDEX(Sheet2!$AA$2:$AS$228,QUOTIENT(ROW()-1,19)+1,MOD(ROW()-2,19)+1)</f>
        <v>42724.962500000001</v>
      </c>
      <c r="DL4068">
        <f>IFERROR(INDEX(Sheet2!$AU$2:$BM$228,QUOTIENT(ROW()-1,19)+1,MOD(ROW()-2,19)+1),NA())</f>
        <v>2.25</v>
      </c>
      <c r="DM4068" s="4">
        <f t="shared" si="210"/>
        <v>42724.962500000001</v>
      </c>
      <c r="DN4068">
        <f t="shared" si="211"/>
        <v>2.25</v>
      </c>
      <c r="DO4068">
        <f t="shared" si="212"/>
        <v>2.25</v>
      </c>
    </row>
    <row r="4069" spans="7:119" x14ac:dyDescent="0.25">
      <c r="G4069"/>
      <c r="DI4069" s="4">
        <f>INDEX(Sheet2!A:A,QUOTIENT(ROW()-1,19)+2)</f>
        <v>41808</v>
      </c>
      <c r="DJ4069" s="4">
        <f>INDEX(Sheet2!C:C,QUOTIENT(ROW()-1,19)+2)</f>
        <v>42735</v>
      </c>
      <c r="DK4069" s="4">
        <f>INDEX(Sheet2!$AA$2:$AS$228,QUOTIENT(ROW()-1,19)+1,MOD(ROW()-2,19)+1)</f>
        <v>42745.037500000006</v>
      </c>
      <c r="DL4069">
        <f>IFERROR(INDEX(Sheet2!$AU$2:$BM$228,QUOTIENT(ROW()-1,19)+1,MOD(ROW()-2,19)+1),NA())</f>
        <v>2.25</v>
      </c>
      <c r="DM4069" s="4">
        <f t="shared" si="210"/>
        <v>42745.037500000006</v>
      </c>
      <c r="DN4069">
        <f t="shared" si="211"/>
        <v>2.25</v>
      </c>
      <c r="DO4069">
        <f t="shared" si="212"/>
        <v>2.25</v>
      </c>
    </row>
    <row r="4070" spans="7:119" x14ac:dyDescent="0.25">
      <c r="G4070"/>
      <c r="DI4070" s="4">
        <f>INDEX(Sheet2!A:A,QUOTIENT(ROW()-1,19)+2)</f>
        <v>41808</v>
      </c>
      <c r="DJ4070" s="4">
        <f>INDEX(Sheet2!C:C,QUOTIENT(ROW()-1,19)+2)</f>
        <v>42735</v>
      </c>
      <c r="DK4070" s="4" t="e">
        <f>INDEX(Sheet2!$AA$2:$AS$228,QUOTIENT(ROW()-1,19)+1,MOD(ROW()-2,19)+1)</f>
        <v>#N/A</v>
      </c>
      <c r="DL4070" t="str">
        <f>IFERROR(INDEX(Sheet2!$AU$2:$BM$228,QUOTIENT(ROW()-1,19)+1,MOD(ROW()-2,19)+1),NA())</f>
        <v/>
      </c>
      <c r="DM4070" s="4" t="e">
        <f t="shared" si="210"/>
        <v>#N/A</v>
      </c>
      <c r="DN4070" t="str">
        <f t="shared" si="211"/>
        <v/>
      </c>
      <c r="DO4070" t="e">
        <f t="shared" si="212"/>
        <v>#N/A</v>
      </c>
    </row>
    <row r="4071" spans="7:119" x14ac:dyDescent="0.25">
      <c r="G4071"/>
      <c r="DI4071" s="4">
        <f>INDEX(Sheet2!A:A,QUOTIENT(ROW()-1,19)+2)</f>
        <v>41808</v>
      </c>
      <c r="DJ4071" s="4">
        <f>INDEX(Sheet2!C:C,QUOTIENT(ROW()-1,19)+2)</f>
        <v>42735</v>
      </c>
      <c r="DK4071" s="4" t="e">
        <f>INDEX(Sheet2!$AA$2:$AS$228,QUOTIENT(ROW()-1,19)+1,MOD(ROW()-2,19)+1)</f>
        <v>#N/A</v>
      </c>
      <c r="DL4071" t="str">
        <f>IFERROR(INDEX(Sheet2!$AU$2:$BM$228,QUOTIENT(ROW()-1,19)+1,MOD(ROW()-2,19)+1),NA())</f>
        <v/>
      </c>
      <c r="DM4071" s="4" t="e">
        <f t="shared" si="210"/>
        <v>#N/A</v>
      </c>
      <c r="DN4071" t="str">
        <f t="shared" si="211"/>
        <v/>
      </c>
      <c r="DO4071" t="e">
        <f t="shared" si="212"/>
        <v>#N/A</v>
      </c>
    </row>
    <row r="4072" spans="7:119" x14ac:dyDescent="0.25">
      <c r="G4072"/>
      <c r="DI4072" s="4">
        <f>INDEX(Sheet2!A:A,QUOTIENT(ROW()-1,19)+2)</f>
        <v>41808</v>
      </c>
      <c r="DJ4072" s="4">
        <f>INDEX(Sheet2!C:C,QUOTIENT(ROW()-1,19)+2)</f>
        <v>42735</v>
      </c>
      <c r="DK4072" s="4" t="e">
        <f>INDEX(Sheet2!$AA$2:$AS$228,QUOTIENT(ROW()-1,19)+1,MOD(ROW()-2,19)+1)</f>
        <v>#N/A</v>
      </c>
      <c r="DL4072" t="str">
        <f>IFERROR(INDEX(Sheet2!$AU$2:$BM$228,QUOTIENT(ROW()-1,19)+1,MOD(ROW()-2,19)+1),NA())</f>
        <v/>
      </c>
      <c r="DM4072" s="4" t="e">
        <f t="shared" si="210"/>
        <v>#N/A</v>
      </c>
      <c r="DN4072" t="str">
        <f t="shared" si="211"/>
        <v/>
      </c>
      <c r="DO4072" t="e">
        <f t="shared" si="212"/>
        <v>#N/A</v>
      </c>
    </row>
    <row r="4073" spans="7:119" x14ac:dyDescent="0.25">
      <c r="G4073"/>
      <c r="DI4073" s="4">
        <f>INDEX(Sheet2!A:A,QUOTIENT(ROW()-1,19)+2)</f>
        <v>41808</v>
      </c>
      <c r="DJ4073" s="4">
        <f>INDEX(Sheet2!C:C,QUOTIENT(ROW()-1,19)+2)</f>
        <v>42735</v>
      </c>
      <c r="DK4073" s="4" t="e">
        <f>INDEX(Sheet2!$AA$2:$AS$228,QUOTIENT(ROW()-1,19)+1,MOD(ROW()-2,19)+1)</f>
        <v>#N/A</v>
      </c>
      <c r="DL4073" t="str">
        <f>IFERROR(INDEX(Sheet2!$AU$2:$BM$228,QUOTIENT(ROW()-1,19)+1,MOD(ROW()-2,19)+1),NA())</f>
        <v/>
      </c>
      <c r="DM4073" s="4" t="e">
        <f t="shared" si="210"/>
        <v>#N/A</v>
      </c>
      <c r="DN4073" t="str">
        <f t="shared" si="211"/>
        <v/>
      </c>
      <c r="DO4073" t="e">
        <f t="shared" si="212"/>
        <v>#N/A</v>
      </c>
    </row>
    <row r="4074" spans="7:119" x14ac:dyDescent="0.25">
      <c r="G4074"/>
      <c r="DI4074" s="4">
        <f>INDEX(Sheet2!A:A,QUOTIENT(ROW()-1,19)+2)</f>
        <v>41808</v>
      </c>
      <c r="DJ4074" s="4">
        <f>INDEX(Sheet2!C:C,QUOTIENT(ROW()-1,19)+2)</f>
        <v>42735</v>
      </c>
      <c r="DK4074" s="4" t="e">
        <f>INDEX(Sheet2!$AA$2:$AS$228,QUOTIENT(ROW()-1,19)+1,MOD(ROW()-2,19)+1)</f>
        <v>#N/A</v>
      </c>
      <c r="DL4074" t="str">
        <f>IFERROR(INDEX(Sheet2!$AU$2:$BM$228,QUOTIENT(ROW()-1,19)+1,MOD(ROW()-2,19)+1),NA())</f>
        <v/>
      </c>
      <c r="DM4074" s="4" t="e">
        <f t="shared" si="210"/>
        <v>#N/A</v>
      </c>
      <c r="DN4074" t="str">
        <f t="shared" si="211"/>
        <v/>
      </c>
      <c r="DO4074" t="e">
        <f t="shared" si="212"/>
        <v>#N/A</v>
      </c>
    </row>
    <row r="4075" spans="7:119" x14ac:dyDescent="0.25">
      <c r="G4075"/>
      <c r="DI4075" s="4">
        <f>INDEX(Sheet2!A:A,QUOTIENT(ROW()-1,19)+2)</f>
        <v>41808</v>
      </c>
      <c r="DJ4075" s="4">
        <f>INDEX(Sheet2!C:C,QUOTIENT(ROW()-1,19)+2)</f>
        <v>42735</v>
      </c>
      <c r="DK4075" s="4" t="e">
        <f>INDEX(Sheet2!$AA$2:$AS$228,QUOTIENT(ROW()-1,19)+1,MOD(ROW()-2,19)+1)</f>
        <v>#N/A</v>
      </c>
      <c r="DL4075" t="str">
        <f>IFERROR(INDEX(Sheet2!$AU$2:$BM$228,QUOTIENT(ROW()-1,19)+1,MOD(ROW()-2,19)+1),NA())</f>
        <v/>
      </c>
      <c r="DM4075" s="4" t="e">
        <f t="shared" si="210"/>
        <v>#N/A</v>
      </c>
      <c r="DN4075" t="str">
        <f t="shared" si="211"/>
        <v/>
      </c>
      <c r="DO4075" t="e">
        <f t="shared" si="212"/>
        <v>#N/A</v>
      </c>
    </row>
    <row r="4076" spans="7:119" x14ac:dyDescent="0.25">
      <c r="G4076"/>
      <c r="DI4076" s="4">
        <f>INDEX(Sheet2!A:A,QUOTIENT(ROW()-1,19)+2)</f>
        <v>41808</v>
      </c>
      <c r="DJ4076" s="4">
        <f>INDEX(Sheet2!C:C,QUOTIENT(ROW()-1,19)+2)</f>
        <v>42735</v>
      </c>
      <c r="DK4076" s="4" t="e">
        <f>INDEX(Sheet2!$AA$2:$AS$228,QUOTIENT(ROW()-1,19)+1,MOD(ROW()-2,19)+1)</f>
        <v>#N/A</v>
      </c>
      <c r="DL4076" t="str">
        <f>IFERROR(INDEX(Sheet2!$AU$2:$BM$228,QUOTIENT(ROW()-1,19)+1,MOD(ROW()-2,19)+1),NA())</f>
        <v/>
      </c>
      <c r="DM4076" s="4" t="e">
        <f t="shared" si="210"/>
        <v>#N/A</v>
      </c>
      <c r="DN4076" t="str">
        <f t="shared" si="211"/>
        <v/>
      </c>
      <c r="DO4076" t="e">
        <f t="shared" si="212"/>
        <v>#N/A</v>
      </c>
    </row>
    <row r="4077" spans="7:119" x14ac:dyDescent="0.25">
      <c r="G4077"/>
      <c r="DI4077" s="4">
        <f>INDEX(Sheet2!A:A,QUOTIENT(ROW()-1,19)+2)</f>
        <v>41808</v>
      </c>
      <c r="DJ4077" s="4">
        <f>INDEX(Sheet2!C:C,QUOTIENT(ROW()-1,19)+2)</f>
        <v>42735</v>
      </c>
      <c r="DK4077" s="4" t="e">
        <f>INDEX(Sheet2!$AA$2:$AS$228,QUOTIENT(ROW()-1,19)+1,MOD(ROW()-2,19)+1)</f>
        <v>#N/A</v>
      </c>
      <c r="DL4077" t="str">
        <f>IFERROR(INDEX(Sheet2!$AU$2:$BM$228,QUOTIENT(ROW()-1,19)+1,MOD(ROW()-2,19)+1),NA())</f>
        <v/>
      </c>
      <c r="DM4077" s="4" t="e">
        <f t="shared" si="210"/>
        <v>#N/A</v>
      </c>
      <c r="DN4077" t="str">
        <f t="shared" si="211"/>
        <v/>
      </c>
      <c r="DO4077" t="e">
        <f t="shared" si="212"/>
        <v>#N/A</v>
      </c>
    </row>
    <row r="4078" spans="7:119" x14ac:dyDescent="0.25">
      <c r="G4078"/>
      <c r="DI4078" s="4">
        <f>INDEX(Sheet2!A:A,QUOTIENT(ROW()-1,19)+2)</f>
        <v>41808</v>
      </c>
      <c r="DJ4078" s="4">
        <f>INDEX(Sheet2!C:C,QUOTIENT(ROW()-1,19)+2)</f>
        <v>42735</v>
      </c>
      <c r="DK4078" s="4" t="e">
        <f>INDEX(Sheet2!$AA$2:$AS$228,QUOTIENT(ROW()-1,19)+1,MOD(ROW()-2,19)+1)</f>
        <v>#N/A</v>
      </c>
      <c r="DL4078" t="str">
        <f>IFERROR(INDEX(Sheet2!$AU$2:$BM$228,QUOTIENT(ROW()-1,19)+1,MOD(ROW()-2,19)+1),NA())</f>
        <v/>
      </c>
      <c r="DM4078" s="4" t="e">
        <f t="shared" si="210"/>
        <v>#N/A</v>
      </c>
      <c r="DN4078" t="str">
        <f t="shared" si="211"/>
        <v/>
      </c>
      <c r="DO4078" t="e">
        <f t="shared" si="212"/>
        <v>#N/A</v>
      </c>
    </row>
    <row r="4079" spans="7:119" x14ac:dyDescent="0.25">
      <c r="G4079"/>
      <c r="DI4079" s="4">
        <f>INDEX(Sheet2!A:A,QUOTIENT(ROW()-1,19)+2)</f>
        <v>41808</v>
      </c>
      <c r="DJ4079" s="4">
        <f>INDEX(Sheet2!C:C,QUOTIENT(ROW()-1,19)+2)</f>
        <v>42735</v>
      </c>
      <c r="DK4079" s="4" t="e">
        <f>INDEX(Sheet2!$AA$2:$AS$228,QUOTIENT(ROW()-1,19)+1,MOD(ROW()-2,19)+1)</f>
        <v>#N/A</v>
      </c>
      <c r="DL4079" t="str">
        <f>IFERROR(INDEX(Sheet2!$AU$2:$BM$228,QUOTIENT(ROW()-1,19)+1,MOD(ROW()-2,19)+1),NA())</f>
        <v/>
      </c>
      <c r="DM4079" s="4" t="e">
        <f t="shared" si="210"/>
        <v>#N/A</v>
      </c>
      <c r="DN4079" t="str">
        <f t="shared" si="211"/>
        <v/>
      </c>
      <c r="DO4079" t="e">
        <f t="shared" si="212"/>
        <v>#N/A</v>
      </c>
    </row>
    <row r="4080" spans="7:119" x14ac:dyDescent="0.25">
      <c r="G4080"/>
      <c r="DI4080" s="4">
        <f>INDEX(Sheet2!A:A,QUOTIENT(ROW()-1,19)+2)</f>
        <v>41808</v>
      </c>
      <c r="DJ4080" s="4">
        <f>INDEX(Sheet2!C:C,QUOTIENT(ROW()-1,19)+2)</f>
        <v>42735</v>
      </c>
      <c r="DK4080" s="4" t="e">
        <f>INDEX(Sheet2!$AA$2:$AS$228,QUOTIENT(ROW()-1,19)+1,MOD(ROW()-2,19)+1)</f>
        <v>#N/A</v>
      </c>
      <c r="DL4080" t="str">
        <f>IFERROR(INDEX(Sheet2!$AU$2:$BM$228,QUOTIENT(ROW()-1,19)+1,MOD(ROW()-2,19)+1),NA())</f>
        <v/>
      </c>
      <c r="DM4080" s="4" t="e">
        <f t="shared" si="210"/>
        <v>#N/A</v>
      </c>
      <c r="DN4080" t="str">
        <f t="shared" si="211"/>
        <v/>
      </c>
      <c r="DO4080" t="e">
        <f t="shared" si="212"/>
        <v>#N/A</v>
      </c>
    </row>
    <row r="4081" spans="7:119" x14ac:dyDescent="0.25">
      <c r="G4081"/>
      <c r="DI4081" s="4">
        <f>INDEX(Sheet2!A:A,QUOTIENT(ROW()-1,19)+2)</f>
        <v>41808</v>
      </c>
      <c r="DJ4081" s="4">
        <f>INDEX(Sheet2!C:C,QUOTIENT(ROW()-1,19)+2)</f>
        <v>42735</v>
      </c>
      <c r="DK4081" s="4" t="e">
        <f>INDEX(Sheet2!$AA$2:$AS$228,QUOTIENT(ROW()-1,19)+1,MOD(ROW()-2,19)+1)</f>
        <v>#N/A</v>
      </c>
      <c r="DL4081" t="str">
        <f>IFERROR(INDEX(Sheet2!$AU$2:$BM$228,QUOTIENT(ROW()-1,19)+1,MOD(ROW()-2,19)+1),NA())</f>
        <v/>
      </c>
      <c r="DM4081" s="4" t="e">
        <f t="shared" si="210"/>
        <v>#N/A</v>
      </c>
      <c r="DN4081" t="str">
        <f t="shared" si="211"/>
        <v/>
      </c>
      <c r="DO4081" t="e">
        <f t="shared" si="212"/>
        <v>#N/A</v>
      </c>
    </row>
    <row r="4082" spans="7:119" x14ac:dyDescent="0.25">
      <c r="G4082"/>
      <c r="DI4082" s="4">
        <f>INDEX(Sheet2!A:A,QUOTIENT(ROW()-1,19)+2)</f>
        <v>41808</v>
      </c>
      <c r="DJ4082" s="4">
        <f>INDEX(Sheet2!C:C,QUOTIENT(ROW()-1,19)+2)</f>
        <v>42735</v>
      </c>
      <c r="DK4082" s="4" t="e">
        <f>INDEX(Sheet2!$AA$2:$AS$228,QUOTIENT(ROW()-1,19)+1,MOD(ROW()-2,19)+1)</f>
        <v>#N/A</v>
      </c>
      <c r="DL4082" t="str">
        <f>IFERROR(INDEX(Sheet2!$AU$2:$BM$228,QUOTIENT(ROW()-1,19)+1,MOD(ROW()-2,19)+1),NA())</f>
        <v/>
      </c>
      <c r="DM4082" s="4" t="e">
        <f t="shared" si="210"/>
        <v>#N/A</v>
      </c>
      <c r="DN4082" t="str">
        <f t="shared" si="211"/>
        <v/>
      </c>
      <c r="DO4082" t="e">
        <f t="shared" si="212"/>
        <v>#N/A</v>
      </c>
    </row>
    <row r="4083" spans="7:119" x14ac:dyDescent="0.25">
      <c r="G4083"/>
      <c r="DI4083" s="4">
        <f>INDEX(Sheet2!A:A,QUOTIENT(ROW()-1,19)+2)</f>
        <v>41808</v>
      </c>
      <c r="DJ4083" s="4">
        <f>INDEX(Sheet2!C:C,QUOTIENT(ROW()-1,19)+2)</f>
        <v>42735</v>
      </c>
      <c r="DK4083" s="4" t="e">
        <f>INDEX(Sheet2!$AA$2:$AS$228,QUOTIENT(ROW()-1,19)+1,MOD(ROW()-2,19)+1)</f>
        <v>#N/A</v>
      </c>
      <c r="DL4083" t="str">
        <f>IFERROR(INDEX(Sheet2!$AU$2:$BM$228,QUOTIENT(ROW()-1,19)+1,MOD(ROW()-2,19)+1),NA())</f>
        <v/>
      </c>
      <c r="DM4083" s="4" t="e">
        <f t="shared" si="210"/>
        <v>#N/A</v>
      </c>
      <c r="DN4083" t="str">
        <f t="shared" si="211"/>
        <v/>
      </c>
      <c r="DO4083" t="e">
        <f t="shared" si="212"/>
        <v>#N/A</v>
      </c>
    </row>
    <row r="4084" spans="7:119" x14ac:dyDescent="0.25">
      <c r="G4084"/>
      <c r="DI4084" s="4">
        <f>INDEX(Sheet2!A:A,QUOTIENT(ROW()-1,19)+2)</f>
        <v>41808</v>
      </c>
      <c r="DJ4084" s="4">
        <f>INDEX(Sheet2!C:C,QUOTIENT(ROW()-1,19)+2)</f>
        <v>42735</v>
      </c>
      <c r="DK4084" s="4" t="e">
        <f>INDEX(Sheet2!$AA$2:$AS$228,QUOTIENT(ROW()-1,19)+1,MOD(ROW()-2,19)+1)</f>
        <v>#N/A</v>
      </c>
      <c r="DL4084" t="str">
        <f>IFERROR(INDEX(Sheet2!$AU$2:$BM$228,QUOTIENT(ROW()-1,19)+1,MOD(ROW()-2,19)+1),NA())</f>
        <v/>
      </c>
      <c r="DM4084" s="4" t="e">
        <f t="shared" si="210"/>
        <v>#N/A</v>
      </c>
      <c r="DN4084" t="str">
        <f t="shared" si="211"/>
        <v/>
      </c>
      <c r="DO4084" t="e">
        <f t="shared" si="212"/>
        <v>#N/A</v>
      </c>
    </row>
    <row r="4085" spans="7:119" x14ac:dyDescent="0.25">
      <c r="G4085"/>
      <c r="DI4085" s="4">
        <f>INDEX(Sheet2!A:A,QUOTIENT(ROW()-1,19)+2)</f>
        <v>41808</v>
      </c>
      <c r="DJ4085" s="4">
        <f>INDEX(Sheet2!C:C,QUOTIENT(ROW()-1,19)+2)</f>
        <v>42735</v>
      </c>
      <c r="DK4085" s="4" t="e">
        <f>INDEX(Sheet2!$AA$2:$AS$228,QUOTIENT(ROW()-1,19)+1,MOD(ROW()-2,19)+1)</f>
        <v>#N/A</v>
      </c>
      <c r="DL4085" t="str">
        <f>IFERROR(INDEX(Sheet2!$AU$2:$BM$228,QUOTIENT(ROW()-1,19)+1,MOD(ROW()-2,19)+1),NA())</f>
        <v/>
      </c>
      <c r="DM4085" s="4" t="e">
        <f t="shared" si="210"/>
        <v>#N/A</v>
      </c>
      <c r="DN4085" t="str">
        <f t="shared" si="211"/>
        <v/>
      </c>
      <c r="DO4085" t="e">
        <f t="shared" si="212"/>
        <v>#N/A</v>
      </c>
    </row>
    <row r="4086" spans="7:119" x14ac:dyDescent="0.25">
      <c r="G4086"/>
      <c r="DI4086" s="4">
        <f>INDEX(Sheet2!A:A,QUOTIENT(ROW()-1,19)+2)</f>
        <v>41808</v>
      </c>
      <c r="DJ4086" s="4">
        <f>INDEX(Sheet2!C:C,QUOTIENT(ROW()-1,19)+2)</f>
        <v>42735</v>
      </c>
      <c r="DK4086" s="4" t="e">
        <f>INDEX(Sheet2!$AA$2:$AS$228,QUOTIENT(ROW()-1,19)+1,MOD(ROW()-2,19)+1)</f>
        <v>#N/A</v>
      </c>
      <c r="DL4086" t="str">
        <f>IFERROR(INDEX(Sheet2!$AU$2:$BM$228,QUOTIENT(ROW()-1,19)+1,MOD(ROW()-2,19)+1),NA())</f>
        <v/>
      </c>
      <c r="DM4086" s="4" t="e">
        <f t="shared" si="210"/>
        <v>#N/A</v>
      </c>
      <c r="DN4086" t="str">
        <f t="shared" si="211"/>
        <v/>
      </c>
      <c r="DO4086" t="e">
        <f t="shared" si="212"/>
        <v>#N/A</v>
      </c>
    </row>
    <row r="4087" spans="7:119" x14ac:dyDescent="0.25">
      <c r="G4087"/>
      <c r="DI4087" s="4">
        <f>INDEX(Sheet2!A:A,QUOTIENT(ROW()-1,19)+2)</f>
        <v>41808</v>
      </c>
      <c r="DJ4087" s="4">
        <f>INDEX(Sheet2!C:C,QUOTIENT(ROW()-1,19)+2)</f>
        <v>42735</v>
      </c>
      <c r="DK4087" s="4">
        <f>INDEX(Sheet2!$AA$2:$AS$228,QUOTIENT(ROW()-1,19)+1,MOD(ROW()-2,19)+1)</f>
        <v>42724.962500000001</v>
      </c>
      <c r="DL4087">
        <f>IFERROR(INDEX(Sheet2!$AU$2:$BM$228,QUOTIENT(ROW()-1,19)+1,MOD(ROW()-2,19)+1),NA())</f>
        <v>2.5</v>
      </c>
      <c r="DM4087" s="4">
        <f t="shared" si="210"/>
        <v>42724.962500000001</v>
      </c>
      <c r="DN4087">
        <f t="shared" si="211"/>
        <v>2.5</v>
      </c>
      <c r="DO4087">
        <f t="shared" si="212"/>
        <v>2.5</v>
      </c>
    </row>
    <row r="4088" spans="7:119" x14ac:dyDescent="0.25">
      <c r="G4088"/>
      <c r="DI4088" s="4">
        <f>INDEX(Sheet2!A:A,QUOTIENT(ROW()-1,19)+2)</f>
        <v>41808</v>
      </c>
      <c r="DJ4088" s="4">
        <f>INDEX(Sheet2!C:C,QUOTIENT(ROW()-1,19)+2)</f>
        <v>42735</v>
      </c>
      <c r="DK4088" s="4">
        <f>INDEX(Sheet2!$AA$2:$AS$228,QUOTIENT(ROW()-1,19)+1,MOD(ROW()-2,19)+1)</f>
        <v>42745.037500000006</v>
      </c>
      <c r="DL4088">
        <f>IFERROR(INDEX(Sheet2!$AU$2:$BM$228,QUOTIENT(ROW()-1,19)+1,MOD(ROW()-2,19)+1),NA())</f>
        <v>2.5</v>
      </c>
      <c r="DM4088" s="4">
        <f t="shared" si="210"/>
        <v>42745.037500000006</v>
      </c>
      <c r="DN4088">
        <f t="shared" si="211"/>
        <v>2.5</v>
      </c>
      <c r="DO4088">
        <f t="shared" si="212"/>
        <v>2.5</v>
      </c>
    </row>
    <row r="4089" spans="7:119" x14ac:dyDescent="0.25">
      <c r="G4089"/>
      <c r="DI4089" s="4">
        <f>INDEX(Sheet2!A:A,QUOTIENT(ROW()-1,19)+2)</f>
        <v>41808</v>
      </c>
      <c r="DJ4089" s="4">
        <f>INDEX(Sheet2!C:C,QUOTIENT(ROW()-1,19)+2)</f>
        <v>42735</v>
      </c>
      <c r="DK4089" s="4" t="e">
        <f>INDEX(Sheet2!$AA$2:$AS$228,QUOTIENT(ROW()-1,19)+1,MOD(ROW()-2,19)+1)</f>
        <v>#N/A</v>
      </c>
      <c r="DL4089" t="str">
        <f>IFERROR(INDEX(Sheet2!$AU$2:$BM$228,QUOTIENT(ROW()-1,19)+1,MOD(ROW()-2,19)+1),NA())</f>
        <v/>
      </c>
      <c r="DM4089" s="4" t="e">
        <f t="shared" si="210"/>
        <v>#N/A</v>
      </c>
      <c r="DN4089" t="str">
        <f t="shared" si="211"/>
        <v/>
      </c>
      <c r="DO4089" t="e">
        <f t="shared" si="212"/>
        <v>#N/A</v>
      </c>
    </row>
    <row r="4090" spans="7:119" x14ac:dyDescent="0.25">
      <c r="G4090"/>
      <c r="DI4090" s="4">
        <f>INDEX(Sheet2!A:A,QUOTIENT(ROW()-1,19)+2)</f>
        <v>41808</v>
      </c>
      <c r="DJ4090" s="4">
        <f>INDEX(Sheet2!C:C,QUOTIENT(ROW()-1,19)+2)</f>
        <v>42735</v>
      </c>
      <c r="DK4090" s="4" t="e">
        <f>INDEX(Sheet2!$AA$2:$AS$228,QUOTIENT(ROW()-1,19)+1,MOD(ROW()-2,19)+1)</f>
        <v>#N/A</v>
      </c>
      <c r="DL4090" t="str">
        <f>IFERROR(INDEX(Sheet2!$AU$2:$BM$228,QUOTIENT(ROW()-1,19)+1,MOD(ROW()-2,19)+1),NA())</f>
        <v/>
      </c>
      <c r="DM4090" s="4" t="e">
        <f t="shared" si="210"/>
        <v>#N/A</v>
      </c>
      <c r="DN4090" t="str">
        <f t="shared" si="211"/>
        <v/>
      </c>
      <c r="DO4090" t="e">
        <f t="shared" si="212"/>
        <v>#N/A</v>
      </c>
    </row>
    <row r="4091" spans="7:119" x14ac:dyDescent="0.25">
      <c r="G4091"/>
      <c r="DI4091" s="4">
        <f>INDEX(Sheet2!A:A,QUOTIENT(ROW()-1,19)+2)</f>
        <v>41808</v>
      </c>
      <c r="DJ4091" s="4">
        <f>INDEX(Sheet2!C:C,QUOTIENT(ROW()-1,19)+2)</f>
        <v>42735</v>
      </c>
      <c r="DK4091" s="4" t="e">
        <f>INDEX(Sheet2!$AA$2:$AS$228,QUOTIENT(ROW()-1,19)+1,MOD(ROW()-2,19)+1)</f>
        <v>#N/A</v>
      </c>
      <c r="DL4091" t="str">
        <f>IFERROR(INDEX(Sheet2!$AU$2:$BM$228,QUOTIENT(ROW()-1,19)+1,MOD(ROW()-2,19)+1),NA())</f>
        <v/>
      </c>
      <c r="DM4091" s="4" t="e">
        <f t="shared" si="210"/>
        <v>#N/A</v>
      </c>
      <c r="DN4091" t="str">
        <f t="shared" si="211"/>
        <v/>
      </c>
      <c r="DO4091" t="e">
        <f t="shared" si="212"/>
        <v>#N/A</v>
      </c>
    </row>
    <row r="4092" spans="7:119" x14ac:dyDescent="0.25">
      <c r="G4092"/>
      <c r="DI4092" s="4">
        <f>INDEX(Sheet2!A:A,QUOTIENT(ROW()-1,19)+2)</f>
        <v>41808</v>
      </c>
      <c r="DJ4092" s="4">
        <f>INDEX(Sheet2!C:C,QUOTIENT(ROW()-1,19)+2)</f>
        <v>42735</v>
      </c>
      <c r="DK4092" s="4" t="e">
        <f>INDEX(Sheet2!$AA$2:$AS$228,QUOTIENT(ROW()-1,19)+1,MOD(ROW()-2,19)+1)</f>
        <v>#N/A</v>
      </c>
      <c r="DL4092" t="str">
        <f>IFERROR(INDEX(Sheet2!$AU$2:$BM$228,QUOTIENT(ROW()-1,19)+1,MOD(ROW()-2,19)+1),NA())</f>
        <v/>
      </c>
      <c r="DM4092" s="4" t="e">
        <f t="shared" si="210"/>
        <v>#N/A</v>
      </c>
      <c r="DN4092" t="str">
        <f t="shared" si="211"/>
        <v/>
      </c>
      <c r="DO4092" t="e">
        <f t="shared" si="212"/>
        <v>#N/A</v>
      </c>
    </row>
    <row r="4093" spans="7:119" x14ac:dyDescent="0.25">
      <c r="G4093"/>
      <c r="DI4093" s="4">
        <f>INDEX(Sheet2!A:A,QUOTIENT(ROW()-1,19)+2)</f>
        <v>41808</v>
      </c>
      <c r="DJ4093" s="4">
        <f>INDEX(Sheet2!C:C,QUOTIENT(ROW()-1,19)+2)</f>
        <v>42735</v>
      </c>
      <c r="DK4093" s="4" t="e">
        <f>INDEX(Sheet2!$AA$2:$AS$228,QUOTIENT(ROW()-1,19)+1,MOD(ROW()-2,19)+1)</f>
        <v>#N/A</v>
      </c>
      <c r="DL4093" t="str">
        <f>IFERROR(INDEX(Sheet2!$AU$2:$BM$228,QUOTIENT(ROW()-1,19)+1,MOD(ROW()-2,19)+1),NA())</f>
        <v/>
      </c>
      <c r="DM4093" s="4" t="e">
        <f t="shared" si="210"/>
        <v>#N/A</v>
      </c>
      <c r="DN4093" t="str">
        <f t="shared" si="211"/>
        <v/>
      </c>
      <c r="DO4093" t="e">
        <f t="shared" si="212"/>
        <v>#N/A</v>
      </c>
    </row>
    <row r="4094" spans="7:119" x14ac:dyDescent="0.25">
      <c r="G4094"/>
      <c r="DI4094" s="4">
        <f>INDEX(Sheet2!A:A,QUOTIENT(ROW()-1,19)+2)</f>
        <v>41808</v>
      </c>
      <c r="DJ4094" s="4">
        <f>INDEX(Sheet2!C:C,QUOTIENT(ROW()-1,19)+2)</f>
        <v>42735</v>
      </c>
      <c r="DK4094" s="4" t="e">
        <f>INDEX(Sheet2!$AA$2:$AS$228,QUOTIENT(ROW()-1,19)+1,MOD(ROW()-2,19)+1)</f>
        <v>#N/A</v>
      </c>
      <c r="DL4094" t="str">
        <f>IFERROR(INDEX(Sheet2!$AU$2:$BM$228,QUOTIENT(ROW()-1,19)+1,MOD(ROW()-2,19)+1),NA())</f>
        <v/>
      </c>
      <c r="DM4094" s="4" t="e">
        <f t="shared" si="210"/>
        <v>#N/A</v>
      </c>
      <c r="DN4094" t="str">
        <f t="shared" si="211"/>
        <v/>
      </c>
      <c r="DO4094" t="e">
        <f t="shared" si="212"/>
        <v>#N/A</v>
      </c>
    </row>
    <row r="4095" spans="7:119" x14ac:dyDescent="0.25">
      <c r="G4095"/>
      <c r="DI4095" s="4">
        <f>INDEX(Sheet2!A:A,QUOTIENT(ROW()-1,19)+2)</f>
        <v>41808</v>
      </c>
      <c r="DJ4095" s="4">
        <f>INDEX(Sheet2!C:C,QUOTIENT(ROW()-1,19)+2)</f>
        <v>42735</v>
      </c>
      <c r="DK4095" s="4" t="e">
        <f>INDEX(Sheet2!$AA$2:$AS$228,QUOTIENT(ROW()-1,19)+1,MOD(ROW()-2,19)+1)</f>
        <v>#N/A</v>
      </c>
      <c r="DL4095" t="str">
        <f>IFERROR(INDEX(Sheet2!$AU$2:$BM$228,QUOTIENT(ROW()-1,19)+1,MOD(ROW()-2,19)+1),NA())</f>
        <v/>
      </c>
      <c r="DM4095" s="4" t="e">
        <f t="shared" si="210"/>
        <v>#N/A</v>
      </c>
      <c r="DN4095" t="str">
        <f t="shared" si="211"/>
        <v/>
      </c>
      <c r="DO4095" t="e">
        <f t="shared" si="212"/>
        <v>#N/A</v>
      </c>
    </row>
    <row r="4096" spans="7:119" x14ac:dyDescent="0.25">
      <c r="G4096"/>
      <c r="DI4096" s="4">
        <f>INDEX(Sheet2!A:A,QUOTIENT(ROW()-1,19)+2)</f>
        <v>41808</v>
      </c>
      <c r="DJ4096" s="4">
        <f>INDEX(Sheet2!C:C,QUOTIENT(ROW()-1,19)+2)</f>
        <v>42735</v>
      </c>
      <c r="DK4096" s="4" t="e">
        <f>INDEX(Sheet2!$AA$2:$AS$228,QUOTIENT(ROW()-1,19)+1,MOD(ROW()-2,19)+1)</f>
        <v>#N/A</v>
      </c>
      <c r="DL4096" t="str">
        <f>IFERROR(INDEX(Sheet2!$AU$2:$BM$228,QUOTIENT(ROW()-1,19)+1,MOD(ROW()-2,19)+1),NA())</f>
        <v/>
      </c>
      <c r="DM4096" s="4" t="e">
        <f t="shared" si="210"/>
        <v>#N/A</v>
      </c>
      <c r="DN4096" t="str">
        <f t="shared" si="211"/>
        <v/>
      </c>
      <c r="DO4096" t="e">
        <f t="shared" si="212"/>
        <v>#N/A</v>
      </c>
    </row>
    <row r="4097" spans="7:119" x14ac:dyDescent="0.25">
      <c r="G4097"/>
      <c r="DI4097" s="4">
        <f>INDEX(Sheet2!A:A,QUOTIENT(ROW()-1,19)+2)</f>
        <v>41808</v>
      </c>
      <c r="DJ4097" s="4">
        <f>INDEX(Sheet2!C:C,QUOTIENT(ROW()-1,19)+2)</f>
        <v>42735</v>
      </c>
      <c r="DK4097" s="4" t="e">
        <f>INDEX(Sheet2!$AA$2:$AS$228,QUOTIENT(ROW()-1,19)+1,MOD(ROW()-2,19)+1)</f>
        <v>#N/A</v>
      </c>
      <c r="DL4097" t="str">
        <f>IFERROR(INDEX(Sheet2!$AU$2:$BM$228,QUOTIENT(ROW()-1,19)+1,MOD(ROW()-2,19)+1),NA())</f>
        <v/>
      </c>
      <c r="DM4097" s="4" t="e">
        <f t="shared" si="210"/>
        <v>#N/A</v>
      </c>
      <c r="DN4097" t="str">
        <f t="shared" si="211"/>
        <v/>
      </c>
      <c r="DO4097" t="e">
        <f t="shared" si="212"/>
        <v>#N/A</v>
      </c>
    </row>
    <row r="4098" spans="7:119" x14ac:dyDescent="0.25">
      <c r="G4098"/>
      <c r="DI4098" s="4">
        <f>INDEX(Sheet2!A:A,QUOTIENT(ROW()-1,19)+2)</f>
        <v>41808</v>
      </c>
      <c r="DJ4098" s="4">
        <f>INDEX(Sheet2!C:C,QUOTIENT(ROW()-1,19)+2)</f>
        <v>42735</v>
      </c>
      <c r="DK4098" s="4" t="e">
        <f>INDEX(Sheet2!$AA$2:$AS$228,QUOTIENT(ROW()-1,19)+1,MOD(ROW()-2,19)+1)</f>
        <v>#N/A</v>
      </c>
      <c r="DL4098" t="str">
        <f>IFERROR(INDEX(Sheet2!$AU$2:$BM$228,QUOTIENT(ROW()-1,19)+1,MOD(ROW()-2,19)+1),NA())</f>
        <v/>
      </c>
      <c r="DM4098" s="4" t="e">
        <f t="shared" ref="DM4098:DM4161" si="213">+IF($C$2=$DI4098,DK4098,NA())</f>
        <v>#N/A</v>
      </c>
      <c r="DN4098" t="str">
        <f t="shared" ref="DN4098:DN4161" si="214">+IF($C$2=$DI4098,DL4098,NA())</f>
        <v/>
      </c>
      <c r="DO4098" t="e">
        <f t="shared" si="212"/>
        <v>#N/A</v>
      </c>
    </row>
    <row r="4099" spans="7:119" x14ac:dyDescent="0.25">
      <c r="G4099"/>
      <c r="DI4099" s="4">
        <f>INDEX(Sheet2!A:A,QUOTIENT(ROW()-1,19)+2)</f>
        <v>41808</v>
      </c>
      <c r="DJ4099" s="4">
        <f>INDEX(Sheet2!C:C,QUOTIENT(ROW()-1,19)+2)</f>
        <v>42735</v>
      </c>
      <c r="DK4099" s="4" t="e">
        <f>INDEX(Sheet2!$AA$2:$AS$228,QUOTIENT(ROW()-1,19)+1,MOD(ROW()-2,19)+1)</f>
        <v>#N/A</v>
      </c>
      <c r="DL4099" t="str">
        <f>IFERROR(INDEX(Sheet2!$AU$2:$BM$228,QUOTIENT(ROW()-1,19)+1,MOD(ROW()-2,19)+1),NA())</f>
        <v/>
      </c>
      <c r="DM4099" s="4" t="e">
        <f t="shared" si="213"/>
        <v>#N/A</v>
      </c>
      <c r="DN4099" t="str">
        <f t="shared" si="214"/>
        <v/>
      </c>
      <c r="DO4099" t="e">
        <f t="shared" ref="DO4099:DO4162" si="215">IF(DN4099="",NA(),DN4099)</f>
        <v>#N/A</v>
      </c>
    </row>
    <row r="4100" spans="7:119" x14ac:dyDescent="0.25">
      <c r="G4100"/>
      <c r="DI4100" s="4">
        <f>INDEX(Sheet2!A:A,QUOTIENT(ROW()-1,19)+2)</f>
        <v>41808</v>
      </c>
      <c r="DJ4100" s="4">
        <f>INDEX(Sheet2!C:C,QUOTIENT(ROW()-1,19)+2)</f>
        <v>42735</v>
      </c>
      <c r="DK4100" s="4" t="e">
        <f>INDEX(Sheet2!$AA$2:$AS$228,QUOTIENT(ROW()-1,19)+1,MOD(ROW()-2,19)+1)</f>
        <v>#N/A</v>
      </c>
      <c r="DL4100" t="str">
        <f>IFERROR(INDEX(Sheet2!$AU$2:$BM$228,QUOTIENT(ROW()-1,19)+1,MOD(ROW()-2,19)+1),NA())</f>
        <v/>
      </c>
      <c r="DM4100" s="4" t="e">
        <f t="shared" si="213"/>
        <v>#N/A</v>
      </c>
      <c r="DN4100" t="str">
        <f t="shared" si="214"/>
        <v/>
      </c>
      <c r="DO4100" t="e">
        <f t="shared" si="215"/>
        <v>#N/A</v>
      </c>
    </row>
    <row r="4101" spans="7:119" x14ac:dyDescent="0.25">
      <c r="G4101"/>
      <c r="DI4101" s="4">
        <f>INDEX(Sheet2!A:A,QUOTIENT(ROW()-1,19)+2)</f>
        <v>41808</v>
      </c>
      <c r="DJ4101" s="4">
        <f>INDEX(Sheet2!C:C,QUOTIENT(ROW()-1,19)+2)</f>
        <v>42735</v>
      </c>
      <c r="DK4101" s="4" t="e">
        <f>INDEX(Sheet2!$AA$2:$AS$228,QUOTIENT(ROW()-1,19)+1,MOD(ROW()-2,19)+1)</f>
        <v>#N/A</v>
      </c>
      <c r="DL4101" t="str">
        <f>IFERROR(INDEX(Sheet2!$AU$2:$BM$228,QUOTIENT(ROW()-1,19)+1,MOD(ROW()-2,19)+1),NA())</f>
        <v/>
      </c>
      <c r="DM4101" s="4" t="e">
        <f t="shared" si="213"/>
        <v>#N/A</v>
      </c>
      <c r="DN4101" t="str">
        <f t="shared" si="214"/>
        <v/>
      </c>
      <c r="DO4101" t="e">
        <f t="shared" si="215"/>
        <v>#N/A</v>
      </c>
    </row>
    <row r="4102" spans="7:119" x14ac:dyDescent="0.25">
      <c r="G4102"/>
      <c r="DI4102" s="4">
        <f>INDEX(Sheet2!A:A,QUOTIENT(ROW()-1,19)+2)</f>
        <v>41808</v>
      </c>
      <c r="DJ4102" s="4">
        <f>INDEX(Sheet2!C:C,QUOTIENT(ROW()-1,19)+2)</f>
        <v>42735</v>
      </c>
      <c r="DK4102" s="4" t="e">
        <f>INDEX(Sheet2!$AA$2:$AS$228,QUOTIENT(ROW()-1,19)+1,MOD(ROW()-2,19)+1)</f>
        <v>#N/A</v>
      </c>
      <c r="DL4102" t="str">
        <f>IFERROR(INDEX(Sheet2!$AU$2:$BM$228,QUOTIENT(ROW()-1,19)+1,MOD(ROW()-2,19)+1),NA())</f>
        <v/>
      </c>
      <c r="DM4102" s="4" t="e">
        <f t="shared" si="213"/>
        <v>#N/A</v>
      </c>
      <c r="DN4102" t="str">
        <f t="shared" si="214"/>
        <v/>
      </c>
      <c r="DO4102" t="e">
        <f t="shared" si="215"/>
        <v>#N/A</v>
      </c>
    </row>
    <row r="4103" spans="7:119" x14ac:dyDescent="0.25">
      <c r="G4103"/>
      <c r="DI4103" s="4">
        <f>INDEX(Sheet2!A:A,QUOTIENT(ROW()-1,19)+2)</f>
        <v>41808</v>
      </c>
      <c r="DJ4103" s="4">
        <f>INDEX(Sheet2!C:C,QUOTIENT(ROW()-1,19)+2)</f>
        <v>42735</v>
      </c>
      <c r="DK4103" s="4" t="e">
        <f>INDEX(Sheet2!$AA$2:$AS$228,QUOTIENT(ROW()-1,19)+1,MOD(ROW()-2,19)+1)</f>
        <v>#N/A</v>
      </c>
      <c r="DL4103" t="str">
        <f>IFERROR(INDEX(Sheet2!$AU$2:$BM$228,QUOTIENT(ROW()-1,19)+1,MOD(ROW()-2,19)+1),NA())</f>
        <v/>
      </c>
      <c r="DM4103" s="4" t="e">
        <f t="shared" si="213"/>
        <v>#N/A</v>
      </c>
      <c r="DN4103" t="str">
        <f t="shared" si="214"/>
        <v/>
      </c>
      <c r="DO4103" t="e">
        <f t="shared" si="215"/>
        <v>#N/A</v>
      </c>
    </row>
    <row r="4104" spans="7:119" x14ac:dyDescent="0.25">
      <c r="G4104"/>
      <c r="DI4104" s="4">
        <f>INDEX(Sheet2!A:A,QUOTIENT(ROW()-1,19)+2)</f>
        <v>41808</v>
      </c>
      <c r="DJ4104" s="4">
        <f>INDEX(Sheet2!C:C,QUOTIENT(ROW()-1,19)+2)</f>
        <v>42735</v>
      </c>
      <c r="DK4104" s="4" t="e">
        <f>INDEX(Sheet2!$AA$2:$AS$228,QUOTIENT(ROW()-1,19)+1,MOD(ROW()-2,19)+1)</f>
        <v>#N/A</v>
      </c>
      <c r="DL4104" t="str">
        <f>IFERROR(INDEX(Sheet2!$AU$2:$BM$228,QUOTIENT(ROW()-1,19)+1,MOD(ROW()-2,19)+1),NA())</f>
        <v/>
      </c>
      <c r="DM4104" s="4" t="e">
        <f t="shared" si="213"/>
        <v>#N/A</v>
      </c>
      <c r="DN4104" t="str">
        <f t="shared" si="214"/>
        <v/>
      </c>
      <c r="DO4104" t="e">
        <f t="shared" si="215"/>
        <v>#N/A</v>
      </c>
    </row>
    <row r="4105" spans="7:119" x14ac:dyDescent="0.25">
      <c r="G4105"/>
      <c r="DI4105" s="4">
        <f>INDEX(Sheet2!A:A,QUOTIENT(ROW()-1,19)+2)</f>
        <v>41808</v>
      </c>
      <c r="DJ4105" s="4">
        <f>INDEX(Sheet2!C:C,QUOTIENT(ROW()-1,19)+2)</f>
        <v>42735</v>
      </c>
      <c r="DK4105" s="4" t="e">
        <f>INDEX(Sheet2!$AA$2:$AS$228,QUOTIENT(ROW()-1,19)+1,MOD(ROW()-2,19)+1)</f>
        <v>#N/A</v>
      </c>
      <c r="DL4105" t="str">
        <f>IFERROR(INDEX(Sheet2!$AU$2:$BM$228,QUOTIENT(ROW()-1,19)+1,MOD(ROW()-2,19)+1),NA())</f>
        <v/>
      </c>
      <c r="DM4105" s="4" t="e">
        <f t="shared" si="213"/>
        <v>#N/A</v>
      </c>
      <c r="DN4105" t="str">
        <f t="shared" si="214"/>
        <v/>
      </c>
      <c r="DO4105" t="e">
        <f t="shared" si="215"/>
        <v>#N/A</v>
      </c>
    </row>
    <row r="4106" spans="7:119" x14ac:dyDescent="0.25">
      <c r="G4106"/>
      <c r="DI4106" s="4">
        <f>INDEX(Sheet2!A:A,QUOTIENT(ROW()-1,19)+2)</f>
        <v>41808</v>
      </c>
      <c r="DJ4106" s="4">
        <f>INDEX(Sheet2!C:C,QUOTIENT(ROW()-1,19)+2)</f>
        <v>42735</v>
      </c>
      <c r="DK4106" s="4">
        <f>INDEX(Sheet2!$AA$2:$AS$228,QUOTIENT(ROW()-1,19)+1,MOD(ROW()-2,19)+1)</f>
        <v>42735</v>
      </c>
      <c r="DL4106">
        <f>IFERROR(INDEX(Sheet2!$AU$2:$BM$228,QUOTIENT(ROW()-1,19)+1,MOD(ROW()-2,19)+1),NA())</f>
        <v>2.75</v>
      </c>
      <c r="DM4106" s="4">
        <f t="shared" si="213"/>
        <v>42735</v>
      </c>
      <c r="DN4106">
        <f t="shared" si="214"/>
        <v>2.75</v>
      </c>
      <c r="DO4106">
        <f t="shared" si="215"/>
        <v>2.75</v>
      </c>
    </row>
    <row r="4107" spans="7:119" x14ac:dyDescent="0.25">
      <c r="G4107"/>
      <c r="DI4107" s="4">
        <f>INDEX(Sheet2!A:A,QUOTIENT(ROW()-1,19)+2)</f>
        <v>41808</v>
      </c>
      <c r="DJ4107" s="4">
        <f>INDEX(Sheet2!C:C,QUOTIENT(ROW()-1,19)+2)</f>
        <v>42735</v>
      </c>
      <c r="DK4107" s="4" t="e">
        <f>INDEX(Sheet2!$AA$2:$AS$228,QUOTIENT(ROW()-1,19)+1,MOD(ROW()-2,19)+1)</f>
        <v>#N/A</v>
      </c>
      <c r="DL4107" t="str">
        <f>IFERROR(INDEX(Sheet2!$AU$2:$BM$228,QUOTIENT(ROW()-1,19)+1,MOD(ROW()-2,19)+1),NA())</f>
        <v/>
      </c>
      <c r="DM4107" s="4" t="e">
        <f t="shared" si="213"/>
        <v>#N/A</v>
      </c>
      <c r="DN4107" t="str">
        <f t="shared" si="214"/>
        <v/>
      </c>
      <c r="DO4107" t="e">
        <f t="shared" si="215"/>
        <v>#N/A</v>
      </c>
    </row>
    <row r="4108" spans="7:119" x14ac:dyDescent="0.25">
      <c r="G4108"/>
      <c r="DI4108" s="4">
        <f>INDEX(Sheet2!A:A,QUOTIENT(ROW()-1,19)+2)</f>
        <v>41808</v>
      </c>
      <c r="DJ4108" s="4">
        <f>INDEX(Sheet2!C:C,QUOTIENT(ROW()-1,19)+2)</f>
        <v>42735</v>
      </c>
      <c r="DK4108" s="4" t="e">
        <f>INDEX(Sheet2!$AA$2:$AS$228,QUOTIENT(ROW()-1,19)+1,MOD(ROW()-2,19)+1)</f>
        <v>#N/A</v>
      </c>
      <c r="DL4108" t="str">
        <f>IFERROR(INDEX(Sheet2!$AU$2:$BM$228,QUOTIENT(ROW()-1,19)+1,MOD(ROW()-2,19)+1),NA())</f>
        <v/>
      </c>
      <c r="DM4108" s="4" t="e">
        <f t="shared" si="213"/>
        <v>#N/A</v>
      </c>
      <c r="DN4108" t="str">
        <f t="shared" si="214"/>
        <v/>
      </c>
      <c r="DO4108" t="e">
        <f t="shared" si="215"/>
        <v>#N/A</v>
      </c>
    </row>
    <row r="4109" spans="7:119" x14ac:dyDescent="0.25">
      <c r="G4109"/>
      <c r="DI4109" s="4">
        <f>INDEX(Sheet2!A:A,QUOTIENT(ROW()-1,19)+2)</f>
        <v>41808</v>
      </c>
      <c r="DJ4109" s="4">
        <f>INDEX(Sheet2!C:C,QUOTIENT(ROW()-1,19)+2)</f>
        <v>42735</v>
      </c>
      <c r="DK4109" s="4" t="e">
        <f>INDEX(Sheet2!$AA$2:$AS$228,QUOTIENT(ROW()-1,19)+1,MOD(ROW()-2,19)+1)</f>
        <v>#N/A</v>
      </c>
      <c r="DL4109" t="str">
        <f>IFERROR(INDEX(Sheet2!$AU$2:$BM$228,QUOTIENT(ROW()-1,19)+1,MOD(ROW()-2,19)+1),NA())</f>
        <v/>
      </c>
      <c r="DM4109" s="4" t="e">
        <f t="shared" si="213"/>
        <v>#N/A</v>
      </c>
      <c r="DN4109" t="str">
        <f t="shared" si="214"/>
        <v/>
      </c>
      <c r="DO4109" t="e">
        <f t="shared" si="215"/>
        <v>#N/A</v>
      </c>
    </row>
    <row r="4110" spans="7:119" x14ac:dyDescent="0.25">
      <c r="G4110"/>
      <c r="DI4110" s="4">
        <f>INDEX(Sheet2!A:A,QUOTIENT(ROW()-1,19)+2)</f>
        <v>41808</v>
      </c>
      <c r="DJ4110" s="4">
        <f>INDEX(Sheet2!C:C,QUOTIENT(ROW()-1,19)+2)</f>
        <v>42735</v>
      </c>
      <c r="DK4110" s="4" t="e">
        <f>INDEX(Sheet2!$AA$2:$AS$228,QUOTIENT(ROW()-1,19)+1,MOD(ROW()-2,19)+1)</f>
        <v>#N/A</v>
      </c>
      <c r="DL4110" t="str">
        <f>IFERROR(INDEX(Sheet2!$AU$2:$BM$228,QUOTIENT(ROW()-1,19)+1,MOD(ROW()-2,19)+1),NA())</f>
        <v/>
      </c>
      <c r="DM4110" s="4" t="e">
        <f t="shared" si="213"/>
        <v>#N/A</v>
      </c>
      <c r="DN4110" t="str">
        <f t="shared" si="214"/>
        <v/>
      </c>
      <c r="DO4110" t="e">
        <f t="shared" si="215"/>
        <v>#N/A</v>
      </c>
    </row>
    <row r="4111" spans="7:119" x14ac:dyDescent="0.25">
      <c r="G4111"/>
      <c r="DI4111" s="4">
        <f>INDEX(Sheet2!A:A,QUOTIENT(ROW()-1,19)+2)</f>
        <v>41808</v>
      </c>
      <c r="DJ4111" s="4">
        <f>INDEX(Sheet2!C:C,QUOTIENT(ROW()-1,19)+2)</f>
        <v>42735</v>
      </c>
      <c r="DK4111" s="4" t="e">
        <f>INDEX(Sheet2!$AA$2:$AS$228,QUOTIENT(ROW()-1,19)+1,MOD(ROW()-2,19)+1)</f>
        <v>#N/A</v>
      </c>
      <c r="DL4111" t="str">
        <f>IFERROR(INDEX(Sheet2!$AU$2:$BM$228,QUOTIENT(ROW()-1,19)+1,MOD(ROW()-2,19)+1),NA())</f>
        <v/>
      </c>
      <c r="DM4111" s="4" t="e">
        <f t="shared" si="213"/>
        <v>#N/A</v>
      </c>
      <c r="DN4111" t="str">
        <f t="shared" si="214"/>
        <v/>
      </c>
      <c r="DO4111" t="e">
        <f t="shared" si="215"/>
        <v>#N/A</v>
      </c>
    </row>
    <row r="4112" spans="7:119" x14ac:dyDescent="0.25">
      <c r="G4112"/>
      <c r="DI4112" s="4">
        <f>INDEX(Sheet2!A:A,QUOTIENT(ROW()-1,19)+2)</f>
        <v>41808</v>
      </c>
      <c r="DJ4112" s="4">
        <f>INDEX(Sheet2!C:C,QUOTIENT(ROW()-1,19)+2)</f>
        <v>42735</v>
      </c>
      <c r="DK4112" s="4" t="e">
        <f>INDEX(Sheet2!$AA$2:$AS$228,QUOTIENT(ROW()-1,19)+1,MOD(ROW()-2,19)+1)</f>
        <v>#N/A</v>
      </c>
      <c r="DL4112" t="str">
        <f>IFERROR(INDEX(Sheet2!$AU$2:$BM$228,QUOTIENT(ROW()-1,19)+1,MOD(ROW()-2,19)+1),NA())</f>
        <v/>
      </c>
      <c r="DM4112" s="4" t="e">
        <f t="shared" si="213"/>
        <v>#N/A</v>
      </c>
      <c r="DN4112" t="str">
        <f t="shared" si="214"/>
        <v/>
      </c>
      <c r="DO4112" t="e">
        <f t="shared" si="215"/>
        <v>#N/A</v>
      </c>
    </row>
    <row r="4113" spans="7:119" x14ac:dyDescent="0.25">
      <c r="G4113"/>
      <c r="DI4113" s="4">
        <f>INDEX(Sheet2!A:A,QUOTIENT(ROW()-1,19)+2)</f>
        <v>41808</v>
      </c>
      <c r="DJ4113" s="4">
        <f>INDEX(Sheet2!C:C,QUOTIENT(ROW()-1,19)+2)</f>
        <v>42735</v>
      </c>
      <c r="DK4113" s="4" t="e">
        <f>INDEX(Sheet2!$AA$2:$AS$228,QUOTIENT(ROW()-1,19)+1,MOD(ROW()-2,19)+1)</f>
        <v>#N/A</v>
      </c>
      <c r="DL4113" t="str">
        <f>IFERROR(INDEX(Sheet2!$AU$2:$BM$228,QUOTIENT(ROW()-1,19)+1,MOD(ROW()-2,19)+1),NA())</f>
        <v/>
      </c>
      <c r="DM4113" s="4" t="e">
        <f t="shared" si="213"/>
        <v>#N/A</v>
      </c>
      <c r="DN4113" t="str">
        <f t="shared" si="214"/>
        <v/>
      </c>
      <c r="DO4113" t="e">
        <f t="shared" si="215"/>
        <v>#N/A</v>
      </c>
    </row>
    <row r="4114" spans="7:119" x14ac:dyDescent="0.25">
      <c r="G4114"/>
      <c r="DI4114" s="4">
        <f>INDEX(Sheet2!A:A,QUOTIENT(ROW()-1,19)+2)</f>
        <v>41808</v>
      </c>
      <c r="DJ4114" s="4">
        <f>INDEX(Sheet2!C:C,QUOTIENT(ROW()-1,19)+2)</f>
        <v>42735</v>
      </c>
      <c r="DK4114" s="4" t="e">
        <f>INDEX(Sheet2!$AA$2:$AS$228,QUOTIENT(ROW()-1,19)+1,MOD(ROW()-2,19)+1)</f>
        <v>#N/A</v>
      </c>
      <c r="DL4114" t="str">
        <f>IFERROR(INDEX(Sheet2!$AU$2:$BM$228,QUOTIENT(ROW()-1,19)+1,MOD(ROW()-2,19)+1),NA())</f>
        <v/>
      </c>
      <c r="DM4114" s="4" t="e">
        <f t="shared" si="213"/>
        <v>#N/A</v>
      </c>
      <c r="DN4114" t="str">
        <f t="shared" si="214"/>
        <v/>
      </c>
      <c r="DO4114" t="e">
        <f t="shared" si="215"/>
        <v>#N/A</v>
      </c>
    </row>
    <row r="4115" spans="7:119" x14ac:dyDescent="0.25">
      <c r="G4115"/>
      <c r="DI4115" s="4">
        <f>INDEX(Sheet2!A:A,QUOTIENT(ROW()-1,19)+2)</f>
        <v>41808</v>
      </c>
      <c r="DJ4115" s="4">
        <f>INDEX(Sheet2!C:C,QUOTIENT(ROW()-1,19)+2)</f>
        <v>42735</v>
      </c>
      <c r="DK4115" s="4" t="e">
        <f>INDEX(Sheet2!$AA$2:$AS$228,QUOTIENT(ROW()-1,19)+1,MOD(ROW()-2,19)+1)</f>
        <v>#N/A</v>
      </c>
      <c r="DL4115" t="str">
        <f>IFERROR(INDEX(Sheet2!$AU$2:$BM$228,QUOTIENT(ROW()-1,19)+1,MOD(ROW()-2,19)+1),NA())</f>
        <v/>
      </c>
      <c r="DM4115" s="4" t="e">
        <f t="shared" si="213"/>
        <v>#N/A</v>
      </c>
      <c r="DN4115" t="str">
        <f t="shared" si="214"/>
        <v/>
      </c>
      <c r="DO4115" t="e">
        <f t="shared" si="215"/>
        <v>#N/A</v>
      </c>
    </row>
    <row r="4116" spans="7:119" x14ac:dyDescent="0.25">
      <c r="G4116"/>
      <c r="DI4116" s="4">
        <f>INDEX(Sheet2!A:A,QUOTIENT(ROW()-1,19)+2)</f>
        <v>41808</v>
      </c>
      <c r="DJ4116" s="4">
        <f>INDEX(Sheet2!C:C,QUOTIENT(ROW()-1,19)+2)</f>
        <v>42735</v>
      </c>
      <c r="DK4116" s="4" t="e">
        <f>INDEX(Sheet2!$AA$2:$AS$228,QUOTIENT(ROW()-1,19)+1,MOD(ROW()-2,19)+1)</f>
        <v>#N/A</v>
      </c>
      <c r="DL4116" t="str">
        <f>IFERROR(INDEX(Sheet2!$AU$2:$BM$228,QUOTIENT(ROW()-1,19)+1,MOD(ROW()-2,19)+1),NA())</f>
        <v/>
      </c>
      <c r="DM4116" s="4" t="e">
        <f t="shared" si="213"/>
        <v>#N/A</v>
      </c>
      <c r="DN4116" t="str">
        <f t="shared" si="214"/>
        <v/>
      </c>
      <c r="DO4116" t="e">
        <f t="shared" si="215"/>
        <v>#N/A</v>
      </c>
    </row>
    <row r="4117" spans="7:119" x14ac:dyDescent="0.25">
      <c r="G4117"/>
      <c r="DI4117" s="4">
        <f>INDEX(Sheet2!A:A,QUOTIENT(ROW()-1,19)+2)</f>
        <v>41808</v>
      </c>
      <c r="DJ4117" s="4">
        <f>INDEX(Sheet2!C:C,QUOTIENT(ROW()-1,19)+2)</f>
        <v>42735</v>
      </c>
      <c r="DK4117" s="4" t="e">
        <f>INDEX(Sheet2!$AA$2:$AS$228,QUOTIENT(ROW()-1,19)+1,MOD(ROW()-2,19)+1)</f>
        <v>#N/A</v>
      </c>
      <c r="DL4117" t="str">
        <f>IFERROR(INDEX(Sheet2!$AU$2:$BM$228,QUOTIENT(ROW()-1,19)+1,MOD(ROW()-2,19)+1),NA())</f>
        <v/>
      </c>
      <c r="DM4117" s="4" t="e">
        <f t="shared" si="213"/>
        <v>#N/A</v>
      </c>
      <c r="DN4117" t="str">
        <f t="shared" si="214"/>
        <v/>
      </c>
      <c r="DO4117" t="e">
        <f t="shared" si="215"/>
        <v>#N/A</v>
      </c>
    </row>
    <row r="4118" spans="7:119" x14ac:dyDescent="0.25">
      <c r="G4118"/>
      <c r="DI4118" s="4">
        <f>INDEX(Sheet2!A:A,QUOTIENT(ROW()-1,19)+2)</f>
        <v>41808</v>
      </c>
      <c r="DJ4118" s="4">
        <f>INDEX(Sheet2!C:C,QUOTIENT(ROW()-1,19)+2)</f>
        <v>42735</v>
      </c>
      <c r="DK4118" s="4" t="e">
        <f>INDEX(Sheet2!$AA$2:$AS$228,QUOTIENT(ROW()-1,19)+1,MOD(ROW()-2,19)+1)</f>
        <v>#N/A</v>
      </c>
      <c r="DL4118" t="str">
        <f>IFERROR(INDEX(Sheet2!$AU$2:$BM$228,QUOTIENT(ROW()-1,19)+1,MOD(ROW()-2,19)+1),NA())</f>
        <v/>
      </c>
      <c r="DM4118" s="4" t="e">
        <f t="shared" si="213"/>
        <v>#N/A</v>
      </c>
      <c r="DN4118" t="str">
        <f t="shared" si="214"/>
        <v/>
      </c>
      <c r="DO4118" t="e">
        <f t="shared" si="215"/>
        <v>#N/A</v>
      </c>
    </row>
    <row r="4119" spans="7:119" x14ac:dyDescent="0.25">
      <c r="G4119"/>
      <c r="DI4119" s="4">
        <f>INDEX(Sheet2!A:A,QUOTIENT(ROW()-1,19)+2)</f>
        <v>41808</v>
      </c>
      <c r="DJ4119" s="4">
        <f>INDEX(Sheet2!C:C,QUOTIENT(ROW()-1,19)+2)</f>
        <v>42735</v>
      </c>
      <c r="DK4119" s="4" t="e">
        <f>INDEX(Sheet2!$AA$2:$AS$228,QUOTIENT(ROW()-1,19)+1,MOD(ROW()-2,19)+1)</f>
        <v>#N/A</v>
      </c>
      <c r="DL4119" t="str">
        <f>IFERROR(INDEX(Sheet2!$AU$2:$BM$228,QUOTIENT(ROW()-1,19)+1,MOD(ROW()-2,19)+1),NA())</f>
        <v/>
      </c>
      <c r="DM4119" s="4" t="e">
        <f t="shared" si="213"/>
        <v>#N/A</v>
      </c>
      <c r="DN4119" t="str">
        <f t="shared" si="214"/>
        <v/>
      </c>
      <c r="DO4119" t="e">
        <f t="shared" si="215"/>
        <v>#N/A</v>
      </c>
    </row>
    <row r="4120" spans="7:119" x14ac:dyDescent="0.25">
      <c r="G4120"/>
      <c r="DI4120" s="4">
        <f>INDEX(Sheet2!A:A,QUOTIENT(ROW()-1,19)+2)</f>
        <v>41808</v>
      </c>
      <c r="DJ4120" s="4">
        <f>INDEX(Sheet2!C:C,QUOTIENT(ROW()-1,19)+2)</f>
        <v>42735</v>
      </c>
      <c r="DK4120" s="4" t="e">
        <f>INDEX(Sheet2!$AA$2:$AS$228,QUOTIENT(ROW()-1,19)+1,MOD(ROW()-2,19)+1)</f>
        <v>#N/A</v>
      </c>
      <c r="DL4120" t="str">
        <f>IFERROR(INDEX(Sheet2!$AU$2:$BM$228,QUOTIENT(ROW()-1,19)+1,MOD(ROW()-2,19)+1),NA())</f>
        <v/>
      </c>
      <c r="DM4120" s="4" t="e">
        <f t="shared" si="213"/>
        <v>#N/A</v>
      </c>
      <c r="DN4120" t="str">
        <f t="shared" si="214"/>
        <v/>
      </c>
      <c r="DO4120" t="e">
        <f t="shared" si="215"/>
        <v>#N/A</v>
      </c>
    </row>
    <row r="4121" spans="7:119" x14ac:dyDescent="0.25">
      <c r="G4121"/>
      <c r="DI4121" s="4">
        <f>INDEX(Sheet2!A:A,QUOTIENT(ROW()-1,19)+2)</f>
        <v>41808</v>
      </c>
      <c r="DJ4121" s="4">
        <f>INDEX(Sheet2!C:C,QUOTIENT(ROW()-1,19)+2)</f>
        <v>42735</v>
      </c>
      <c r="DK4121" s="4" t="e">
        <f>INDEX(Sheet2!$AA$2:$AS$228,QUOTIENT(ROW()-1,19)+1,MOD(ROW()-2,19)+1)</f>
        <v>#N/A</v>
      </c>
      <c r="DL4121" t="str">
        <f>IFERROR(INDEX(Sheet2!$AU$2:$BM$228,QUOTIENT(ROW()-1,19)+1,MOD(ROW()-2,19)+1),NA())</f>
        <v/>
      </c>
      <c r="DM4121" s="4" t="e">
        <f t="shared" si="213"/>
        <v>#N/A</v>
      </c>
      <c r="DN4121" t="str">
        <f t="shared" si="214"/>
        <v/>
      </c>
      <c r="DO4121" t="e">
        <f t="shared" si="215"/>
        <v>#N/A</v>
      </c>
    </row>
    <row r="4122" spans="7:119" x14ac:dyDescent="0.25">
      <c r="G4122"/>
      <c r="DI4122" s="4">
        <f>INDEX(Sheet2!A:A,QUOTIENT(ROW()-1,19)+2)</f>
        <v>41808</v>
      </c>
      <c r="DJ4122" s="4">
        <f>INDEX(Sheet2!C:C,QUOTIENT(ROW()-1,19)+2)</f>
        <v>42735</v>
      </c>
      <c r="DK4122" s="4" t="e">
        <f>INDEX(Sheet2!$AA$2:$AS$228,QUOTIENT(ROW()-1,19)+1,MOD(ROW()-2,19)+1)</f>
        <v>#N/A</v>
      </c>
      <c r="DL4122" t="str">
        <f>IFERROR(INDEX(Sheet2!$AU$2:$BM$228,QUOTIENT(ROW()-1,19)+1,MOD(ROW()-2,19)+1),NA())</f>
        <v/>
      </c>
      <c r="DM4122" s="4" t="e">
        <f t="shared" si="213"/>
        <v>#N/A</v>
      </c>
      <c r="DN4122" t="str">
        <f t="shared" si="214"/>
        <v/>
      </c>
      <c r="DO4122" t="e">
        <f t="shared" si="215"/>
        <v>#N/A</v>
      </c>
    </row>
    <row r="4123" spans="7:119" x14ac:dyDescent="0.25">
      <c r="G4123"/>
      <c r="DI4123" s="4">
        <f>INDEX(Sheet2!A:A,QUOTIENT(ROW()-1,19)+2)</f>
        <v>41808</v>
      </c>
      <c r="DJ4123" s="4">
        <f>INDEX(Sheet2!C:C,QUOTIENT(ROW()-1,19)+2)</f>
        <v>42735</v>
      </c>
      <c r="DK4123" s="4" t="e">
        <f>INDEX(Sheet2!$AA$2:$AS$228,QUOTIENT(ROW()-1,19)+1,MOD(ROW()-2,19)+1)</f>
        <v>#N/A</v>
      </c>
      <c r="DL4123" t="str">
        <f>IFERROR(INDEX(Sheet2!$AU$2:$BM$228,QUOTIENT(ROW()-1,19)+1,MOD(ROW()-2,19)+1),NA())</f>
        <v/>
      </c>
      <c r="DM4123" s="4" t="e">
        <f t="shared" si="213"/>
        <v>#N/A</v>
      </c>
      <c r="DN4123" t="str">
        <f t="shared" si="214"/>
        <v/>
      </c>
      <c r="DO4123" t="e">
        <f t="shared" si="215"/>
        <v>#N/A</v>
      </c>
    </row>
    <row r="4124" spans="7:119" x14ac:dyDescent="0.25">
      <c r="G4124"/>
      <c r="DI4124" s="4">
        <f>INDEX(Sheet2!A:A,QUOTIENT(ROW()-1,19)+2)</f>
        <v>41808</v>
      </c>
      <c r="DJ4124" s="4">
        <f>INDEX(Sheet2!C:C,QUOTIENT(ROW()-1,19)+2)</f>
        <v>42735</v>
      </c>
      <c r="DK4124" s="4" t="e">
        <f>INDEX(Sheet2!$AA$2:$AS$228,QUOTIENT(ROW()-1,19)+1,MOD(ROW()-2,19)+1)</f>
        <v>#N/A</v>
      </c>
      <c r="DL4124" t="str">
        <f>IFERROR(INDEX(Sheet2!$AU$2:$BM$228,QUOTIENT(ROW()-1,19)+1,MOD(ROW()-2,19)+1),NA())</f>
        <v/>
      </c>
      <c r="DM4124" s="4" t="e">
        <f t="shared" si="213"/>
        <v>#N/A</v>
      </c>
      <c r="DN4124" t="str">
        <f t="shared" si="214"/>
        <v/>
      </c>
      <c r="DO4124" t="e">
        <f t="shared" si="215"/>
        <v>#N/A</v>
      </c>
    </row>
    <row r="4125" spans="7:119" x14ac:dyDescent="0.25">
      <c r="G4125"/>
      <c r="DI4125" s="4">
        <f>INDEX(Sheet2!A:A,QUOTIENT(ROW()-1,19)+2)</f>
        <v>41808</v>
      </c>
      <c r="DJ4125" s="4">
        <f>INDEX(Sheet2!C:C,QUOTIENT(ROW()-1,19)+2)</f>
        <v>42735</v>
      </c>
      <c r="DK4125" s="4">
        <f>INDEX(Sheet2!$AA$2:$AS$228,QUOTIENT(ROW()-1,19)+1,MOD(ROW()-2,19)+1)</f>
        <v>42724.962500000001</v>
      </c>
      <c r="DL4125">
        <f>IFERROR(INDEX(Sheet2!$AU$2:$BM$228,QUOTIENT(ROW()-1,19)+1,MOD(ROW()-2,19)+1),NA())</f>
        <v>3</v>
      </c>
      <c r="DM4125" s="4">
        <f t="shared" si="213"/>
        <v>42724.962500000001</v>
      </c>
      <c r="DN4125">
        <f t="shared" si="214"/>
        <v>3</v>
      </c>
      <c r="DO4125">
        <f t="shared" si="215"/>
        <v>3</v>
      </c>
    </row>
    <row r="4126" spans="7:119" x14ac:dyDescent="0.25">
      <c r="G4126"/>
      <c r="DI4126" s="4">
        <f>INDEX(Sheet2!A:A,QUOTIENT(ROW()-1,19)+2)</f>
        <v>41808</v>
      </c>
      <c r="DJ4126" s="4">
        <f>INDEX(Sheet2!C:C,QUOTIENT(ROW()-1,19)+2)</f>
        <v>42735</v>
      </c>
      <c r="DK4126" s="4">
        <f>INDEX(Sheet2!$AA$2:$AS$228,QUOTIENT(ROW()-1,19)+1,MOD(ROW()-2,19)+1)</f>
        <v>42745.037500000006</v>
      </c>
      <c r="DL4126">
        <f>IFERROR(INDEX(Sheet2!$AU$2:$BM$228,QUOTIENT(ROW()-1,19)+1,MOD(ROW()-2,19)+1),NA())</f>
        <v>3</v>
      </c>
      <c r="DM4126" s="4">
        <f t="shared" si="213"/>
        <v>42745.037500000006</v>
      </c>
      <c r="DN4126">
        <f t="shared" si="214"/>
        <v>3</v>
      </c>
      <c r="DO4126">
        <f t="shared" si="215"/>
        <v>3</v>
      </c>
    </row>
    <row r="4127" spans="7:119" x14ac:dyDescent="0.25">
      <c r="G4127"/>
      <c r="DI4127" s="4">
        <f>INDEX(Sheet2!A:A,QUOTIENT(ROW()-1,19)+2)</f>
        <v>41808</v>
      </c>
      <c r="DJ4127" s="4">
        <f>INDEX(Sheet2!C:C,QUOTIENT(ROW()-1,19)+2)</f>
        <v>42735</v>
      </c>
      <c r="DK4127" s="4" t="e">
        <f>INDEX(Sheet2!$AA$2:$AS$228,QUOTIENT(ROW()-1,19)+1,MOD(ROW()-2,19)+1)</f>
        <v>#N/A</v>
      </c>
      <c r="DL4127" t="str">
        <f>IFERROR(INDEX(Sheet2!$AU$2:$BM$228,QUOTIENT(ROW()-1,19)+1,MOD(ROW()-2,19)+1),NA())</f>
        <v/>
      </c>
      <c r="DM4127" s="4" t="e">
        <f t="shared" si="213"/>
        <v>#N/A</v>
      </c>
      <c r="DN4127" t="str">
        <f t="shared" si="214"/>
        <v/>
      </c>
      <c r="DO4127" t="e">
        <f t="shared" si="215"/>
        <v>#N/A</v>
      </c>
    </row>
    <row r="4128" spans="7:119" x14ac:dyDescent="0.25">
      <c r="G4128"/>
      <c r="DI4128" s="4">
        <f>INDEX(Sheet2!A:A,QUOTIENT(ROW()-1,19)+2)</f>
        <v>41808</v>
      </c>
      <c r="DJ4128" s="4">
        <f>INDEX(Sheet2!C:C,QUOTIENT(ROW()-1,19)+2)</f>
        <v>42735</v>
      </c>
      <c r="DK4128" s="4" t="e">
        <f>INDEX(Sheet2!$AA$2:$AS$228,QUOTIENT(ROW()-1,19)+1,MOD(ROW()-2,19)+1)</f>
        <v>#N/A</v>
      </c>
      <c r="DL4128" t="str">
        <f>IFERROR(INDEX(Sheet2!$AU$2:$BM$228,QUOTIENT(ROW()-1,19)+1,MOD(ROW()-2,19)+1),NA())</f>
        <v/>
      </c>
      <c r="DM4128" s="4" t="e">
        <f t="shared" si="213"/>
        <v>#N/A</v>
      </c>
      <c r="DN4128" t="str">
        <f t="shared" si="214"/>
        <v/>
      </c>
      <c r="DO4128" t="e">
        <f t="shared" si="215"/>
        <v>#N/A</v>
      </c>
    </row>
    <row r="4129" spans="7:119" x14ac:dyDescent="0.25">
      <c r="G4129"/>
      <c r="DI4129" s="4">
        <f>INDEX(Sheet2!A:A,QUOTIENT(ROW()-1,19)+2)</f>
        <v>41808</v>
      </c>
      <c r="DJ4129" s="4">
        <f>INDEX(Sheet2!C:C,QUOTIENT(ROW()-1,19)+2)</f>
        <v>42735</v>
      </c>
      <c r="DK4129" s="4" t="e">
        <f>INDEX(Sheet2!$AA$2:$AS$228,QUOTIENT(ROW()-1,19)+1,MOD(ROW()-2,19)+1)</f>
        <v>#N/A</v>
      </c>
      <c r="DL4129" t="str">
        <f>IFERROR(INDEX(Sheet2!$AU$2:$BM$228,QUOTIENT(ROW()-1,19)+1,MOD(ROW()-2,19)+1),NA())</f>
        <v/>
      </c>
      <c r="DM4129" s="4" t="e">
        <f t="shared" si="213"/>
        <v>#N/A</v>
      </c>
      <c r="DN4129" t="str">
        <f t="shared" si="214"/>
        <v/>
      </c>
      <c r="DO4129" t="e">
        <f t="shared" si="215"/>
        <v>#N/A</v>
      </c>
    </row>
    <row r="4130" spans="7:119" x14ac:dyDescent="0.25">
      <c r="G4130"/>
      <c r="DI4130" s="4">
        <f>INDEX(Sheet2!A:A,QUOTIENT(ROW()-1,19)+2)</f>
        <v>41808</v>
      </c>
      <c r="DJ4130" s="4">
        <f>INDEX(Sheet2!C:C,QUOTIENT(ROW()-1,19)+2)</f>
        <v>42735</v>
      </c>
      <c r="DK4130" s="4" t="e">
        <f>INDEX(Sheet2!$AA$2:$AS$228,QUOTIENT(ROW()-1,19)+1,MOD(ROW()-2,19)+1)</f>
        <v>#N/A</v>
      </c>
      <c r="DL4130" t="str">
        <f>IFERROR(INDEX(Sheet2!$AU$2:$BM$228,QUOTIENT(ROW()-1,19)+1,MOD(ROW()-2,19)+1),NA())</f>
        <v/>
      </c>
      <c r="DM4130" s="4" t="e">
        <f t="shared" si="213"/>
        <v>#N/A</v>
      </c>
      <c r="DN4130" t="str">
        <f t="shared" si="214"/>
        <v/>
      </c>
      <c r="DO4130" t="e">
        <f t="shared" si="215"/>
        <v>#N/A</v>
      </c>
    </row>
    <row r="4131" spans="7:119" x14ac:dyDescent="0.25">
      <c r="G4131"/>
      <c r="DI4131" s="4">
        <f>INDEX(Sheet2!A:A,QUOTIENT(ROW()-1,19)+2)</f>
        <v>41808</v>
      </c>
      <c r="DJ4131" s="4">
        <f>INDEX(Sheet2!C:C,QUOTIENT(ROW()-1,19)+2)</f>
        <v>42735</v>
      </c>
      <c r="DK4131" s="4" t="e">
        <f>INDEX(Sheet2!$AA$2:$AS$228,QUOTIENT(ROW()-1,19)+1,MOD(ROW()-2,19)+1)</f>
        <v>#N/A</v>
      </c>
      <c r="DL4131" t="str">
        <f>IFERROR(INDEX(Sheet2!$AU$2:$BM$228,QUOTIENT(ROW()-1,19)+1,MOD(ROW()-2,19)+1),NA())</f>
        <v/>
      </c>
      <c r="DM4131" s="4" t="e">
        <f t="shared" si="213"/>
        <v>#N/A</v>
      </c>
      <c r="DN4131" t="str">
        <f t="shared" si="214"/>
        <v/>
      </c>
      <c r="DO4131" t="e">
        <f t="shared" si="215"/>
        <v>#N/A</v>
      </c>
    </row>
    <row r="4132" spans="7:119" x14ac:dyDescent="0.25">
      <c r="G4132"/>
      <c r="DI4132" s="4">
        <f>INDEX(Sheet2!A:A,QUOTIENT(ROW()-1,19)+2)</f>
        <v>41808</v>
      </c>
      <c r="DJ4132" s="4">
        <f>INDEX(Sheet2!C:C,QUOTIENT(ROW()-1,19)+2)</f>
        <v>42735</v>
      </c>
      <c r="DK4132" s="4" t="e">
        <f>INDEX(Sheet2!$AA$2:$AS$228,QUOTIENT(ROW()-1,19)+1,MOD(ROW()-2,19)+1)</f>
        <v>#N/A</v>
      </c>
      <c r="DL4132" t="str">
        <f>IFERROR(INDEX(Sheet2!$AU$2:$BM$228,QUOTIENT(ROW()-1,19)+1,MOD(ROW()-2,19)+1),NA())</f>
        <v/>
      </c>
      <c r="DM4132" s="4" t="e">
        <f t="shared" si="213"/>
        <v>#N/A</v>
      </c>
      <c r="DN4132" t="str">
        <f t="shared" si="214"/>
        <v/>
      </c>
      <c r="DO4132" t="e">
        <f t="shared" si="215"/>
        <v>#N/A</v>
      </c>
    </row>
    <row r="4133" spans="7:119" x14ac:dyDescent="0.25">
      <c r="G4133"/>
      <c r="DI4133" s="4">
        <f>INDEX(Sheet2!A:A,QUOTIENT(ROW()-1,19)+2)</f>
        <v>41808</v>
      </c>
      <c r="DJ4133" s="4">
        <f>INDEX(Sheet2!C:C,QUOTIENT(ROW()-1,19)+2)</f>
        <v>42735</v>
      </c>
      <c r="DK4133" s="4" t="e">
        <f>INDEX(Sheet2!$AA$2:$AS$228,QUOTIENT(ROW()-1,19)+1,MOD(ROW()-2,19)+1)</f>
        <v>#N/A</v>
      </c>
      <c r="DL4133" t="str">
        <f>IFERROR(INDEX(Sheet2!$AU$2:$BM$228,QUOTIENT(ROW()-1,19)+1,MOD(ROW()-2,19)+1),NA())</f>
        <v/>
      </c>
      <c r="DM4133" s="4" t="e">
        <f t="shared" si="213"/>
        <v>#N/A</v>
      </c>
      <c r="DN4133" t="str">
        <f t="shared" si="214"/>
        <v/>
      </c>
      <c r="DO4133" t="e">
        <f t="shared" si="215"/>
        <v>#N/A</v>
      </c>
    </row>
    <row r="4134" spans="7:119" x14ac:dyDescent="0.25">
      <c r="G4134"/>
      <c r="DI4134" s="4">
        <f>INDEX(Sheet2!A:A,QUOTIENT(ROW()-1,19)+2)</f>
        <v>41808</v>
      </c>
      <c r="DJ4134" s="4">
        <f>INDEX(Sheet2!C:C,QUOTIENT(ROW()-1,19)+2)</f>
        <v>42735</v>
      </c>
      <c r="DK4134" s="4" t="e">
        <f>INDEX(Sheet2!$AA$2:$AS$228,QUOTIENT(ROW()-1,19)+1,MOD(ROW()-2,19)+1)</f>
        <v>#N/A</v>
      </c>
      <c r="DL4134" t="str">
        <f>IFERROR(INDEX(Sheet2!$AU$2:$BM$228,QUOTIENT(ROW()-1,19)+1,MOD(ROW()-2,19)+1),NA())</f>
        <v/>
      </c>
      <c r="DM4134" s="4" t="e">
        <f t="shared" si="213"/>
        <v>#N/A</v>
      </c>
      <c r="DN4134" t="str">
        <f t="shared" si="214"/>
        <v/>
      </c>
      <c r="DO4134" t="e">
        <f t="shared" si="215"/>
        <v>#N/A</v>
      </c>
    </row>
    <row r="4135" spans="7:119" x14ac:dyDescent="0.25">
      <c r="G4135"/>
      <c r="DI4135" s="4">
        <f>INDEX(Sheet2!A:A,QUOTIENT(ROW()-1,19)+2)</f>
        <v>41808</v>
      </c>
      <c r="DJ4135" s="4">
        <f>INDEX(Sheet2!C:C,QUOTIENT(ROW()-1,19)+2)</f>
        <v>42735</v>
      </c>
      <c r="DK4135" s="4" t="e">
        <f>INDEX(Sheet2!$AA$2:$AS$228,QUOTIENT(ROW()-1,19)+1,MOD(ROW()-2,19)+1)</f>
        <v>#N/A</v>
      </c>
      <c r="DL4135" t="str">
        <f>IFERROR(INDEX(Sheet2!$AU$2:$BM$228,QUOTIENT(ROW()-1,19)+1,MOD(ROW()-2,19)+1),NA())</f>
        <v/>
      </c>
      <c r="DM4135" s="4" t="e">
        <f t="shared" si="213"/>
        <v>#N/A</v>
      </c>
      <c r="DN4135" t="str">
        <f t="shared" si="214"/>
        <v/>
      </c>
      <c r="DO4135" t="e">
        <f t="shared" si="215"/>
        <v>#N/A</v>
      </c>
    </row>
    <row r="4136" spans="7:119" x14ac:dyDescent="0.25">
      <c r="G4136"/>
      <c r="DI4136" s="4">
        <f>INDEX(Sheet2!A:A,QUOTIENT(ROW()-1,19)+2)</f>
        <v>41808</v>
      </c>
      <c r="DJ4136" s="4">
        <f>INDEX(Sheet2!C:C,QUOTIENT(ROW()-1,19)+2)</f>
        <v>42735</v>
      </c>
      <c r="DK4136" s="4" t="e">
        <f>INDEX(Sheet2!$AA$2:$AS$228,QUOTIENT(ROW()-1,19)+1,MOD(ROW()-2,19)+1)</f>
        <v>#N/A</v>
      </c>
      <c r="DL4136" t="str">
        <f>IFERROR(INDEX(Sheet2!$AU$2:$BM$228,QUOTIENT(ROW()-1,19)+1,MOD(ROW()-2,19)+1),NA())</f>
        <v/>
      </c>
      <c r="DM4136" s="4" t="e">
        <f t="shared" si="213"/>
        <v>#N/A</v>
      </c>
      <c r="DN4136" t="str">
        <f t="shared" si="214"/>
        <v/>
      </c>
      <c r="DO4136" t="e">
        <f t="shared" si="215"/>
        <v>#N/A</v>
      </c>
    </row>
    <row r="4137" spans="7:119" x14ac:dyDescent="0.25">
      <c r="G4137"/>
      <c r="DI4137" s="4">
        <f>INDEX(Sheet2!A:A,QUOTIENT(ROW()-1,19)+2)</f>
        <v>41808</v>
      </c>
      <c r="DJ4137" s="4">
        <f>INDEX(Sheet2!C:C,QUOTIENT(ROW()-1,19)+2)</f>
        <v>42735</v>
      </c>
      <c r="DK4137" s="4" t="e">
        <f>INDEX(Sheet2!$AA$2:$AS$228,QUOTIENT(ROW()-1,19)+1,MOD(ROW()-2,19)+1)</f>
        <v>#N/A</v>
      </c>
      <c r="DL4137" t="str">
        <f>IFERROR(INDEX(Sheet2!$AU$2:$BM$228,QUOTIENT(ROW()-1,19)+1,MOD(ROW()-2,19)+1),NA())</f>
        <v/>
      </c>
      <c r="DM4137" s="4" t="e">
        <f t="shared" si="213"/>
        <v>#N/A</v>
      </c>
      <c r="DN4137" t="str">
        <f t="shared" si="214"/>
        <v/>
      </c>
      <c r="DO4137" t="e">
        <f t="shared" si="215"/>
        <v>#N/A</v>
      </c>
    </row>
    <row r="4138" spans="7:119" x14ac:dyDescent="0.25">
      <c r="G4138"/>
      <c r="DI4138" s="4">
        <f>INDEX(Sheet2!A:A,QUOTIENT(ROW()-1,19)+2)</f>
        <v>41808</v>
      </c>
      <c r="DJ4138" s="4">
        <f>INDEX(Sheet2!C:C,QUOTIENT(ROW()-1,19)+2)</f>
        <v>42735</v>
      </c>
      <c r="DK4138" s="4" t="e">
        <f>INDEX(Sheet2!$AA$2:$AS$228,QUOTIENT(ROW()-1,19)+1,MOD(ROW()-2,19)+1)</f>
        <v>#N/A</v>
      </c>
      <c r="DL4138" t="str">
        <f>IFERROR(INDEX(Sheet2!$AU$2:$BM$228,QUOTIENT(ROW()-1,19)+1,MOD(ROW()-2,19)+1),NA())</f>
        <v/>
      </c>
      <c r="DM4138" s="4" t="e">
        <f t="shared" si="213"/>
        <v>#N/A</v>
      </c>
      <c r="DN4138" t="str">
        <f t="shared" si="214"/>
        <v/>
      </c>
      <c r="DO4138" t="e">
        <f t="shared" si="215"/>
        <v>#N/A</v>
      </c>
    </row>
    <row r="4139" spans="7:119" x14ac:dyDescent="0.25">
      <c r="G4139"/>
      <c r="DI4139" s="4">
        <f>INDEX(Sheet2!A:A,QUOTIENT(ROW()-1,19)+2)</f>
        <v>41808</v>
      </c>
      <c r="DJ4139" s="4">
        <f>INDEX(Sheet2!C:C,QUOTIENT(ROW()-1,19)+2)</f>
        <v>42735</v>
      </c>
      <c r="DK4139" s="4" t="e">
        <f>INDEX(Sheet2!$AA$2:$AS$228,QUOTIENT(ROW()-1,19)+1,MOD(ROW()-2,19)+1)</f>
        <v>#N/A</v>
      </c>
      <c r="DL4139" t="str">
        <f>IFERROR(INDEX(Sheet2!$AU$2:$BM$228,QUOTIENT(ROW()-1,19)+1,MOD(ROW()-2,19)+1),NA())</f>
        <v/>
      </c>
      <c r="DM4139" s="4" t="e">
        <f t="shared" si="213"/>
        <v>#N/A</v>
      </c>
      <c r="DN4139" t="str">
        <f t="shared" si="214"/>
        <v/>
      </c>
      <c r="DO4139" t="e">
        <f t="shared" si="215"/>
        <v>#N/A</v>
      </c>
    </row>
    <row r="4140" spans="7:119" x14ac:dyDescent="0.25">
      <c r="G4140"/>
      <c r="DI4140" s="4">
        <f>INDEX(Sheet2!A:A,QUOTIENT(ROW()-1,19)+2)</f>
        <v>41808</v>
      </c>
      <c r="DJ4140" s="4">
        <f>INDEX(Sheet2!C:C,QUOTIENT(ROW()-1,19)+2)</f>
        <v>42735</v>
      </c>
      <c r="DK4140" s="4" t="e">
        <f>INDEX(Sheet2!$AA$2:$AS$228,QUOTIENT(ROW()-1,19)+1,MOD(ROW()-2,19)+1)</f>
        <v>#N/A</v>
      </c>
      <c r="DL4140" t="str">
        <f>IFERROR(INDEX(Sheet2!$AU$2:$BM$228,QUOTIENT(ROW()-1,19)+1,MOD(ROW()-2,19)+1),NA())</f>
        <v/>
      </c>
      <c r="DM4140" s="4" t="e">
        <f t="shared" si="213"/>
        <v>#N/A</v>
      </c>
      <c r="DN4140" t="str">
        <f t="shared" si="214"/>
        <v/>
      </c>
      <c r="DO4140" t="e">
        <f t="shared" si="215"/>
        <v>#N/A</v>
      </c>
    </row>
    <row r="4141" spans="7:119" x14ac:dyDescent="0.25">
      <c r="G4141"/>
      <c r="DI4141" s="4">
        <f>INDEX(Sheet2!A:A,QUOTIENT(ROW()-1,19)+2)</f>
        <v>41808</v>
      </c>
      <c r="DJ4141" s="4">
        <f>INDEX(Sheet2!C:C,QUOTIENT(ROW()-1,19)+2)</f>
        <v>42735</v>
      </c>
      <c r="DK4141" s="4" t="e">
        <f>INDEX(Sheet2!$AA$2:$AS$228,QUOTIENT(ROW()-1,19)+1,MOD(ROW()-2,19)+1)</f>
        <v>#N/A</v>
      </c>
      <c r="DL4141" t="str">
        <f>IFERROR(INDEX(Sheet2!$AU$2:$BM$228,QUOTIENT(ROW()-1,19)+1,MOD(ROW()-2,19)+1),NA())</f>
        <v/>
      </c>
      <c r="DM4141" s="4" t="e">
        <f t="shared" si="213"/>
        <v>#N/A</v>
      </c>
      <c r="DN4141" t="str">
        <f t="shared" si="214"/>
        <v/>
      </c>
      <c r="DO4141" t="e">
        <f t="shared" si="215"/>
        <v>#N/A</v>
      </c>
    </row>
    <row r="4142" spans="7:119" x14ac:dyDescent="0.25">
      <c r="G4142"/>
      <c r="DI4142" s="4">
        <f>INDEX(Sheet2!A:A,QUOTIENT(ROW()-1,19)+2)</f>
        <v>41808</v>
      </c>
      <c r="DJ4142" s="4">
        <f>INDEX(Sheet2!C:C,QUOTIENT(ROW()-1,19)+2)</f>
        <v>42735</v>
      </c>
      <c r="DK4142" s="4" t="e">
        <f>INDEX(Sheet2!$AA$2:$AS$228,QUOTIENT(ROW()-1,19)+1,MOD(ROW()-2,19)+1)</f>
        <v>#N/A</v>
      </c>
      <c r="DL4142" t="str">
        <f>IFERROR(INDEX(Sheet2!$AU$2:$BM$228,QUOTIENT(ROW()-1,19)+1,MOD(ROW()-2,19)+1),NA())</f>
        <v/>
      </c>
      <c r="DM4142" s="4" t="e">
        <f t="shared" si="213"/>
        <v>#N/A</v>
      </c>
      <c r="DN4142" t="str">
        <f t="shared" si="214"/>
        <v/>
      </c>
      <c r="DO4142" t="e">
        <f t="shared" si="215"/>
        <v>#N/A</v>
      </c>
    </row>
    <row r="4143" spans="7:119" x14ac:dyDescent="0.25">
      <c r="G4143"/>
      <c r="DI4143" s="4">
        <f>INDEX(Sheet2!A:A,QUOTIENT(ROW()-1,19)+2)</f>
        <v>41808</v>
      </c>
      <c r="DJ4143" s="4">
        <f>INDEX(Sheet2!C:C,QUOTIENT(ROW()-1,19)+2)</f>
        <v>42735</v>
      </c>
      <c r="DK4143" s="4" t="e">
        <f>INDEX(Sheet2!$AA$2:$AS$228,QUOTIENT(ROW()-1,19)+1,MOD(ROW()-2,19)+1)</f>
        <v>#N/A</v>
      </c>
      <c r="DL4143" t="str">
        <f>IFERROR(INDEX(Sheet2!$AU$2:$BM$228,QUOTIENT(ROW()-1,19)+1,MOD(ROW()-2,19)+1),NA())</f>
        <v/>
      </c>
      <c r="DM4143" s="4" t="e">
        <f t="shared" si="213"/>
        <v>#N/A</v>
      </c>
      <c r="DN4143" t="str">
        <f t="shared" si="214"/>
        <v/>
      </c>
      <c r="DO4143" t="e">
        <f t="shared" si="215"/>
        <v>#N/A</v>
      </c>
    </row>
    <row r="4144" spans="7:119" x14ac:dyDescent="0.25">
      <c r="G4144"/>
      <c r="DI4144" s="4">
        <f>INDEX(Sheet2!A:A,QUOTIENT(ROW()-1,19)+2)</f>
        <v>41808</v>
      </c>
      <c r="DJ4144" s="4">
        <f>INDEX(Sheet2!C:C,QUOTIENT(ROW()-1,19)+2)</f>
        <v>42735</v>
      </c>
      <c r="DK4144" s="4">
        <f>INDEX(Sheet2!$AA$2:$AS$228,QUOTIENT(ROW()-1,19)+1,MOD(ROW()-2,19)+1)</f>
        <v>42735</v>
      </c>
      <c r="DL4144">
        <f>IFERROR(INDEX(Sheet2!$AU$2:$BM$228,QUOTIENT(ROW()-1,19)+1,MOD(ROW()-2,19)+1),NA())</f>
        <v>3.5</v>
      </c>
      <c r="DM4144" s="4">
        <f t="shared" si="213"/>
        <v>42735</v>
      </c>
      <c r="DN4144">
        <f t="shared" si="214"/>
        <v>3.5</v>
      </c>
      <c r="DO4144">
        <f t="shared" si="215"/>
        <v>3.5</v>
      </c>
    </row>
    <row r="4145" spans="7:119" x14ac:dyDescent="0.25">
      <c r="G4145"/>
      <c r="DI4145" s="4">
        <f>INDEX(Sheet2!A:A,QUOTIENT(ROW()-1,19)+2)</f>
        <v>41808</v>
      </c>
      <c r="DJ4145" s="4">
        <f>INDEX(Sheet2!C:C,QUOTIENT(ROW()-1,19)+2)</f>
        <v>42735</v>
      </c>
      <c r="DK4145" s="4" t="e">
        <f>INDEX(Sheet2!$AA$2:$AS$228,QUOTIENT(ROW()-1,19)+1,MOD(ROW()-2,19)+1)</f>
        <v>#N/A</v>
      </c>
      <c r="DL4145" t="str">
        <f>IFERROR(INDEX(Sheet2!$AU$2:$BM$228,QUOTIENT(ROW()-1,19)+1,MOD(ROW()-2,19)+1),NA())</f>
        <v/>
      </c>
      <c r="DM4145" s="4" t="e">
        <f t="shared" si="213"/>
        <v>#N/A</v>
      </c>
      <c r="DN4145" t="str">
        <f t="shared" si="214"/>
        <v/>
      </c>
      <c r="DO4145" t="e">
        <f t="shared" si="215"/>
        <v>#N/A</v>
      </c>
    </row>
    <row r="4146" spans="7:119" x14ac:dyDescent="0.25">
      <c r="G4146"/>
      <c r="DI4146" s="4">
        <f>INDEX(Sheet2!A:A,QUOTIENT(ROW()-1,19)+2)</f>
        <v>41808</v>
      </c>
      <c r="DJ4146" s="4">
        <f>INDEX(Sheet2!C:C,QUOTIENT(ROW()-1,19)+2)</f>
        <v>42735</v>
      </c>
      <c r="DK4146" s="4" t="e">
        <f>INDEX(Sheet2!$AA$2:$AS$228,QUOTIENT(ROW()-1,19)+1,MOD(ROW()-2,19)+1)</f>
        <v>#N/A</v>
      </c>
      <c r="DL4146" t="str">
        <f>IFERROR(INDEX(Sheet2!$AU$2:$BM$228,QUOTIENT(ROW()-1,19)+1,MOD(ROW()-2,19)+1),NA())</f>
        <v/>
      </c>
      <c r="DM4146" s="4" t="e">
        <f t="shared" si="213"/>
        <v>#N/A</v>
      </c>
      <c r="DN4146" t="str">
        <f t="shared" si="214"/>
        <v/>
      </c>
      <c r="DO4146" t="e">
        <f t="shared" si="215"/>
        <v>#N/A</v>
      </c>
    </row>
    <row r="4147" spans="7:119" x14ac:dyDescent="0.25">
      <c r="G4147"/>
      <c r="DI4147" s="4">
        <f>INDEX(Sheet2!A:A,QUOTIENT(ROW()-1,19)+2)</f>
        <v>41808</v>
      </c>
      <c r="DJ4147" s="4">
        <f>INDEX(Sheet2!C:C,QUOTIENT(ROW()-1,19)+2)</f>
        <v>42735</v>
      </c>
      <c r="DK4147" s="4" t="e">
        <f>INDEX(Sheet2!$AA$2:$AS$228,QUOTIENT(ROW()-1,19)+1,MOD(ROW()-2,19)+1)</f>
        <v>#N/A</v>
      </c>
      <c r="DL4147" t="str">
        <f>IFERROR(INDEX(Sheet2!$AU$2:$BM$228,QUOTIENT(ROW()-1,19)+1,MOD(ROW()-2,19)+1),NA())</f>
        <v/>
      </c>
      <c r="DM4147" s="4" t="e">
        <f t="shared" si="213"/>
        <v>#N/A</v>
      </c>
      <c r="DN4147" t="str">
        <f t="shared" si="214"/>
        <v/>
      </c>
      <c r="DO4147" t="e">
        <f t="shared" si="215"/>
        <v>#N/A</v>
      </c>
    </row>
    <row r="4148" spans="7:119" x14ac:dyDescent="0.25">
      <c r="G4148"/>
      <c r="DI4148" s="4">
        <f>INDEX(Sheet2!A:A,QUOTIENT(ROW()-1,19)+2)</f>
        <v>41808</v>
      </c>
      <c r="DJ4148" s="4">
        <f>INDEX(Sheet2!C:C,QUOTIENT(ROW()-1,19)+2)</f>
        <v>42735</v>
      </c>
      <c r="DK4148" s="4" t="e">
        <f>INDEX(Sheet2!$AA$2:$AS$228,QUOTIENT(ROW()-1,19)+1,MOD(ROW()-2,19)+1)</f>
        <v>#N/A</v>
      </c>
      <c r="DL4148" t="str">
        <f>IFERROR(INDEX(Sheet2!$AU$2:$BM$228,QUOTIENT(ROW()-1,19)+1,MOD(ROW()-2,19)+1),NA())</f>
        <v/>
      </c>
      <c r="DM4148" s="4" t="e">
        <f t="shared" si="213"/>
        <v>#N/A</v>
      </c>
      <c r="DN4148" t="str">
        <f t="shared" si="214"/>
        <v/>
      </c>
      <c r="DO4148" t="e">
        <f t="shared" si="215"/>
        <v>#N/A</v>
      </c>
    </row>
    <row r="4149" spans="7:119" x14ac:dyDescent="0.25">
      <c r="G4149"/>
      <c r="DI4149" s="4">
        <f>INDEX(Sheet2!A:A,QUOTIENT(ROW()-1,19)+2)</f>
        <v>41808</v>
      </c>
      <c r="DJ4149" s="4">
        <f>INDEX(Sheet2!C:C,QUOTIENT(ROW()-1,19)+2)</f>
        <v>42735</v>
      </c>
      <c r="DK4149" s="4" t="e">
        <f>INDEX(Sheet2!$AA$2:$AS$228,QUOTIENT(ROW()-1,19)+1,MOD(ROW()-2,19)+1)</f>
        <v>#N/A</v>
      </c>
      <c r="DL4149" t="str">
        <f>IFERROR(INDEX(Sheet2!$AU$2:$BM$228,QUOTIENT(ROW()-1,19)+1,MOD(ROW()-2,19)+1),NA())</f>
        <v/>
      </c>
      <c r="DM4149" s="4" t="e">
        <f t="shared" si="213"/>
        <v>#N/A</v>
      </c>
      <c r="DN4149" t="str">
        <f t="shared" si="214"/>
        <v/>
      </c>
      <c r="DO4149" t="e">
        <f t="shared" si="215"/>
        <v>#N/A</v>
      </c>
    </row>
    <row r="4150" spans="7:119" x14ac:dyDescent="0.25">
      <c r="G4150"/>
      <c r="DI4150" s="4">
        <f>INDEX(Sheet2!A:A,QUOTIENT(ROW()-1,19)+2)</f>
        <v>41808</v>
      </c>
      <c r="DJ4150" s="4">
        <f>INDEX(Sheet2!C:C,QUOTIENT(ROW()-1,19)+2)</f>
        <v>42735</v>
      </c>
      <c r="DK4150" s="4" t="e">
        <f>INDEX(Sheet2!$AA$2:$AS$228,QUOTIENT(ROW()-1,19)+1,MOD(ROW()-2,19)+1)</f>
        <v>#N/A</v>
      </c>
      <c r="DL4150" t="str">
        <f>IFERROR(INDEX(Sheet2!$AU$2:$BM$228,QUOTIENT(ROW()-1,19)+1,MOD(ROW()-2,19)+1),NA())</f>
        <v/>
      </c>
      <c r="DM4150" s="4" t="e">
        <f t="shared" si="213"/>
        <v>#N/A</v>
      </c>
      <c r="DN4150" t="str">
        <f t="shared" si="214"/>
        <v/>
      </c>
      <c r="DO4150" t="e">
        <f t="shared" si="215"/>
        <v>#N/A</v>
      </c>
    </row>
    <row r="4151" spans="7:119" x14ac:dyDescent="0.25">
      <c r="G4151"/>
      <c r="DI4151" s="4">
        <f>INDEX(Sheet2!A:A,QUOTIENT(ROW()-1,19)+2)</f>
        <v>41808</v>
      </c>
      <c r="DJ4151" s="4">
        <f>INDEX(Sheet2!C:C,QUOTIENT(ROW()-1,19)+2)</f>
        <v>42735</v>
      </c>
      <c r="DK4151" s="4" t="e">
        <f>INDEX(Sheet2!$AA$2:$AS$228,QUOTIENT(ROW()-1,19)+1,MOD(ROW()-2,19)+1)</f>
        <v>#N/A</v>
      </c>
      <c r="DL4151" t="str">
        <f>IFERROR(INDEX(Sheet2!$AU$2:$BM$228,QUOTIENT(ROW()-1,19)+1,MOD(ROW()-2,19)+1),NA())</f>
        <v/>
      </c>
      <c r="DM4151" s="4" t="e">
        <f t="shared" si="213"/>
        <v>#N/A</v>
      </c>
      <c r="DN4151" t="str">
        <f t="shared" si="214"/>
        <v/>
      </c>
      <c r="DO4151" t="e">
        <f t="shared" si="215"/>
        <v>#N/A</v>
      </c>
    </row>
    <row r="4152" spans="7:119" x14ac:dyDescent="0.25">
      <c r="G4152"/>
      <c r="DI4152" s="4">
        <f>INDEX(Sheet2!A:A,QUOTIENT(ROW()-1,19)+2)</f>
        <v>41808</v>
      </c>
      <c r="DJ4152" s="4">
        <f>INDEX(Sheet2!C:C,QUOTIENT(ROW()-1,19)+2)</f>
        <v>42735</v>
      </c>
      <c r="DK4152" s="4" t="e">
        <f>INDEX(Sheet2!$AA$2:$AS$228,QUOTIENT(ROW()-1,19)+1,MOD(ROW()-2,19)+1)</f>
        <v>#N/A</v>
      </c>
      <c r="DL4152" t="str">
        <f>IFERROR(INDEX(Sheet2!$AU$2:$BM$228,QUOTIENT(ROW()-1,19)+1,MOD(ROW()-2,19)+1),NA())</f>
        <v/>
      </c>
      <c r="DM4152" s="4" t="e">
        <f t="shared" si="213"/>
        <v>#N/A</v>
      </c>
      <c r="DN4152" t="str">
        <f t="shared" si="214"/>
        <v/>
      </c>
      <c r="DO4152" t="e">
        <f t="shared" si="215"/>
        <v>#N/A</v>
      </c>
    </row>
    <row r="4153" spans="7:119" x14ac:dyDescent="0.25">
      <c r="G4153"/>
      <c r="DI4153" s="4">
        <f>INDEX(Sheet2!A:A,QUOTIENT(ROW()-1,19)+2)</f>
        <v>41808</v>
      </c>
      <c r="DJ4153" s="4">
        <f>INDEX(Sheet2!C:C,QUOTIENT(ROW()-1,19)+2)</f>
        <v>42735</v>
      </c>
      <c r="DK4153" s="4" t="e">
        <f>INDEX(Sheet2!$AA$2:$AS$228,QUOTIENT(ROW()-1,19)+1,MOD(ROW()-2,19)+1)</f>
        <v>#N/A</v>
      </c>
      <c r="DL4153" t="str">
        <f>IFERROR(INDEX(Sheet2!$AU$2:$BM$228,QUOTIENT(ROW()-1,19)+1,MOD(ROW()-2,19)+1),NA())</f>
        <v/>
      </c>
      <c r="DM4153" s="4" t="e">
        <f t="shared" si="213"/>
        <v>#N/A</v>
      </c>
      <c r="DN4153" t="str">
        <f t="shared" si="214"/>
        <v/>
      </c>
      <c r="DO4153" t="e">
        <f t="shared" si="215"/>
        <v>#N/A</v>
      </c>
    </row>
    <row r="4154" spans="7:119" x14ac:dyDescent="0.25">
      <c r="G4154"/>
      <c r="DI4154" s="4">
        <f>INDEX(Sheet2!A:A,QUOTIENT(ROW()-1,19)+2)</f>
        <v>41808</v>
      </c>
      <c r="DJ4154" s="4">
        <f>INDEX(Sheet2!C:C,QUOTIENT(ROW()-1,19)+2)</f>
        <v>42735</v>
      </c>
      <c r="DK4154" s="4" t="e">
        <f>INDEX(Sheet2!$AA$2:$AS$228,QUOTIENT(ROW()-1,19)+1,MOD(ROW()-2,19)+1)</f>
        <v>#N/A</v>
      </c>
      <c r="DL4154" t="str">
        <f>IFERROR(INDEX(Sheet2!$AU$2:$BM$228,QUOTIENT(ROW()-1,19)+1,MOD(ROW()-2,19)+1),NA())</f>
        <v/>
      </c>
      <c r="DM4154" s="4" t="e">
        <f t="shared" si="213"/>
        <v>#N/A</v>
      </c>
      <c r="DN4154" t="str">
        <f t="shared" si="214"/>
        <v/>
      </c>
      <c r="DO4154" t="e">
        <f t="shared" si="215"/>
        <v>#N/A</v>
      </c>
    </row>
    <row r="4155" spans="7:119" x14ac:dyDescent="0.25">
      <c r="G4155"/>
      <c r="DI4155" s="4">
        <f>INDEX(Sheet2!A:A,QUOTIENT(ROW()-1,19)+2)</f>
        <v>41808</v>
      </c>
      <c r="DJ4155" s="4">
        <f>INDEX(Sheet2!C:C,QUOTIENT(ROW()-1,19)+2)</f>
        <v>42735</v>
      </c>
      <c r="DK4155" s="4" t="e">
        <f>INDEX(Sheet2!$AA$2:$AS$228,QUOTIENT(ROW()-1,19)+1,MOD(ROW()-2,19)+1)</f>
        <v>#N/A</v>
      </c>
      <c r="DL4155" t="str">
        <f>IFERROR(INDEX(Sheet2!$AU$2:$BM$228,QUOTIENT(ROW()-1,19)+1,MOD(ROW()-2,19)+1),NA())</f>
        <v/>
      </c>
      <c r="DM4155" s="4" t="e">
        <f t="shared" si="213"/>
        <v>#N/A</v>
      </c>
      <c r="DN4155" t="str">
        <f t="shared" si="214"/>
        <v/>
      </c>
      <c r="DO4155" t="e">
        <f t="shared" si="215"/>
        <v>#N/A</v>
      </c>
    </row>
    <row r="4156" spans="7:119" x14ac:dyDescent="0.25">
      <c r="G4156"/>
      <c r="DI4156" s="4">
        <f>INDEX(Sheet2!A:A,QUOTIENT(ROW()-1,19)+2)</f>
        <v>41808</v>
      </c>
      <c r="DJ4156" s="4">
        <f>INDEX(Sheet2!C:C,QUOTIENT(ROW()-1,19)+2)</f>
        <v>42735</v>
      </c>
      <c r="DK4156" s="4" t="e">
        <f>INDEX(Sheet2!$AA$2:$AS$228,QUOTIENT(ROW()-1,19)+1,MOD(ROW()-2,19)+1)</f>
        <v>#N/A</v>
      </c>
      <c r="DL4156" t="str">
        <f>IFERROR(INDEX(Sheet2!$AU$2:$BM$228,QUOTIENT(ROW()-1,19)+1,MOD(ROW()-2,19)+1),NA())</f>
        <v/>
      </c>
      <c r="DM4156" s="4" t="e">
        <f t="shared" si="213"/>
        <v>#N/A</v>
      </c>
      <c r="DN4156" t="str">
        <f t="shared" si="214"/>
        <v/>
      </c>
      <c r="DO4156" t="e">
        <f t="shared" si="215"/>
        <v>#N/A</v>
      </c>
    </row>
    <row r="4157" spans="7:119" x14ac:dyDescent="0.25">
      <c r="G4157"/>
      <c r="DI4157" s="4">
        <f>INDEX(Sheet2!A:A,QUOTIENT(ROW()-1,19)+2)</f>
        <v>41808</v>
      </c>
      <c r="DJ4157" s="4">
        <f>INDEX(Sheet2!C:C,QUOTIENT(ROW()-1,19)+2)</f>
        <v>42735</v>
      </c>
      <c r="DK4157" s="4" t="e">
        <f>INDEX(Sheet2!$AA$2:$AS$228,QUOTIENT(ROW()-1,19)+1,MOD(ROW()-2,19)+1)</f>
        <v>#N/A</v>
      </c>
      <c r="DL4157" t="str">
        <f>IFERROR(INDEX(Sheet2!$AU$2:$BM$228,QUOTIENT(ROW()-1,19)+1,MOD(ROW()-2,19)+1),NA())</f>
        <v/>
      </c>
      <c r="DM4157" s="4" t="e">
        <f t="shared" si="213"/>
        <v>#N/A</v>
      </c>
      <c r="DN4157" t="str">
        <f t="shared" si="214"/>
        <v/>
      </c>
      <c r="DO4157" t="e">
        <f t="shared" si="215"/>
        <v>#N/A</v>
      </c>
    </row>
    <row r="4158" spans="7:119" x14ac:dyDescent="0.25">
      <c r="G4158"/>
      <c r="DI4158" s="4">
        <f>INDEX(Sheet2!A:A,QUOTIENT(ROW()-1,19)+2)</f>
        <v>41808</v>
      </c>
      <c r="DJ4158" s="4">
        <f>INDEX(Sheet2!C:C,QUOTIENT(ROW()-1,19)+2)</f>
        <v>42735</v>
      </c>
      <c r="DK4158" s="4" t="e">
        <f>INDEX(Sheet2!$AA$2:$AS$228,QUOTIENT(ROW()-1,19)+1,MOD(ROW()-2,19)+1)</f>
        <v>#N/A</v>
      </c>
      <c r="DL4158" t="str">
        <f>IFERROR(INDEX(Sheet2!$AU$2:$BM$228,QUOTIENT(ROW()-1,19)+1,MOD(ROW()-2,19)+1),NA())</f>
        <v/>
      </c>
      <c r="DM4158" s="4" t="e">
        <f t="shared" si="213"/>
        <v>#N/A</v>
      </c>
      <c r="DN4158" t="str">
        <f t="shared" si="214"/>
        <v/>
      </c>
      <c r="DO4158" t="e">
        <f t="shared" si="215"/>
        <v>#N/A</v>
      </c>
    </row>
    <row r="4159" spans="7:119" x14ac:dyDescent="0.25">
      <c r="G4159"/>
      <c r="DI4159" s="4">
        <f>INDEX(Sheet2!A:A,QUOTIENT(ROW()-1,19)+2)</f>
        <v>41808</v>
      </c>
      <c r="DJ4159" s="4">
        <f>INDEX(Sheet2!C:C,QUOTIENT(ROW()-1,19)+2)</f>
        <v>42735</v>
      </c>
      <c r="DK4159" s="4" t="e">
        <f>INDEX(Sheet2!$AA$2:$AS$228,QUOTIENT(ROW()-1,19)+1,MOD(ROW()-2,19)+1)</f>
        <v>#N/A</v>
      </c>
      <c r="DL4159" t="str">
        <f>IFERROR(INDEX(Sheet2!$AU$2:$BM$228,QUOTIENT(ROW()-1,19)+1,MOD(ROW()-2,19)+1),NA())</f>
        <v/>
      </c>
      <c r="DM4159" s="4" t="e">
        <f t="shared" si="213"/>
        <v>#N/A</v>
      </c>
      <c r="DN4159" t="str">
        <f t="shared" si="214"/>
        <v/>
      </c>
      <c r="DO4159" t="e">
        <f t="shared" si="215"/>
        <v>#N/A</v>
      </c>
    </row>
    <row r="4160" spans="7:119" x14ac:dyDescent="0.25">
      <c r="G4160"/>
      <c r="DI4160" s="4">
        <f>INDEX(Sheet2!A:A,QUOTIENT(ROW()-1,19)+2)</f>
        <v>41808</v>
      </c>
      <c r="DJ4160" s="4">
        <f>INDEX(Sheet2!C:C,QUOTIENT(ROW()-1,19)+2)</f>
        <v>42735</v>
      </c>
      <c r="DK4160" s="4" t="e">
        <f>INDEX(Sheet2!$AA$2:$AS$228,QUOTIENT(ROW()-1,19)+1,MOD(ROW()-2,19)+1)</f>
        <v>#N/A</v>
      </c>
      <c r="DL4160" t="str">
        <f>IFERROR(INDEX(Sheet2!$AU$2:$BM$228,QUOTIENT(ROW()-1,19)+1,MOD(ROW()-2,19)+1),NA())</f>
        <v/>
      </c>
      <c r="DM4160" s="4" t="e">
        <f t="shared" si="213"/>
        <v>#N/A</v>
      </c>
      <c r="DN4160" t="str">
        <f t="shared" si="214"/>
        <v/>
      </c>
      <c r="DO4160" t="e">
        <f t="shared" si="215"/>
        <v>#N/A</v>
      </c>
    </row>
    <row r="4161" spans="7:119" x14ac:dyDescent="0.25">
      <c r="G4161"/>
      <c r="DI4161" s="4">
        <f>INDEX(Sheet2!A:A,QUOTIENT(ROW()-1,19)+2)</f>
        <v>41808</v>
      </c>
      <c r="DJ4161" s="4">
        <f>INDEX(Sheet2!C:C,QUOTIENT(ROW()-1,19)+2)</f>
        <v>42735</v>
      </c>
      <c r="DK4161" s="4" t="e">
        <f>INDEX(Sheet2!$AA$2:$AS$228,QUOTIENT(ROW()-1,19)+1,MOD(ROW()-2,19)+1)</f>
        <v>#N/A</v>
      </c>
      <c r="DL4161" t="str">
        <f>IFERROR(INDEX(Sheet2!$AU$2:$BM$228,QUOTIENT(ROW()-1,19)+1,MOD(ROW()-2,19)+1),NA())</f>
        <v/>
      </c>
      <c r="DM4161" s="4" t="e">
        <f t="shared" si="213"/>
        <v>#N/A</v>
      </c>
      <c r="DN4161" t="str">
        <f t="shared" si="214"/>
        <v/>
      </c>
      <c r="DO4161" t="e">
        <f t="shared" si="215"/>
        <v>#N/A</v>
      </c>
    </row>
    <row r="4162" spans="7:119" x14ac:dyDescent="0.25">
      <c r="G4162"/>
      <c r="DI4162" s="4">
        <f>INDEX(Sheet2!A:A,QUOTIENT(ROW()-1,19)+2)</f>
        <v>41808</v>
      </c>
      <c r="DJ4162" s="4">
        <f>INDEX(Sheet2!C:C,QUOTIENT(ROW()-1,19)+2)</f>
        <v>42735</v>
      </c>
      <c r="DK4162" s="4" t="e">
        <f>INDEX(Sheet2!$AA$2:$AS$228,QUOTIENT(ROW()-1,19)+1,MOD(ROW()-2,19)+1)</f>
        <v>#N/A</v>
      </c>
      <c r="DL4162" t="str">
        <f>IFERROR(INDEX(Sheet2!$AU$2:$BM$228,QUOTIENT(ROW()-1,19)+1,MOD(ROW()-2,19)+1),NA())</f>
        <v/>
      </c>
      <c r="DM4162" s="4" t="e">
        <f t="shared" ref="DM4162:DM4225" si="216">+IF($C$2=$DI4162,DK4162,NA())</f>
        <v>#N/A</v>
      </c>
      <c r="DN4162" t="str">
        <f t="shared" ref="DN4162:DN4225" si="217">+IF($C$2=$DI4162,DL4162,NA())</f>
        <v/>
      </c>
      <c r="DO4162" t="e">
        <f t="shared" si="215"/>
        <v>#N/A</v>
      </c>
    </row>
    <row r="4163" spans="7:119" x14ac:dyDescent="0.25">
      <c r="G4163"/>
      <c r="DI4163" s="4">
        <f>INDEX(Sheet2!A:A,QUOTIENT(ROW()-1,19)+2)</f>
        <v>41808</v>
      </c>
      <c r="DJ4163" s="4">
        <f>INDEX(Sheet2!C:C,QUOTIENT(ROW()-1,19)+2)</f>
        <v>42735</v>
      </c>
      <c r="DK4163" s="4">
        <f>INDEX(Sheet2!$AA$2:$AS$228,QUOTIENT(ROW()-1,19)+1,MOD(ROW()-2,19)+1)</f>
        <v>42735</v>
      </c>
      <c r="DL4163">
        <f>IFERROR(INDEX(Sheet2!$AU$2:$BM$228,QUOTIENT(ROW()-1,19)+1,MOD(ROW()-2,19)+1),NA())</f>
        <v>3.75</v>
      </c>
      <c r="DM4163" s="4">
        <f t="shared" si="216"/>
        <v>42735</v>
      </c>
      <c r="DN4163">
        <f t="shared" si="217"/>
        <v>3.75</v>
      </c>
      <c r="DO4163">
        <f t="shared" ref="DO4163:DO4226" si="218">IF(DN4163="",NA(),DN4163)</f>
        <v>3.75</v>
      </c>
    </row>
    <row r="4164" spans="7:119" x14ac:dyDescent="0.25">
      <c r="G4164"/>
      <c r="DI4164" s="4">
        <f>INDEX(Sheet2!A:A,QUOTIENT(ROW()-1,19)+2)</f>
        <v>41808</v>
      </c>
      <c r="DJ4164" s="4">
        <f>INDEX(Sheet2!C:C,QUOTIENT(ROW()-1,19)+2)</f>
        <v>42735</v>
      </c>
      <c r="DK4164" s="4" t="e">
        <f>INDEX(Sheet2!$AA$2:$AS$228,QUOTIENT(ROW()-1,19)+1,MOD(ROW()-2,19)+1)</f>
        <v>#N/A</v>
      </c>
      <c r="DL4164" t="str">
        <f>IFERROR(INDEX(Sheet2!$AU$2:$BM$228,QUOTIENT(ROW()-1,19)+1,MOD(ROW()-2,19)+1),NA())</f>
        <v/>
      </c>
      <c r="DM4164" s="4" t="e">
        <f t="shared" si="216"/>
        <v>#N/A</v>
      </c>
      <c r="DN4164" t="str">
        <f t="shared" si="217"/>
        <v/>
      </c>
      <c r="DO4164" t="e">
        <f t="shared" si="218"/>
        <v>#N/A</v>
      </c>
    </row>
    <row r="4165" spans="7:119" x14ac:dyDescent="0.25">
      <c r="G4165"/>
      <c r="DI4165" s="4">
        <f>INDEX(Sheet2!A:A,QUOTIENT(ROW()-1,19)+2)</f>
        <v>41808</v>
      </c>
      <c r="DJ4165" s="4">
        <f>INDEX(Sheet2!C:C,QUOTIENT(ROW()-1,19)+2)</f>
        <v>42735</v>
      </c>
      <c r="DK4165" s="4" t="e">
        <f>INDEX(Sheet2!$AA$2:$AS$228,QUOTIENT(ROW()-1,19)+1,MOD(ROW()-2,19)+1)</f>
        <v>#N/A</v>
      </c>
      <c r="DL4165" t="str">
        <f>IFERROR(INDEX(Sheet2!$AU$2:$BM$228,QUOTIENT(ROW()-1,19)+1,MOD(ROW()-2,19)+1),NA())</f>
        <v/>
      </c>
      <c r="DM4165" s="4" t="e">
        <f t="shared" si="216"/>
        <v>#N/A</v>
      </c>
      <c r="DN4165" t="str">
        <f t="shared" si="217"/>
        <v/>
      </c>
      <c r="DO4165" t="e">
        <f t="shared" si="218"/>
        <v>#N/A</v>
      </c>
    </row>
    <row r="4166" spans="7:119" x14ac:dyDescent="0.25">
      <c r="G4166"/>
      <c r="DI4166" s="4">
        <f>INDEX(Sheet2!A:A,QUOTIENT(ROW()-1,19)+2)</f>
        <v>41808</v>
      </c>
      <c r="DJ4166" s="4">
        <f>INDEX(Sheet2!C:C,QUOTIENT(ROW()-1,19)+2)</f>
        <v>42735</v>
      </c>
      <c r="DK4166" s="4" t="e">
        <f>INDEX(Sheet2!$AA$2:$AS$228,QUOTIENT(ROW()-1,19)+1,MOD(ROW()-2,19)+1)</f>
        <v>#N/A</v>
      </c>
      <c r="DL4166" t="str">
        <f>IFERROR(INDEX(Sheet2!$AU$2:$BM$228,QUOTIENT(ROW()-1,19)+1,MOD(ROW()-2,19)+1),NA())</f>
        <v/>
      </c>
      <c r="DM4166" s="4" t="e">
        <f t="shared" si="216"/>
        <v>#N/A</v>
      </c>
      <c r="DN4166" t="str">
        <f t="shared" si="217"/>
        <v/>
      </c>
      <c r="DO4166" t="e">
        <f t="shared" si="218"/>
        <v>#N/A</v>
      </c>
    </row>
    <row r="4167" spans="7:119" x14ac:dyDescent="0.25">
      <c r="G4167"/>
      <c r="DI4167" s="4">
        <f>INDEX(Sheet2!A:A,QUOTIENT(ROW()-1,19)+2)</f>
        <v>41808</v>
      </c>
      <c r="DJ4167" s="4">
        <f>INDEX(Sheet2!C:C,QUOTIENT(ROW()-1,19)+2)</f>
        <v>42735</v>
      </c>
      <c r="DK4167" s="4" t="e">
        <f>INDEX(Sheet2!$AA$2:$AS$228,QUOTIENT(ROW()-1,19)+1,MOD(ROW()-2,19)+1)</f>
        <v>#N/A</v>
      </c>
      <c r="DL4167" t="str">
        <f>IFERROR(INDEX(Sheet2!$AU$2:$BM$228,QUOTIENT(ROW()-1,19)+1,MOD(ROW()-2,19)+1),NA())</f>
        <v/>
      </c>
      <c r="DM4167" s="4" t="e">
        <f t="shared" si="216"/>
        <v>#N/A</v>
      </c>
      <c r="DN4167" t="str">
        <f t="shared" si="217"/>
        <v/>
      </c>
      <c r="DO4167" t="e">
        <f t="shared" si="218"/>
        <v>#N/A</v>
      </c>
    </row>
    <row r="4168" spans="7:119" x14ac:dyDescent="0.25">
      <c r="G4168"/>
      <c r="DI4168" s="4">
        <f>INDEX(Sheet2!A:A,QUOTIENT(ROW()-1,19)+2)</f>
        <v>41808</v>
      </c>
      <c r="DJ4168" s="4">
        <f>INDEX(Sheet2!C:C,QUOTIENT(ROW()-1,19)+2)</f>
        <v>42735</v>
      </c>
      <c r="DK4168" s="4" t="e">
        <f>INDEX(Sheet2!$AA$2:$AS$228,QUOTIENT(ROW()-1,19)+1,MOD(ROW()-2,19)+1)</f>
        <v>#N/A</v>
      </c>
      <c r="DL4168" t="str">
        <f>IFERROR(INDEX(Sheet2!$AU$2:$BM$228,QUOTIENT(ROW()-1,19)+1,MOD(ROW()-2,19)+1),NA())</f>
        <v/>
      </c>
      <c r="DM4168" s="4" t="e">
        <f t="shared" si="216"/>
        <v>#N/A</v>
      </c>
      <c r="DN4168" t="str">
        <f t="shared" si="217"/>
        <v/>
      </c>
      <c r="DO4168" t="e">
        <f t="shared" si="218"/>
        <v>#N/A</v>
      </c>
    </row>
    <row r="4169" spans="7:119" x14ac:dyDescent="0.25">
      <c r="G4169"/>
      <c r="DI4169" s="4">
        <f>INDEX(Sheet2!A:A,QUOTIENT(ROW()-1,19)+2)</f>
        <v>41808</v>
      </c>
      <c r="DJ4169" s="4">
        <f>INDEX(Sheet2!C:C,QUOTIENT(ROW()-1,19)+2)</f>
        <v>42735</v>
      </c>
      <c r="DK4169" s="4" t="e">
        <f>INDEX(Sheet2!$AA$2:$AS$228,QUOTIENT(ROW()-1,19)+1,MOD(ROW()-2,19)+1)</f>
        <v>#N/A</v>
      </c>
      <c r="DL4169" t="str">
        <f>IFERROR(INDEX(Sheet2!$AU$2:$BM$228,QUOTIENT(ROW()-1,19)+1,MOD(ROW()-2,19)+1),NA())</f>
        <v/>
      </c>
      <c r="DM4169" s="4" t="e">
        <f t="shared" si="216"/>
        <v>#N/A</v>
      </c>
      <c r="DN4169" t="str">
        <f t="shared" si="217"/>
        <v/>
      </c>
      <c r="DO4169" t="e">
        <f t="shared" si="218"/>
        <v>#N/A</v>
      </c>
    </row>
    <row r="4170" spans="7:119" x14ac:dyDescent="0.25">
      <c r="G4170"/>
      <c r="DI4170" s="4">
        <f>INDEX(Sheet2!A:A,QUOTIENT(ROW()-1,19)+2)</f>
        <v>41808</v>
      </c>
      <c r="DJ4170" s="4">
        <f>INDEX(Sheet2!C:C,QUOTIENT(ROW()-1,19)+2)</f>
        <v>42735</v>
      </c>
      <c r="DK4170" s="4" t="e">
        <f>INDEX(Sheet2!$AA$2:$AS$228,QUOTIENT(ROW()-1,19)+1,MOD(ROW()-2,19)+1)</f>
        <v>#N/A</v>
      </c>
      <c r="DL4170" t="str">
        <f>IFERROR(INDEX(Sheet2!$AU$2:$BM$228,QUOTIENT(ROW()-1,19)+1,MOD(ROW()-2,19)+1),NA())</f>
        <v/>
      </c>
      <c r="DM4170" s="4" t="e">
        <f t="shared" si="216"/>
        <v>#N/A</v>
      </c>
      <c r="DN4170" t="str">
        <f t="shared" si="217"/>
        <v/>
      </c>
      <c r="DO4170" t="e">
        <f t="shared" si="218"/>
        <v>#N/A</v>
      </c>
    </row>
    <row r="4171" spans="7:119" x14ac:dyDescent="0.25">
      <c r="G4171"/>
      <c r="DI4171" s="4">
        <f>INDEX(Sheet2!A:A,QUOTIENT(ROW()-1,19)+2)</f>
        <v>41808</v>
      </c>
      <c r="DJ4171" s="4">
        <f>INDEX(Sheet2!C:C,QUOTIENT(ROW()-1,19)+2)</f>
        <v>42735</v>
      </c>
      <c r="DK4171" s="4" t="e">
        <f>INDEX(Sheet2!$AA$2:$AS$228,QUOTIENT(ROW()-1,19)+1,MOD(ROW()-2,19)+1)</f>
        <v>#N/A</v>
      </c>
      <c r="DL4171" t="str">
        <f>IFERROR(INDEX(Sheet2!$AU$2:$BM$228,QUOTIENT(ROW()-1,19)+1,MOD(ROW()-2,19)+1),NA())</f>
        <v/>
      </c>
      <c r="DM4171" s="4" t="e">
        <f t="shared" si="216"/>
        <v>#N/A</v>
      </c>
      <c r="DN4171" t="str">
        <f t="shared" si="217"/>
        <v/>
      </c>
      <c r="DO4171" t="e">
        <f t="shared" si="218"/>
        <v>#N/A</v>
      </c>
    </row>
    <row r="4172" spans="7:119" x14ac:dyDescent="0.25">
      <c r="G4172"/>
      <c r="DI4172" s="4">
        <f>INDEX(Sheet2!A:A,QUOTIENT(ROW()-1,19)+2)</f>
        <v>41808</v>
      </c>
      <c r="DJ4172" s="4">
        <f>INDEX(Sheet2!C:C,QUOTIENT(ROW()-1,19)+2)</f>
        <v>42735</v>
      </c>
      <c r="DK4172" s="4" t="e">
        <f>INDEX(Sheet2!$AA$2:$AS$228,QUOTIENT(ROW()-1,19)+1,MOD(ROW()-2,19)+1)</f>
        <v>#N/A</v>
      </c>
      <c r="DL4172" t="str">
        <f>IFERROR(INDEX(Sheet2!$AU$2:$BM$228,QUOTIENT(ROW()-1,19)+1,MOD(ROW()-2,19)+1),NA())</f>
        <v/>
      </c>
      <c r="DM4172" s="4" t="e">
        <f t="shared" si="216"/>
        <v>#N/A</v>
      </c>
      <c r="DN4172" t="str">
        <f t="shared" si="217"/>
        <v/>
      </c>
      <c r="DO4172" t="e">
        <f t="shared" si="218"/>
        <v>#N/A</v>
      </c>
    </row>
    <row r="4173" spans="7:119" x14ac:dyDescent="0.25">
      <c r="G4173"/>
      <c r="DI4173" s="4">
        <f>INDEX(Sheet2!A:A,QUOTIENT(ROW()-1,19)+2)</f>
        <v>41808</v>
      </c>
      <c r="DJ4173" s="4">
        <f>INDEX(Sheet2!C:C,QUOTIENT(ROW()-1,19)+2)</f>
        <v>42735</v>
      </c>
      <c r="DK4173" s="4" t="e">
        <f>INDEX(Sheet2!$AA$2:$AS$228,QUOTIENT(ROW()-1,19)+1,MOD(ROW()-2,19)+1)</f>
        <v>#N/A</v>
      </c>
      <c r="DL4173" t="str">
        <f>IFERROR(INDEX(Sheet2!$AU$2:$BM$228,QUOTIENT(ROW()-1,19)+1,MOD(ROW()-2,19)+1),NA())</f>
        <v/>
      </c>
      <c r="DM4173" s="4" t="e">
        <f t="shared" si="216"/>
        <v>#N/A</v>
      </c>
      <c r="DN4173" t="str">
        <f t="shared" si="217"/>
        <v/>
      </c>
      <c r="DO4173" t="e">
        <f t="shared" si="218"/>
        <v>#N/A</v>
      </c>
    </row>
    <row r="4174" spans="7:119" x14ac:dyDescent="0.25">
      <c r="G4174"/>
      <c r="DI4174" s="4">
        <f>INDEX(Sheet2!A:A,QUOTIENT(ROW()-1,19)+2)</f>
        <v>41808</v>
      </c>
      <c r="DJ4174" s="4">
        <f>INDEX(Sheet2!C:C,QUOTIENT(ROW()-1,19)+2)</f>
        <v>42735</v>
      </c>
      <c r="DK4174" s="4" t="e">
        <f>INDEX(Sheet2!$AA$2:$AS$228,QUOTIENT(ROW()-1,19)+1,MOD(ROW()-2,19)+1)</f>
        <v>#N/A</v>
      </c>
      <c r="DL4174" t="str">
        <f>IFERROR(INDEX(Sheet2!$AU$2:$BM$228,QUOTIENT(ROW()-1,19)+1,MOD(ROW()-2,19)+1),NA())</f>
        <v/>
      </c>
      <c r="DM4174" s="4" t="e">
        <f t="shared" si="216"/>
        <v>#N/A</v>
      </c>
      <c r="DN4174" t="str">
        <f t="shared" si="217"/>
        <v/>
      </c>
      <c r="DO4174" t="e">
        <f t="shared" si="218"/>
        <v>#N/A</v>
      </c>
    </row>
    <row r="4175" spans="7:119" x14ac:dyDescent="0.25">
      <c r="G4175"/>
      <c r="DI4175" s="4">
        <f>INDEX(Sheet2!A:A,QUOTIENT(ROW()-1,19)+2)</f>
        <v>41808</v>
      </c>
      <c r="DJ4175" s="4">
        <f>INDEX(Sheet2!C:C,QUOTIENT(ROW()-1,19)+2)</f>
        <v>42735</v>
      </c>
      <c r="DK4175" s="4" t="e">
        <f>INDEX(Sheet2!$AA$2:$AS$228,QUOTIENT(ROW()-1,19)+1,MOD(ROW()-2,19)+1)</f>
        <v>#N/A</v>
      </c>
      <c r="DL4175" t="str">
        <f>IFERROR(INDEX(Sheet2!$AU$2:$BM$228,QUOTIENT(ROW()-1,19)+1,MOD(ROW()-2,19)+1),NA())</f>
        <v/>
      </c>
      <c r="DM4175" s="4" t="e">
        <f t="shared" si="216"/>
        <v>#N/A</v>
      </c>
      <c r="DN4175" t="str">
        <f t="shared" si="217"/>
        <v/>
      </c>
      <c r="DO4175" t="e">
        <f t="shared" si="218"/>
        <v>#N/A</v>
      </c>
    </row>
    <row r="4176" spans="7:119" x14ac:dyDescent="0.25">
      <c r="G4176"/>
      <c r="DI4176" s="4">
        <f>INDEX(Sheet2!A:A,QUOTIENT(ROW()-1,19)+2)</f>
        <v>41808</v>
      </c>
      <c r="DJ4176" s="4">
        <f>INDEX(Sheet2!C:C,QUOTIENT(ROW()-1,19)+2)</f>
        <v>42735</v>
      </c>
      <c r="DK4176" s="4" t="e">
        <f>INDEX(Sheet2!$AA$2:$AS$228,QUOTIENT(ROW()-1,19)+1,MOD(ROW()-2,19)+1)</f>
        <v>#N/A</v>
      </c>
      <c r="DL4176" t="str">
        <f>IFERROR(INDEX(Sheet2!$AU$2:$BM$228,QUOTIENT(ROW()-1,19)+1,MOD(ROW()-2,19)+1),NA())</f>
        <v/>
      </c>
      <c r="DM4176" s="4" t="e">
        <f t="shared" si="216"/>
        <v>#N/A</v>
      </c>
      <c r="DN4176" t="str">
        <f t="shared" si="217"/>
        <v/>
      </c>
      <c r="DO4176" t="e">
        <f t="shared" si="218"/>
        <v>#N/A</v>
      </c>
    </row>
    <row r="4177" spans="7:119" x14ac:dyDescent="0.25">
      <c r="G4177"/>
      <c r="DI4177" s="4">
        <f>INDEX(Sheet2!A:A,QUOTIENT(ROW()-1,19)+2)</f>
        <v>41808</v>
      </c>
      <c r="DJ4177" s="4">
        <f>INDEX(Sheet2!C:C,QUOTIENT(ROW()-1,19)+2)</f>
        <v>42735</v>
      </c>
      <c r="DK4177" s="4" t="e">
        <f>INDEX(Sheet2!$AA$2:$AS$228,QUOTIENT(ROW()-1,19)+1,MOD(ROW()-2,19)+1)</f>
        <v>#N/A</v>
      </c>
      <c r="DL4177" t="str">
        <f>IFERROR(INDEX(Sheet2!$AU$2:$BM$228,QUOTIENT(ROW()-1,19)+1,MOD(ROW()-2,19)+1),NA())</f>
        <v/>
      </c>
      <c r="DM4177" s="4" t="e">
        <f t="shared" si="216"/>
        <v>#N/A</v>
      </c>
      <c r="DN4177" t="str">
        <f t="shared" si="217"/>
        <v/>
      </c>
      <c r="DO4177" t="e">
        <f t="shared" si="218"/>
        <v>#N/A</v>
      </c>
    </row>
    <row r="4178" spans="7:119" x14ac:dyDescent="0.25">
      <c r="G4178"/>
      <c r="DI4178" s="4">
        <f>INDEX(Sheet2!A:A,QUOTIENT(ROW()-1,19)+2)</f>
        <v>41808</v>
      </c>
      <c r="DJ4178" s="4">
        <f>INDEX(Sheet2!C:C,QUOTIENT(ROW()-1,19)+2)</f>
        <v>42735</v>
      </c>
      <c r="DK4178" s="4" t="e">
        <f>INDEX(Sheet2!$AA$2:$AS$228,QUOTIENT(ROW()-1,19)+1,MOD(ROW()-2,19)+1)</f>
        <v>#N/A</v>
      </c>
      <c r="DL4178" t="str">
        <f>IFERROR(INDEX(Sheet2!$AU$2:$BM$228,QUOTIENT(ROW()-1,19)+1,MOD(ROW()-2,19)+1),NA())</f>
        <v/>
      </c>
      <c r="DM4178" s="4" t="e">
        <f t="shared" si="216"/>
        <v>#N/A</v>
      </c>
      <c r="DN4178" t="str">
        <f t="shared" si="217"/>
        <v/>
      </c>
      <c r="DO4178" t="e">
        <f t="shared" si="218"/>
        <v>#N/A</v>
      </c>
    </row>
    <row r="4179" spans="7:119" x14ac:dyDescent="0.25">
      <c r="G4179"/>
      <c r="DI4179" s="4">
        <f>INDEX(Sheet2!A:A,QUOTIENT(ROW()-1,19)+2)</f>
        <v>41808</v>
      </c>
      <c r="DJ4179" s="4">
        <f>INDEX(Sheet2!C:C,QUOTIENT(ROW()-1,19)+2)</f>
        <v>42735</v>
      </c>
      <c r="DK4179" s="4" t="e">
        <f>INDEX(Sheet2!$AA$2:$AS$228,QUOTIENT(ROW()-1,19)+1,MOD(ROW()-2,19)+1)</f>
        <v>#N/A</v>
      </c>
      <c r="DL4179" t="str">
        <f>IFERROR(INDEX(Sheet2!$AU$2:$BM$228,QUOTIENT(ROW()-1,19)+1,MOD(ROW()-2,19)+1),NA())</f>
        <v/>
      </c>
      <c r="DM4179" s="4" t="e">
        <f t="shared" si="216"/>
        <v>#N/A</v>
      </c>
      <c r="DN4179" t="str">
        <f t="shared" si="217"/>
        <v/>
      </c>
      <c r="DO4179" t="e">
        <f t="shared" si="218"/>
        <v>#N/A</v>
      </c>
    </row>
    <row r="4180" spans="7:119" x14ac:dyDescent="0.25">
      <c r="G4180"/>
      <c r="DI4180" s="4">
        <f>INDEX(Sheet2!A:A,QUOTIENT(ROW()-1,19)+2)</f>
        <v>41808</v>
      </c>
      <c r="DJ4180" s="4">
        <f>INDEX(Sheet2!C:C,QUOTIENT(ROW()-1,19)+2)</f>
        <v>42735</v>
      </c>
      <c r="DK4180" s="4" t="e">
        <f>INDEX(Sheet2!$AA$2:$AS$228,QUOTIENT(ROW()-1,19)+1,MOD(ROW()-2,19)+1)</f>
        <v>#N/A</v>
      </c>
      <c r="DL4180" t="str">
        <f>IFERROR(INDEX(Sheet2!$AU$2:$BM$228,QUOTIENT(ROW()-1,19)+1,MOD(ROW()-2,19)+1),NA())</f>
        <v/>
      </c>
      <c r="DM4180" s="4" t="e">
        <f t="shared" si="216"/>
        <v>#N/A</v>
      </c>
      <c r="DN4180" t="str">
        <f t="shared" si="217"/>
        <v/>
      </c>
      <c r="DO4180" t="e">
        <f t="shared" si="218"/>
        <v>#N/A</v>
      </c>
    </row>
    <row r="4181" spans="7:119" x14ac:dyDescent="0.25">
      <c r="G4181"/>
      <c r="DI4181" s="4">
        <f>INDEX(Sheet2!A:A,QUOTIENT(ROW()-1,19)+2)</f>
        <v>41808</v>
      </c>
      <c r="DJ4181" s="4">
        <f>INDEX(Sheet2!C:C,QUOTIENT(ROW()-1,19)+2)</f>
        <v>42735</v>
      </c>
      <c r="DK4181" s="4" t="e">
        <f>INDEX(Sheet2!$AA$2:$AS$228,QUOTIENT(ROW()-1,19)+1,MOD(ROW()-2,19)+1)</f>
        <v>#N/A</v>
      </c>
      <c r="DL4181" t="str">
        <f>IFERROR(INDEX(Sheet2!$AU$2:$BM$228,QUOTIENT(ROW()-1,19)+1,MOD(ROW()-2,19)+1),NA())</f>
        <v/>
      </c>
      <c r="DM4181" s="4" t="e">
        <f t="shared" si="216"/>
        <v>#N/A</v>
      </c>
      <c r="DN4181" t="str">
        <f t="shared" si="217"/>
        <v/>
      </c>
      <c r="DO4181" t="e">
        <f t="shared" si="218"/>
        <v>#N/A</v>
      </c>
    </row>
    <row r="4182" spans="7:119" x14ac:dyDescent="0.25">
      <c r="G4182"/>
      <c r="DI4182" s="4">
        <f>INDEX(Sheet2!A:A,QUOTIENT(ROW()-1,19)+2)</f>
        <v>41808</v>
      </c>
      <c r="DJ4182" s="4">
        <f>INDEX(Sheet2!C:C,QUOTIENT(ROW()-1,19)+2)</f>
        <v>42735</v>
      </c>
      <c r="DK4182" s="4">
        <f>INDEX(Sheet2!$AA$2:$AS$228,QUOTIENT(ROW()-1,19)+1,MOD(ROW()-2,19)+1)</f>
        <v>42735</v>
      </c>
      <c r="DL4182">
        <f>IFERROR(INDEX(Sheet2!$AU$2:$BM$228,QUOTIENT(ROW()-1,19)+1,MOD(ROW()-2,19)+1),NA())</f>
        <v>4</v>
      </c>
      <c r="DM4182" s="4">
        <f t="shared" si="216"/>
        <v>42735</v>
      </c>
      <c r="DN4182">
        <f t="shared" si="217"/>
        <v>4</v>
      </c>
      <c r="DO4182">
        <f t="shared" si="218"/>
        <v>4</v>
      </c>
    </row>
    <row r="4183" spans="7:119" x14ac:dyDescent="0.25">
      <c r="G4183"/>
      <c r="DI4183" s="4">
        <f>INDEX(Sheet2!A:A,QUOTIENT(ROW()-1,19)+2)</f>
        <v>41808</v>
      </c>
      <c r="DJ4183" s="4">
        <f>INDEX(Sheet2!C:C,QUOTIENT(ROW()-1,19)+2)</f>
        <v>42735</v>
      </c>
      <c r="DK4183" s="4" t="e">
        <f>INDEX(Sheet2!$AA$2:$AS$228,QUOTIENT(ROW()-1,19)+1,MOD(ROW()-2,19)+1)</f>
        <v>#N/A</v>
      </c>
      <c r="DL4183" t="str">
        <f>IFERROR(INDEX(Sheet2!$AU$2:$BM$228,QUOTIENT(ROW()-1,19)+1,MOD(ROW()-2,19)+1),NA())</f>
        <v/>
      </c>
      <c r="DM4183" s="4" t="e">
        <f t="shared" si="216"/>
        <v>#N/A</v>
      </c>
      <c r="DN4183" t="str">
        <f t="shared" si="217"/>
        <v/>
      </c>
      <c r="DO4183" t="e">
        <f t="shared" si="218"/>
        <v>#N/A</v>
      </c>
    </row>
    <row r="4184" spans="7:119" x14ac:dyDescent="0.25">
      <c r="G4184"/>
      <c r="DI4184" s="4">
        <f>INDEX(Sheet2!A:A,QUOTIENT(ROW()-1,19)+2)</f>
        <v>41808</v>
      </c>
      <c r="DJ4184" s="4">
        <f>INDEX(Sheet2!C:C,QUOTIENT(ROW()-1,19)+2)</f>
        <v>42735</v>
      </c>
      <c r="DK4184" s="4" t="e">
        <f>INDEX(Sheet2!$AA$2:$AS$228,QUOTIENT(ROW()-1,19)+1,MOD(ROW()-2,19)+1)</f>
        <v>#N/A</v>
      </c>
      <c r="DL4184" t="str">
        <f>IFERROR(INDEX(Sheet2!$AU$2:$BM$228,QUOTIENT(ROW()-1,19)+1,MOD(ROW()-2,19)+1),NA())</f>
        <v/>
      </c>
      <c r="DM4184" s="4" t="e">
        <f t="shared" si="216"/>
        <v>#N/A</v>
      </c>
      <c r="DN4184" t="str">
        <f t="shared" si="217"/>
        <v/>
      </c>
      <c r="DO4184" t="e">
        <f t="shared" si="218"/>
        <v>#N/A</v>
      </c>
    </row>
    <row r="4185" spans="7:119" x14ac:dyDescent="0.25">
      <c r="G4185"/>
      <c r="DI4185" s="4">
        <f>INDEX(Sheet2!A:A,QUOTIENT(ROW()-1,19)+2)</f>
        <v>41808</v>
      </c>
      <c r="DJ4185" s="4">
        <f>INDEX(Sheet2!C:C,QUOTIENT(ROW()-1,19)+2)</f>
        <v>42735</v>
      </c>
      <c r="DK4185" s="4" t="e">
        <f>INDEX(Sheet2!$AA$2:$AS$228,QUOTIENT(ROW()-1,19)+1,MOD(ROW()-2,19)+1)</f>
        <v>#N/A</v>
      </c>
      <c r="DL4185" t="str">
        <f>IFERROR(INDEX(Sheet2!$AU$2:$BM$228,QUOTIENT(ROW()-1,19)+1,MOD(ROW()-2,19)+1),NA())</f>
        <v/>
      </c>
      <c r="DM4185" s="4" t="e">
        <f t="shared" si="216"/>
        <v>#N/A</v>
      </c>
      <c r="DN4185" t="str">
        <f t="shared" si="217"/>
        <v/>
      </c>
      <c r="DO4185" t="e">
        <f t="shared" si="218"/>
        <v>#N/A</v>
      </c>
    </row>
    <row r="4186" spans="7:119" x14ac:dyDescent="0.25">
      <c r="G4186"/>
      <c r="DI4186" s="4">
        <f>INDEX(Sheet2!A:A,QUOTIENT(ROW()-1,19)+2)</f>
        <v>41808</v>
      </c>
      <c r="DJ4186" s="4">
        <f>INDEX(Sheet2!C:C,QUOTIENT(ROW()-1,19)+2)</f>
        <v>42735</v>
      </c>
      <c r="DK4186" s="4" t="e">
        <f>INDEX(Sheet2!$AA$2:$AS$228,QUOTIENT(ROW()-1,19)+1,MOD(ROW()-2,19)+1)</f>
        <v>#N/A</v>
      </c>
      <c r="DL4186" t="str">
        <f>IFERROR(INDEX(Sheet2!$AU$2:$BM$228,QUOTIENT(ROW()-1,19)+1,MOD(ROW()-2,19)+1),NA())</f>
        <v/>
      </c>
      <c r="DM4186" s="4" t="e">
        <f t="shared" si="216"/>
        <v>#N/A</v>
      </c>
      <c r="DN4186" t="str">
        <f t="shared" si="217"/>
        <v/>
      </c>
      <c r="DO4186" t="e">
        <f t="shared" si="218"/>
        <v>#N/A</v>
      </c>
    </row>
    <row r="4187" spans="7:119" x14ac:dyDescent="0.25">
      <c r="G4187"/>
      <c r="DI4187" s="4">
        <f>INDEX(Sheet2!A:A,QUOTIENT(ROW()-1,19)+2)</f>
        <v>41808</v>
      </c>
      <c r="DJ4187" s="4">
        <f>INDEX(Sheet2!C:C,QUOTIENT(ROW()-1,19)+2)</f>
        <v>42735</v>
      </c>
      <c r="DK4187" s="4" t="e">
        <f>INDEX(Sheet2!$AA$2:$AS$228,QUOTIENT(ROW()-1,19)+1,MOD(ROW()-2,19)+1)</f>
        <v>#N/A</v>
      </c>
      <c r="DL4187" t="str">
        <f>IFERROR(INDEX(Sheet2!$AU$2:$BM$228,QUOTIENT(ROW()-1,19)+1,MOD(ROW()-2,19)+1),NA())</f>
        <v/>
      </c>
      <c r="DM4187" s="4" t="e">
        <f t="shared" si="216"/>
        <v>#N/A</v>
      </c>
      <c r="DN4187" t="str">
        <f t="shared" si="217"/>
        <v/>
      </c>
      <c r="DO4187" t="e">
        <f t="shared" si="218"/>
        <v>#N/A</v>
      </c>
    </row>
    <row r="4188" spans="7:119" x14ac:dyDescent="0.25">
      <c r="G4188"/>
      <c r="DI4188" s="4">
        <f>INDEX(Sheet2!A:A,QUOTIENT(ROW()-1,19)+2)</f>
        <v>41808</v>
      </c>
      <c r="DJ4188" s="4">
        <f>INDEX(Sheet2!C:C,QUOTIENT(ROW()-1,19)+2)</f>
        <v>42735</v>
      </c>
      <c r="DK4188" s="4" t="e">
        <f>INDEX(Sheet2!$AA$2:$AS$228,QUOTIENT(ROW()-1,19)+1,MOD(ROW()-2,19)+1)</f>
        <v>#N/A</v>
      </c>
      <c r="DL4188" t="str">
        <f>IFERROR(INDEX(Sheet2!$AU$2:$BM$228,QUOTIENT(ROW()-1,19)+1,MOD(ROW()-2,19)+1),NA())</f>
        <v/>
      </c>
      <c r="DM4188" s="4" t="e">
        <f t="shared" si="216"/>
        <v>#N/A</v>
      </c>
      <c r="DN4188" t="str">
        <f t="shared" si="217"/>
        <v/>
      </c>
      <c r="DO4188" t="e">
        <f t="shared" si="218"/>
        <v>#N/A</v>
      </c>
    </row>
    <row r="4189" spans="7:119" x14ac:dyDescent="0.25">
      <c r="G4189"/>
      <c r="DI4189" s="4">
        <f>INDEX(Sheet2!A:A,QUOTIENT(ROW()-1,19)+2)</f>
        <v>41808</v>
      </c>
      <c r="DJ4189" s="4">
        <f>INDEX(Sheet2!C:C,QUOTIENT(ROW()-1,19)+2)</f>
        <v>42735</v>
      </c>
      <c r="DK4189" s="4" t="e">
        <f>INDEX(Sheet2!$AA$2:$AS$228,QUOTIENT(ROW()-1,19)+1,MOD(ROW()-2,19)+1)</f>
        <v>#N/A</v>
      </c>
      <c r="DL4189" t="str">
        <f>IFERROR(INDEX(Sheet2!$AU$2:$BM$228,QUOTIENT(ROW()-1,19)+1,MOD(ROW()-2,19)+1),NA())</f>
        <v/>
      </c>
      <c r="DM4189" s="4" t="e">
        <f t="shared" si="216"/>
        <v>#N/A</v>
      </c>
      <c r="DN4189" t="str">
        <f t="shared" si="217"/>
        <v/>
      </c>
      <c r="DO4189" t="e">
        <f t="shared" si="218"/>
        <v>#N/A</v>
      </c>
    </row>
    <row r="4190" spans="7:119" x14ac:dyDescent="0.25">
      <c r="G4190"/>
      <c r="DI4190" s="4">
        <f>INDEX(Sheet2!A:A,QUOTIENT(ROW()-1,19)+2)</f>
        <v>41808</v>
      </c>
      <c r="DJ4190" s="4">
        <f>INDEX(Sheet2!C:C,QUOTIENT(ROW()-1,19)+2)</f>
        <v>42735</v>
      </c>
      <c r="DK4190" s="4" t="e">
        <f>INDEX(Sheet2!$AA$2:$AS$228,QUOTIENT(ROW()-1,19)+1,MOD(ROW()-2,19)+1)</f>
        <v>#N/A</v>
      </c>
      <c r="DL4190" t="str">
        <f>IFERROR(INDEX(Sheet2!$AU$2:$BM$228,QUOTIENT(ROW()-1,19)+1,MOD(ROW()-2,19)+1),NA())</f>
        <v/>
      </c>
      <c r="DM4190" s="4" t="e">
        <f t="shared" si="216"/>
        <v>#N/A</v>
      </c>
      <c r="DN4190" t="str">
        <f t="shared" si="217"/>
        <v/>
      </c>
      <c r="DO4190" t="e">
        <f t="shared" si="218"/>
        <v>#N/A</v>
      </c>
    </row>
    <row r="4191" spans="7:119" x14ac:dyDescent="0.25">
      <c r="G4191"/>
      <c r="DI4191" s="4">
        <f>INDEX(Sheet2!A:A,QUOTIENT(ROW()-1,19)+2)</f>
        <v>41808</v>
      </c>
      <c r="DJ4191" s="4">
        <f>INDEX(Sheet2!C:C,QUOTIENT(ROW()-1,19)+2)</f>
        <v>42735</v>
      </c>
      <c r="DK4191" s="4" t="e">
        <f>INDEX(Sheet2!$AA$2:$AS$228,QUOTIENT(ROW()-1,19)+1,MOD(ROW()-2,19)+1)</f>
        <v>#N/A</v>
      </c>
      <c r="DL4191" t="str">
        <f>IFERROR(INDEX(Sheet2!$AU$2:$BM$228,QUOTIENT(ROW()-1,19)+1,MOD(ROW()-2,19)+1),NA())</f>
        <v/>
      </c>
      <c r="DM4191" s="4" t="e">
        <f t="shared" si="216"/>
        <v>#N/A</v>
      </c>
      <c r="DN4191" t="str">
        <f t="shared" si="217"/>
        <v/>
      </c>
      <c r="DO4191" t="e">
        <f t="shared" si="218"/>
        <v>#N/A</v>
      </c>
    </row>
    <row r="4192" spans="7:119" x14ac:dyDescent="0.25">
      <c r="G4192"/>
      <c r="DI4192" s="4">
        <f>INDEX(Sheet2!A:A,QUOTIENT(ROW()-1,19)+2)</f>
        <v>41808</v>
      </c>
      <c r="DJ4192" s="4">
        <f>INDEX(Sheet2!C:C,QUOTIENT(ROW()-1,19)+2)</f>
        <v>42735</v>
      </c>
      <c r="DK4192" s="4" t="e">
        <f>INDEX(Sheet2!$AA$2:$AS$228,QUOTIENT(ROW()-1,19)+1,MOD(ROW()-2,19)+1)</f>
        <v>#N/A</v>
      </c>
      <c r="DL4192" t="str">
        <f>IFERROR(INDEX(Sheet2!$AU$2:$BM$228,QUOTIENT(ROW()-1,19)+1,MOD(ROW()-2,19)+1),NA())</f>
        <v/>
      </c>
      <c r="DM4192" s="4" t="e">
        <f t="shared" si="216"/>
        <v>#N/A</v>
      </c>
      <c r="DN4192" t="str">
        <f t="shared" si="217"/>
        <v/>
      </c>
      <c r="DO4192" t="e">
        <f t="shared" si="218"/>
        <v>#N/A</v>
      </c>
    </row>
    <row r="4193" spans="7:119" x14ac:dyDescent="0.25">
      <c r="G4193"/>
      <c r="DI4193" s="4">
        <f>INDEX(Sheet2!A:A,QUOTIENT(ROW()-1,19)+2)</f>
        <v>41808</v>
      </c>
      <c r="DJ4193" s="4">
        <f>INDEX(Sheet2!C:C,QUOTIENT(ROW()-1,19)+2)</f>
        <v>42735</v>
      </c>
      <c r="DK4193" s="4" t="e">
        <f>INDEX(Sheet2!$AA$2:$AS$228,QUOTIENT(ROW()-1,19)+1,MOD(ROW()-2,19)+1)</f>
        <v>#N/A</v>
      </c>
      <c r="DL4193" t="str">
        <f>IFERROR(INDEX(Sheet2!$AU$2:$BM$228,QUOTIENT(ROW()-1,19)+1,MOD(ROW()-2,19)+1),NA())</f>
        <v/>
      </c>
      <c r="DM4193" s="4" t="e">
        <f t="shared" si="216"/>
        <v>#N/A</v>
      </c>
      <c r="DN4193" t="str">
        <f t="shared" si="217"/>
        <v/>
      </c>
      <c r="DO4193" t="e">
        <f t="shared" si="218"/>
        <v>#N/A</v>
      </c>
    </row>
    <row r="4194" spans="7:119" x14ac:dyDescent="0.25">
      <c r="G4194"/>
      <c r="DI4194" s="4">
        <f>INDEX(Sheet2!A:A,QUOTIENT(ROW()-1,19)+2)</f>
        <v>41808</v>
      </c>
      <c r="DJ4194" s="4">
        <f>INDEX(Sheet2!C:C,QUOTIENT(ROW()-1,19)+2)</f>
        <v>42735</v>
      </c>
      <c r="DK4194" s="4" t="e">
        <f>INDEX(Sheet2!$AA$2:$AS$228,QUOTIENT(ROW()-1,19)+1,MOD(ROW()-2,19)+1)</f>
        <v>#N/A</v>
      </c>
      <c r="DL4194" t="str">
        <f>IFERROR(INDEX(Sheet2!$AU$2:$BM$228,QUOTIENT(ROW()-1,19)+1,MOD(ROW()-2,19)+1),NA())</f>
        <v/>
      </c>
      <c r="DM4194" s="4" t="e">
        <f t="shared" si="216"/>
        <v>#N/A</v>
      </c>
      <c r="DN4194" t="str">
        <f t="shared" si="217"/>
        <v/>
      </c>
      <c r="DO4194" t="e">
        <f t="shared" si="218"/>
        <v>#N/A</v>
      </c>
    </row>
    <row r="4195" spans="7:119" x14ac:dyDescent="0.25">
      <c r="G4195"/>
      <c r="DI4195" s="4">
        <f>INDEX(Sheet2!A:A,QUOTIENT(ROW()-1,19)+2)</f>
        <v>41808</v>
      </c>
      <c r="DJ4195" s="4">
        <f>INDEX(Sheet2!C:C,QUOTIENT(ROW()-1,19)+2)</f>
        <v>42735</v>
      </c>
      <c r="DK4195" s="4" t="e">
        <f>INDEX(Sheet2!$AA$2:$AS$228,QUOTIENT(ROW()-1,19)+1,MOD(ROW()-2,19)+1)</f>
        <v>#N/A</v>
      </c>
      <c r="DL4195" t="str">
        <f>IFERROR(INDEX(Sheet2!$AU$2:$BM$228,QUOTIENT(ROW()-1,19)+1,MOD(ROW()-2,19)+1),NA())</f>
        <v/>
      </c>
      <c r="DM4195" s="4" t="e">
        <f t="shared" si="216"/>
        <v>#N/A</v>
      </c>
      <c r="DN4195" t="str">
        <f t="shared" si="217"/>
        <v/>
      </c>
      <c r="DO4195" t="e">
        <f t="shared" si="218"/>
        <v>#N/A</v>
      </c>
    </row>
    <row r="4196" spans="7:119" x14ac:dyDescent="0.25">
      <c r="G4196"/>
      <c r="DI4196" s="4">
        <f>INDEX(Sheet2!A:A,QUOTIENT(ROW()-1,19)+2)</f>
        <v>41808</v>
      </c>
      <c r="DJ4196" s="4">
        <f>INDEX(Sheet2!C:C,QUOTIENT(ROW()-1,19)+2)</f>
        <v>42735</v>
      </c>
      <c r="DK4196" s="4" t="e">
        <f>INDEX(Sheet2!$AA$2:$AS$228,QUOTIENT(ROW()-1,19)+1,MOD(ROW()-2,19)+1)</f>
        <v>#N/A</v>
      </c>
      <c r="DL4196" t="str">
        <f>IFERROR(INDEX(Sheet2!$AU$2:$BM$228,QUOTIENT(ROW()-1,19)+1,MOD(ROW()-2,19)+1),NA())</f>
        <v/>
      </c>
      <c r="DM4196" s="4" t="e">
        <f t="shared" si="216"/>
        <v>#N/A</v>
      </c>
      <c r="DN4196" t="str">
        <f t="shared" si="217"/>
        <v/>
      </c>
      <c r="DO4196" t="e">
        <f t="shared" si="218"/>
        <v>#N/A</v>
      </c>
    </row>
    <row r="4197" spans="7:119" x14ac:dyDescent="0.25">
      <c r="G4197"/>
      <c r="DI4197" s="4">
        <f>INDEX(Sheet2!A:A,QUOTIENT(ROW()-1,19)+2)</f>
        <v>41808</v>
      </c>
      <c r="DJ4197" s="4">
        <f>INDEX(Sheet2!C:C,QUOTIENT(ROW()-1,19)+2)</f>
        <v>42735</v>
      </c>
      <c r="DK4197" s="4" t="e">
        <f>INDEX(Sheet2!$AA$2:$AS$228,QUOTIENT(ROW()-1,19)+1,MOD(ROW()-2,19)+1)</f>
        <v>#N/A</v>
      </c>
      <c r="DL4197" t="str">
        <f>IFERROR(INDEX(Sheet2!$AU$2:$BM$228,QUOTIENT(ROW()-1,19)+1,MOD(ROW()-2,19)+1),NA())</f>
        <v/>
      </c>
      <c r="DM4197" s="4" t="e">
        <f t="shared" si="216"/>
        <v>#N/A</v>
      </c>
      <c r="DN4197" t="str">
        <f t="shared" si="217"/>
        <v/>
      </c>
      <c r="DO4197" t="e">
        <f t="shared" si="218"/>
        <v>#N/A</v>
      </c>
    </row>
    <row r="4198" spans="7:119" x14ac:dyDescent="0.25">
      <c r="G4198"/>
      <c r="DI4198" s="4">
        <f>INDEX(Sheet2!A:A,QUOTIENT(ROW()-1,19)+2)</f>
        <v>41808</v>
      </c>
      <c r="DJ4198" s="4">
        <f>INDEX(Sheet2!C:C,QUOTIENT(ROW()-1,19)+2)</f>
        <v>42735</v>
      </c>
      <c r="DK4198" s="4" t="e">
        <f>INDEX(Sheet2!$AA$2:$AS$228,QUOTIENT(ROW()-1,19)+1,MOD(ROW()-2,19)+1)</f>
        <v>#N/A</v>
      </c>
      <c r="DL4198" t="str">
        <f>IFERROR(INDEX(Sheet2!$AU$2:$BM$228,QUOTIENT(ROW()-1,19)+1,MOD(ROW()-2,19)+1),NA())</f>
        <v/>
      </c>
      <c r="DM4198" s="4" t="e">
        <f t="shared" si="216"/>
        <v>#N/A</v>
      </c>
      <c r="DN4198" t="str">
        <f t="shared" si="217"/>
        <v/>
      </c>
      <c r="DO4198" t="e">
        <f t="shared" si="218"/>
        <v>#N/A</v>
      </c>
    </row>
    <row r="4199" spans="7:119" x14ac:dyDescent="0.25">
      <c r="G4199"/>
      <c r="DI4199" s="4">
        <f>INDEX(Sheet2!A:A,QUOTIENT(ROW()-1,19)+2)</f>
        <v>41808</v>
      </c>
      <c r="DJ4199" s="4">
        <f>INDEX(Sheet2!C:C,QUOTIENT(ROW()-1,19)+2)</f>
        <v>42735</v>
      </c>
      <c r="DK4199" s="4" t="e">
        <f>INDEX(Sheet2!$AA$2:$AS$228,QUOTIENT(ROW()-1,19)+1,MOD(ROW()-2,19)+1)</f>
        <v>#N/A</v>
      </c>
      <c r="DL4199" t="str">
        <f>IFERROR(INDEX(Sheet2!$AU$2:$BM$228,QUOTIENT(ROW()-1,19)+1,MOD(ROW()-2,19)+1),NA())</f>
        <v/>
      </c>
      <c r="DM4199" s="4" t="e">
        <f t="shared" si="216"/>
        <v>#N/A</v>
      </c>
      <c r="DN4199" t="str">
        <f t="shared" si="217"/>
        <v/>
      </c>
      <c r="DO4199" t="e">
        <f t="shared" si="218"/>
        <v>#N/A</v>
      </c>
    </row>
    <row r="4200" spans="7:119" x14ac:dyDescent="0.25">
      <c r="G4200"/>
      <c r="DI4200" s="4">
        <f>INDEX(Sheet2!A:A,QUOTIENT(ROW()-1,19)+2)</f>
        <v>41808</v>
      </c>
      <c r="DJ4200" s="4">
        <f>INDEX(Sheet2!C:C,QUOTIENT(ROW()-1,19)+2)</f>
        <v>42735</v>
      </c>
      <c r="DK4200" s="4" t="e">
        <f>INDEX(Sheet2!$AA$2:$AS$228,QUOTIENT(ROW()-1,19)+1,MOD(ROW()-2,19)+1)</f>
        <v>#N/A</v>
      </c>
      <c r="DL4200" t="str">
        <f>IFERROR(INDEX(Sheet2!$AU$2:$BM$228,QUOTIENT(ROW()-1,19)+1,MOD(ROW()-2,19)+1),NA())</f>
        <v/>
      </c>
      <c r="DM4200" s="4" t="e">
        <f t="shared" si="216"/>
        <v>#N/A</v>
      </c>
      <c r="DN4200" t="str">
        <f t="shared" si="217"/>
        <v/>
      </c>
      <c r="DO4200" t="e">
        <f t="shared" si="218"/>
        <v>#N/A</v>
      </c>
    </row>
    <row r="4201" spans="7:119" x14ac:dyDescent="0.25">
      <c r="G4201"/>
      <c r="DI4201" s="4">
        <f>INDEX(Sheet2!A:A,QUOTIENT(ROW()-1,19)+2)</f>
        <v>41808</v>
      </c>
      <c r="DJ4201" s="4">
        <f>INDEX(Sheet2!C:C,QUOTIENT(ROW()-1,19)+2)</f>
        <v>42735</v>
      </c>
      <c r="DK4201" s="4">
        <f>INDEX(Sheet2!$AA$2:$AS$228,QUOTIENT(ROW()-1,19)+1,MOD(ROW()-2,19)+1)</f>
        <v>42735</v>
      </c>
      <c r="DL4201">
        <f>IFERROR(INDEX(Sheet2!$AU$2:$BM$228,QUOTIENT(ROW()-1,19)+1,MOD(ROW()-2,19)+1),NA())</f>
        <v>4.25</v>
      </c>
      <c r="DM4201" s="4">
        <f t="shared" si="216"/>
        <v>42735</v>
      </c>
      <c r="DN4201">
        <f t="shared" si="217"/>
        <v>4.25</v>
      </c>
      <c r="DO4201">
        <f t="shared" si="218"/>
        <v>4.25</v>
      </c>
    </row>
    <row r="4202" spans="7:119" x14ac:dyDescent="0.25">
      <c r="G4202"/>
      <c r="DI4202" s="4">
        <f>INDEX(Sheet2!A:A,QUOTIENT(ROW()-1,19)+2)</f>
        <v>41808</v>
      </c>
      <c r="DJ4202" s="4">
        <f>INDEX(Sheet2!C:C,QUOTIENT(ROW()-1,19)+2)</f>
        <v>42735</v>
      </c>
      <c r="DK4202" s="4" t="e">
        <f>INDEX(Sheet2!$AA$2:$AS$228,QUOTIENT(ROW()-1,19)+1,MOD(ROW()-2,19)+1)</f>
        <v>#N/A</v>
      </c>
      <c r="DL4202" t="str">
        <f>IFERROR(INDEX(Sheet2!$AU$2:$BM$228,QUOTIENT(ROW()-1,19)+1,MOD(ROW()-2,19)+1),NA())</f>
        <v/>
      </c>
      <c r="DM4202" s="4" t="e">
        <f t="shared" si="216"/>
        <v>#N/A</v>
      </c>
      <c r="DN4202" t="str">
        <f t="shared" si="217"/>
        <v/>
      </c>
      <c r="DO4202" t="e">
        <f t="shared" si="218"/>
        <v>#N/A</v>
      </c>
    </row>
    <row r="4203" spans="7:119" x14ac:dyDescent="0.25">
      <c r="G4203"/>
      <c r="DI4203" s="4">
        <f>INDEX(Sheet2!A:A,QUOTIENT(ROW()-1,19)+2)</f>
        <v>41808</v>
      </c>
      <c r="DJ4203" s="4">
        <f>INDEX(Sheet2!C:C,QUOTIENT(ROW()-1,19)+2)</f>
        <v>42735</v>
      </c>
      <c r="DK4203" s="4" t="e">
        <f>INDEX(Sheet2!$AA$2:$AS$228,QUOTIENT(ROW()-1,19)+1,MOD(ROW()-2,19)+1)</f>
        <v>#N/A</v>
      </c>
      <c r="DL4203" t="str">
        <f>IFERROR(INDEX(Sheet2!$AU$2:$BM$228,QUOTIENT(ROW()-1,19)+1,MOD(ROW()-2,19)+1),NA())</f>
        <v/>
      </c>
      <c r="DM4203" s="4" t="e">
        <f t="shared" si="216"/>
        <v>#N/A</v>
      </c>
      <c r="DN4203" t="str">
        <f t="shared" si="217"/>
        <v/>
      </c>
      <c r="DO4203" t="e">
        <f t="shared" si="218"/>
        <v>#N/A</v>
      </c>
    </row>
    <row r="4204" spans="7:119" x14ac:dyDescent="0.25">
      <c r="G4204"/>
      <c r="DI4204" s="4">
        <f>INDEX(Sheet2!A:A,QUOTIENT(ROW()-1,19)+2)</f>
        <v>41808</v>
      </c>
      <c r="DJ4204" s="4">
        <f>INDEX(Sheet2!C:C,QUOTIENT(ROW()-1,19)+2)</f>
        <v>42735</v>
      </c>
      <c r="DK4204" s="4" t="e">
        <f>INDEX(Sheet2!$AA$2:$AS$228,QUOTIENT(ROW()-1,19)+1,MOD(ROW()-2,19)+1)</f>
        <v>#N/A</v>
      </c>
      <c r="DL4204" t="str">
        <f>IFERROR(INDEX(Sheet2!$AU$2:$BM$228,QUOTIENT(ROW()-1,19)+1,MOD(ROW()-2,19)+1),NA())</f>
        <v/>
      </c>
      <c r="DM4204" s="4" t="e">
        <f t="shared" si="216"/>
        <v>#N/A</v>
      </c>
      <c r="DN4204" t="str">
        <f t="shared" si="217"/>
        <v/>
      </c>
      <c r="DO4204" t="e">
        <f t="shared" si="218"/>
        <v>#N/A</v>
      </c>
    </row>
    <row r="4205" spans="7:119" x14ac:dyDescent="0.25">
      <c r="G4205"/>
      <c r="DI4205" s="4">
        <f>INDEX(Sheet2!A:A,QUOTIENT(ROW()-1,19)+2)</f>
        <v>41808</v>
      </c>
      <c r="DJ4205" s="4">
        <f>INDEX(Sheet2!C:C,QUOTIENT(ROW()-1,19)+2)</f>
        <v>42735</v>
      </c>
      <c r="DK4205" s="4" t="e">
        <f>INDEX(Sheet2!$AA$2:$AS$228,QUOTIENT(ROW()-1,19)+1,MOD(ROW()-2,19)+1)</f>
        <v>#N/A</v>
      </c>
      <c r="DL4205" t="str">
        <f>IFERROR(INDEX(Sheet2!$AU$2:$BM$228,QUOTIENT(ROW()-1,19)+1,MOD(ROW()-2,19)+1),NA())</f>
        <v/>
      </c>
      <c r="DM4205" s="4" t="e">
        <f t="shared" si="216"/>
        <v>#N/A</v>
      </c>
      <c r="DN4205" t="str">
        <f t="shared" si="217"/>
        <v/>
      </c>
      <c r="DO4205" t="e">
        <f t="shared" si="218"/>
        <v>#N/A</v>
      </c>
    </row>
    <row r="4206" spans="7:119" x14ac:dyDescent="0.25">
      <c r="G4206"/>
      <c r="DI4206" s="4">
        <f>INDEX(Sheet2!A:A,QUOTIENT(ROW()-1,19)+2)</f>
        <v>41808</v>
      </c>
      <c r="DJ4206" s="4">
        <f>INDEX(Sheet2!C:C,QUOTIENT(ROW()-1,19)+2)</f>
        <v>42735</v>
      </c>
      <c r="DK4206" s="4" t="e">
        <f>INDEX(Sheet2!$AA$2:$AS$228,QUOTIENT(ROW()-1,19)+1,MOD(ROW()-2,19)+1)</f>
        <v>#N/A</v>
      </c>
      <c r="DL4206" t="str">
        <f>IFERROR(INDEX(Sheet2!$AU$2:$BM$228,QUOTIENT(ROW()-1,19)+1,MOD(ROW()-2,19)+1),NA())</f>
        <v/>
      </c>
      <c r="DM4206" s="4" t="e">
        <f t="shared" si="216"/>
        <v>#N/A</v>
      </c>
      <c r="DN4206" t="str">
        <f t="shared" si="217"/>
        <v/>
      </c>
      <c r="DO4206" t="e">
        <f t="shared" si="218"/>
        <v>#N/A</v>
      </c>
    </row>
    <row r="4207" spans="7:119" x14ac:dyDescent="0.25">
      <c r="G4207"/>
      <c r="DI4207" s="4">
        <f>INDEX(Sheet2!A:A,QUOTIENT(ROW()-1,19)+2)</f>
        <v>41808</v>
      </c>
      <c r="DJ4207" s="4">
        <f>INDEX(Sheet2!C:C,QUOTIENT(ROW()-1,19)+2)</f>
        <v>42735</v>
      </c>
      <c r="DK4207" s="4" t="e">
        <f>INDEX(Sheet2!$AA$2:$AS$228,QUOTIENT(ROW()-1,19)+1,MOD(ROW()-2,19)+1)</f>
        <v>#N/A</v>
      </c>
      <c r="DL4207" t="str">
        <f>IFERROR(INDEX(Sheet2!$AU$2:$BM$228,QUOTIENT(ROW()-1,19)+1,MOD(ROW()-2,19)+1),NA())</f>
        <v/>
      </c>
      <c r="DM4207" s="4" t="e">
        <f t="shared" si="216"/>
        <v>#N/A</v>
      </c>
      <c r="DN4207" t="str">
        <f t="shared" si="217"/>
        <v/>
      </c>
      <c r="DO4207" t="e">
        <f t="shared" si="218"/>
        <v>#N/A</v>
      </c>
    </row>
    <row r="4208" spans="7:119" x14ac:dyDescent="0.25">
      <c r="G4208"/>
      <c r="DI4208" s="4">
        <f>INDEX(Sheet2!A:A,QUOTIENT(ROW()-1,19)+2)</f>
        <v>41808</v>
      </c>
      <c r="DJ4208" s="4">
        <f>INDEX(Sheet2!C:C,QUOTIENT(ROW()-1,19)+2)</f>
        <v>42735</v>
      </c>
      <c r="DK4208" s="4" t="e">
        <f>INDEX(Sheet2!$AA$2:$AS$228,QUOTIENT(ROW()-1,19)+1,MOD(ROW()-2,19)+1)</f>
        <v>#N/A</v>
      </c>
      <c r="DL4208" t="str">
        <f>IFERROR(INDEX(Sheet2!$AU$2:$BM$228,QUOTIENT(ROW()-1,19)+1,MOD(ROW()-2,19)+1),NA())</f>
        <v/>
      </c>
      <c r="DM4208" s="4" t="e">
        <f t="shared" si="216"/>
        <v>#N/A</v>
      </c>
      <c r="DN4208" t="str">
        <f t="shared" si="217"/>
        <v/>
      </c>
      <c r="DO4208" t="e">
        <f t="shared" si="218"/>
        <v>#N/A</v>
      </c>
    </row>
    <row r="4209" spans="7:119" x14ac:dyDescent="0.25">
      <c r="G4209"/>
      <c r="DI4209" s="4">
        <f>INDEX(Sheet2!A:A,QUOTIENT(ROW()-1,19)+2)</f>
        <v>41808</v>
      </c>
      <c r="DJ4209" s="4">
        <f>INDEX(Sheet2!C:C,QUOTIENT(ROW()-1,19)+2)</f>
        <v>42735</v>
      </c>
      <c r="DK4209" s="4" t="e">
        <f>INDEX(Sheet2!$AA$2:$AS$228,QUOTIENT(ROW()-1,19)+1,MOD(ROW()-2,19)+1)</f>
        <v>#N/A</v>
      </c>
      <c r="DL4209" t="str">
        <f>IFERROR(INDEX(Sheet2!$AU$2:$BM$228,QUOTIENT(ROW()-1,19)+1,MOD(ROW()-2,19)+1),NA())</f>
        <v/>
      </c>
      <c r="DM4209" s="4" t="e">
        <f t="shared" si="216"/>
        <v>#N/A</v>
      </c>
      <c r="DN4209" t="str">
        <f t="shared" si="217"/>
        <v/>
      </c>
      <c r="DO4209" t="e">
        <f t="shared" si="218"/>
        <v>#N/A</v>
      </c>
    </row>
    <row r="4210" spans="7:119" x14ac:dyDescent="0.25">
      <c r="G4210"/>
      <c r="DI4210" s="4">
        <f>INDEX(Sheet2!A:A,QUOTIENT(ROW()-1,19)+2)</f>
        <v>41808</v>
      </c>
      <c r="DJ4210" s="4">
        <f>INDEX(Sheet2!C:C,QUOTIENT(ROW()-1,19)+2)</f>
        <v>42735</v>
      </c>
      <c r="DK4210" s="4" t="e">
        <f>INDEX(Sheet2!$AA$2:$AS$228,QUOTIENT(ROW()-1,19)+1,MOD(ROW()-2,19)+1)</f>
        <v>#N/A</v>
      </c>
      <c r="DL4210" t="str">
        <f>IFERROR(INDEX(Sheet2!$AU$2:$BM$228,QUOTIENT(ROW()-1,19)+1,MOD(ROW()-2,19)+1),NA())</f>
        <v/>
      </c>
      <c r="DM4210" s="4" t="e">
        <f t="shared" si="216"/>
        <v>#N/A</v>
      </c>
      <c r="DN4210" t="str">
        <f t="shared" si="217"/>
        <v/>
      </c>
      <c r="DO4210" t="e">
        <f t="shared" si="218"/>
        <v>#N/A</v>
      </c>
    </row>
    <row r="4211" spans="7:119" x14ac:dyDescent="0.25">
      <c r="G4211"/>
      <c r="DI4211" s="4">
        <f>INDEX(Sheet2!A:A,QUOTIENT(ROW()-1,19)+2)</f>
        <v>41808</v>
      </c>
      <c r="DJ4211" s="4">
        <f>INDEX(Sheet2!C:C,QUOTIENT(ROW()-1,19)+2)</f>
        <v>42735</v>
      </c>
      <c r="DK4211" s="4" t="e">
        <f>INDEX(Sheet2!$AA$2:$AS$228,QUOTIENT(ROW()-1,19)+1,MOD(ROW()-2,19)+1)</f>
        <v>#N/A</v>
      </c>
      <c r="DL4211" t="str">
        <f>IFERROR(INDEX(Sheet2!$AU$2:$BM$228,QUOTIENT(ROW()-1,19)+1,MOD(ROW()-2,19)+1),NA())</f>
        <v/>
      </c>
      <c r="DM4211" s="4" t="e">
        <f t="shared" si="216"/>
        <v>#N/A</v>
      </c>
      <c r="DN4211" t="str">
        <f t="shared" si="217"/>
        <v/>
      </c>
      <c r="DO4211" t="e">
        <f t="shared" si="218"/>
        <v>#N/A</v>
      </c>
    </row>
    <row r="4212" spans="7:119" x14ac:dyDescent="0.25">
      <c r="G4212"/>
      <c r="DI4212" s="4">
        <f>INDEX(Sheet2!A:A,QUOTIENT(ROW()-1,19)+2)</f>
        <v>41808</v>
      </c>
      <c r="DJ4212" s="4">
        <f>INDEX(Sheet2!C:C,QUOTIENT(ROW()-1,19)+2)</f>
        <v>42735</v>
      </c>
      <c r="DK4212" s="4" t="e">
        <f>INDEX(Sheet2!$AA$2:$AS$228,QUOTIENT(ROW()-1,19)+1,MOD(ROW()-2,19)+1)</f>
        <v>#N/A</v>
      </c>
      <c r="DL4212" t="str">
        <f>IFERROR(INDEX(Sheet2!$AU$2:$BM$228,QUOTIENT(ROW()-1,19)+1,MOD(ROW()-2,19)+1),NA())</f>
        <v/>
      </c>
      <c r="DM4212" s="4" t="e">
        <f t="shared" si="216"/>
        <v>#N/A</v>
      </c>
      <c r="DN4212" t="str">
        <f t="shared" si="217"/>
        <v/>
      </c>
      <c r="DO4212" t="e">
        <f t="shared" si="218"/>
        <v>#N/A</v>
      </c>
    </row>
    <row r="4213" spans="7:119" x14ac:dyDescent="0.25">
      <c r="G4213"/>
      <c r="DI4213" s="4">
        <f>INDEX(Sheet2!A:A,QUOTIENT(ROW()-1,19)+2)</f>
        <v>41808</v>
      </c>
      <c r="DJ4213" s="4">
        <f>INDEX(Sheet2!C:C,QUOTIENT(ROW()-1,19)+2)</f>
        <v>42735</v>
      </c>
      <c r="DK4213" s="4" t="e">
        <f>INDEX(Sheet2!$AA$2:$AS$228,QUOTIENT(ROW()-1,19)+1,MOD(ROW()-2,19)+1)</f>
        <v>#N/A</v>
      </c>
      <c r="DL4213" t="str">
        <f>IFERROR(INDEX(Sheet2!$AU$2:$BM$228,QUOTIENT(ROW()-1,19)+1,MOD(ROW()-2,19)+1),NA())</f>
        <v/>
      </c>
      <c r="DM4213" s="4" t="e">
        <f t="shared" si="216"/>
        <v>#N/A</v>
      </c>
      <c r="DN4213" t="str">
        <f t="shared" si="217"/>
        <v/>
      </c>
      <c r="DO4213" t="e">
        <f t="shared" si="218"/>
        <v>#N/A</v>
      </c>
    </row>
    <row r="4214" spans="7:119" x14ac:dyDescent="0.25">
      <c r="G4214"/>
      <c r="DI4214" s="4">
        <f>INDEX(Sheet2!A:A,QUOTIENT(ROW()-1,19)+2)</f>
        <v>41808</v>
      </c>
      <c r="DJ4214" s="4">
        <f>INDEX(Sheet2!C:C,QUOTIENT(ROW()-1,19)+2)</f>
        <v>42735</v>
      </c>
      <c r="DK4214" s="4" t="e">
        <f>INDEX(Sheet2!$AA$2:$AS$228,QUOTIENT(ROW()-1,19)+1,MOD(ROW()-2,19)+1)</f>
        <v>#N/A</v>
      </c>
      <c r="DL4214" t="str">
        <f>IFERROR(INDEX(Sheet2!$AU$2:$BM$228,QUOTIENT(ROW()-1,19)+1,MOD(ROW()-2,19)+1),NA())</f>
        <v/>
      </c>
      <c r="DM4214" s="4" t="e">
        <f t="shared" si="216"/>
        <v>#N/A</v>
      </c>
      <c r="DN4214" t="str">
        <f t="shared" si="217"/>
        <v/>
      </c>
      <c r="DO4214" t="e">
        <f t="shared" si="218"/>
        <v>#N/A</v>
      </c>
    </row>
    <row r="4215" spans="7:119" x14ac:dyDescent="0.25">
      <c r="G4215"/>
      <c r="DI4215" s="4">
        <f>INDEX(Sheet2!A:A,QUOTIENT(ROW()-1,19)+2)</f>
        <v>41808</v>
      </c>
      <c r="DJ4215" s="4">
        <f>INDEX(Sheet2!C:C,QUOTIENT(ROW()-1,19)+2)</f>
        <v>42735</v>
      </c>
      <c r="DK4215" s="4" t="e">
        <f>INDEX(Sheet2!$AA$2:$AS$228,QUOTIENT(ROW()-1,19)+1,MOD(ROW()-2,19)+1)</f>
        <v>#N/A</v>
      </c>
      <c r="DL4215" t="str">
        <f>IFERROR(INDEX(Sheet2!$AU$2:$BM$228,QUOTIENT(ROW()-1,19)+1,MOD(ROW()-2,19)+1),NA())</f>
        <v/>
      </c>
      <c r="DM4215" s="4" t="e">
        <f t="shared" si="216"/>
        <v>#N/A</v>
      </c>
      <c r="DN4215" t="str">
        <f t="shared" si="217"/>
        <v/>
      </c>
      <c r="DO4215" t="e">
        <f t="shared" si="218"/>
        <v>#N/A</v>
      </c>
    </row>
    <row r="4216" spans="7:119" x14ac:dyDescent="0.25">
      <c r="G4216"/>
      <c r="DI4216" s="4">
        <f>INDEX(Sheet2!A:A,QUOTIENT(ROW()-1,19)+2)</f>
        <v>41808</v>
      </c>
      <c r="DJ4216" s="4">
        <f>INDEX(Sheet2!C:C,QUOTIENT(ROW()-1,19)+2)</f>
        <v>42735</v>
      </c>
      <c r="DK4216" s="4" t="e">
        <f>INDEX(Sheet2!$AA$2:$AS$228,QUOTIENT(ROW()-1,19)+1,MOD(ROW()-2,19)+1)</f>
        <v>#N/A</v>
      </c>
      <c r="DL4216" t="str">
        <f>IFERROR(INDEX(Sheet2!$AU$2:$BM$228,QUOTIENT(ROW()-1,19)+1,MOD(ROW()-2,19)+1),NA())</f>
        <v/>
      </c>
      <c r="DM4216" s="4" t="e">
        <f t="shared" si="216"/>
        <v>#N/A</v>
      </c>
      <c r="DN4216" t="str">
        <f t="shared" si="217"/>
        <v/>
      </c>
      <c r="DO4216" t="e">
        <f t="shared" si="218"/>
        <v>#N/A</v>
      </c>
    </row>
    <row r="4217" spans="7:119" x14ac:dyDescent="0.25">
      <c r="G4217"/>
      <c r="DI4217" s="4">
        <f>INDEX(Sheet2!A:A,QUOTIENT(ROW()-1,19)+2)</f>
        <v>41808</v>
      </c>
      <c r="DJ4217" s="4">
        <f>INDEX(Sheet2!C:C,QUOTIENT(ROW()-1,19)+2)</f>
        <v>42735</v>
      </c>
      <c r="DK4217" s="4" t="e">
        <f>INDEX(Sheet2!$AA$2:$AS$228,QUOTIENT(ROW()-1,19)+1,MOD(ROW()-2,19)+1)</f>
        <v>#N/A</v>
      </c>
      <c r="DL4217" t="str">
        <f>IFERROR(INDEX(Sheet2!$AU$2:$BM$228,QUOTIENT(ROW()-1,19)+1,MOD(ROW()-2,19)+1),NA())</f>
        <v/>
      </c>
      <c r="DM4217" s="4" t="e">
        <f t="shared" si="216"/>
        <v>#N/A</v>
      </c>
      <c r="DN4217" t="str">
        <f t="shared" si="217"/>
        <v/>
      </c>
      <c r="DO4217" t="e">
        <f t="shared" si="218"/>
        <v>#N/A</v>
      </c>
    </row>
    <row r="4218" spans="7:119" x14ac:dyDescent="0.25">
      <c r="G4218"/>
      <c r="DI4218" s="4">
        <f>INDEX(Sheet2!A:A,QUOTIENT(ROW()-1,19)+2)</f>
        <v>41808</v>
      </c>
      <c r="DJ4218" s="4">
        <f>INDEX(Sheet2!C:C,QUOTIENT(ROW()-1,19)+2)</f>
        <v>42735</v>
      </c>
      <c r="DK4218" s="4" t="e">
        <f>INDEX(Sheet2!$AA$2:$AS$228,QUOTIENT(ROW()-1,19)+1,MOD(ROW()-2,19)+1)</f>
        <v>#N/A</v>
      </c>
      <c r="DL4218" t="str">
        <f>IFERROR(INDEX(Sheet2!$AU$2:$BM$228,QUOTIENT(ROW()-1,19)+1,MOD(ROW()-2,19)+1),NA())</f>
        <v/>
      </c>
      <c r="DM4218" s="4" t="e">
        <f t="shared" si="216"/>
        <v>#N/A</v>
      </c>
      <c r="DN4218" t="str">
        <f t="shared" si="217"/>
        <v/>
      </c>
      <c r="DO4218" t="e">
        <f t="shared" si="218"/>
        <v>#N/A</v>
      </c>
    </row>
    <row r="4219" spans="7:119" x14ac:dyDescent="0.25">
      <c r="G4219"/>
      <c r="DI4219" s="4">
        <f>INDEX(Sheet2!A:A,QUOTIENT(ROW()-1,19)+2)</f>
        <v>41808</v>
      </c>
      <c r="DJ4219" s="4">
        <f>INDEX(Sheet2!C:C,QUOTIENT(ROW()-1,19)+2)</f>
        <v>43100</v>
      </c>
      <c r="DK4219" s="4" t="e">
        <f>INDEX(Sheet2!$AA$2:$AS$228,QUOTIENT(ROW()-1,19)+1,MOD(ROW()-2,19)+1)</f>
        <v>#N/A</v>
      </c>
      <c r="DL4219" t="str">
        <f>IFERROR(INDEX(Sheet2!$AU$2:$BM$228,QUOTIENT(ROW()-1,19)+1,MOD(ROW()-2,19)+1),NA())</f>
        <v/>
      </c>
      <c r="DM4219" s="4" t="e">
        <f t="shared" si="216"/>
        <v>#N/A</v>
      </c>
      <c r="DN4219" t="str">
        <f t="shared" si="217"/>
        <v/>
      </c>
      <c r="DO4219" t="e">
        <f t="shared" si="218"/>
        <v>#N/A</v>
      </c>
    </row>
    <row r="4220" spans="7:119" x14ac:dyDescent="0.25">
      <c r="G4220"/>
      <c r="DI4220" s="4">
        <f>INDEX(Sheet2!A:A,QUOTIENT(ROW()-1,19)+2)</f>
        <v>41808</v>
      </c>
      <c r="DJ4220" s="4">
        <f>INDEX(Sheet2!C:C,QUOTIENT(ROW()-1,19)+2)</f>
        <v>43100</v>
      </c>
      <c r="DK4220" s="4">
        <f>INDEX(Sheet2!$AA$2:$AS$228,QUOTIENT(ROW()-1,19)+1,MOD(ROW()-2,19)+1)</f>
        <v>43100</v>
      </c>
      <c r="DL4220">
        <f>IFERROR(INDEX(Sheet2!$AU$2:$BM$228,QUOTIENT(ROW()-1,19)+1,MOD(ROW()-2,19)+1),NA())</f>
        <v>3.25</v>
      </c>
      <c r="DM4220" s="4">
        <f t="shared" si="216"/>
        <v>43100</v>
      </c>
      <c r="DN4220">
        <f t="shared" si="217"/>
        <v>3.25</v>
      </c>
      <c r="DO4220">
        <f t="shared" si="218"/>
        <v>3.25</v>
      </c>
    </row>
    <row r="4221" spans="7:119" x14ac:dyDescent="0.25">
      <c r="G4221"/>
      <c r="DI4221" s="4">
        <f>INDEX(Sheet2!A:A,QUOTIENT(ROW()-1,19)+2)</f>
        <v>41808</v>
      </c>
      <c r="DJ4221" s="4">
        <f>INDEX(Sheet2!C:C,QUOTIENT(ROW()-1,19)+2)</f>
        <v>43100</v>
      </c>
      <c r="DK4221" s="4" t="e">
        <f>INDEX(Sheet2!$AA$2:$AS$228,QUOTIENT(ROW()-1,19)+1,MOD(ROW()-2,19)+1)</f>
        <v>#N/A</v>
      </c>
      <c r="DL4221" t="str">
        <f>IFERROR(INDEX(Sheet2!$AU$2:$BM$228,QUOTIENT(ROW()-1,19)+1,MOD(ROW()-2,19)+1),NA())</f>
        <v/>
      </c>
      <c r="DM4221" s="4" t="e">
        <f t="shared" si="216"/>
        <v>#N/A</v>
      </c>
      <c r="DN4221" t="str">
        <f t="shared" si="217"/>
        <v/>
      </c>
      <c r="DO4221" t="e">
        <f t="shared" si="218"/>
        <v>#N/A</v>
      </c>
    </row>
    <row r="4222" spans="7:119" x14ac:dyDescent="0.25">
      <c r="G4222"/>
      <c r="DI4222" s="4">
        <f>INDEX(Sheet2!A:A,QUOTIENT(ROW()-1,19)+2)</f>
        <v>41808</v>
      </c>
      <c r="DJ4222" s="4">
        <f>INDEX(Sheet2!C:C,QUOTIENT(ROW()-1,19)+2)</f>
        <v>43100</v>
      </c>
      <c r="DK4222" s="4" t="e">
        <f>INDEX(Sheet2!$AA$2:$AS$228,QUOTIENT(ROW()-1,19)+1,MOD(ROW()-2,19)+1)</f>
        <v>#N/A</v>
      </c>
      <c r="DL4222" t="str">
        <f>IFERROR(INDEX(Sheet2!$AU$2:$BM$228,QUOTIENT(ROW()-1,19)+1,MOD(ROW()-2,19)+1),NA())</f>
        <v/>
      </c>
      <c r="DM4222" s="4" t="e">
        <f t="shared" si="216"/>
        <v>#N/A</v>
      </c>
      <c r="DN4222" t="str">
        <f t="shared" si="217"/>
        <v/>
      </c>
      <c r="DO4222" t="e">
        <f t="shared" si="218"/>
        <v>#N/A</v>
      </c>
    </row>
    <row r="4223" spans="7:119" x14ac:dyDescent="0.25">
      <c r="G4223"/>
      <c r="DI4223" s="4">
        <f>INDEX(Sheet2!A:A,QUOTIENT(ROW()-1,19)+2)</f>
        <v>41808</v>
      </c>
      <c r="DJ4223" s="4">
        <f>INDEX(Sheet2!C:C,QUOTIENT(ROW()-1,19)+2)</f>
        <v>43100</v>
      </c>
      <c r="DK4223" s="4" t="e">
        <f>INDEX(Sheet2!$AA$2:$AS$228,QUOTIENT(ROW()-1,19)+1,MOD(ROW()-2,19)+1)</f>
        <v>#N/A</v>
      </c>
      <c r="DL4223" t="str">
        <f>IFERROR(INDEX(Sheet2!$AU$2:$BM$228,QUOTIENT(ROW()-1,19)+1,MOD(ROW()-2,19)+1),NA())</f>
        <v/>
      </c>
      <c r="DM4223" s="4" t="e">
        <f t="shared" si="216"/>
        <v>#N/A</v>
      </c>
      <c r="DN4223" t="str">
        <f t="shared" si="217"/>
        <v/>
      </c>
      <c r="DO4223" t="e">
        <f t="shared" si="218"/>
        <v>#N/A</v>
      </c>
    </row>
    <row r="4224" spans="7:119" x14ac:dyDescent="0.25">
      <c r="G4224"/>
      <c r="DI4224" s="4">
        <f>INDEX(Sheet2!A:A,QUOTIENT(ROW()-1,19)+2)</f>
        <v>41808</v>
      </c>
      <c r="DJ4224" s="4">
        <f>INDEX(Sheet2!C:C,QUOTIENT(ROW()-1,19)+2)</f>
        <v>43100</v>
      </c>
      <c r="DK4224" s="4" t="e">
        <f>INDEX(Sheet2!$AA$2:$AS$228,QUOTIENT(ROW()-1,19)+1,MOD(ROW()-2,19)+1)</f>
        <v>#N/A</v>
      </c>
      <c r="DL4224" t="str">
        <f>IFERROR(INDEX(Sheet2!$AU$2:$BM$228,QUOTIENT(ROW()-1,19)+1,MOD(ROW()-2,19)+1),NA())</f>
        <v/>
      </c>
      <c r="DM4224" s="4" t="e">
        <f t="shared" si="216"/>
        <v>#N/A</v>
      </c>
      <c r="DN4224" t="str">
        <f t="shared" si="217"/>
        <v/>
      </c>
      <c r="DO4224" t="e">
        <f t="shared" si="218"/>
        <v>#N/A</v>
      </c>
    </row>
    <row r="4225" spans="7:119" x14ac:dyDescent="0.25">
      <c r="G4225"/>
      <c r="DI4225" s="4">
        <f>INDEX(Sheet2!A:A,QUOTIENT(ROW()-1,19)+2)</f>
        <v>41808</v>
      </c>
      <c r="DJ4225" s="4">
        <f>INDEX(Sheet2!C:C,QUOTIENT(ROW()-1,19)+2)</f>
        <v>43100</v>
      </c>
      <c r="DK4225" s="4" t="e">
        <f>INDEX(Sheet2!$AA$2:$AS$228,QUOTIENT(ROW()-1,19)+1,MOD(ROW()-2,19)+1)</f>
        <v>#N/A</v>
      </c>
      <c r="DL4225" t="str">
        <f>IFERROR(INDEX(Sheet2!$AU$2:$BM$228,QUOTIENT(ROW()-1,19)+1,MOD(ROW()-2,19)+1),NA())</f>
        <v/>
      </c>
      <c r="DM4225" s="4" t="e">
        <f t="shared" si="216"/>
        <v>#N/A</v>
      </c>
      <c r="DN4225" t="str">
        <f t="shared" si="217"/>
        <v/>
      </c>
      <c r="DO4225" t="e">
        <f t="shared" si="218"/>
        <v>#N/A</v>
      </c>
    </row>
    <row r="4226" spans="7:119" x14ac:dyDescent="0.25">
      <c r="G4226"/>
      <c r="DI4226" s="4">
        <f>INDEX(Sheet2!A:A,QUOTIENT(ROW()-1,19)+2)</f>
        <v>41808</v>
      </c>
      <c r="DJ4226" s="4">
        <f>INDEX(Sheet2!C:C,QUOTIENT(ROW()-1,19)+2)</f>
        <v>43100</v>
      </c>
      <c r="DK4226" s="4" t="e">
        <f>INDEX(Sheet2!$AA$2:$AS$228,QUOTIENT(ROW()-1,19)+1,MOD(ROW()-2,19)+1)</f>
        <v>#N/A</v>
      </c>
      <c r="DL4226" t="str">
        <f>IFERROR(INDEX(Sheet2!$AU$2:$BM$228,QUOTIENT(ROW()-1,19)+1,MOD(ROW()-2,19)+1),NA())</f>
        <v/>
      </c>
      <c r="DM4226" s="4" t="e">
        <f t="shared" ref="DM4226:DM4289" si="219">+IF($C$2=$DI4226,DK4226,NA())</f>
        <v>#N/A</v>
      </c>
      <c r="DN4226" t="str">
        <f t="shared" ref="DN4226:DN4289" si="220">+IF($C$2=$DI4226,DL4226,NA())</f>
        <v/>
      </c>
      <c r="DO4226" t="e">
        <f t="shared" si="218"/>
        <v>#N/A</v>
      </c>
    </row>
    <row r="4227" spans="7:119" x14ac:dyDescent="0.25">
      <c r="G4227"/>
      <c r="DI4227" s="4">
        <f>INDEX(Sheet2!A:A,QUOTIENT(ROW()-1,19)+2)</f>
        <v>41808</v>
      </c>
      <c r="DJ4227" s="4">
        <f>INDEX(Sheet2!C:C,QUOTIENT(ROW()-1,19)+2)</f>
        <v>43100</v>
      </c>
      <c r="DK4227" s="4" t="e">
        <f>INDEX(Sheet2!$AA$2:$AS$228,QUOTIENT(ROW()-1,19)+1,MOD(ROW()-2,19)+1)</f>
        <v>#N/A</v>
      </c>
      <c r="DL4227" t="str">
        <f>IFERROR(INDEX(Sheet2!$AU$2:$BM$228,QUOTIENT(ROW()-1,19)+1,MOD(ROW()-2,19)+1),NA())</f>
        <v/>
      </c>
      <c r="DM4227" s="4" t="e">
        <f t="shared" si="219"/>
        <v>#N/A</v>
      </c>
      <c r="DN4227" t="str">
        <f t="shared" si="220"/>
        <v/>
      </c>
      <c r="DO4227" t="e">
        <f t="shared" ref="DO4227:DO4290" si="221">IF(DN4227="",NA(),DN4227)</f>
        <v>#N/A</v>
      </c>
    </row>
    <row r="4228" spans="7:119" x14ac:dyDescent="0.25">
      <c r="G4228"/>
      <c r="DI4228" s="4">
        <f>INDEX(Sheet2!A:A,QUOTIENT(ROW()-1,19)+2)</f>
        <v>41808</v>
      </c>
      <c r="DJ4228" s="4">
        <f>INDEX(Sheet2!C:C,QUOTIENT(ROW()-1,19)+2)</f>
        <v>43100</v>
      </c>
      <c r="DK4228" s="4" t="e">
        <f>INDEX(Sheet2!$AA$2:$AS$228,QUOTIENT(ROW()-1,19)+1,MOD(ROW()-2,19)+1)</f>
        <v>#N/A</v>
      </c>
      <c r="DL4228" t="str">
        <f>IFERROR(INDEX(Sheet2!$AU$2:$BM$228,QUOTIENT(ROW()-1,19)+1,MOD(ROW()-2,19)+1),NA())</f>
        <v/>
      </c>
      <c r="DM4228" s="4" t="e">
        <f t="shared" si="219"/>
        <v>#N/A</v>
      </c>
      <c r="DN4228" t="str">
        <f t="shared" si="220"/>
        <v/>
      </c>
      <c r="DO4228" t="e">
        <f t="shared" si="221"/>
        <v>#N/A</v>
      </c>
    </row>
    <row r="4229" spans="7:119" x14ac:dyDescent="0.25">
      <c r="G4229"/>
      <c r="DI4229" s="4">
        <f>INDEX(Sheet2!A:A,QUOTIENT(ROW()-1,19)+2)</f>
        <v>41808</v>
      </c>
      <c r="DJ4229" s="4">
        <f>INDEX(Sheet2!C:C,QUOTIENT(ROW()-1,19)+2)</f>
        <v>43100</v>
      </c>
      <c r="DK4229" s="4" t="e">
        <f>INDEX(Sheet2!$AA$2:$AS$228,QUOTIENT(ROW()-1,19)+1,MOD(ROW()-2,19)+1)</f>
        <v>#N/A</v>
      </c>
      <c r="DL4229" t="str">
        <f>IFERROR(INDEX(Sheet2!$AU$2:$BM$228,QUOTIENT(ROW()-1,19)+1,MOD(ROW()-2,19)+1),NA())</f>
        <v/>
      </c>
      <c r="DM4229" s="4" t="e">
        <f t="shared" si="219"/>
        <v>#N/A</v>
      </c>
      <c r="DN4229" t="str">
        <f t="shared" si="220"/>
        <v/>
      </c>
      <c r="DO4229" t="e">
        <f t="shared" si="221"/>
        <v>#N/A</v>
      </c>
    </row>
    <row r="4230" spans="7:119" x14ac:dyDescent="0.25">
      <c r="G4230"/>
      <c r="DI4230" s="4">
        <f>INDEX(Sheet2!A:A,QUOTIENT(ROW()-1,19)+2)</f>
        <v>41808</v>
      </c>
      <c r="DJ4230" s="4">
        <f>INDEX(Sheet2!C:C,QUOTIENT(ROW()-1,19)+2)</f>
        <v>43100</v>
      </c>
      <c r="DK4230" s="4" t="e">
        <f>INDEX(Sheet2!$AA$2:$AS$228,QUOTIENT(ROW()-1,19)+1,MOD(ROW()-2,19)+1)</f>
        <v>#N/A</v>
      </c>
      <c r="DL4230" t="str">
        <f>IFERROR(INDEX(Sheet2!$AU$2:$BM$228,QUOTIENT(ROW()-1,19)+1,MOD(ROW()-2,19)+1),NA())</f>
        <v/>
      </c>
      <c r="DM4230" s="4" t="e">
        <f t="shared" si="219"/>
        <v>#N/A</v>
      </c>
      <c r="DN4230" t="str">
        <f t="shared" si="220"/>
        <v/>
      </c>
      <c r="DO4230" t="e">
        <f t="shared" si="221"/>
        <v>#N/A</v>
      </c>
    </row>
    <row r="4231" spans="7:119" x14ac:dyDescent="0.25">
      <c r="G4231"/>
      <c r="DI4231" s="4">
        <f>INDEX(Sheet2!A:A,QUOTIENT(ROW()-1,19)+2)</f>
        <v>41808</v>
      </c>
      <c r="DJ4231" s="4">
        <f>INDEX(Sheet2!C:C,QUOTIENT(ROW()-1,19)+2)</f>
        <v>43100</v>
      </c>
      <c r="DK4231" s="4" t="e">
        <f>INDEX(Sheet2!$AA$2:$AS$228,QUOTIENT(ROW()-1,19)+1,MOD(ROW()-2,19)+1)</f>
        <v>#N/A</v>
      </c>
      <c r="DL4231" t="str">
        <f>IFERROR(INDEX(Sheet2!$AU$2:$BM$228,QUOTIENT(ROW()-1,19)+1,MOD(ROW()-2,19)+1),NA())</f>
        <v/>
      </c>
      <c r="DM4231" s="4" t="e">
        <f t="shared" si="219"/>
        <v>#N/A</v>
      </c>
      <c r="DN4231" t="str">
        <f t="shared" si="220"/>
        <v/>
      </c>
      <c r="DO4231" t="e">
        <f t="shared" si="221"/>
        <v>#N/A</v>
      </c>
    </row>
    <row r="4232" spans="7:119" x14ac:dyDescent="0.25">
      <c r="G4232"/>
      <c r="DI4232" s="4">
        <f>INDEX(Sheet2!A:A,QUOTIENT(ROW()-1,19)+2)</f>
        <v>41808</v>
      </c>
      <c r="DJ4232" s="4">
        <f>INDEX(Sheet2!C:C,QUOTIENT(ROW()-1,19)+2)</f>
        <v>43100</v>
      </c>
      <c r="DK4232" s="4" t="e">
        <f>INDEX(Sheet2!$AA$2:$AS$228,QUOTIENT(ROW()-1,19)+1,MOD(ROW()-2,19)+1)</f>
        <v>#N/A</v>
      </c>
      <c r="DL4232" t="str">
        <f>IFERROR(INDEX(Sheet2!$AU$2:$BM$228,QUOTIENT(ROW()-1,19)+1,MOD(ROW()-2,19)+1),NA())</f>
        <v/>
      </c>
      <c r="DM4232" s="4" t="e">
        <f t="shared" si="219"/>
        <v>#N/A</v>
      </c>
      <c r="DN4232" t="str">
        <f t="shared" si="220"/>
        <v/>
      </c>
      <c r="DO4232" t="e">
        <f t="shared" si="221"/>
        <v>#N/A</v>
      </c>
    </row>
    <row r="4233" spans="7:119" x14ac:dyDescent="0.25">
      <c r="G4233"/>
      <c r="DI4233" s="4">
        <f>INDEX(Sheet2!A:A,QUOTIENT(ROW()-1,19)+2)</f>
        <v>41808</v>
      </c>
      <c r="DJ4233" s="4">
        <f>INDEX(Sheet2!C:C,QUOTIENT(ROW()-1,19)+2)</f>
        <v>43100</v>
      </c>
      <c r="DK4233" s="4" t="e">
        <f>INDEX(Sheet2!$AA$2:$AS$228,QUOTIENT(ROW()-1,19)+1,MOD(ROW()-2,19)+1)</f>
        <v>#N/A</v>
      </c>
      <c r="DL4233" t="str">
        <f>IFERROR(INDEX(Sheet2!$AU$2:$BM$228,QUOTIENT(ROW()-1,19)+1,MOD(ROW()-2,19)+1),NA())</f>
        <v/>
      </c>
      <c r="DM4233" s="4" t="e">
        <f t="shared" si="219"/>
        <v>#N/A</v>
      </c>
      <c r="DN4233" t="str">
        <f t="shared" si="220"/>
        <v/>
      </c>
      <c r="DO4233" t="e">
        <f t="shared" si="221"/>
        <v>#N/A</v>
      </c>
    </row>
    <row r="4234" spans="7:119" x14ac:dyDescent="0.25">
      <c r="G4234"/>
      <c r="DI4234" s="4">
        <f>INDEX(Sheet2!A:A,QUOTIENT(ROW()-1,19)+2)</f>
        <v>41808</v>
      </c>
      <c r="DJ4234" s="4">
        <f>INDEX(Sheet2!C:C,QUOTIENT(ROW()-1,19)+2)</f>
        <v>43100</v>
      </c>
      <c r="DK4234" s="4" t="e">
        <f>INDEX(Sheet2!$AA$2:$AS$228,QUOTIENT(ROW()-1,19)+1,MOD(ROW()-2,19)+1)</f>
        <v>#N/A</v>
      </c>
      <c r="DL4234" t="str">
        <f>IFERROR(INDEX(Sheet2!$AU$2:$BM$228,QUOTIENT(ROW()-1,19)+1,MOD(ROW()-2,19)+1),NA())</f>
        <v/>
      </c>
      <c r="DM4234" s="4" t="e">
        <f t="shared" si="219"/>
        <v>#N/A</v>
      </c>
      <c r="DN4234" t="str">
        <f t="shared" si="220"/>
        <v/>
      </c>
      <c r="DO4234" t="e">
        <f t="shared" si="221"/>
        <v>#N/A</v>
      </c>
    </row>
    <row r="4235" spans="7:119" x14ac:dyDescent="0.25">
      <c r="G4235"/>
      <c r="DI4235" s="4">
        <f>INDEX(Sheet2!A:A,QUOTIENT(ROW()-1,19)+2)</f>
        <v>41808</v>
      </c>
      <c r="DJ4235" s="4">
        <f>INDEX(Sheet2!C:C,QUOTIENT(ROW()-1,19)+2)</f>
        <v>43100</v>
      </c>
      <c r="DK4235" s="4" t="e">
        <f>INDEX(Sheet2!$AA$2:$AS$228,QUOTIENT(ROW()-1,19)+1,MOD(ROW()-2,19)+1)</f>
        <v>#N/A</v>
      </c>
      <c r="DL4235" t="str">
        <f>IFERROR(INDEX(Sheet2!$AU$2:$BM$228,QUOTIENT(ROW()-1,19)+1,MOD(ROW()-2,19)+1),NA())</f>
        <v/>
      </c>
      <c r="DM4235" s="4" t="e">
        <f t="shared" si="219"/>
        <v>#N/A</v>
      </c>
      <c r="DN4235" t="str">
        <f t="shared" si="220"/>
        <v/>
      </c>
      <c r="DO4235" t="e">
        <f t="shared" si="221"/>
        <v>#N/A</v>
      </c>
    </row>
    <row r="4236" spans="7:119" x14ac:dyDescent="0.25">
      <c r="G4236"/>
      <c r="DI4236" s="4">
        <f>INDEX(Sheet2!A:A,QUOTIENT(ROW()-1,19)+2)</f>
        <v>41808</v>
      </c>
      <c r="DJ4236" s="4">
        <f>INDEX(Sheet2!C:C,QUOTIENT(ROW()-1,19)+2)</f>
        <v>43100</v>
      </c>
      <c r="DK4236" s="4" t="e">
        <f>INDEX(Sheet2!$AA$2:$AS$228,QUOTIENT(ROW()-1,19)+1,MOD(ROW()-2,19)+1)</f>
        <v>#N/A</v>
      </c>
      <c r="DL4236" t="str">
        <f>IFERROR(INDEX(Sheet2!$AU$2:$BM$228,QUOTIENT(ROW()-1,19)+1,MOD(ROW()-2,19)+1),NA())</f>
        <v/>
      </c>
      <c r="DM4236" s="4" t="e">
        <f t="shared" si="219"/>
        <v>#N/A</v>
      </c>
      <c r="DN4236" t="str">
        <f t="shared" si="220"/>
        <v/>
      </c>
      <c r="DO4236" t="e">
        <f t="shared" si="221"/>
        <v>#N/A</v>
      </c>
    </row>
    <row r="4237" spans="7:119" x14ac:dyDescent="0.25">
      <c r="G4237"/>
      <c r="DI4237" s="4">
        <f>INDEX(Sheet2!A:A,QUOTIENT(ROW()-1,19)+2)</f>
        <v>41808</v>
      </c>
      <c r="DJ4237" s="4">
        <f>INDEX(Sheet2!C:C,QUOTIENT(ROW()-1,19)+2)</f>
        <v>43100</v>
      </c>
      <c r="DK4237" s="4" t="e">
        <f>INDEX(Sheet2!$AA$2:$AS$228,QUOTIENT(ROW()-1,19)+1,MOD(ROW()-2,19)+1)</f>
        <v>#N/A</v>
      </c>
      <c r="DL4237" t="str">
        <f>IFERROR(INDEX(Sheet2!$AU$2:$BM$228,QUOTIENT(ROW()-1,19)+1,MOD(ROW()-2,19)+1),NA())</f>
        <v/>
      </c>
      <c r="DM4237" s="4" t="e">
        <f t="shared" si="219"/>
        <v>#N/A</v>
      </c>
      <c r="DN4237" t="str">
        <f t="shared" si="220"/>
        <v/>
      </c>
      <c r="DO4237" t="e">
        <f t="shared" si="221"/>
        <v>#N/A</v>
      </c>
    </row>
    <row r="4238" spans="7:119" x14ac:dyDescent="0.25">
      <c r="G4238"/>
      <c r="DI4238" s="4">
        <f>INDEX(Sheet2!A:A,QUOTIENT(ROW()-1,19)+2)</f>
        <v>41808</v>
      </c>
      <c r="DJ4238" s="4">
        <f>INDEX(Sheet2!C:C,QUOTIENT(ROW()-1,19)+2)</f>
        <v>43100</v>
      </c>
      <c r="DK4238" s="4" t="e">
        <f>INDEX(Sheet2!$AA$2:$AS$228,QUOTIENT(ROW()-1,19)+1,MOD(ROW()-2,19)+1)</f>
        <v>#N/A</v>
      </c>
      <c r="DL4238" t="str">
        <f>IFERROR(INDEX(Sheet2!$AU$2:$BM$228,QUOTIENT(ROW()-1,19)+1,MOD(ROW()-2,19)+1),NA())</f>
        <v/>
      </c>
      <c r="DM4238" s="4" t="e">
        <f t="shared" si="219"/>
        <v>#N/A</v>
      </c>
      <c r="DN4238" t="str">
        <f t="shared" si="220"/>
        <v/>
      </c>
      <c r="DO4238" t="e">
        <f t="shared" si="221"/>
        <v>#N/A</v>
      </c>
    </row>
    <row r="4239" spans="7:119" x14ac:dyDescent="0.25">
      <c r="G4239"/>
      <c r="DI4239" s="4">
        <f>INDEX(Sheet2!A:A,QUOTIENT(ROW()-1,19)+2)</f>
        <v>41808</v>
      </c>
      <c r="DJ4239" s="4">
        <f>INDEX(Sheet2!C:C,QUOTIENT(ROW()-1,19)+2)</f>
        <v>43100</v>
      </c>
      <c r="DK4239" s="4">
        <f>INDEX(Sheet2!$AA$2:$AS$228,QUOTIENT(ROW()-1,19)+1,MOD(ROW()-2,19)+1)</f>
        <v>43079.924999999996</v>
      </c>
      <c r="DL4239">
        <f>IFERROR(INDEX(Sheet2!$AU$2:$BM$228,QUOTIENT(ROW()-1,19)+1,MOD(ROW()-2,19)+1),NA())</f>
        <v>3.5</v>
      </c>
      <c r="DM4239" s="4">
        <f t="shared" si="219"/>
        <v>43079.924999999996</v>
      </c>
      <c r="DN4239">
        <f t="shared" si="220"/>
        <v>3.5</v>
      </c>
      <c r="DO4239">
        <f t="shared" si="221"/>
        <v>3.5</v>
      </c>
    </row>
    <row r="4240" spans="7:119" x14ac:dyDescent="0.25">
      <c r="G4240"/>
      <c r="DI4240" s="4">
        <f>INDEX(Sheet2!A:A,QUOTIENT(ROW()-1,19)+2)</f>
        <v>41808</v>
      </c>
      <c r="DJ4240" s="4">
        <f>INDEX(Sheet2!C:C,QUOTIENT(ROW()-1,19)+2)</f>
        <v>43100</v>
      </c>
      <c r="DK4240" s="4">
        <f>INDEX(Sheet2!$AA$2:$AS$228,QUOTIENT(ROW()-1,19)+1,MOD(ROW()-2,19)+1)</f>
        <v>43100</v>
      </c>
      <c r="DL4240">
        <f>IFERROR(INDEX(Sheet2!$AU$2:$BM$228,QUOTIENT(ROW()-1,19)+1,MOD(ROW()-2,19)+1),NA())</f>
        <v>3.5</v>
      </c>
      <c r="DM4240" s="4">
        <f t="shared" si="219"/>
        <v>43100</v>
      </c>
      <c r="DN4240">
        <f t="shared" si="220"/>
        <v>3.5</v>
      </c>
      <c r="DO4240">
        <f t="shared" si="221"/>
        <v>3.5</v>
      </c>
    </row>
    <row r="4241" spans="7:119" x14ac:dyDescent="0.25">
      <c r="G4241"/>
      <c r="DI4241" s="4">
        <f>INDEX(Sheet2!A:A,QUOTIENT(ROW()-1,19)+2)</f>
        <v>41808</v>
      </c>
      <c r="DJ4241" s="4">
        <f>INDEX(Sheet2!C:C,QUOTIENT(ROW()-1,19)+2)</f>
        <v>43100</v>
      </c>
      <c r="DK4241" s="4">
        <f>INDEX(Sheet2!$AA$2:$AS$228,QUOTIENT(ROW()-1,19)+1,MOD(ROW()-2,19)+1)</f>
        <v>43120.074999999997</v>
      </c>
      <c r="DL4241">
        <f>IFERROR(INDEX(Sheet2!$AU$2:$BM$228,QUOTIENT(ROW()-1,19)+1,MOD(ROW()-2,19)+1),NA())</f>
        <v>3.5</v>
      </c>
      <c r="DM4241" s="4">
        <f t="shared" si="219"/>
        <v>43120.074999999997</v>
      </c>
      <c r="DN4241">
        <f t="shared" si="220"/>
        <v>3.5</v>
      </c>
      <c r="DO4241">
        <f t="shared" si="221"/>
        <v>3.5</v>
      </c>
    </row>
    <row r="4242" spans="7:119" x14ac:dyDescent="0.25">
      <c r="G4242"/>
      <c r="DI4242" s="4">
        <f>INDEX(Sheet2!A:A,QUOTIENT(ROW()-1,19)+2)</f>
        <v>41808</v>
      </c>
      <c r="DJ4242" s="4">
        <f>INDEX(Sheet2!C:C,QUOTIENT(ROW()-1,19)+2)</f>
        <v>43100</v>
      </c>
      <c r="DK4242" s="4" t="e">
        <f>INDEX(Sheet2!$AA$2:$AS$228,QUOTIENT(ROW()-1,19)+1,MOD(ROW()-2,19)+1)</f>
        <v>#N/A</v>
      </c>
      <c r="DL4242" t="str">
        <f>IFERROR(INDEX(Sheet2!$AU$2:$BM$228,QUOTIENT(ROW()-1,19)+1,MOD(ROW()-2,19)+1),NA())</f>
        <v/>
      </c>
      <c r="DM4242" s="4" t="e">
        <f t="shared" si="219"/>
        <v>#N/A</v>
      </c>
      <c r="DN4242" t="str">
        <f t="shared" si="220"/>
        <v/>
      </c>
      <c r="DO4242" t="e">
        <f t="shared" si="221"/>
        <v>#N/A</v>
      </c>
    </row>
    <row r="4243" spans="7:119" x14ac:dyDescent="0.25">
      <c r="G4243"/>
      <c r="DI4243" s="4">
        <f>INDEX(Sheet2!A:A,QUOTIENT(ROW()-1,19)+2)</f>
        <v>41808</v>
      </c>
      <c r="DJ4243" s="4">
        <f>INDEX(Sheet2!C:C,QUOTIENT(ROW()-1,19)+2)</f>
        <v>43100</v>
      </c>
      <c r="DK4243" s="4" t="e">
        <f>INDEX(Sheet2!$AA$2:$AS$228,QUOTIENT(ROW()-1,19)+1,MOD(ROW()-2,19)+1)</f>
        <v>#N/A</v>
      </c>
      <c r="DL4243" t="str">
        <f>IFERROR(INDEX(Sheet2!$AU$2:$BM$228,QUOTIENT(ROW()-1,19)+1,MOD(ROW()-2,19)+1),NA())</f>
        <v/>
      </c>
      <c r="DM4243" s="4" t="e">
        <f t="shared" si="219"/>
        <v>#N/A</v>
      </c>
      <c r="DN4243" t="str">
        <f t="shared" si="220"/>
        <v/>
      </c>
      <c r="DO4243" t="e">
        <f t="shared" si="221"/>
        <v>#N/A</v>
      </c>
    </row>
    <row r="4244" spans="7:119" x14ac:dyDescent="0.25">
      <c r="G4244"/>
      <c r="DI4244" s="4">
        <f>INDEX(Sheet2!A:A,QUOTIENT(ROW()-1,19)+2)</f>
        <v>41808</v>
      </c>
      <c r="DJ4244" s="4">
        <f>INDEX(Sheet2!C:C,QUOTIENT(ROW()-1,19)+2)</f>
        <v>43100</v>
      </c>
      <c r="DK4244" s="4" t="e">
        <f>INDEX(Sheet2!$AA$2:$AS$228,QUOTIENT(ROW()-1,19)+1,MOD(ROW()-2,19)+1)</f>
        <v>#N/A</v>
      </c>
      <c r="DL4244" t="str">
        <f>IFERROR(INDEX(Sheet2!$AU$2:$BM$228,QUOTIENT(ROW()-1,19)+1,MOD(ROW()-2,19)+1),NA())</f>
        <v/>
      </c>
      <c r="DM4244" s="4" t="e">
        <f t="shared" si="219"/>
        <v>#N/A</v>
      </c>
      <c r="DN4244" t="str">
        <f t="shared" si="220"/>
        <v/>
      </c>
      <c r="DO4244" t="e">
        <f t="shared" si="221"/>
        <v>#N/A</v>
      </c>
    </row>
    <row r="4245" spans="7:119" x14ac:dyDescent="0.25">
      <c r="G4245"/>
      <c r="DI4245" s="4">
        <f>INDEX(Sheet2!A:A,QUOTIENT(ROW()-1,19)+2)</f>
        <v>41808</v>
      </c>
      <c r="DJ4245" s="4">
        <f>INDEX(Sheet2!C:C,QUOTIENT(ROW()-1,19)+2)</f>
        <v>43100</v>
      </c>
      <c r="DK4245" s="4" t="e">
        <f>INDEX(Sheet2!$AA$2:$AS$228,QUOTIENT(ROW()-1,19)+1,MOD(ROW()-2,19)+1)</f>
        <v>#N/A</v>
      </c>
      <c r="DL4245" t="str">
        <f>IFERROR(INDEX(Sheet2!$AU$2:$BM$228,QUOTIENT(ROW()-1,19)+1,MOD(ROW()-2,19)+1),NA())</f>
        <v/>
      </c>
      <c r="DM4245" s="4" t="e">
        <f t="shared" si="219"/>
        <v>#N/A</v>
      </c>
      <c r="DN4245" t="str">
        <f t="shared" si="220"/>
        <v/>
      </c>
      <c r="DO4245" t="e">
        <f t="shared" si="221"/>
        <v>#N/A</v>
      </c>
    </row>
    <row r="4246" spans="7:119" x14ac:dyDescent="0.25">
      <c r="G4246"/>
      <c r="DI4246" s="4">
        <f>INDEX(Sheet2!A:A,QUOTIENT(ROW()-1,19)+2)</f>
        <v>41808</v>
      </c>
      <c r="DJ4246" s="4">
        <f>INDEX(Sheet2!C:C,QUOTIENT(ROW()-1,19)+2)</f>
        <v>43100</v>
      </c>
      <c r="DK4246" s="4" t="e">
        <f>INDEX(Sheet2!$AA$2:$AS$228,QUOTIENT(ROW()-1,19)+1,MOD(ROW()-2,19)+1)</f>
        <v>#N/A</v>
      </c>
      <c r="DL4246" t="str">
        <f>IFERROR(INDEX(Sheet2!$AU$2:$BM$228,QUOTIENT(ROW()-1,19)+1,MOD(ROW()-2,19)+1),NA())</f>
        <v/>
      </c>
      <c r="DM4246" s="4" t="e">
        <f t="shared" si="219"/>
        <v>#N/A</v>
      </c>
      <c r="DN4246" t="str">
        <f t="shared" si="220"/>
        <v/>
      </c>
      <c r="DO4246" t="e">
        <f t="shared" si="221"/>
        <v>#N/A</v>
      </c>
    </row>
    <row r="4247" spans="7:119" x14ac:dyDescent="0.25">
      <c r="G4247"/>
      <c r="DI4247" s="4">
        <f>INDEX(Sheet2!A:A,QUOTIENT(ROW()-1,19)+2)</f>
        <v>41808</v>
      </c>
      <c r="DJ4247" s="4">
        <f>INDEX(Sheet2!C:C,QUOTIENT(ROW()-1,19)+2)</f>
        <v>43100</v>
      </c>
      <c r="DK4247" s="4" t="e">
        <f>INDEX(Sheet2!$AA$2:$AS$228,QUOTIENT(ROW()-1,19)+1,MOD(ROW()-2,19)+1)</f>
        <v>#N/A</v>
      </c>
      <c r="DL4247" t="str">
        <f>IFERROR(INDEX(Sheet2!$AU$2:$BM$228,QUOTIENT(ROW()-1,19)+1,MOD(ROW()-2,19)+1),NA())</f>
        <v/>
      </c>
      <c r="DM4247" s="4" t="e">
        <f t="shared" si="219"/>
        <v>#N/A</v>
      </c>
      <c r="DN4247" t="str">
        <f t="shared" si="220"/>
        <v/>
      </c>
      <c r="DO4247" t="e">
        <f t="shared" si="221"/>
        <v>#N/A</v>
      </c>
    </row>
    <row r="4248" spans="7:119" x14ac:dyDescent="0.25">
      <c r="G4248"/>
      <c r="DI4248" s="4">
        <f>INDEX(Sheet2!A:A,QUOTIENT(ROW()-1,19)+2)</f>
        <v>41808</v>
      </c>
      <c r="DJ4248" s="4">
        <f>INDEX(Sheet2!C:C,QUOTIENT(ROW()-1,19)+2)</f>
        <v>43100</v>
      </c>
      <c r="DK4248" s="4" t="e">
        <f>INDEX(Sheet2!$AA$2:$AS$228,QUOTIENT(ROW()-1,19)+1,MOD(ROW()-2,19)+1)</f>
        <v>#N/A</v>
      </c>
      <c r="DL4248" t="str">
        <f>IFERROR(INDEX(Sheet2!$AU$2:$BM$228,QUOTIENT(ROW()-1,19)+1,MOD(ROW()-2,19)+1),NA())</f>
        <v/>
      </c>
      <c r="DM4248" s="4" t="e">
        <f t="shared" si="219"/>
        <v>#N/A</v>
      </c>
      <c r="DN4248" t="str">
        <f t="shared" si="220"/>
        <v/>
      </c>
      <c r="DO4248" t="e">
        <f t="shared" si="221"/>
        <v>#N/A</v>
      </c>
    </row>
    <row r="4249" spans="7:119" x14ac:dyDescent="0.25">
      <c r="G4249"/>
      <c r="DI4249" s="4">
        <f>INDEX(Sheet2!A:A,QUOTIENT(ROW()-1,19)+2)</f>
        <v>41808</v>
      </c>
      <c r="DJ4249" s="4">
        <f>INDEX(Sheet2!C:C,QUOTIENT(ROW()-1,19)+2)</f>
        <v>43100</v>
      </c>
      <c r="DK4249" s="4" t="e">
        <f>INDEX(Sheet2!$AA$2:$AS$228,QUOTIENT(ROW()-1,19)+1,MOD(ROW()-2,19)+1)</f>
        <v>#N/A</v>
      </c>
      <c r="DL4249" t="str">
        <f>IFERROR(INDEX(Sheet2!$AU$2:$BM$228,QUOTIENT(ROW()-1,19)+1,MOD(ROW()-2,19)+1),NA())</f>
        <v/>
      </c>
      <c r="DM4249" s="4" t="e">
        <f t="shared" si="219"/>
        <v>#N/A</v>
      </c>
      <c r="DN4249" t="str">
        <f t="shared" si="220"/>
        <v/>
      </c>
      <c r="DO4249" t="e">
        <f t="shared" si="221"/>
        <v>#N/A</v>
      </c>
    </row>
    <row r="4250" spans="7:119" x14ac:dyDescent="0.25">
      <c r="G4250"/>
      <c r="DI4250" s="4">
        <f>INDEX(Sheet2!A:A,QUOTIENT(ROW()-1,19)+2)</f>
        <v>41808</v>
      </c>
      <c r="DJ4250" s="4">
        <f>INDEX(Sheet2!C:C,QUOTIENT(ROW()-1,19)+2)</f>
        <v>43100</v>
      </c>
      <c r="DK4250" s="4" t="e">
        <f>INDEX(Sheet2!$AA$2:$AS$228,QUOTIENT(ROW()-1,19)+1,MOD(ROW()-2,19)+1)</f>
        <v>#N/A</v>
      </c>
      <c r="DL4250" t="str">
        <f>IFERROR(INDEX(Sheet2!$AU$2:$BM$228,QUOTIENT(ROW()-1,19)+1,MOD(ROW()-2,19)+1),NA())</f>
        <v/>
      </c>
      <c r="DM4250" s="4" t="e">
        <f t="shared" si="219"/>
        <v>#N/A</v>
      </c>
      <c r="DN4250" t="str">
        <f t="shared" si="220"/>
        <v/>
      </c>
      <c r="DO4250" t="e">
        <f t="shared" si="221"/>
        <v>#N/A</v>
      </c>
    </row>
    <row r="4251" spans="7:119" x14ac:dyDescent="0.25">
      <c r="G4251"/>
      <c r="DI4251" s="4">
        <f>INDEX(Sheet2!A:A,QUOTIENT(ROW()-1,19)+2)</f>
        <v>41808</v>
      </c>
      <c r="DJ4251" s="4">
        <f>INDEX(Sheet2!C:C,QUOTIENT(ROW()-1,19)+2)</f>
        <v>43100</v>
      </c>
      <c r="DK4251" s="4" t="e">
        <f>INDEX(Sheet2!$AA$2:$AS$228,QUOTIENT(ROW()-1,19)+1,MOD(ROW()-2,19)+1)</f>
        <v>#N/A</v>
      </c>
      <c r="DL4251" t="str">
        <f>IFERROR(INDEX(Sheet2!$AU$2:$BM$228,QUOTIENT(ROW()-1,19)+1,MOD(ROW()-2,19)+1),NA())</f>
        <v/>
      </c>
      <c r="DM4251" s="4" t="e">
        <f t="shared" si="219"/>
        <v>#N/A</v>
      </c>
      <c r="DN4251" t="str">
        <f t="shared" si="220"/>
        <v/>
      </c>
      <c r="DO4251" t="e">
        <f t="shared" si="221"/>
        <v>#N/A</v>
      </c>
    </row>
    <row r="4252" spans="7:119" x14ac:dyDescent="0.25">
      <c r="G4252"/>
      <c r="DI4252" s="4">
        <f>INDEX(Sheet2!A:A,QUOTIENT(ROW()-1,19)+2)</f>
        <v>41808</v>
      </c>
      <c r="DJ4252" s="4">
        <f>INDEX(Sheet2!C:C,QUOTIENT(ROW()-1,19)+2)</f>
        <v>43100</v>
      </c>
      <c r="DK4252" s="4" t="e">
        <f>INDEX(Sheet2!$AA$2:$AS$228,QUOTIENT(ROW()-1,19)+1,MOD(ROW()-2,19)+1)</f>
        <v>#N/A</v>
      </c>
      <c r="DL4252" t="str">
        <f>IFERROR(INDEX(Sheet2!$AU$2:$BM$228,QUOTIENT(ROW()-1,19)+1,MOD(ROW()-2,19)+1),NA())</f>
        <v/>
      </c>
      <c r="DM4252" s="4" t="e">
        <f t="shared" si="219"/>
        <v>#N/A</v>
      </c>
      <c r="DN4252" t="str">
        <f t="shared" si="220"/>
        <v/>
      </c>
      <c r="DO4252" t="e">
        <f t="shared" si="221"/>
        <v>#N/A</v>
      </c>
    </row>
    <row r="4253" spans="7:119" x14ac:dyDescent="0.25">
      <c r="G4253"/>
      <c r="DI4253" s="4">
        <f>INDEX(Sheet2!A:A,QUOTIENT(ROW()-1,19)+2)</f>
        <v>41808</v>
      </c>
      <c r="DJ4253" s="4">
        <f>INDEX(Sheet2!C:C,QUOTIENT(ROW()-1,19)+2)</f>
        <v>43100</v>
      </c>
      <c r="DK4253" s="4" t="e">
        <f>INDEX(Sheet2!$AA$2:$AS$228,QUOTIENT(ROW()-1,19)+1,MOD(ROW()-2,19)+1)</f>
        <v>#N/A</v>
      </c>
      <c r="DL4253" t="str">
        <f>IFERROR(INDEX(Sheet2!$AU$2:$BM$228,QUOTIENT(ROW()-1,19)+1,MOD(ROW()-2,19)+1),NA())</f>
        <v/>
      </c>
      <c r="DM4253" s="4" t="e">
        <f t="shared" si="219"/>
        <v>#N/A</v>
      </c>
      <c r="DN4253" t="str">
        <f t="shared" si="220"/>
        <v/>
      </c>
      <c r="DO4253" t="e">
        <f t="shared" si="221"/>
        <v>#N/A</v>
      </c>
    </row>
    <row r="4254" spans="7:119" x14ac:dyDescent="0.25">
      <c r="G4254"/>
      <c r="DI4254" s="4">
        <f>INDEX(Sheet2!A:A,QUOTIENT(ROW()-1,19)+2)</f>
        <v>41808</v>
      </c>
      <c r="DJ4254" s="4">
        <f>INDEX(Sheet2!C:C,QUOTIENT(ROW()-1,19)+2)</f>
        <v>43100</v>
      </c>
      <c r="DK4254" s="4" t="e">
        <f>INDEX(Sheet2!$AA$2:$AS$228,QUOTIENT(ROW()-1,19)+1,MOD(ROW()-2,19)+1)</f>
        <v>#N/A</v>
      </c>
      <c r="DL4254" t="str">
        <f>IFERROR(INDEX(Sheet2!$AU$2:$BM$228,QUOTIENT(ROW()-1,19)+1,MOD(ROW()-2,19)+1),NA())</f>
        <v/>
      </c>
      <c r="DM4254" s="4" t="e">
        <f t="shared" si="219"/>
        <v>#N/A</v>
      </c>
      <c r="DN4254" t="str">
        <f t="shared" si="220"/>
        <v/>
      </c>
      <c r="DO4254" t="e">
        <f t="shared" si="221"/>
        <v>#N/A</v>
      </c>
    </row>
    <row r="4255" spans="7:119" x14ac:dyDescent="0.25">
      <c r="G4255"/>
      <c r="DI4255" s="4">
        <f>INDEX(Sheet2!A:A,QUOTIENT(ROW()-1,19)+2)</f>
        <v>41808</v>
      </c>
      <c r="DJ4255" s="4">
        <f>INDEX(Sheet2!C:C,QUOTIENT(ROW()-1,19)+2)</f>
        <v>43100</v>
      </c>
      <c r="DK4255" s="4" t="e">
        <f>INDEX(Sheet2!$AA$2:$AS$228,QUOTIENT(ROW()-1,19)+1,MOD(ROW()-2,19)+1)</f>
        <v>#N/A</v>
      </c>
      <c r="DL4255" t="str">
        <f>IFERROR(INDEX(Sheet2!$AU$2:$BM$228,QUOTIENT(ROW()-1,19)+1,MOD(ROW()-2,19)+1),NA())</f>
        <v/>
      </c>
      <c r="DM4255" s="4" t="e">
        <f t="shared" si="219"/>
        <v>#N/A</v>
      </c>
      <c r="DN4255" t="str">
        <f t="shared" si="220"/>
        <v/>
      </c>
      <c r="DO4255" t="e">
        <f t="shared" si="221"/>
        <v>#N/A</v>
      </c>
    </row>
    <row r="4256" spans="7:119" x14ac:dyDescent="0.25">
      <c r="G4256"/>
      <c r="DI4256" s="4">
        <f>INDEX(Sheet2!A:A,QUOTIENT(ROW()-1,19)+2)</f>
        <v>41808</v>
      </c>
      <c r="DJ4256" s="4">
        <f>INDEX(Sheet2!C:C,QUOTIENT(ROW()-1,19)+2)</f>
        <v>43100</v>
      </c>
      <c r="DK4256" s="4" t="e">
        <f>INDEX(Sheet2!$AA$2:$AS$228,QUOTIENT(ROW()-1,19)+1,MOD(ROW()-2,19)+1)</f>
        <v>#N/A</v>
      </c>
      <c r="DL4256" t="str">
        <f>IFERROR(INDEX(Sheet2!$AU$2:$BM$228,QUOTIENT(ROW()-1,19)+1,MOD(ROW()-2,19)+1),NA())</f>
        <v/>
      </c>
      <c r="DM4256" s="4" t="e">
        <f t="shared" si="219"/>
        <v>#N/A</v>
      </c>
      <c r="DN4256" t="str">
        <f t="shared" si="220"/>
        <v/>
      </c>
      <c r="DO4256" t="e">
        <f t="shared" si="221"/>
        <v>#N/A</v>
      </c>
    </row>
    <row r="4257" spans="7:119" x14ac:dyDescent="0.25">
      <c r="G4257"/>
      <c r="DI4257" s="4">
        <f>INDEX(Sheet2!A:A,QUOTIENT(ROW()-1,19)+2)</f>
        <v>41808</v>
      </c>
      <c r="DJ4257" s="4">
        <f>INDEX(Sheet2!C:C,QUOTIENT(ROW()-1,19)+2)</f>
        <v>43100</v>
      </c>
      <c r="DK4257" s="4" t="e">
        <f>INDEX(Sheet2!$AA$2:$AS$228,QUOTIENT(ROW()-1,19)+1,MOD(ROW()-2,19)+1)</f>
        <v>#N/A</v>
      </c>
      <c r="DL4257" t="str">
        <f>IFERROR(INDEX(Sheet2!$AU$2:$BM$228,QUOTIENT(ROW()-1,19)+1,MOD(ROW()-2,19)+1),NA())</f>
        <v/>
      </c>
      <c r="DM4257" s="4" t="e">
        <f t="shared" si="219"/>
        <v>#N/A</v>
      </c>
      <c r="DN4257" t="str">
        <f t="shared" si="220"/>
        <v/>
      </c>
      <c r="DO4257" t="e">
        <f t="shared" si="221"/>
        <v>#N/A</v>
      </c>
    </row>
    <row r="4258" spans="7:119" x14ac:dyDescent="0.25">
      <c r="G4258"/>
      <c r="DI4258" s="4">
        <f>INDEX(Sheet2!A:A,QUOTIENT(ROW()-1,19)+2)</f>
        <v>41808</v>
      </c>
      <c r="DJ4258" s="4">
        <f>INDEX(Sheet2!C:C,QUOTIENT(ROW()-1,19)+2)</f>
        <v>43100</v>
      </c>
      <c r="DK4258" s="4">
        <f>INDEX(Sheet2!$AA$2:$AS$228,QUOTIENT(ROW()-1,19)+1,MOD(ROW()-2,19)+1)</f>
        <v>43039.775000000001</v>
      </c>
      <c r="DL4258">
        <f>IFERROR(INDEX(Sheet2!$AU$2:$BM$228,QUOTIENT(ROW()-1,19)+1,MOD(ROW()-2,19)+1),NA())</f>
        <v>3.75</v>
      </c>
      <c r="DM4258" s="4">
        <f t="shared" si="219"/>
        <v>43039.775000000001</v>
      </c>
      <c r="DN4258">
        <f t="shared" si="220"/>
        <v>3.75</v>
      </c>
      <c r="DO4258">
        <f t="shared" si="221"/>
        <v>3.75</v>
      </c>
    </row>
    <row r="4259" spans="7:119" x14ac:dyDescent="0.25">
      <c r="G4259"/>
      <c r="DI4259" s="4">
        <f>INDEX(Sheet2!A:A,QUOTIENT(ROW()-1,19)+2)</f>
        <v>41808</v>
      </c>
      <c r="DJ4259" s="4">
        <f>INDEX(Sheet2!C:C,QUOTIENT(ROW()-1,19)+2)</f>
        <v>43100</v>
      </c>
      <c r="DK4259" s="4">
        <f>INDEX(Sheet2!$AA$2:$AS$228,QUOTIENT(ROW()-1,19)+1,MOD(ROW()-2,19)+1)</f>
        <v>43059.850000000006</v>
      </c>
      <c r="DL4259">
        <f>IFERROR(INDEX(Sheet2!$AU$2:$BM$228,QUOTIENT(ROW()-1,19)+1,MOD(ROW()-2,19)+1),NA())</f>
        <v>3.75</v>
      </c>
      <c r="DM4259" s="4">
        <f t="shared" si="219"/>
        <v>43059.850000000006</v>
      </c>
      <c r="DN4259">
        <f t="shared" si="220"/>
        <v>3.75</v>
      </c>
      <c r="DO4259">
        <f t="shared" si="221"/>
        <v>3.75</v>
      </c>
    </row>
    <row r="4260" spans="7:119" x14ac:dyDescent="0.25">
      <c r="G4260"/>
      <c r="DI4260" s="4">
        <f>INDEX(Sheet2!A:A,QUOTIENT(ROW()-1,19)+2)</f>
        <v>41808</v>
      </c>
      <c r="DJ4260" s="4">
        <f>INDEX(Sheet2!C:C,QUOTIENT(ROW()-1,19)+2)</f>
        <v>43100</v>
      </c>
      <c r="DK4260" s="4">
        <f>INDEX(Sheet2!$AA$2:$AS$228,QUOTIENT(ROW()-1,19)+1,MOD(ROW()-2,19)+1)</f>
        <v>43079.925000000003</v>
      </c>
      <c r="DL4260">
        <f>IFERROR(INDEX(Sheet2!$AU$2:$BM$228,QUOTIENT(ROW()-1,19)+1,MOD(ROW()-2,19)+1),NA())</f>
        <v>3.75</v>
      </c>
      <c r="DM4260" s="4">
        <f t="shared" si="219"/>
        <v>43079.925000000003</v>
      </c>
      <c r="DN4260">
        <f t="shared" si="220"/>
        <v>3.75</v>
      </c>
      <c r="DO4260">
        <f t="shared" si="221"/>
        <v>3.75</v>
      </c>
    </row>
    <row r="4261" spans="7:119" x14ac:dyDescent="0.25">
      <c r="G4261"/>
      <c r="DI4261" s="4">
        <f>INDEX(Sheet2!A:A,QUOTIENT(ROW()-1,19)+2)</f>
        <v>41808</v>
      </c>
      <c r="DJ4261" s="4">
        <f>INDEX(Sheet2!C:C,QUOTIENT(ROW()-1,19)+2)</f>
        <v>43100</v>
      </c>
      <c r="DK4261" s="4">
        <f>INDEX(Sheet2!$AA$2:$AS$228,QUOTIENT(ROW()-1,19)+1,MOD(ROW()-2,19)+1)</f>
        <v>43100.000000000007</v>
      </c>
      <c r="DL4261">
        <f>IFERROR(INDEX(Sheet2!$AU$2:$BM$228,QUOTIENT(ROW()-1,19)+1,MOD(ROW()-2,19)+1),NA())</f>
        <v>3.75</v>
      </c>
      <c r="DM4261" s="4">
        <f t="shared" si="219"/>
        <v>43100.000000000007</v>
      </c>
      <c r="DN4261">
        <f t="shared" si="220"/>
        <v>3.75</v>
      </c>
      <c r="DO4261">
        <f t="shared" si="221"/>
        <v>3.75</v>
      </c>
    </row>
    <row r="4262" spans="7:119" x14ac:dyDescent="0.25">
      <c r="G4262"/>
      <c r="DI4262" s="4">
        <f>INDEX(Sheet2!A:A,QUOTIENT(ROW()-1,19)+2)</f>
        <v>41808</v>
      </c>
      <c r="DJ4262" s="4">
        <f>INDEX(Sheet2!C:C,QUOTIENT(ROW()-1,19)+2)</f>
        <v>43100</v>
      </c>
      <c r="DK4262" s="4">
        <f>INDEX(Sheet2!$AA$2:$AS$228,QUOTIENT(ROW()-1,19)+1,MOD(ROW()-2,19)+1)</f>
        <v>43120.075000000004</v>
      </c>
      <c r="DL4262">
        <f>IFERROR(INDEX(Sheet2!$AU$2:$BM$228,QUOTIENT(ROW()-1,19)+1,MOD(ROW()-2,19)+1),NA())</f>
        <v>3.75</v>
      </c>
      <c r="DM4262" s="4">
        <f t="shared" si="219"/>
        <v>43120.075000000004</v>
      </c>
      <c r="DN4262">
        <f t="shared" si="220"/>
        <v>3.75</v>
      </c>
      <c r="DO4262">
        <f t="shared" si="221"/>
        <v>3.75</v>
      </c>
    </row>
    <row r="4263" spans="7:119" x14ac:dyDescent="0.25">
      <c r="G4263"/>
      <c r="DI4263" s="4">
        <f>INDEX(Sheet2!A:A,QUOTIENT(ROW()-1,19)+2)</f>
        <v>41808</v>
      </c>
      <c r="DJ4263" s="4">
        <f>INDEX(Sheet2!C:C,QUOTIENT(ROW()-1,19)+2)</f>
        <v>43100</v>
      </c>
      <c r="DK4263" s="4">
        <f>INDEX(Sheet2!$AA$2:$AS$228,QUOTIENT(ROW()-1,19)+1,MOD(ROW()-2,19)+1)</f>
        <v>43140.15</v>
      </c>
      <c r="DL4263">
        <f>IFERROR(INDEX(Sheet2!$AU$2:$BM$228,QUOTIENT(ROW()-1,19)+1,MOD(ROW()-2,19)+1),NA())</f>
        <v>3.75</v>
      </c>
      <c r="DM4263" s="4">
        <f t="shared" si="219"/>
        <v>43140.15</v>
      </c>
      <c r="DN4263">
        <f t="shared" si="220"/>
        <v>3.75</v>
      </c>
      <c r="DO4263">
        <f t="shared" si="221"/>
        <v>3.75</v>
      </c>
    </row>
    <row r="4264" spans="7:119" x14ac:dyDescent="0.25">
      <c r="G4264"/>
      <c r="DI4264" s="4">
        <f>INDEX(Sheet2!A:A,QUOTIENT(ROW()-1,19)+2)</f>
        <v>41808</v>
      </c>
      <c r="DJ4264" s="4">
        <f>INDEX(Sheet2!C:C,QUOTIENT(ROW()-1,19)+2)</f>
        <v>43100</v>
      </c>
      <c r="DK4264" s="4">
        <f>INDEX(Sheet2!$AA$2:$AS$228,QUOTIENT(ROW()-1,19)+1,MOD(ROW()-2,19)+1)</f>
        <v>43160.225000000006</v>
      </c>
      <c r="DL4264">
        <f>IFERROR(INDEX(Sheet2!$AU$2:$BM$228,QUOTIENT(ROW()-1,19)+1,MOD(ROW()-2,19)+1),NA())</f>
        <v>3.75</v>
      </c>
      <c r="DM4264" s="4">
        <f t="shared" si="219"/>
        <v>43160.225000000006</v>
      </c>
      <c r="DN4264">
        <f t="shared" si="220"/>
        <v>3.75</v>
      </c>
      <c r="DO4264">
        <f t="shared" si="221"/>
        <v>3.75</v>
      </c>
    </row>
    <row r="4265" spans="7:119" x14ac:dyDescent="0.25">
      <c r="G4265"/>
      <c r="DI4265" s="4">
        <f>INDEX(Sheet2!A:A,QUOTIENT(ROW()-1,19)+2)</f>
        <v>41808</v>
      </c>
      <c r="DJ4265" s="4">
        <f>INDEX(Sheet2!C:C,QUOTIENT(ROW()-1,19)+2)</f>
        <v>43100</v>
      </c>
      <c r="DK4265" s="4" t="e">
        <f>INDEX(Sheet2!$AA$2:$AS$228,QUOTIENT(ROW()-1,19)+1,MOD(ROW()-2,19)+1)</f>
        <v>#N/A</v>
      </c>
      <c r="DL4265" t="str">
        <f>IFERROR(INDEX(Sheet2!$AU$2:$BM$228,QUOTIENT(ROW()-1,19)+1,MOD(ROW()-2,19)+1),NA())</f>
        <v/>
      </c>
      <c r="DM4265" s="4" t="e">
        <f t="shared" si="219"/>
        <v>#N/A</v>
      </c>
      <c r="DN4265" t="str">
        <f t="shared" si="220"/>
        <v/>
      </c>
      <c r="DO4265" t="e">
        <f t="shared" si="221"/>
        <v>#N/A</v>
      </c>
    </row>
    <row r="4266" spans="7:119" x14ac:dyDescent="0.25">
      <c r="G4266"/>
      <c r="DI4266" s="4">
        <f>INDEX(Sheet2!A:A,QUOTIENT(ROW()-1,19)+2)</f>
        <v>41808</v>
      </c>
      <c r="DJ4266" s="4">
        <f>INDEX(Sheet2!C:C,QUOTIENT(ROW()-1,19)+2)</f>
        <v>43100</v>
      </c>
      <c r="DK4266" s="4" t="e">
        <f>INDEX(Sheet2!$AA$2:$AS$228,QUOTIENT(ROW()-1,19)+1,MOD(ROW()-2,19)+1)</f>
        <v>#N/A</v>
      </c>
      <c r="DL4266" t="str">
        <f>IFERROR(INDEX(Sheet2!$AU$2:$BM$228,QUOTIENT(ROW()-1,19)+1,MOD(ROW()-2,19)+1),NA())</f>
        <v/>
      </c>
      <c r="DM4266" s="4" t="e">
        <f t="shared" si="219"/>
        <v>#N/A</v>
      </c>
      <c r="DN4266" t="str">
        <f t="shared" si="220"/>
        <v/>
      </c>
      <c r="DO4266" t="e">
        <f t="shared" si="221"/>
        <v>#N/A</v>
      </c>
    </row>
    <row r="4267" spans="7:119" x14ac:dyDescent="0.25">
      <c r="G4267"/>
      <c r="DI4267" s="4">
        <f>INDEX(Sheet2!A:A,QUOTIENT(ROW()-1,19)+2)</f>
        <v>41808</v>
      </c>
      <c r="DJ4267" s="4">
        <f>INDEX(Sheet2!C:C,QUOTIENT(ROW()-1,19)+2)</f>
        <v>43100</v>
      </c>
      <c r="DK4267" s="4" t="e">
        <f>INDEX(Sheet2!$AA$2:$AS$228,QUOTIENT(ROW()-1,19)+1,MOD(ROW()-2,19)+1)</f>
        <v>#N/A</v>
      </c>
      <c r="DL4267" t="str">
        <f>IFERROR(INDEX(Sheet2!$AU$2:$BM$228,QUOTIENT(ROW()-1,19)+1,MOD(ROW()-2,19)+1),NA())</f>
        <v/>
      </c>
      <c r="DM4267" s="4" t="e">
        <f t="shared" si="219"/>
        <v>#N/A</v>
      </c>
      <c r="DN4267" t="str">
        <f t="shared" si="220"/>
        <v/>
      </c>
      <c r="DO4267" t="e">
        <f t="shared" si="221"/>
        <v>#N/A</v>
      </c>
    </row>
    <row r="4268" spans="7:119" x14ac:dyDescent="0.25">
      <c r="G4268"/>
      <c r="DI4268" s="4">
        <f>INDEX(Sheet2!A:A,QUOTIENT(ROW()-1,19)+2)</f>
        <v>41808</v>
      </c>
      <c r="DJ4268" s="4">
        <f>INDEX(Sheet2!C:C,QUOTIENT(ROW()-1,19)+2)</f>
        <v>43100</v>
      </c>
      <c r="DK4268" s="4" t="e">
        <f>INDEX(Sheet2!$AA$2:$AS$228,QUOTIENT(ROW()-1,19)+1,MOD(ROW()-2,19)+1)</f>
        <v>#N/A</v>
      </c>
      <c r="DL4268" t="str">
        <f>IFERROR(INDEX(Sheet2!$AU$2:$BM$228,QUOTIENT(ROW()-1,19)+1,MOD(ROW()-2,19)+1),NA())</f>
        <v/>
      </c>
      <c r="DM4268" s="4" t="e">
        <f t="shared" si="219"/>
        <v>#N/A</v>
      </c>
      <c r="DN4268" t="str">
        <f t="shared" si="220"/>
        <v/>
      </c>
      <c r="DO4268" t="e">
        <f t="shared" si="221"/>
        <v>#N/A</v>
      </c>
    </row>
    <row r="4269" spans="7:119" x14ac:dyDescent="0.25">
      <c r="G4269"/>
      <c r="DI4269" s="4">
        <f>INDEX(Sheet2!A:A,QUOTIENT(ROW()-1,19)+2)</f>
        <v>41808</v>
      </c>
      <c r="DJ4269" s="4">
        <f>INDEX(Sheet2!C:C,QUOTIENT(ROW()-1,19)+2)</f>
        <v>43100</v>
      </c>
      <c r="DK4269" s="4" t="e">
        <f>INDEX(Sheet2!$AA$2:$AS$228,QUOTIENT(ROW()-1,19)+1,MOD(ROW()-2,19)+1)</f>
        <v>#N/A</v>
      </c>
      <c r="DL4269" t="str">
        <f>IFERROR(INDEX(Sheet2!$AU$2:$BM$228,QUOTIENT(ROW()-1,19)+1,MOD(ROW()-2,19)+1),NA())</f>
        <v/>
      </c>
      <c r="DM4269" s="4" t="e">
        <f t="shared" si="219"/>
        <v>#N/A</v>
      </c>
      <c r="DN4269" t="str">
        <f t="shared" si="220"/>
        <v/>
      </c>
      <c r="DO4269" t="e">
        <f t="shared" si="221"/>
        <v>#N/A</v>
      </c>
    </row>
    <row r="4270" spans="7:119" x14ac:dyDescent="0.25">
      <c r="G4270"/>
      <c r="DI4270" s="4">
        <f>INDEX(Sheet2!A:A,QUOTIENT(ROW()-1,19)+2)</f>
        <v>41808</v>
      </c>
      <c r="DJ4270" s="4">
        <f>INDEX(Sheet2!C:C,QUOTIENT(ROW()-1,19)+2)</f>
        <v>43100</v>
      </c>
      <c r="DK4270" s="4" t="e">
        <f>INDEX(Sheet2!$AA$2:$AS$228,QUOTIENT(ROW()-1,19)+1,MOD(ROW()-2,19)+1)</f>
        <v>#N/A</v>
      </c>
      <c r="DL4270" t="str">
        <f>IFERROR(INDEX(Sheet2!$AU$2:$BM$228,QUOTIENT(ROW()-1,19)+1,MOD(ROW()-2,19)+1),NA())</f>
        <v/>
      </c>
      <c r="DM4270" s="4" t="e">
        <f t="shared" si="219"/>
        <v>#N/A</v>
      </c>
      <c r="DN4270" t="str">
        <f t="shared" si="220"/>
        <v/>
      </c>
      <c r="DO4270" t="e">
        <f t="shared" si="221"/>
        <v>#N/A</v>
      </c>
    </row>
    <row r="4271" spans="7:119" x14ac:dyDescent="0.25">
      <c r="G4271"/>
      <c r="DI4271" s="4">
        <f>INDEX(Sheet2!A:A,QUOTIENT(ROW()-1,19)+2)</f>
        <v>41808</v>
      </c>
      <c r="DJ4271" s="4">
        <f>INDEX(Sheet2!C:C,QUOTIENT(ROW()-1,19)+2)</f>
        <v>43100</v>
      </c>
      <c r="DK4271" s="4" t="e">
        <f>INDEX(Sheet2!$AA$2:$AS$228,QUOTIENT(ROW()-1,19)+1,MOD(ROW()-2,19)+1)</f>
        <v>#N/A</v>
      </c>
      <c r="DL4271" t="str">
        <f>IFERROR(INDEX(Sheet2!$AU$2:$BM$228,QUOTIENT(ROW()-1,19)+1,MOD(ROW()-2,19)+1),NA())</f>
        <v/>
      </c>
      <c r="DM4271" s="4" t="e">
        <f t="shared" si="219"/>
        <v>#N/A</v>
      </c>
      <c r="DN4271" t="str">
        <f t="shared" si="220"/>
        <v/>
      </c>
      <c r="DO4271" t="e">
        <f t="shared" si="221"/>
        <v>#N/A</v>
      </c>
    </row>
    <row r="4272" spans="7:119" x14ac:dyDescent="0.25">
      <c r="G4272"/>
      <c r="DI4272" s="4">
        <f>INDEX(Sheet2!A:A,QUOTIENT(ROW()-1,19)+2)</f>
        <v>41808</v>
      </c>
      <c r="DJ4272" s="4">
        <f>INDEX(Sheet2!C:C,QUOTIENT(ROW()-1,19)+2)</f>
        <v>43100</v>
      </c>
      <c r="DK4272" s="4" t="e">
        <f>INDEX(Sheet2!$AA$2:$AS$228,QUOTIENT(ROW()-1,19)+1,MOD(ROW()-2,19)+1)</f>
        <v>#N/A</v>
      </c>
      <c r="DL4272" t="str">
        <f>IFERROR(INDEX(Sheet2!$AU$2:$BM$228,QUOTIENT(ROW()-1,19)+1,MOD(ROW()-2,19)+1),NA())</f>
        <v/>
      </c>
      <c r="DM4272" s="4" t="e">
        <f t="shared" si="219"/>
        <v>#N/A</v>
      </c>
      <c r="DN4272" t="str">
        <f t="shared" si="220"/>
        <v/>
      </c>
      <c r="DO4272" t="e">
        <f t="shared" si="221"/>
        <v>#N/A</v>
      </c>
    </row>
    <row r="4273" spans="7:119" x14ac:dyDescent="0.25">
      <c r="G4273"/>
      <c r="DI4273" s="4">
        <f>INDEX(Sheet2!A:A,QUOTIENT(ROW()-1,19)+2)</f>
        <v>41808</v>
      </c>
      <c r="DJ4273" s="4">
        <f>INDEX(Sheet2!C:C,QUOTIENT(ROW()-1,19)+2)</f>
        <v>43100</v>
      </c>
      <c r="DK4273" s="4" t="e">
        <f>INDEX(Sheet2!$AA$2:$AS$228,QUOTIENT(ROW()-1,19)+1,MOD(ROW()-2,19)+1)</f>
        <v>#N/A</v>
      </c>
      <c r="DL4273" t="str">
        <f>IFERROR(INDEX(Sheet2!$AU$2:$BM$228,QUOTIENT(ROW()-1,19)+1,MOD(ROW()-2,19)+1),NA())</f>
        <v/>
      </c>
      <c r="DM4273" s="4" t="e">
        <f t="shared" si="219"/>
        <v>#N/A</v>
      </c>
      <c r="DN4273" t="str">
        <f t="shared" si="220"/>
        <v/>
      </c>
      <c r="DO4273" t="e">
        <f t="shared" si="221"/>
        <v>#N/A</v>
      </c>
    </row>
    <row r="4274" spans="7:119" x14ac:dyDescent="0.25">
      <c r="G4274"/>
      <c r="DI4274" s="4">
        <f>INDEX(Sheet2!A:A,QUOTIENT(ROW()-1,19)+2)</f>
        <v>41808</v>
      </c>
      <c r="DJ4274" s="4">
        <f>INDEX(Sheet2!C:C,QUOTIENT(ROW()-1,19)+2)</f>
        <v>43100</v>
      </c>
      <c r="DK4274" s="4" t="e">
        <f>INDEX(Sheet2!$AA$2:$AS$228,QUOTIENT(ROW()-1,19)+1,MOD(ROW()-2,19)+1)</f>
        <v>#N/A</v>
      </c>
      <c r="DL4274" t="str">
        <f>IFERROR(INDEX(Sheet2!$AU$2:$BM$228,QUOTIENT(ROW()-1,19)+1,MOD(ROW()-2,19)+1),NA())</f>
        <v/>
      </c>
      <c r="DM4274" s="4" t="e">
        <f t="shared" si="219"/>
        <v>#N/A</v>
      </c>
      <c r="DN4274" t="str">
        <f t="shared" si="220"/>
        <v/>
      </c>
      <c r="DO4274" t="e">
        <f t="shared" si="221"/>
        <v>#N/A</v>
      </c>
    </row>
    <row r="4275" spans="7:119" x14ac:dyDescent="0.25">
      <c r="G4275"/>
      <c r="DI4275" s="4">
        <f>INDEX(Sheet2!A:A,QUOTIENT(ROW()-1,19)+2)</f>
        <v>41808</v>
      </c>
      <c r="DJ4275" s="4">
        <f>INDEX(Sheet2!C:C,QUOTIENT(ROW()-1,19)+2)</f>
        <v>43100</v>
      </c>
      <c r="DK4275" s="4" t="e">
        <f>INDEX(Sheet2!$AA$2:$AS$228,QUOTIENT(ROW()-1,19)+1,MOD(ROW()-2,19)+1)</f>
        <v>#N/A</v>
      </c>
      <c r="DL4275" t="str">
        <f>IFERROR(INDEX(Sheet2!$AU$2:$BM$228,QUOTIENT(ROW()-1,19)+1,MOD(ROW()-2,19)+1),NA())</f>
        <v/>
      </c>
      <c r="DM4275" s="4" t="e">
        <f t="shared" si="219"/>
        <v>#N/A</v>
      </c>
      <c r="DN4275" t="str">
        <f t="shared" si="220"/>
        <v/>
      </c>
      <c r="DO4275" t="e">
        <f t="shared" si="221"/>
        <v>#N/A</v>
      </c>
    </row>
    <row r="4276" spans="7:119" x14ac:dyDescent="0.25">
      <c r="G4276"/>
      <c r="DI4276" s="4">
        <f>INDEX(Sheet2!A:A,QUOTIENT(ROW()-1,19)+2)</f>
        <v>41808</v>
      </c>
      <c r="DJ4276" s="4">
        <f>INDEX(Sheet2!C:C,QUOTIENT(ROW()-1,19)+2)</f>
        <v>43100</v>
      </c>
      <c r="DK4276" s="4" t="e">
        <f>INDEX(Sheet2!$AA$2:$AS$228,QUOTIENT(ROW()-1,19)+1,MOD(ROW()-2,19)+1)</f>
        <v>#N/A</v>
      </c>
      <c r="DL4276" t="str">
        <f>IFERROR(INDEX(Sheet2!$AU$2:$BM$228,QUOTIENT(ROW()-1,19)+1,MOD(ROW()-2,19)+1),NA())</f>
        <v/>
      </c>
      <c r="DM4276" s="4" t="e">
        <f t="shared" si="219"/>
        <v>#N/A</v>
      </c>
      <c r="DN4276" t="str">
        <f t="shared" si="220"/>
        <v/>
      </c>
      <c r="DO4276" t="e">
        <f t="shared" si="221"/>
        <v>#N/A</v>
      </c>
    </row>
    <row r="4277" spans="7:119" x14ac:dyDescent="0.25">
      <c r="G4277"/>
      <c r="DI4277" s="4">
        <f>INDEX(Sheet2!A:A,QUOTIENT(ROW()-1,19)+2)</f>
        <v>41808</v>
      </c>
      <c r="DJ4277" s="4">
        <f>INDEX(Sheet2!C:C,QUOTIENT(ROW()-1,19)+2)</f>
        <v>43100</v>
      </c>
      <c r="DK4277" s="4">
        <f>INDEX(Sheet2!$AA$2:$AS$228,QUOTIENT(ROW()-1,19)+1,MOD(ROW()-2,19)+1)</f>
        <v>43079.924999999996</v>
      </c>
      <c r="DL4277">
        <f>IFERROR(INDEX(Sheet2!$AU$2:$BM$228,QUOTIENT(ROW()-1,19)+1,MOD(ROW()-2,19)+1),NA())</f>
        <v>4</v>
      </c>
      <c r="DM4277" s="4">
        <f t="shared" si="219"/>
        <v>43079.924999999996</v>
      </c>
      <c r="DN4277">
        <f t="shared" si="220"/>
        <v>4</v>
      </c>
      <c r="DO4277">
        <f t="shared" si="221"/>
        <v>4</v>
      </c>
    </row>
    <row r="4278" spans="7:119" x14ac:dyDescent="0.25">
      <c r="G4278"/>
      <c r="DI4278" s="4">
        <f>INDEX(Sheet2!A:A,QUOTIENT(ROW()-1,19)+2)</f>
        <v>41808</v>
      </c>
      <c r="DJ4278" s="4">
        <f>INDEX(Sheet2!C:C,QUOTIENT(ROW()-1,19)+2)</f>
        <v>43100</v>
      </c>
      <c r="DK4278" s="4">
        <f>INDEX(Sheet2!$AA$2:$AS$228,QUOTIENT(ROW()-1,19)+1,MOD(ROW()-2,19)+1)</f>
        <v>43100</v>
      </c>
      <c r="DL4278">
        <f>IFERROR(INDEX(Sheet2!$AU$2:$BM$228,QUOTIENT(ROW()-1,19)+1,MOD(ROW()-2,19)+1),NA())</f>
        <v>4</v>
      </c>
      <c r="DM4278" s="4">
        <f t="shared" si="219"/>
        <v>43100</v>
      </c>
      <c r="DN4278">
        <f t="shared" si="220"/>
        <v>4</v>
      </c>
      <c r="DO4278">
        <f t="shared" si="221"/>
        <v>4</v>
      </c>
    </row>
    <row r="4279" spans="7:119" x14ac:dyDescent="0.25">
      <c r="G4279"/>
      <c r="DI4279" s="4">
        <f>INDEX(Sheet2!A:A,QUOTIENT(ROW()-1,19)+2)</f>
        <v>41808</v>
      </c>
      <c r="DJ4279" s="4">
        <f>INDEX(Sheet2!C:C,QUOTIENT(ROW()-1,19)+2)</f>
        <v>43100</v>
      </c>
      <c r="DK4279" s="4">
        <f>INDEX(Sheet2!$AA$2:$AS$228,QUOTIENT(ROW()-1,19)+1,MOD(ROW()-2,19)+1)</f>
        <v>43120.074999999997</v>
      </c>
      <c r="DL4279">
        <f>IFERROR(INDEX(Sheet2!$AU$2:$BM$228,QUOTIENT(ROW()-1,19)+1,MOD(ROW()-2,19)+1),NA())</f>
        <v>4</v>
      </c>
      <c r="DM4279" s="4">
        <f t="shared" si="219"/>
        <v>43120.074999999997</v>
      </c>
      <c r="DN4279">
        <f t="shared" si="220"/>
        <v>4</v>
      </c>
      <c r="DO4279">
        <f t="shared" si="221"/>
        <v>4</v>
      </c>
    </row>
    <row r="4280" spans="7:119" x14ac:dyDescent="0.25">
      <c r="G4280"/>
      <c r="DI4280" s="4">
        <f>INDEX(Sheet2!A:A,QUOTIENT(ROW()-1,19)+2)</f>
        <v>41808</v>
      </c>
      <c r="DJ4280" s="4">
        <f>INDEX(Sheet2!C:C,QUOTIENT(ROW()-1,19)+2)</f>
        <v>43100</v>
      </c>
      <c r="DK4280" s="4" t="e">
        <f>INDEX(Sheet2!$AA$2:$AS$228,QUOTIENT(ROW()-1,19)+1,MOD(ROW()-2,19)+1)</f>
        <v>#N/A</v>
      </c>
      <c r="DL4280" t="str">
        <f>IFERROR(INDEX(Sheet2!$AU$2:$BM$228,QUOTIENT(ROW()-1,19)+1,MOD(ROW()-2,19)+1),NA())</f>
        <v/>
      </c>
      <c r="DM4280" s="4" t="e">
        <f t="shared" si="219"/>
        <v>#N/A</v>
      </c>
      <c r="DN4280" t="str">
        <f t="shared" si="220"/>
        <v/>
      </c>
      <c r="DO4280" t="e">
        <f t="shared" si="221"/>
        <v>#N/A</v>
      </c>
    </row>
    <row r="4281" spans="7:119" x14ac:dyDescent="0.25">
      <c r="G4281"/>
      <c r="DI4281" s="4">
        <f>INDEX(Sheet2!A:A,QUOTIENT(ROW()-1,19)+2)</f>
        <v>41808</v>
      </c>
      <c r="DJ4281" s="4">
        <f>INDEX(Sheet2!C:C,QUOTIENT(ROW()-1,19)+2)</f>
        <v>43100</v>
      </c>
      <c r="DK4281" s="4" t="e">
        <f>INDEX(Sheet2!$AA$2:$AS$228,QUOTIENT(ROW()-1,19)+1,MOD(ROW()-2,19)+1)</f>
        <v>#N/A</v>
      </c>
      <c r="DL4281" t="str">
        <f>IFERROR(INDEX(Sheet2!$AU$2:$BM$228,QUOTIENT(ROW()-1,19)+1,MOD(ROW()-2,19)+1),NA())</f>
        <v/>
      </c>
      <c r="DM4281" s="4" t="e">
        <f t="shared" si="219"/>
        <v>#N/A</v>
      </c>
      <c r="DN4281" t="str">
        <f t="shared" si="220"/>
        <v/>
      </c>
      <c r="DO4281" t="e">
        <f t="shared" si="221"/>
        <v>#N/A</v>
      </c>
    </row>
    <row r="4282" spans="7:119" x14ac:dyDescent="0.25">
      <c r="G4282"/>
      <c r="DI4282" s="4">
        <f>INDEX(Sheet2!A:A,QUOTIENT(ROW()-1,19)+2)</f>
        <v>41808</v>
      </c>
      <c r="DJ4282" s="4">
        <f>INDEX(Sheet2!C:C,QUOTIENT(ROW()-1,19)+2)</f>
        <v>43100</v>
      </c>
      <c r="DK4282" s="4" t="e">
        <f>INDEX(Sheet2!$AA$2:$AS$228,QUOTIENT(ROW()-1,19)+1,MOD(ROW()-2,19)+1)</f>
        <v>#N/A</v>
      </c>
      <c r="DL4282" t="str">
        <f>IFERROR(INDEX(Sheet2!$AU$2:$BM$228,QUOTIENT(ROW()-1,19)+1,MOD(ROW()-2,19)+1),NA())</f>
        <v/>
      </c>
      <c r="DM4282" s="4" t="e">
        <f t="shared" si="219"/>
        <v>#N/A</v>
      </c>
      <c r="DN4282" t="str">
        <f t="shared" si="220"/>
        <v/>
      </c>
      <c r="DO4282" t="e">
        <f t="shared" si="221"/>
        <v>#N/A</v>
      </c>
    </row>
    <row r="4283" spans="7:119" x14ac:dyDescent="0.25">
      <c r="G4283"/>
      <c r="DI4283" s="4">
        <f>INDEX(Sheet2!A:A,QUOTIENT(ROW()-1,19)+2)</f>
        <v>41808</v>
      </c>
      <c r="DJ4283" s="4">
        <f>INDEX(Sheet2!C:C,QUOTIENT(ROW()-1,19)+2)</f>
        <v>43100</v>
      </c>
      <c r="DK4283" s="4" t="e">
        <f>INDEX(Sheet2!$AA$2:$AS$228,QUOTIENT(ROW()-1,19)+1,MOD(ROW()-2,19)+1)</f>
        <v>#N/A</v>
      </c>
      <c r="DL4283" t="str">
        <f>IFERROR(INDEX(Sheet2!$AU$2:$BM$228,QUOTIENT(ROW()-1,19)+1,MOD(ROW()-2,19)+1),NA())</f>
        <v/>
      </c>
      <c r="DM4283" s="4" t="e">
        <f t="shared" si="219"/>
        <v>#N/A</v>
      </c>
      <c r="DN4283" t="str">
        <f t="shared" si="220"/>
        <v/>
      </c>
      <c r="DO4283" t="e">
        <f t="shared" si="221"/>
        <v>#N/A</v>
      </c>
    </row>
    <row r="4284" spans="7:119" x14ac:dyDescent="0.25">
      <c r="G4284"/>
      <c r="DI4284" s="4">
        <f>INDEX(Sheet2!A:A,QUOTIENT(ROW()-1,19)+2)</f>
        <v>41808</v>
      </c>
      <c r="DJ4284" s="4">
        <f>INDEX(Sheet2!C:C,QUOTIENT(ROW()-1,19)+2)</f>
        <v>43100</v>
      </c>
      <c r="DK4284" s="4" t="e">
        <f>INDEX(Sheet2!$AA$2:$AS$228,QUOTIENT(ROW()-1,19)+1,MOD(ROW()-2,19)+1)</f>
        <v>#N/A</v>
      </c>
      <c r="DL4284" t="str">
        <f>IFERROR(INDEX(Sheet2!$AU$2:$BM$228,QUOTIENT(ROW()-1,19)+1,MOD(ROW()-2,19)+1),NA())</f>
        <v/>
      </c>
      <c r="DM4284" s="4" t="e">
        <f t="shared" si="219"/>
        <v>#N/A</v>
      </c>
      <c r="DN4284" t="str">
        <f t="shared" si="220"/>
        <v/>
      </c>
      <c r="DO4284" t="e">
        <f t="shared" si="221"/>
        <v>#N/A</v>
      </c>
    </row>
    <row r="4285" spans="7:119" x14ac:dyDescent="0.25">
      <c r="G4285"/>
      <c r="DI4285" s="4">
        <f>INDEX(Sheet2!A:A,QUOTIENT(ROW()-1,19)+2)</f>
        <v>41808</v>
      </c>
      <c r="DJ4285" s="4">
        <f>INDEX(Sheet2!C:C,QUOTIENT(ROW()-1,19)+2)</f>
        <v>43100</v>
      </c>
      <c r="DK4285" s="4" t="e">
        <f>INDEX(Sheet2!$AA$2:$AS$228,QUOTIENT(ROW()-1,19)+1,MOD(ROW()-2,19)+1)</f>
        <v>#N/A</v>
      </c>
      <c r="DL4285" t="str">
        <f>IFERROR(INDEX(Sheet2!$AU$2:$BM$228,QUOTIENT(ROW()-1,19)+1,MOD(ROW()-2,19)+1),NA())</f>
        <v/>
      </c>
      <c r="DM4285" s="4" t="e">
        <f t="shared" si="219"/>
        <v>#N/A</v>
      </c>
      <c r="DN4285" t="str">
        <f t="shared" si="220"/>
        <v/>
      </c>
      <c r="DO4285" t="e">
        <f t="shared" si="221"/>
        <v>#N/A</v>
      </c>
    </row>
    <row r="4286" spans="7:119" x14ac:dyDescent="0.25">
      <c r="G4286"/>
      <c r="DI4286" s="4">
        <f>INDEX(Sheet2!A:A,QUOTIENT(ROW()-1,19)+2)</f>
        <v>41808</v>
      </c>
      <c r="DJ4286" s="4">
        <f>INDEX(Sheet2!C:C,QUOTIENT(ROW()-1,19)+2)</f>
        <v>43100</v>
      </c>
      <c r="DK4286" s="4" t="e">
        <f>INDEX(Sheet2!$AA$2:$AS$228,QUOTIENT(ROW()-1,19)+1,MOD(ROW()-2,19)+1)</f>
        <v>#N/A</v>
      </c>
      <c r="DL4286" t="str">
        <f>IFERROR(INDEX(Sheet2!$AU$2:$BM$228,QUOTIENT(ROW()-1,19)+1,MOD(ROW()-2,19)+1),NA())</f>
        <v/>
      </c>
      <c r="DM4286" s="4" t="e">
        <f t="shared" si="219"/>
        <v>#N/A</v>
      </c>
      <c r="DN4286" t="str">
        <f t="shared" si="220"/>
        <v/>
      </c>
      <c r="DO4286" t="e">
        <f t="shared" si="221"/>
        <v>#N/A</v>
      </c>
    </row>
    <row r="4287" spans="7:119" x14ac:dyDescent="0.25">
      <c r="G4287"/>
      <c r="DI4287" s="4">
        <f>INDEX(Sheet2!A:A,QUOTIENT(ROW()-1,19)+2)</f>
        <v>41808</v>
      </c>
      <c r="DJ4287" s="4">
        <f>INDEX(Sheet2!C:C,QUOTIENT(ROW()-1,19)+2)</f>
        <v>43100</v>
      </c>
      <c r="DK4287" s="4" t="e">
        <f>INDEX(Sheet2!$AA$2:$AS$228,QUOTIENT(ROW()-1,19)+1,MOD(ROW()-2,19)+1)</f>
        <v>#N/A</v>
      </c>
      <c r="DL4287" t="str">
        <f>IFERROR(INDEX(Sheet2!$AU$2:$BM$228,QUOTIENT(ROW()-1,19)+1,MOD(ROW()-2,19)+1),NA())</f>
        <v/>
      </c>
      <c r="DM4287" s="4" t="e">
        <f t="shared" si="219"/>
        <v>#N/A</v>
      </c>
      <c r="DN4287" t="str">
        <f t="shared" si="220"/>
        <v/>
      </c>
      <c r="DO4287" t="e">
        <f t="shared" si="221"/>
        <v>#N/A</v>
      </c>
    </row>
    <row r="4288" spans="7:119" x14ac:dyDescent="0.25">
      <c r="G4288"/>
      <c r="DI4288" s="4">
        <f>INDEX(Sheet2!A:A,QUOTIENT(ROW()-1,19)+2)</f>
        <v>41808</v>
      </c>
      <c r="DJ4288" s="4">
        <f>INDEX(Sheet2!C:C,QUOTIENT(ROW()-1,19)+2)</f>
        <v>43100</v>
      </c>
      <c r="DK4288" s="4" t="e">
        <f>INDEX(Sheet2!$AA$2:$AS$228,QUOTIENT(ROW()-1,19)+1,MOD(ROW()-2,19)+1)</f>
        <v>#N/A</v>
      </c>
      <c r="DL4288" t="str">
        <f>IFERROR(INDEX(Sheet2!$AU$2:$BM$228,QUOTIENT(ROW()-1,19)+1,MOD(ROW()-2,19)+1),NA())</f>
        <v/>
      </c>
      <c r="DM4288" s="4" t="e">
        <f t="shared" si="219"/>
        <v>#N/A</v>
      </c>
      <c r="DN4288" t="str">
        <f t="shared" si="220"/>
        <v/>
      </c>
      <c r="DO4288" t="e">
        <f t="shared" si="221"/>
        <v>#N/A</v>
      </c>
    </row>
    <row r="4289" spans="7:119" x14ac:dyDescent="0.25">
      <c r="G4289"/>
      <c r="DI4289" s="4">
        <f>INDEX(Sheet2!A:A,QUOTIENT(ROW()-1,19)+2)</f>
        <v>41808</v>
      </c>
      <c r="DJ4289" s="4">
        <f>INDEX(Sheet2!C:C,QUOTIENT(ROW()-1,19)+2)</f>
        <v>43100</v>
      </c>
      <c r="DK4289" s="4" t="e">
        <f>INDEX(Sheet2!$AA$2:$AS$228,QUOTIENT(ROW()-1,19)+1,MOD(ROW()-2,19)+1)</f>
        <v>#N/A</v>
      </c>
      <c r="DL4289" t="str">
        <f>IFERROR(INDEX(Sheet2!$AU$2:$BM$228,QUOTIENT(ROW()-1,19)+1,MOD(ROW()-2,19)+1),NA())</f>
        <v/>
      </c>
      <c r="DM4289" s="4" t="e">
        <f t="shared" si="219"/>
        <v>#N/A</v>
      </c>
      <c r="DN4289" t="str">
        <f t="shared" si="220"/>
        <v/>
      </c>
      <c r="DO4289" t="e">
        <f t="shared" si="221"/>
        <v>#N/A</v>
      </c>
    </row>
    <row r="4290" spans="7:119" x14ac:dyDescent="0.25">
      <c r="G4290"/>
      <c r="DI4290" s="4">
        <f>INDEX(Sheet2!A:A,QUOTIENT(ROW()-1,19)+2)</f>
        <v>41808</v>
      </c>
      <c r="DJ4290" s="4">
        <f>INDEX(Sheet2!C:C,QUOTIENT(ROW()-1,19)+2)</f>
        <v>43100</v>
      </c>
      <c r="DK4290" s="4" t="e">
        <f>INDEX(Sheet2!$AA$2:$AS$228,QUOTIENT(ROW()-1,19)+1,MOD(ROW()-2,19)+1)</f>
        <v>#N/A</v>
      </c>
      <c r="DL4290" t="str">
        <f>IFERROR(INDEX(Sheet2!$AU$2:$BM$228,QUOTIENT(ROW()-1,19)+1,MOD(ROW()-2,19)+1),NA())</f>
        <v/>
      </c>
      <c r="DM4290" s="4" t="e">
        <f t="shared" ref="DM4290:DM4313" si="222">+IF($C$2=$DI4290,DK4290,NA())</f>
        <v>#N/A</v>
      </c>
      <c r="DN4290" t="str">
        <f t="shared" ref="DN4290:DN4313" si="223">+IF($C$2=$DI4290,DL4290,NA())</f>
        <v/>
      </c>
      <c r="DO4290" t="e">
        <f t="shared" si="221"/>
        <v>#N/A</v>
      </c>
    </row>
    <row r="4291" spans="7:119" x14ac:dyDescent="0.25">
      <c r="G4291"/>
      <c r="DI4291" s="4">
        <f>INDEX(Sheet2!A:A,QUOTIENT(ROW()-1,19)+2)</f>
        <v>41808</v>
      </c>
      <c r="DJ4291" s="4">
        <f>INDEX(Sheet2!C:C,QUOTIENT(ROW()-1,19)+2)</f>
        <v>43100</v>
      </c>
      <c r="DK4291" s="4" t="e">
        <f>INDEX(Sheet2!$AA$2:$AS$228,QUOTIENT(ROW()-1,19)+1,MOD(ROW()-2,19)+1)</f>
        <v>#N/A</v>
      </c>
      <c r="DL4291" t="str">
        <f>IFERROR(INDEX(Sheet2!$AU$2:$BM$228,QUOTIENT(ROW()-1,19)+1,MOD(ROW()-2,19)+1),NA())</f>
        <v/>
      </c>
      <c r="DM4291" s="4" t="e">
        <f t="shared" si="222"/>
        <v>#N/A</v>
      </c>
      <c r="DN4291" t="str">
        <f t="shared" si="223"/>
        <v/>
      </c>
      <c r="DO4291" t="e">
        <f t="shared" ref="DO4291:DO4313" si="224">IF(DN4291="",NA(),DN4291)</f>
        <v>#N/A</v>
      </c>
    </row>
    <row r="4292" spans="7:119" x14ac:dyDescent="0.25">
      <c r="G4292"/>
      <c r="DI4292" s="4">
        <f>INDEX(Sheet2!A:A,QUOTIENT(ROW()-1,19)+2)</f>
        <v>41808</v>
      </c>
      <c r="DJ4292" s="4">
        <f>INDEX(Sheet2!C:C,QUOTIENT(ROW()-1,19)+2)</f>
        <v>43100</v>
      </c>
      <c r="DK4292" s="4" t="e">
        <f>INDEX(Sheet2!$AA$2:$AS$228,QUOTIENT(ROW()-1,19)+1,MOD(ROW()-2,19)+1)</f>
        <v>#N/A</v>
      </c>
      <c r="DL4292" t="str">
        <f>IFERROR(INDEX(Sheet2!$AU$2:$BM$228,QUOTIENT(ROW()-1,19)+1,MOD(ROW()-2,19)+1),NA())</f>
        <v/>
      </c>
      <c r="DM4292" s="4" t="e">
        <f t="shared" si="222"/>
        <v>#N/A</v>
      </c>
      <c r="DN4292" t="str">
        <f t="shared" si="223"/>
        <v/>
      </c>
      <c r="DO4292" t="e">
        <f t="shared" si="224"/>
        <v>#N/A</v>
      </c>
    </row>
    <row r="4293" spans="7:119" x14ac:dyDescent="0.25">
      <c r="G4293"/>
      <c r="DI4293" s="4">
        <f>INDEX(Sheet2!A:A,QUOTIENT(ROW()-1,19)+2)</f>
        <v>41808</v>
      </c>
      <c r="DJ4293" s="4">
        <f>INDEX(Sheet2!C:C,QUOTIENT(ROW()-1,19)+2)</f>
        <v>43100</v>
      </c>
      <c r="DK4293" s="4" t="e">
        <f>INDEX(Sheet2!$AA$2:$AS$228,QUOTIENT(ROW()-1,19)+1,MOD(ROW()-2,19)+1)</f>
        <v>#N/A</v>
      </c>
      <c r="DL4293" t="str">
        <f>IFERROR(INDEX(Sheet2!$AU$2:$BM$228,QUOTIENT(ROW()-1,19)+1,MOD(ROW()-2,19)+1),NA())</f>
        <v/>
      </c>
      <c r="DM4293" s="4" t="e">
        <f t="shared" si="222"/>
        <v>#N/A</v>
      </c>
      <c r="DN4293" t="str">
        <f t="shared" si="223"/>
        <v/>
      </c>
      <c r="DO4293" t="e">
        <f t="shared" si="224"/>
        <v>#N/A</v>
      </c>
    </row>
    <row r="4294" spans="7:119" x14ac:dyDescent="0.25">
      <c r="G4294"/>
      <c r="DI4294" s="4">
        <f>INDEX(Sheet2!A:A,QUOTIENT(ROW()-1,19)+2)</f>
        <v>41808</v>
      </c>
      <c r="DJ4294" s="4">
        <f>INDEX(Sheet2!C:C,QUOTIENT(ROW()-1,19)+2)</f>
        <v>43100</v>
      </c>
      <c r="DK4294" s="4" t="e">
        <f>INDEX(Sheet2!$AA$2:$AS$228,QUOTIENT(ROW()-1,19)+1,MOD(ROW()-2,19)+1)</f>
        <v>#N/A</v>
      </c>
      <c r="DL4294" t="str">
        <f>IFERROR(INDEX(Sheet2!$AU$2:$BM$228,QUOTIENT(ROW()-1,19)+1,MOD(ROW()-2,19)+1),NA())</f>
        <v/>
      </c>
      <c r="DM4294" s="4" t="e">
        <f t="shared" si="222"/>
        <v>#N/A</v>
      </c>
      <c r="DN4294" t="str">
        <f t="shared" si="223"/>
        <v/>
      </c>
      <c r="DO4294" t="e">
        <f t="shared" si="224"/>
        <v>#N/A</v>
      </c>
    </row>
    <row r="4295" spans="7:119" x14ac:dyDescent="0.25">
      <c r="G4295"/>
      <c r="DI4295" s="4">
        <f>INDEX(Sheet2!A:A,QUOTIENT(ROW()-1,19)+2)</f>
        <v>41808</v>
      </c>
      <c r="DJ4295" s="4">
        <f>INDEX(Sheet2!C:C,QUOTIENT(ROW()-1,19)+2)</f>
        <v>43100</v>
      </c>
      <c r="DK4295" s="4" t="e">
        <f>INDEX(Sheet2!$AA$2:$AS$228,QUOTIENT(ROW()-1,19)+1,MOD(ROW()-2,19)+1)</f>
        <v>#N/A</v>
      </c>
      <c r="DL4295" t="str">
        <f>IFERROR(INDEX(Sheet2!$AU$2:$BM$228,QUOTIENT(ROW()-1,19)+1,MOD(ROW()-2,19)+1),NA())</f>
        <v/>
      </c>
      <c r="DM4295" s="4" t="e">
        <f t="shared" si="222"/>
        <v>#N/A</v>
      </c>
      <c r="DN4295" t="str">
        <f t="shared" si="223"/>
        <v/>
      </c>
      <c r="DO4295" t="e">
        <f t="shared" si="224"/>
        <v>#N/A</v>
      </c>
    </row>
    <row r="4296" spans="7:119" x14ac:dyDescent="0.25">
      <c r="G4296"/>
      <c r="DI4296" s="4">
        <f>INDEX(Sheet2!A:A,QUOTIENT(ROW()-1,19)+2)</f>
        <v>41808</v>
      </c>
      <c r="DJ4296" s="4">
        <f>INDEX(Sheet2!C:C,QUOTIENT(ROW()-1,19)+2)</f>
        <v>43100</v>
      </c>
      <c r="DK4296" s="4">
        <f>INDEX(Sheet2!$AA$2:$AS$228,QUOTIENT(ROW()-1,19)+1,MOD(ROW()-2,19)+1)</f>
        <v>43089.962500000001</v>
      </c>
      <c r="DL4296">
        <f>IFERROR(INDEX(Sheet2!$AU$2:$BM$228,QUOTIENT(ROW()-1,19)+1,MOD(ROW()-2,19)+1),NA())</f>
        <v>4.25</v>
      </c>
      <c r="DM4296" s="4">
        <f t="shared" si="222"/>
        <v>43089.962500000001</v>
      </c>
      <c r="DN4296">
        <f t="shared" si="223"/>
        <v>4.25</v>
      </c>
      <c r="DO4296">
        <f t="shared" si="224"/>
        <v>4.25</v>
      </c>
    </row>
    <row r="4297" spans="7:119" x14ac:dyDescent="0.25">
      <c r="G4297"/>
      <c r="DI4297" s="4">
        <f>INDEX(Sheet2!A:A,QUOTIENT(ROW()-1,19)+2)</f>
        <v>41808</v>
      </c>
      <c r="DJ4297" s="4">
        <f>INDEX(Sheet2!C:C,QUOTIENT(ROW()-1,19)+2)</f>
        <v>43100</v>
      </c>
      <c r="DK4297" s="4">
        <f>INDEX(Sheet2!$AA$2:$AS$228,QUOTIENT(ROW()-1,19)+1,MOD(ROW()-2,19)+1)</f>
        <v>43110.037500000006</v>
      </c>
      <c r="DL4297">
        <f>IFERROR(INDEX(Sheet2!$AU$2:$BM$228,QUOTIENT(ROW()-1,19)+1,MOD(ROW()-2,19)+1),NA())</f>
        <v>4.25</v>
      </c>
      <c r="DM4297" s="4">
        <f t="shared" si="222"/>
        <v>43110.037500000006</v>
      </c>
      <c r="DN4297">
        <f t="shared" si="223"/>
        <v>4.25</v>
      </c>
      <c r="DO4297">
        <f t="shared" si="224"/>
        <v>4.25</v>
      </c>
    </row>
    <row r="4298" spans="7:119" x14ac:dyDescent="0.25">
      <c r="G4298"/>
      <c r="DI4298" s="4">
        <f>INDEX(Sheet2!A:A,QUOTIENT(ROW()-1,19)+2)</f>
        <v>41808</v>
      </c>
      <c r="DJ4298" s="4">
        <f>INDEX(Sheet2!C:C,QUOTIENT(ROW()-1,19)+2)</f>
        <v>43100</v>
      </c>
      <c r="DK4298" s="4" t="e">
        <f>INDEX(Sheet2!$AA$2:$AS$228,QUOTIENT(ROW()-1,19)+1,MOD(ROW()-2,19)+1)</f>
        <v>#N/A</v>
      </c>
      <c r="DL4298" t="str">
        <f>IFERROR(INDEX(Sheet2!$AU$2:$BM$228,QUOTIENT(ROW()-1,19)+1,MOD(ROW()-2,19)+1),NA())</f>
        <v/>
      </c>
      <c r="DM4298" s="4" t="e">
        <f t="shared" si="222"/>
        <v>#N/A</v>
      </c>
      <c r="DN4298" t="str">
        <f t="shared" si="223"/>
        <v/>
      </c>
      <c r="DO4298" t="e">
        <f t="shared" si="224"/>
        <v>#N/A</v>
      </c>
    </row>
    <row r="4299" spans="7:119" x14ac:dyDescent="0.25">
      <c r="G4299"/>
      <c r="DI4299" s="4">
        <f>INDEX(Sheet2!A:A,QUOTIENT(ROW()-1,19)+2)</f>
        <v>41808</v>
      </c>
      <c r="DJ4299" s="4">
        <f>INDEX(Sheet2!C:C,QUOTIENT(ROW()-1,19)+2)</f>
        <v>43100</v>
      </c>
      <c r="DK4299" s="4" t="e">
        <f>INDEX(Sheet2!$AA$2:$AS$228,QUOTIENT(ROW()-1,19)+1,MOD(ROW()-2,19)+1)</f>
        <v>#N/A</v>
      </c>
      <c r="DL4299" t="str">
        <f>IFERROR(INDEX(Sheet2!$AU$2:$BM$228,QUOTIENT(ROW()-1,19)+1,MOD(ROW()-2,19)+1),NA())</f>
        <v/>
      </c>
      <c r="DM4299" s="4" t="e">
        <f t="shared" si="222"/>
        <v>#N/A</v>
      </c>
      <c r="DN4299" t="str">
        <f t="shared" si="223"/>
        <v/>
      </c>
      <c r="DO4299" t="e">
        <f t="shared" si="224"/>
        <v>#N/A</v>
      </c>
    </row>
    <row r="4300" spans="7:119" x14ac:dyDescent="0.25">
      <c r="G4300"/>
      <c r="DI4300" s="4">
        <f>INDEX(Sheet2!A:A,QUOTIENT(ROW()-1,19)+2)</f>
        <v>41808</v>
      </c>
      <c r="DJ4300" s="4">
        <f>INDEX(Sheet2!C:C,QUOTIENT(ROW()-1,19)+2)</f>
        <v>43100</v>
      </c>
      <c r="DK4300" s="4" t="e">
        <f>INDEX(Sheet2!$AA$2:$AS$228,QUOTIENT(ROW()-1,19)+1,MOD(ROW()-2,19)+1)</f>
        <v>#N/A</v>
      </c>
      <c r="DL4300" t="str">
        <f>IFERROR(INDEX(Sheet2!$AU$2:$BM$228,QUOTIENT(ROW()-1,19)+1,MOD(ROW()-2,19)+1),NA())</f>
        <v/>
      </c>
      <c r="DM4300" s="4" t="e">
        <f t="shared" si="222"/>
        <v>#N/A</v>
      </c>
      <c r="DN4300" t="str">
        <f t="shared" si="223"/>
        <v/>
      </c>
      <c r="DO4300" t="e">
        <f t="shared" si="224"/>
        <v>#N/A</v>
      </c>
    </row>
    <row r="4301" spans="7:119" x14ac:dyDescent="0.25">
      <c r="G4301"/>
      <c r="DI4301" s="4">
        <f>INDEX(Sheet2!A:A,QUOTIENT(ROW()-1,19)+2)</f>
        <v>41808</v>
      </c>
      <c r="DJ4301" s="4">
        <f>INDEX(Sheet2!C:C,QUOTIENT(ROW()-1,19)+2)</f>
        <v>43100</v>
      </c>
      <c r="DK4301" s="4" t="e">
        <f>INDEX(Sheet2!$AA$2:$AS$228,QUOTIENT(ROW()-1,19)+1,MOD(ROW()-2,19)+1)</f>
        <v>#N/A</v>
      </c>
      <c r="DL4301" t="str">
        <f>IFERROR(INDEX(Sheet2!$AU$2:$BM$228,QUOTIENT(ROW()-1,19)+1,MOD(ROW()-2,19)+1),NA())</f>
        <v/>
      </c>
      <c r="DM4301" s="4" t="e">
        <f t="shared" si="222"/>
        <v>#N/A</v>
      </c>
      <c r="DN4301" t="str">
        <f t="shared" si="223"/>
        <v/>
      </c>
      <c r="DO4301" t="e">
        <f t="shared" si="224"/>
        <v>#N/A</v>
      </c>
    </row>
    <row r="4302" spans="7:119" x14ac:dyDescent="0.25">
      <c r="G4302"/>
      <c r="DI4302" s="4">
        <f>INDEX(Sheet2!A:A,QUOTIENT(ROW()-1,19)+2)</f>
        <v>41808</v>
      </c>
      <c r="DJ4302" s="4">
        <f>INDEX(Sheet2!C:C,QUOTIENT(ROW()-1,19)+2)</f>
        <v>43100</v>
      </c>
      <c r="DK4302" s="4" t="e">
        <f>INDEX(Sheet2!$AA$2:$AS$228,QUOTIENT(ROW()-1,19)+1,MOD(ROW()-2,19)+1)</f>
        <v>#N/A</v>
      </c>
      <c r="DL4302" t="str">
        <f>IFERROR(INDEX(Sheet2!$AU$2:$BM$228,QUOTIENT(ROW()-1,19)+1,MOD(ROW()-2,19)+1),NA())</f>
        <v/>
      </c>
      <c r="DM4302" s="4" t="e">
        <f t="shared" si="222"/>
        <v>#N/A</v>
      </c>
      <c r="DN4302" t="str">
        <f t="shared" si="223"/>
        <v/>
      </c>
      <c r="DO4302" t="e">
        <f t="shared" si="224"/>
        <v>#N/A</v>
      </c>
    </row>
    <row r="4303" spans="7:119" x14ac:dyDescent="0.25">
      <c r="G4303"/>
      <c r="DI4303" s="4">
        <f>INDEX(Sheet2!A:A,QUOTIENT(ROW()-1,19)+2)</f>
        <v>41808</v>
      </c>
      <c r="DJ4303" s="4">
        <f>INDEX(Sheet2!C:C,QUOTIENT(ROW()-1,19)+2)</f>
        <v>43100</v>
      </c>
      <c r="DK4303" s="4" t="e">
        <f>INDEX(Sheet2!$AA$2:$AS$228,QUOTIENT(ROW()-1,19)+1,MOD(ROW()-2,19)+1)</f>
        <v>#N/A</v>
      </c>
      <c r="DL4303" t="str">
        <f>IFERROR(INDEX(Sheet2!$AU$2:$BM$228,QUOTIENT(ROW()-1,19)+1,MOD(ROW()-2,19)+1),NA())</f>
        <v/>
      </c>
      <c r="DM4303" s="4" t="e">
        <f t="shared" si="222"/>
        <v>#N/A</v>
      </c>
      <c r="DN4303" t="str">
        <f t="shared" si="223"/>
        <v/>
      </c>
      <c r="DO4303" t="e">
        <f t="shared" si="224"/>
        <v>#N/A</v>
      </c>
    </row>
    <row r="4304" spans="7:119" x14ac:dyDescent="0.25">
      <c r="G4304"/>
      <c r="DI4304" s="4">
        <f>INDEX(Sheet2!A:A,QUOTIENT(ROW()-1,19)+2)</f>
        <v>41808</v>
      </c>
      <c r="DJ4304" s="4">
        <f>INDEX(Sheet2!C:C,QUOTIENT(ROW()-1,19)+2)</f>
        <v>43100</v>
      </c>
      <c r="DK4304" s="4" t="e">
        <f>INDEX(Sheet2!$AA$2:$AS$228,QUOTIENT(ROW()-1,19)+1,MOD(ROW()-2,19)+1)</f>
        <v>#N/A</v>
      </c>
      <c r="DL4304" t="str">
        <f>IFERROR(INDEX(Sheet2!$AU$2:$BM$228,QUOTIENT(ROW()-1,19)+1,MOD(ROW()-2,19)+1),NA())</f>
        <v/>
      </c>
      <c r="DM4304" s="4" t="e">
        <f t="shared" si="222"/>
        <v>#N/A</v>
      </c>
      <c r="DN4304" t="str">
        <f t="shared" si="223"/>
        <v/>
      </c>
      <c r="DO4304" t="e">
        <f t="shared" si="224"/>
        <v>#N/A</v>
      </c>
    </row>
    <row r="4305" spans="7:119" x14ac:dyDescent="0.25">
      <c r="G4305"/>
      <c r="DI4305" s="4">
        <f>INDEX(Sheet2!A:A,QUOTIENT(ROW()-1,19)+2)</f>
        <v>41808</v>
      </c>
      <c r="DJ4305" s="4">
        <f>INDEX(Sheet2!C:C,QUOTIENT(ROW()-1,19)+2)</f>
        <v>43100</v>
      </c>
      <c r="DK4305" s="4" t="e">
        <f>INDEX(Sheet2!$AA$2:$AS$228,QUOTIENT(ROW()-1,19)+1,MOD(ROW()-2,19)+1)</f>
        <v>#N/A</v>
      </c>
      <c r="DL4305" t="str">
        <f>IFERROR(INDEX(Sheet2!$AU$2:$BM$228,QUOTIENT(ROW()-1,19)+1,MOD(ROW()-2,19)+1),NA())</f>
        <v/>
      </c>
      <c r="DM4305" s="4" t="e">
        <f t="shared" si="222"/>
        <v>#N/A</v>
      </c>
      <c r="DN4305" t="str">
        <f t="shared" si="223"/>
        <v/>
      </c>
      <c r="DO4305" t="e">
        <f t="shared" si="224"/>
        <v>#N/A</v>
      </c>
    </row>
    <row r="4306" spans="7:119" x14ac:dyDescent="0.25">
      <c r="G4306"/>
      <c r="DI4306" s="4">
        <f>INDEX(Sheet2!A:A,QUOTIENT(ROW()-1,19)+2)</f>
        <v>41808</v>
      </c>
      <c r="DJ4306" s="4">
        <f>INDEX(Sheet2!C:C,QUOTIENT(ROW()-1,19)+2)</f>
        <v>43100</v>
      </c>
      <c r="DK4306" s="4" t="e">
        <f>INDEX(Sheet2!$AA$2:$AS$228,QUOTIENT(ROW()-1,19)+1,MOD(ROW()-2,19)+1)</f>
        <v>#N/A</v>
      </c>
      <c r="DL4306" t="str">
        <f>IFERROR(INDEX(Sheet2!$AU$2:$BM$228,QUOTIENT(ROW()-1,19)+1,MOD(ROW()-2,19)+1),NA())</f>
        <v/>
      </c>
      <c r="DM4306" s="4" t="e">
        <f t="shared" si="222"/>
        <v>#N/A</v>
      </c>
      <c r="DN4306" t="str">
        <f t="shared" si="223"/>
        <v/>
      </c>
      <c r="DO4306" t="e">
        <f t="shared" si="224"/>
        <v>#N/A</v>
      </c>
    </row>
    <row r="4307" spans="7:119" x14ac:dyDescent="0.25">
      <c r="G4307"/>
      <c r="DI4307" s="4">
        <f>INDEX(Sheet2!A:A,QUOTIENT(ROW()-1,19)+2)</f>
        <v>41808</v>
      </c>
      <c r="DJ4307" s="4">
        <f>INDEX(Sheet2!C:C,QUOTIENT(ROW()-1,19)+2)</f>
        <v>43100</v>
      </c>
      <c r="DK4307" s="4" t="e">
        <f>INDEX(Sheet2!$AA$2:$AS$228,QUOTIENT(ROW()-1,19)+1,MOD(ROW()-2,19)+1)</f>
        <v>#N/A</v>
      </c>
      <c r="DL4307" t="str">
        <f>IFERROR(INDEX(Sheet2!$AU$2:$BM$228,QUOTIENT(ROW()-1,19)+1,MOD(ROW()-2,19)+1),NA())</f>
        <v/>
      </c>
      <c r="DM4307" s="4" t="e">
        <f t="shared" si="222"/>
        <v>#N/A</v>
      </c>
      <c r="DN4307" t="str">
        <f t="shared" si="223"/>
        <v/>
      </c>
      <c r="DO4307" t="e">
        <f t="shared" si="224"/>
        <v>#N/A</v>
      </c>
    </row>
    <row r="4308" spans="7:119" x14ac:dyDescent="0.25">
      <c r="G4308"/>
      <c r="DI4308" s="4">
        <f>INDEX(Sheet2!A:A,QUOTIENT(ROW()-1,19)+2)</f>
        <v>41808</v>
      </c>
      <c r="DJ4308" s="4">
        <f>INDEX(Sheet2!C:C,QUOTIENT(ROW()-1,19)+2)</f>
        <v>43100</v>
      </c>
      <c r="DK4308" s="4" t="e">
        <f>INDEX(Sheet2!$AA$2:$AS$228,QUOTIENT(ROW()-1,19)+1,MOD(ROW()-2,19)+1)</f>
        <v>#N/A</v>
      </c>
      <c r="DL4308" t="str">
        <f>IFERROR(INDEX(Sheet2!$AU$2:$BM$228,QUOTIENT(ROW()-1,19)+1,MOD(ROW()-2,19)+1),NA())</f>
        <v/>
      </c>
      <c r="DM4308" s="4" t="e">
        <f t="shared" si="222"/>
        <v>#N/A</v>
      </c>
      <c r="DN4308" t="str">
        <f t="shared" si="223"/>
        <v/>
      </c>
      <c r="DO4308" t="e">
        <f t="shared" si="224"/>
        <v>#N/A</v>
      </c>
    </row>
    <row r="4309" spans="7:119" x14ac:dyDescent="0.25">
      <c r="G4309"/>
      <c r="DI4309" s="4">
        <f>INDEX(Sheet2!A:A,QUOTIENT(ROW()-1,19)+2)</f>
        <v>41808</v>
      </c>
      <c r="DJ4309" s="4">
        <f>INDEX(Sheet2!C:C,QUOTIENT(ROW()-1,19)+2)</f>
        <v>43100</v>
      </c>
      <c r="DK4309" s="4" t="e">
        <f>INDEX(Sheet2!$AA$2:$AS$228,QUOTIENT(ROW()-1,19)+1,MOD(ROW()-2,19)+1)</f>
        <v>#N/A</v>
      </c>
      <c r="DL4309" t="str">
        <f>IFERROR(INDEX(Sheet2!$AU$2:$BM$228,QUOTIENT(ROW()-1,19)+1,MOD(ROW()-2,19)+1),NA())</f>
        <v/>
      </c>
      <c r="DM4309" s="4" t="e">
        <f t="shared" si="222"/>
        <v>#N/A</v>
      </c>
      <c r="DN4309" t="str">
        <f t="shared" si="223"/>
        <v/>
      </c>
      <c r="DO4309" t="e">
        <f t="shared" si="224"/>
        <v>#N/A</v>
      </c>
    </row>
    <row r="4310" spans="7:119" x14ac:dyDescent="0.25">
      <c r="G4310"/>
      <c r="DI4310" s="4">
        <f>INDEX(Sheet2!A:A,QUOTIENT(ROW()-1,19)+2)</f>
        <v>41808</v>
      </c>
      <c r="DJ4310" s="4">
        <f>INDEX(Sheet2!C:C,QUOTIENT(ROW()-1,19)+2)</f>
        <v>43100</v>
      </c>
      <c r="DK4310" s="4" t="e">
        <f>INDEX(Sheet2!$AA$2:$AS$228,QUOTIENT(ROW()-1,19)+1,MOD(ROW()-2,19)+1)</f>
        <v>#N/A</v>
      </c>
      <c r="DL4310" t="str">
        <f>IFERROR(INDEX(Sheet2!$AU$2:$BM$228,QUOTIENT(ROW()-1,19)+1,MOD(ROW()-2,19)+1),NA())</f>
        <v/>
      </c>
      <c r="DM4310" s="4" t="e">
        <f t="shared" si="222"/>
        <v>#N/A</v>
      </c>
      <c r="DN4310" t="str">
        <f t="shared" si="223"/>
        <v/>
      </c>
      <c r="DO4310" t="e">
        <f t="shared" si="224"/>
        <v>#N/A</v>
      </c>
    </row>
    <row r="4311" spans="7:119" x14ac:dyDescent="0.25">
      <c r="G4311"/>
      <c r="DI4311" s="4">
        <f>INDEX(Sheet2!A:A,QUOTIENT(ROW()-1,19)+2)</f>
        <v>41808</v>
      </c>
      <c r="DJ4311" s="4">
        <f>INDEX(Sheet2!C:C,QUOTIENT(ROW()-1,19)+2)</f>
        <v>43100</v>
      </c>
      <c r="DK4311" s="4" t="e">
        <f>INDEX(Sheet2!$AA$2:$AS$228,QUOTIENT(ROW()-1,19)+1,MOD(ROW()-2,19)+1)</f>
        <v>#N/A</v>
      </c>
      <c r="DL4311" t="str">
        <f>IFERROR(INDEX(Sheet2!$AU$2:$BM$228,QUOTIENT(ROW()-1,19)+1,MOD(ROW()-2,19)+1),NA())</f>
        <v/>
      </c>
      <c r="DM4311" s="4" t="e">
        <f t="shared" si="222"/>
        <v>#N/A</v>
      </c>
      <c r="DN4311" t="str">
        <f t="shared" si="223"/>
        <v/>
      </c>
      <c r="DO4311" t="e">
        <f t="shared" si="224"/>
        <v>#N/A</v>
      </c>
    </row>
    <row r="4312" spans="7:119" x14ac:dyDescent="0.25">
      <c r="G4312"/>
      <c r="DI4312" s="4">
        <f>INDEX(Sheet2!A:A,QUOTIENT(ROW()-1,19)+2)</f>
        <v>41808</v>
      </c>
      <c r="DJ4312" s="4">
        <f>INDEX(Sheet2!C:C,QUOTIENT(ROW()-1,19)+2)</f>
        <v>43100</v>
      </c>
      <c r="DK4312" s="4" t="e">
        <f>INDEX(Sheet2!$AA$2:$AS$228,QUOTIENT(ROW()-1,19)+1,MOD(ROW()-2,19)+1)</f>
        <v>#N/A</v>
      </c>
      <c r="DL4312" t="str">
        <f>IFERROR(INDEX(Sheet2!$AU$2:$BM$228,QUOTIENT(ROW()-1,19)+1,MOD(ROW()-2,19)+1),NA())</f>
        <v/>
      </c>
      <c r="DM4312" s="4" t="e">
        <f t="shared" si="222"/>
        <v>#N/A</v>
      </c>
      <c r="DN4312" t="str">
        <f t="shared" si="223"/>
        <v/>
      </c>
      <c r="DO4312" t="e">
        <f t="shared" si="224"/>
        <v>#N/A</v>
      </c>
    </row>
    <row r="4313" spans="7:119" x14ac:dyDescent="0.25">
      <c r="G4313"/>
      <c r="DI4313" s="4">
        <f>INDEX(Sheet2!A:A,QUOTIENT(ROW()-1,19)+2)</f>
        <v>41808</v>
      </c>
      <c r="DJ4313" s="4">
        <f>INDEX(Sheet2!C:C,QUOTIENT(ROW()-1,19)+2)</f>
        <v>43100</v>
      </c>
      <c r="DK4313" s="4" t="e">
        <f>INDEX(Sheet2!$AA$2:$AS$228,QUOTIENT(ROW()-1,19)+1,MOD(ROW()-2,19)+1)</f>
        <v>#N/A</v>
      </c>
      <c r="DL4313" t="str">
        <f>IFERROR(INDEX(Sheet2!$AU$2:$BM$228,QUOTIENT(ROW()-1,19)+1,MOD(ROW()-2,19)+1),NA())</f>
        <v/>
      </c>
      <c r="DM4313" s="4" t="e">
        <f t="shared" si="222"/>
        <v>#N/A</v>
      </c>
      <c r="DN4313" t="str">
        <f t="shared" si="223"/>
        <v/>
      </c>
      <c r="DO4313" t="e">
        <f t="shared" si="224"/>
        <v>#N/A</v>
      </c>
    </row>
    <row r="4314" spans="7:119" x14ac:dyDescent="0.25">
      <c r="G4314"/>
      <c r="DI4314" s="4"/>
      <c r="DJ4314" s="4"/>
    </row>
    <row r="4315" spans="7:119" x14ac:dyDescent="0.25">
      <c r="G4315"/>
      <c r="DI4315" s="4"/>
      <c r="DJ4315" s="4"/>
    </row>
    <row r="4316" spans="7:119" x14ac:dyDescent="0.25">
      <c r="G4316"/>
      <c r="DI4316" s="4"/>
      <c r="DJ4316" s="4"/>
    </row>
    <row r="4317" spans="7:119" x14ac:dyDescent="0.25">
      <c r="G4317"/>
      <c r="DI4317" s="4"/>
      <c r="DJ4317" s="4"/>
    </row>
    <row r="4318" spans="7:119" x14ac:dyDescent="0.25">
      <c r="G4318"/>
      <c r="DI4318" s="4"/>
      <c r="DJ4318" s="4"/>
    </row>
    <row r="4319" spans="7:119" x14ac:dyDescent="0.25">
      <c r="G4319"/>
      <c r="DI4319" s="4"/>
      <c r="DJ4319" s="4"/>
    </row>
    <row r="4320" spans="7:119" x14ac:dyDescent="0.25">
      <c r="G4320"/>
      <c r="DI4320" s="4"/>
      <c r="DJ4320" s="4"/>
    </row>
    <row r="4321" spans="7:114" x14ac:dyDescent="0.25">
      <c r="G4321"/>
      <c r="DI4321" s="4"/>
      <c r="DJ4321" s="4"/>
    </row>
    <row r="4322" spans="7:114" x14ac:dyDescent="0.25">
      <c r="G4322"/>
      <c r="DI4322" s="4"/>
      <c r="DJ4322" s="4"/>
    </row>
    <row r="4323" spans="7:114" x14ac:dyDescent="0.25">
      <c r="G4323"/>
      <c r="DI4323" s="4"/>
      <c r="DJ4323" s="4"/>
    </row>
    <row r="4324" spans="7:114" x14ac:dyDescent="0.25">
      <c r="G4324"/>
      <c r="DI4324" s="4"/>
      <c r="DJ4324" s="4"/>
    </row>
    <row r="4325" spans="7:114" x14ac:dyDescent="0.25">
      <c r="G4325"/>
      <c r="DI4325" s="4"/>
      <c r="DJ4325" s="4"/>
    </row>
    <row r="4326" spans="7:114" x14ac:dyDescent="0.25">
      <c r="G4326"/>
      <c r="DI4326" s="4"/>
      <c r="DJ4326" s="4"/>
    </row>
    <row r="4327" spans="7:114" x14ac:dyDescent="0.25">
      <c r="G4327"/>
      <c r="DI4327" s="4"/>
      <c r="DJ4327" s="4"/>
    </row>
    <row r="4328" spans="7:114" x14ac:dyDescent="0.25">
      <c r="G4328"/>
      <c r="DI4328" s="4"/>
      <c r="DJ4328" s="4"/>
    </row>
    <row r="4329" spans="7:114" x14ac:dyDescent="0.25">
      <c r="G4329"/>
      <c r="DI4329" s="4"/>
      <c r="DJ4329" s="4"/>
    </row>
    <row r="4330" spans="7:114" x14ac:dyDescent="0.25">
      <c r="G4330"/>
      <c r="DI4330" s="4"/>
      <c r="DJ4330" s="4"/>
    </row>
    <row r="4331" spans="7:114" x14ac:dyDescent="0.25">
      <c r="G4331"/>
      <c r="DI4331" s="4"/>
      <c r="DJ4331" s="4"/>
    </row>
    <row r="4332" spans="7:114" x14ac:dyDescent="0.25">
      <c r="G4332"/>
      <c r="DI4332" s="4"/>
      <c r="DJ4332" s="4"/>
    </row>
    <row r="4333" spans="7:114" x14ac:dyDescent="0.25">
      <c r="G4333"/>
      <c r="DI4333" s="4"/>
      <c r="DJ4333" s="4"/>
    </row>
    <row r="4334" spans="7:114" x14ac:dyDescent="0.25">
      <c r="G4334"/>
      <c r="DI4334" s="4"/>
      <c r="DJ4334" s="4"/>
    </row>
    <row r="4335" spans="7:114" x14ac:dyDescent="0.25">
      <c r="G4335"/>
      <c r="DI4335" s="4"/>
      <c r="DJ4335" s="4"/>
    </row>
    <row r="4336" spans="7:114" x14ac:dyDescent="0.25">
      <c r="G4336"/>
      <c r="DI4336" s="4"/>
      <c r="DJ4336" s="4"/>
    </row>
    <row r="4337" spans="7:114" x14ac:dyDescent="0.25">
      <c r="G4337"/>
      <c r="DI4337" s="4"/>
      <c r="DJ4337" s="4"/>
    </row>
    <row r="4338" spans="7:114" x14ac:dyDescent="0.25">
      <c r="G4338"/>
      <c r="DI4338" s="4"/>
      <c r="DJ4338" s="4"/>
    </row>
    <row r="4339" spans="7:114" x14ac:dyDescent="0.25">
      <c r="G4339"/>
      <c r="DI4339" s="4"/>
      <c r="DJ4339" s="4"/>
    </row>
    <row r="4340" spans="7:114" x14ac:dyDescent="0.25">
      <c r="G4340"/>
      <c r="DI4340" s="4"/>
      <c r="DJ4340" s="4"/>
    </row>
    <row r="4341" spans="7:114" x14ac:dyDescent="0.25">
      <c r="G4341"/>
      <c r="DI4341" s="4"/>
      <c r="DJ4341" s="4"/>
    </row>
    <row r="4342" spans="7:114" x14ac:dyDescent="0.25">
      <c r="G4342"/>
      <c r="DI4342" s="4"/>
      <c r="DJ4342" s="4"/>
    </row>
    <row r="4343" spans="7:114" x14ac:dyDescent="0.25">
      <c r="G4343"/>
      <c r="DI4343" s="4"/>
      <c r="DJ4343" s="4"/>
    </row>
    <row r="4344" spans="7:114" x14ac:dyDescent="0.25">
      <c r="G4344"/>
      <c r="DI4344" s="4"/>
      <c r="DJ4344" s="4"/>
    </row>
    <row r="4345" spans="7:114" x14ac:dyDescent="0.25">
      <c r="G4345"/>
      <c r="DI4345" s="4"/>
      <c r="DJ4345" s="4"/>
    </row>
    <row r="4346" spans="7:114" x14ac:dyDescent="0.25">
      <c r="G4346"/>
      <c r="DI4346" s="4"/>
      <c r="DJ4346" s="4"/>
    </row>
    <row r="4347" spans="7:114" x14ac:dyDescent="0.25">
      <c r="G4347"/>
      <c r="DI4347" s="4"/>
      <c r="DJ4347" s="4"/>
    </row>
    <row r="4348" spans="7:114" x14ac:dyDescent="0.25">
      <c r="G4348"/>
      <c r="DI4348" s="4"/>
      <c r="DJ4348" s="4"/>
    </row>
    <row r="4349" spans="7:114" x14ac:dyDescent="0.25">
      <c r="G4349"/>
      <c r="DI4349" s="4"/>
      <c r="DJ4349" s="4"/>
    </row>
    <row r="4350" spans="7:114" x14ac:dyDescent="0.25">
      <c r="G4350"/>
      <c r="DI4350" s="4"/>
      <c r="DJ4350" s="4"/>
    </row>
    <row r="4351" spans="7:114" x14ac:dyDescent="0.25">
      <c r="G4351"/>
      <c r="DI4351" s="4"/>
      <c r="DJ4351" s="4"/>
    </row>
    <row r="4352" spans="7:114" x14ac:dyDescent="0.25">
      <c r="G4352"/>
      <c r="DI4352" s="4"/>
      <c r="DJ4352" s="4"/>
    </row>
    <row r="4353" spans="7:114" x14ac:dyDescent="0.25">
      <c r="G4353"/>
      <c r="DI4353" s="4"/>
      <c r="DJ4353" s="4"/>
    </row>
    <row r="4354" spans="7:114" x14ac:dyDescent="0.25">
      <c r="G4354"/>
      <c r="DI4354" s="4"/>
      <c r="DJ4354" s="4"/>
    </row>
    <row r="4355" spans="7:114" x14ac:dyDescent="0.25">
      <c r="G4355"/>
      <c r="DI4355" s="4"/>
      <c r="DJ4355" s="4"/>
    </row>
    <row r="4356" spans="7:114" x14ac:dyDescent="0.25">
      <c r="G4356"/>
      <c r="DI4356" s="4"/>
      <c r="DJ4356" s="4"/>
    </row>
    <row r="4357" spans="7:114" x14ac:dyDescent="0.25">
      <c r="G4357"/>
      <c r="DI4357" s="4"/>
      <c r="DJ4357" s="4"/>
    </row>
    <row r="4358" spans="7:114" x14ac:dyDescent="0.25">
      <c r="G4358"/>
      <c r="DI4358" s="4"/>
      <c r="DJ4358" s="4"/>
    </row>
    <row r="4359" spans="7:114" x14ac:dyDescent="0.25">
      <c r="G4359"/>
      <c r="DI4359" s="4"/>
      <c r="DJ4359" s="4"/>
    </row>
    <row r="4360" spans="7:114" x14ac:dyDescent="0.25">
      <c r="G4360"/>
      <c r="DI4360" s="4"/>
      <c r="DJ4360" s="4"/>
    </row>
    <row r="4361" spans="7:114" x14ac:dyDescent="0.25">
      <c r="G4361"/>
      <c r="DI4361" s="4"/>
      <c r="DJ4361" s="4"/>
    </row>
    <row r="4362" spans="7:114" x14ac:dyDescent="0.25">
      <c r="G4362"/>
      <c r="DI4362" s="4"/>
      <c r="DJ4362" s="4"/>
    </row>
    <row r="4363" spans="7:114" x14ac:dyDescent="0.25">
      <c r="G4363"/>
      <c r="DI4363" s="4"/>
      <c r="DJ4363" s="4"/>
    </row>
    <row r="4364" spans="7:114" x14ac:dyDescent="0.25">
      <c r="G4364"/>
      <c r="DI4364" s="4"/>
      <c r="DJ4364" s="4"/>
    </row>
    <row r="4365" spans="7:114" x14ac:dyDescent="0.25">
      <c r="G4365"/>
      <c r="DI4365" s="4"/>
      <c r="DJ4365" s="4"/>
    </row>
    <row r="4366" spans="7:114" x14ac:dyDescent="0.25">
      <c r="G4366"/>
      <c r="DI4366" s="4"/>
      <c r="DJ4366" s="4"/>
    </row>
    <row r="4367" spans="7:114" x14ac:dyDescent="0.25">
      <c r="G4367"/>
      <c r="DI4367" s="4"/>
      <c r="DJ4367" s="4"/>
    </row>
    <row r="4368" spans="7:114" x14ac:dyDescent="0.25">
      <c r="G4368"/>
      <c r="DI4368" s="4"/>
      <c r="DJ4368" s="4"/>
    </row>
    <row r="4369" spans="7:114" x14ac:dyDescent="0.25">
      <c r="G4369"/>
      <c r="DI4369" s="4"/>
      <c r="DJ4369" s="4"/>
    </row>
    <row r="4370" spans="7:114" x14ac:dyDescent="0.25">
      <c r="G4370"/>
      <c r="DI4370" s="4"/>
      <c r="DJ4370" s="4"/>
    </row>
    <row r="4371" spans="7:114" x14ac:dyDescent="0.25">
      <c r="G4371"/>
      <c r="DI4371" s="4"/>
      <c r="DJ4371" s="4"/>
    </row>
    <row r="4372" spans="7:114" x14ac:dyDescent="0.25">
      <c r="G4372"/>
      <c r="DI4372" s="4"/>
      <c r="DJ4372" s="4"/>
    </row>
    <row r="4373" spans="7:114" x14ac:dyDescent="0.25">
      <c r="G4373"/>
      <c r="DI4373" s="4"/>
      <c r="DJ4373" s="4"/>
    </row>
    <row r="4374" spans="7:114" x14ac:dyDescent="0.25">
      <c r="G4374"/>
      <c r="DI4374" s="4"/>
      <c r="DJ4374" s="4"/>
    </row>
    <row r="4375" spans="7:114" x14ac:dyDescent="0.25">
      <c r="G4375"/>
      <c r="DI4375" s="4"/>
      <c r="DJ4375" s="4"/>
    </row>
    <row r="4376" spans="7:114" x14ac:dyDescent="0.25">
      <c r="G4376"/>
      <c r="DI4376" s="4"/>
      <c r="DJ4376" s="4"/>
    </row>
    <row r="4377" spans="7:114" x14ac:dyDescent="0.25">
      <c r="G4377"/>
      <c r="DI4377" s="4"/>
      <c r="DJ4377" s="4"/>
    </row>
    <row r="4378" spans="7:114" x14ac:dyDescent="0.25">
      <c r="G4378"/>
      <c r="DI4378" s="4"/>
      <c r="DJ4378" s="4"/>
    </row>
    <row r="4379" spans="7:114" x14ac:dyDescent="0.25">
      <c r="G4379"/>
      <c r="DI4379" s="4"/>
      <c r="DJ4379" s="4"/>
    </row>
  </sheetData>
  <sortState ref="DP2:DP10">
    <sortCondition descending="1" ref="DP2:DP10"/>
  </sortState>
  <mergeCells count="3">
    <mergeCell ref="E3:M4"/>
    <mergeCell ref="E5:M6"/>
    <mergeCell ref="D28:E28"/>
  </mergeCells>
  <dataValidations count="3">
    <dataValidation type="list" allowBlank="1" showInputMessage="1" showErrorMessage="1" sqref="C4">
      <formula1>$EC$4:$EC$5</formula1>
    </dataValidation>
    <dataValidation type="list" allowBlank="1" showInputMessage="1" showErrorMessage="1" sqref="C2">
      <formula1>$DP$3:$DP$11</formula1>
    </dataValidation>
    <dataValidation type="list" allowBlank="1" showInputMessage="1" showErrorMessage="1" sqref="C3">
      <formula1>$DP$2:$DP$11</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14"/>
  <sheetViews>
    <sheetView zoomScale="85" zoomScaleNormal="85" workbookViewId="0">
      <pane xSplit="2" ySplit="1" topLeftCell="C2" activePane="bottomRight" state="frozen"/>
      <selection pane="topRight" activeCell="C1" sqref="C1"/>
      <selection pane="bottomLeft" activeCell="A2" sqref="A2"/>
      <selection pane="bottomRight" activeCell="B47" sqref="B47"/>
    </sheetView>
  </sheetViews>
  <sheetFormatPr baseColWidth="10" defaultColWidth="9.140625" defaultRowHeight="15" x14ac:dyDescent="0.25"/>
  <cols>
    <col min="1" max="1" width="9.7109375" bestFit="1" customWidth="1"/>
    <col min="3" max="3" width="10.7109375" customWidth="1"/>
  </cols>
  <sheetData>
    <row r="1" spans="1:8" x14ac:dyDescent="0.25">
      <c r="C1">
        <v>2012</v>
      </c>
      <c r="D1">
        <v>2013</v>
      </c>
      <c r="E1">
        <v>2014</v>
      </c>
      <c r="F1">
        <v>2015</v>
      </c>
      <c r="G1">
        <v>2016</v>
      </c>
      <c r="H1" t="s">
        <v>0</v>
      </c>
    </row>
    <row r="2" spans="1:8" x14ac:dyDescent="0.25">
      <c r="A2" s="1">
        <v>41080</v>
      </c>
      <c r="B2" s="2">
        <v>0.25</v>
      </c>
      <c r="C2">
        <v>16</v>
      </c>
      <c r="D2">
        <v>13</v>
      </c>
      <c r="E2">
        <v>6</v>
      </c>
    </row>
    <row r="3" spans="1:8" x14ac:dyDescent="0.25">
      <c r="A3" s="1">
        <v>41080</v>
      </c>
      <c r="B3">
        <v>0.5</v>
      </c>
      <c r="C3">
        <v>2</v>
      </c>
      <c r="D3">
        <v>1</v>
      </c>
      <c r="E3">
        <v>4</v>
      </c>
    </row>
    <row r="4" spans="1:8" x14ac:dyDescent="0.25">
      <c r="A4" s="1">
        <v>41080</v>
      </c>
      <c r="B4">
        <v>0.75</v>
      </c>
      <c r="C4">
        <v>1</v>
      </c>
      <c r="D4">
        <v>1</v>
      </c>
      <c r="E4">
        <v>1</v>
      </c>
    </row>
    <row r="5" spans="1:8" x14ac:dyDescent="0.25">
      <c r="A5" s="1">
        <v>41080</v>
      </c>
      <c r="B5">
        <v>1</v>
      </c>
      <c r="D5">
        <v>1</v>
      </c>
    </row>
    <row r="6" spans="1:8" x14ac:dyDescent="0.25">
      <c r="A6" s="1">
        <v>41080</v>
      </c>
      <c r="B6">
        <v>1.25</v>
      </c>
      <c r="D6">
        <v>2</v>
      </c>
    </row>
    <row r="7" spans="1:8" x14ac:dyDescent="0.25">
      <c r="A7" s="1">
        <v>41080</v>
      </c>
      <c r="B7">
        <v>1.5</v>
      </c>
      <c r="E7">
        <v>2</v>
      </c>
    </row>
    <row r="8" spans="1:8" x14ac:dyDescent="0.25">
      <c r="A8" s="1">
        <v>41080</v>
      </c>
      <c r="B8" s="2">
        <v>1.75</v>
      </c>
      <c r="D8">
        <v>1</v>
      </c>
      <c r="E8">
        <v>2</v>
      </c>
    </row>
    <row r="9" spans="1:8" x14ac:dyDescent="0.25">
      <c r="A9" s="1">
        <v>41080</v>
      </c>
      <c r="B9">
        <v>2</v>
      </c>
      <c r="E9">
        <v>1</v>
      </c>
    </row>
    <row r="10" spans="1:8" x14ac:dyDescent="0.25">
      <c r="A10" s="1">
        <v>41080</v>
      </c>
      <c r="B10">
        <v>2.25</v>
      </c>
    </row>
    <row r="11" spans="1:8" x14ac:dyDescent="0.25">
      <c r="A11" s="1">
        <v>41080</v>
      </c>
      <c r="B11">
        <v>2.5</v>
      </c>
      <c r="E11">
        <v>1</v>
      </c>
    </row>
    <row r="12" spans="1:8" x14ac:dyDescent="0.25">
      <c r="A12" s="1">
        <v>41080</v>
      </c>
      <c r="B12">
        <v>2.75</v>
      </c>
      <c r="E12">
        <v>1</v>
      </c>
    </row>
    <row r="13" spans="1:8" x14ac:dyDescent="0.25">
      <c r="A13" s="1">
        <v>41080</v>
      </c>
      <c r="B13">
        <v>3</v>
      </c>
      <c r="E13">
        <v>1</v>
      </c>
      <c r="H13">
        <v>1</v>
      </c>
    </row>
    <row r="14" spans="1:8" x14ac:dyDescent="0.25">
      <c r="A14" s="1">
        <v>41080</v>
      </c>
      <c r="B14" s="2">
        <v>3.25</v>
      </c>
    </row>
    <row r="15" spans="1:8" x14ac:dyDescent="0.25">
      <c r="A15" s="1">
        <v>41080</v>
      </c>
      <c r="B15">
        <v>3.5</v>
      </c>
      <c r="H15">
        <v>1</v>
      </c>
    </row>
    <row r="16" spans="1:8" x14ac:dyDescent="0.25">
      <c r="A16" s="1">
        <v>41080</v>
      </c>
      <c r="B16">
        <v>3.75</v>
      </c>
      <c r="H16">
        <v>1</v>
      </c>
    </row>
    <row r="17" spans="1:8" x14ac:dyDescent="0.25">
      <c r="A17" s="1">
        <v>41080</v>
      </c>
      <c r="B17">
        <v>4</v>
      </c>
      <c r="H17">
        <v>6</v>
      </c>
    </row>
    <row r="18" spans="1:8" x14ac:dyDescent="0.25">
      <c r="A18" s="1">
        <v>41080</v>
      </c>
      <c r="B18">
        <v>4.25</v>
      </c>
      <c r="H18">
        <v>5</v>
      </c>
    </row>
    <row r="19" spans="1:8" x14ac:dyDescent="0.25">
      <c r="A19" s="1">
        <v>41080</v>
      </c>
      <c r="B19">
        <v>4.5</v>
      </c>
      <c r="H19">
        <v>5</v>
      </c>
    </row>
    <row r="20" spans="1:8" x14ac:dyDescent="0.25">
      <c r="A20" s="1">
        <v>41165</v>
      </c>
      <c r="B20" s="2">
        <v>0.25</v>
      </c>
      <c r="C20">
        <v>18</v>
      </c>
      <c r="D20">
        <v>15</v>
      </c>
      <c r="E20">
        <v>13</v>
      </c>
      <c r="F20">
        <v>1</v>
      </c>
    </row>
    <row r="21" spans="1:8" x14ac:dyDescent="0.25">
      <c r="A21" s="1">
        <v>41165</v>
      </c>
      <c r="B21">
        <v>0.5</v>
      </c>
      <c r="C21">
        <v>1</v>
      </c>
      <c r="D21">
        <v>2</v>
      </c>
      <c r="F21">
        <v>2</v>
      </c>
    </row>
    <row r="22" spans="1:8" x14ac:dyDescent="0.25">
      <c r="A22" s="1">
        <v>41165</v>
      </c>
      <c r="B22">
        <v>0.75</v>
      </c>
      <c r="D22">
        <v>1</v>
      </c>
      <c r="F22">
        <v>3</v>
      </c>
    </row>
    <row r="23" spans="1:8" x14ac:dyDescent="0.25">
      <c r="A23" s="1">
        <v>41165</v>
      </c>
      <c r="B23">
        <v>1</v>
      </c>
      <c r="F23">
        <v>4</v>
      </c>
    </row>
    <row r="24" spans="1:8" x14ac:dyDescent="0.25">
      <c r="A24" s="1">
        <v>41165</v>
      </c>
      <c r="B24">
        <v>1.25</v>
      </c>
    </row>
    <row r="25" spans="1:8" x14ac:dyDescent="0.25">
      <c r="A25" s="1">
        <v>41165</v>
      </c>
      <c r="B25">
        <v>1.5</v>
      </c>
      <c r="E25">
        <v>2</v>
      </c>
      <c r="F25">
        <v>3</v>
      </c>
    </row>
    <row r="26" spans="1:8" x14ac:dyDescent="0.25">
      <c r="A26" s="1">
        <v>41165</v>
      </c>
      <c r="B26" s="2">
        <v>1.75</v>
      </c>
      <c r="D26">
        <v>1</v>
      </c>
      <c r="E26">
        <v>2</v>
      </c>
    </row>
    <row r="27" spans="1:8" x14ac:dyDescent="0.25">
      <c r="A27" s="1">
        <v>41165</v>
      </c>
      <c r="B27">
        <v>2</v>
      </c>
    </row>
    <row r="28" spans="1:8" x14ac:dyDescent="0.25">
      <c r="A28" s="1">
        <v>41165</v>
      </c>
      <c r="B28">
        <v>2.25</v>
      </c>
    </row>
    <row r="29" spans="1:8" x14ac:dyDescent="0.25">
      <c r="A29" s="1">
        <v>41165</v>
      </c>
      <c r="B29">
        <v>2.5</v>
      </c>
      <c r="E29">
        <v>1</v>
      </c>
      <c r="F29">
        <v>2</v>
      </c>
    </row>
    <row r="30" spans="1:8" x14ac:dyDescent="0.25">
      <c r="A30" s="1">
        <v>41165</v>
      </c>
      <c r="B30">
        <v>2.75</v>
      </c>
    </row>
    <row r="31" spans="1:8" x14ac:dyDescent="0.25">
      <c r="A31" s="1">
        <v>41165</v>
      </c>
      <c r="B31">
        <v>3</v>
      </c>
      <c r="E31">
        <v>1</v>
      </c>
      <c r="H31">
        <v>1</v>
      </c>
    </row>
    <row r="32" spans="1:8" x14ac:dyDescent="0.25">
      <c r="A32" s="1">
        <v>41165</v>
      </c>
      <c r="B32" s="2">
        <v>3.25</v>
      </c>
    </row>
    <row r="33" spans="1:8" x14ac:dyDescent="0.25">
      <c r="A33" s="1">
        <v>41165</v>
      </c>
      <c r="B33">
        <v>3.5</v>
      </c>
      <c r="F33">
        <v>1</v>
      </c>
      <c r="H33">
        <v>1</v>
      </c>
    </row>
    <row r="34" spans="1:8" x14ac:dyDescent="0.25">
      <c r="A34" s="1">
        <v>41165</v>
      </c>
      <c r="B34">
        <v>3.75</v>
      </c>
      <c r="F34">
        <v>1</v>
      </c>
      <c r="H34">
        <v>2</v>
      </c>
    </row>
    <row r="35" spans="1:8" x14ac:dyDescent="0.25">
      <c r="A35" s="1">
        <v>41165</v>
      </c>
      <c r="B35">
        <v>4</v>
      </c>
      <c r="F35">
        <v>1</v>
      </c>
      <c r="H35">
        <v>6</v>
      </c>
    </row>
    <row r="36" spans="1:8" x14ac:dyDescent="0.25">
      <c r="A36" s="1">
        <v>41165</v>
      </c>
      <c r="B36">
        <v>4.25</v>
      </c>
      <c r="H36">
        <v>5</v>
      </c>
    </row>
    <row r="37" spans="1:8" x14ac:dyDescent="0.25">
      <c r="A37" s="1">
        <v>41165</v>
      </c>
      <c r="B37">
        <v>4.5</v>
      </c>
      <c r="F37">
        <v>1</v>
      </c>
      <c r="H37">
        <v>4</v>
      </c>
    </row>
    <row r="38" spans="1:8" x14ac:dyDescent="0.25">
      <c r="A38" s="1">
        <v>41255</v>
      </c>
      <c r="B38" s="2">
        <v>0.25</v>
      </c>
      <c r="C38">
        <v>19</v>
      </c>
      <c r="D38">
        <v>17</v>
      </c>
      <c r="E38">
        <v>14</v>
      </c>
      <c r="F38">
        <v>1</v>
      </c>
    </row>
    <row r="39" spans="1:8" x14ac:dyDescent="0.25">
      <c r="A39" s="1">
        <v>41255</v>
      </c>
      <c r="B39">
        <v>0.5</v>
      </c>
      <c r="D39">
        <v>1</v>
      </c>
      <c r="E39">
        <v>1</v>
      </c>
      <c r="F39">
        <v>4</v>
      </c>
    </row>
    <row r="40" spans="1:8" x14ac:dyDescent="0.25">
      <c r="A40" s="1">
        <v>41255</v>
      </c>
      <c r="B40">
        <v>0.75</v>
      </c>
      <c r="F40">
        <v>3</v>
      </c>
    </row>
    <row r="41" spans="1:8" x14ac:dyDescent="0.25">
      <c r="A41" s="1">
        <v>41255</v>
      </c>
      <c r="B41">
        <v>1</v>
      </c>
      <c r="D41">
        <v>1</v>
      </c>
      <c r="F41">
        <v>3</v>
      </c>
    </row>
    <row r="42" spans="1:8" x14ac:dyDescent="0.25">
      <c r="A42" s="1">
        <v>41255</v>
      </c>
      <c r="B42">
        <v>1.25</v>
      </c>
      <c r="F42">
        <v>2</v>
      </c>
    </row>
    <row r="43" spans="1:8" x14ac:dyDescent="0.25">
      <c r="A43" s="1">
        <v>41255</v>
      </c>
      <c r="B43">
        <v>1.5</v>
      </c>
      <c r="E43">
        <v>2</v>
      </c>
    </row>
    <row r="44" spans="1:8" x14ac:dyDescent="0.25">
      <c r="A44" s="1">
        <v>41255</v>
      </c>
      <c r="B44" s="2">
        <v>1.75</v>
      </c>
      <c r="E44">
        <v>1</v>
      </c>
    </row>
    <row r="45" spans="1:8" x14ac:dyDescent="0.25">
      <c r="A45" s="1">
        <v>41255</v>
      </c>
      <c r="B45">
        <v>2</v>
      </c>
      <c r="F45">
        <v>1</v>
      </c>
    </row>
    <row r="46" spans="1:8" x14ac:dyDescent="0.25">
      <c r="A46" s="1">
        <v>41255</v>
      </c>
      <c r="B46">
        <v>2.25</v>
      </c>
    </row>
    <row r="47" spans="1:8" x14ac:dyDescent="0.25">
      <c r="A47" s="1">
        <v>41255</v>
      </c>
      <c r="B47">
        <v>2.5</v>
      </c>
      <c r="F47">
        <v>1</v>
      </c>
    </row>
    <row r="48" spans="1:8" x14ac:dyDescent="0.25">
      <c r="A48" s="1">
        <v>41255</v>
      </c>
      <c r="B48">
        <v>2.75</v>
      </c>
      <c r="E48">
        <v>1</v>
      </c>
    </row>
    <row r="49" spans="1:8" x14ac:dyDescent="0.25">
      <c r="A49" s="1">
        <v>41255</v>
      </c>
      <c r="B49">
        <v>3</v>
      </c>
      <c r="H49">
        <v>1</v>
      </c>
    </row>
    <row r="50" spans="1:8" x14ac:dyDescent="0.25">
      <c r="A50" s="1">
        <v>41255</v>
      </c>
      <c r="B50" s="2">
        <v>3.25</v>
      </c>
    </row>
    <row r="51" spans="1:8" x14ac:dyDescent="0.25">
      <c r="A51" s="1">
        <v>41255</v>
      </c>
      <c r="B51">
        <v>3.5</v>
      </c>
      <c r="F51">
        <v>1</v>
      </c>
      <c r="H51">
        <v>1</v>
      </c>
    </row>
    <row r="52" spans="1:8" x14ac:dyDescent="0.25">
      <c r="A52" s="1">
        <v>41255</v>
      </c>
      <c r="B52">
        <v>3.75</v>
      </c>
      <c r="F52">
        <v>1</v>
      </c>
      <c r="H52">
        <v>3</v>
      </c>
    </row>
    <row r="53" spans="1:8" x14ac:dyDescent="0.25">
      <c r="A53" s="1">
        <v>41255</v>
      </c>
      <c r="B53">
        <v>4</v>
      </c>
      <c r="H53">
        <v>5</v>
      </c>
    </row>
    <row r="54" spans="1:8" x14ac:dyDescent="0.25">
      <c r="A54" s="1">
        <v>41255</v>
      </c>
      <c r="B54">
        <v>4.25</v>
      </c>
      <c r="H54">
        <v>6</v>
      </c>
    </row>
    <row r="55" spans="1:8" x14ac:dyDescent="0.25">
      <c r="A55" s="1">
        <v>41255</v>
      </c>
      <c r="B55">
        <v>4.5</v>
      </c>
      <c r="F55">
        <v>1</v>
      </c>
      <c r="H55">
        <v>3</v>
      </c>
    </row>
    <row r="56" spans="1:8" x14ac:dyDescent="0.25">
      <c r="A56" s="1">
        <v>41353</v>
      </c>
      <c r="B56" s="2">
        <v>0.25</v>
      </c>
      <c r="D56">
        <v>18</v>
      </c>
      <c r="E56">
        <v>14</v>
      </c>
      <c r="F56">
        <v>1</v>
      </c>
    </row>
    <row r="57" spans="1:8" x14ac:dyDescent="0.25">
      <c r="A57" s="1">
        <v>41353</v>
      </c>
      <c r="B57">
        <v>0.5</v>
      </c>
      <c r="E57">
        <v>1</v>
      </c>
      <c r="F57">
        <v>7</v>
      </c>
    </row>
    <row r="58" spans="1:8" x14ac:dyDescent="0.25">
      <c r="A58" s="1">
        <v>41353</v>
      </c>
      <c r="B58">
        <v>0.75</v>
      </c>
      <c r="F58">
        <v>1</v>
      </c>
    </row>
    <row r="59" spans="1:8" x14ac:dyDescent="0.25">
      <c r="A59" s="1">
        <v>41353</v>
      </c>
      <c r="B59">
        <v>1</v>
      </c>
      <c r="D59">
        <v>1</v>
      </c>
      <c r="E59">
        <v>2</v>
      </c>
      <c r="F59">
        <v>2</v>
      </c>
    </row>
    <row r="60" spans="1:8" x14ac:dyDescent="0.25">
      <c r="A60" s="1">
        <v>41353</v>
      </c>
      <c r="B60">
        <v>1.25</v>
      </c>
      <c r="F60">
        <v>4</v>
      </c>
    </row>
    <row r="61" spans="1:8" x14ac:dyDescent="0.25">
      <c r="A61" s="1">
        <v>41353</v>
      </c>
      <c r="B61">
        <v>1.5</v>
      </c>
    </row>
    <row r="62" spans="1:8" x14ac:dyDescent="0.25">
      <c r="A62" s="1">
        <v>41353</v>
      </c>
      <c r="B62" s="2">
        <v>1.75</v>
      </c>
      <c r="E62">
        <v>1</v>
      </c>
    </row>
    <row r="63" spans="1:8" x14ac:dyDescent="0.25">
      <c r="A63" s="1">
        <v>41353</v>
      </c>
      <c r="B63">
        <v>2</v>
      </c>
      <c r="F63">
        <v>1</v>
      </c>
    </row>
    <row r="64" spans="1:8" x14ac:dyDescent="0.25">
      <c r="A64" s="1">
        <v>41353</v>
      </c>
      <c r="B64">
        <v>2.25</v>
      </c>
    </row>
    <row r="65" spans="1:8" x14ac:dyDescent="0.25">
      <c r="A65" s="1">
        <v>41353</v>
      </c>
      <c r="B65">
        <v>2.5</v>
      </c>
    </row>
    <row r="66" spans="1:8" x14ac:dyDescent="0.25">
      <c r="A66" s="1">
        <v>41353</v>
      </c>
      <c r="B66">
        <v>2.75</v>
      </c>
      <c r="E66">
        <v>1</v>
      </c>
    </row>
    <row r="67" spans="1:8" x14ac:dyDescent="0.25">
      <c r="A67" s="1">
        <v>41353</v>
      </c>
      <c r="B67">
        <v>3</v>
      </c>
      <c r="F67">
        <v>1</v>
      </c>
    </row>
    <row r="68" spans="1:8" x14ac:dyDescent="0.25">
      <c r="A68" s="1">
        <v>41353</v>
      </c>
      <c r="B68" s="2">
        <v>3.25</v>
      </c>
      <c r="H68">
        <v>1</v>
      </c>
    </row>
    <row r="69" spans="1:8" x14ac:dyDescent="0.25">
      <c r="A69" s="1">
        <v>41353</v>
      </c>
      <c r="B69">
        <v>3.5</v>
      </c>
      <c r="H69">
        <v>2</v>
      </c>
    </row>
    <row r="70" spans="1:8" x14ac:dyDescent="0.25">
      <c r="A70" s="1">
        <v>41353</v>
      </c>
      <c r="B70">
        <v>3.75</v>
      </c>
      <c r="F70">
        <v>1</v>
      </c>
      <c r="H70">
        <v>1</v>
      </c>
    </row>
    <row r="71" spans="1:8" x14ac:dyDescent="0.25">
      <c r="A71" s="1">
        <v>41353</v>
      </c>
      <c r="B71">
        <v>4</v>
      </c>
      <c r="H71">
        <v>9</v>
      </c>
    </row>
    <row r="72" spans="1:8" x14ac:dyDescent="0.25">
      <c r="A72" s="1">
        <v>41353</v>
      </c>
      <c r="B72">
        <v>4.25</v>
      </c>
      <c r="H72">
        <v>3</v>
      </c>
    </row>
    <row r="73" spans="1:8" x14ac:dyDescent="0.25">
      <c r="A73" s="1">
        <v>41353</v>
      </c>
      <c r="B73">
        <v>4.5</v>
      </c>
      <c r="F73">
        <v>1</v>
      </c>
      <c r="H73">
        <v>3</v>
      </c>
    </row>
    <row r="74" spans="1:8" x14ac:dyDescent="0.25">
      <c r="A74" s="1">
        <v>41444</v>
      </c>
      <c r="B74" s="2">
        <v>0.25</v>
      </c>
      <c r="D74">
        <v>18</v>
      </c>
      <c r="E74">
        <v>15</v>
      </c>
      <c r="F74">
        <v>1</v>
      </c>
    </row>
    <row r="75" spans="1:8" x14ac:dyDescent="0.25">
      <c r="A75" s="1">
        <v>41444</v>
      </c>
      <c r="B75">
        <v>0.5</v>
      </c>
      <c r="D75">
        <v>1</v>
      </c>
      <c r="F75">
        <v>2</v>
      </c>
    </row>
    <row r="76" spans="1:8" x14ac:dyDescent="0.25">
      <c r="A76" s="1">
        <v>41444</v>
      </c>
      <c r="B76">
        <v>0.75</v>
      </c>
      <c r="F76">
        <v>3</v>
      </c>
    </row>
    <row r="77" spans="1:8" x14ac:dyDescent="0.25">
      <c r="A77" s="1">
        <v>41444</v>
      </c>
      <c r="B77">
        <v>1</v>
      </c>
      <c r="E77">
        <v>3</v>
      </c>
      <c r="F77">
        <v>4</v>
      </c>
    </row>
    <row r="78" spans="1:8" x14ac:dyDescent="0.25">
      <c r="A78" s="1">
        <v>41444</v>
      </c>
      <c r="B78">
        <v>1.25</v>
      </c>
      <c r="F78">
        <v>2</v>
      </c>
    </row>
    <row r="79" spans="1:8" x14ac:dyDescent="0.25">
      <c r="A79" s="1">
        <v>41444</v>
      </c>
      <c r="B79">
        <v>1.5</v>
      </c>
      <c r="E79">
        <v>1</v>
      </c>
      <c r="F79">
        <v>3</v>
      </c>
    </row>
    <row r="80" spans="1:8" x14ac:dyDescent="0.25">
      <c r="A80" s="1">
        <v>41444</v>
      </c>
      <c r="B80" s="2">
        <v>1.75</v>
      </c>
    </row>
    <row r="81" spans="1:8" x14ac:dyDescent="0.25">
      <c r="A81" s="1">
        <v>41444</v>
      </c>
      <c r="B81">
        <v>2</v>
      </c>
      <c r="F81">
        <v>1</v>
      </c>
    </row>
    <row r="82" spans="1:8" x14ac:dyDescent="0.25">
      <c r="A82" s="1">
        <v>41444</v>
      </c>
      <c r="B82">
        <v>2.25</v>
      </c>
    </row>
    <row r="83" spans="1:8" x14ac:dyDescent="0.25">
      <c r="A83" s="1">
        <v>41444</v>
      </c>
      <c r="B83">
        <v>2.5</v>
      </c>
    </row>
    <row r="84" spans="1:8" x14ac:dyDescent="0.25">
      <c r="A84" s="1">
        <v>41444</v>
      </c>
      <c r="B84">
        <v>2.75</v>
      </c>
    </row>
    <row r="85" spans="1:8" x14ac:dyDescent="0.25">
      <c r="A85" s="1">
        <v>41444</v>
      </c>
      <c r="B85">
        <v>3</v>
      </c>
      <c r="F85">
        <v>3</v>
      </c>
    </row>
    <row r="86" spans="1:8" x14ac:dyDescent="0.25">
      <c r="A86" s="1">
        <v>41444</v>
      </c>
      <c r="B86" s="2">
        <v>3.25</v>
      </c>
      <c r="H86">
        <v>1</v>
      </c>
    </row>
    <row r="87" spans="1:8" x14ac:dyDescent="0.25">
      <c r="A87" s="1">
        <v>41444</v>
      </c>
      <c r="B87">
        <v>3.5</v>
      </c>
      <c r="H87">
        <v>2</v>
      </c>
    </row>
    <row r="88" spans="1:8" x14ac:dyDescent="0.25">
      <c r="A88" s="1">
        <v>41444</v>
      </c>
      <c r="B88">
        <v>3.75</v>
      </c>
      <c r="H88">
        <v>1</v>
      </c>
    </row>
    <row r="89" spans="1:8" x14ac:dyDescent="0.25">
      <c r="A89" s="1">
        <v>41444</v>
      </c>
      <c r="B89">
        <v>4</v>
      </c>
      <c r="H89">
        <v>9</v>
      </c>
    </row>
    <row r="90" spans="1:8" x14ac:dyDescent="0.25">
      <c r="A90" s="1">
        <v>41444</v>
      </c>
      <c r="B90">
        <v>4.25</v>
      </c>
      <c r="H90">
        <v>3</v>
      </c>
    </row>
    <row r="91" spans="1:8" x14ac:dyDescent="0.25">
      <c r="A91" s="1">
        <v>41444</v>
      </c>
      <c r="B91">
        <v>4.5</v>
      </c>
      <c r="H91">
        <v>3</v>
      </c>
    </row>
    <row r="92" spans="1:8" x14ac:dyDescent="0.25">
      <c r="A92" s="1">
        <v>41535</v>
      </c>
      <c r="B92">
        <v>0.25</v>
      </c>
      <c r="D92">
        <v>17</v>
      </c>
      <c r="E92">
        <v>14</v>
      </c>
      <c r="F92">
        <v>2</v>
      </c>
    </row>
    <row r="93" spans="1:8" x14ac:dyDescent="0.25">
      <c r="A93" s="1">
        <v>41535</v>
      </c>
      <c r="B93">
        <v>0.5</v>
      </c>
      <c r="F93">
        <v>1</v>
      </c>
      <c r="G93">
        <v>1</v>
      </c>
    </row>
    <row r="94" spans="1:8" x14ac:dyDescent="0.25">
      <c r="A94" s="1">
        <v>41535</v>
      </c>
      <c r="B94">
        <v>0.75</v>
      </c>
      <c r="F94">
        <v>5</v>
      </c>
    </row>
    <row r="95" spans="1:8" x14ac:dyDescent="0.25">
      <c r="A95" s="1">
        <v>41535</v>
      </c>
      <c r="B95">
        <v>1</v>
      </c>
      <c r="E95">
        <v>2</v>
      </c>
      <c r="F95">
        <v>3</v>
      </c>
      <c r="G95">
        <v>1</v>
      </c>
    </row>
    <row r="96" spans="1:8" x14ac:dyDescent="0.25">
      <c r="A96" s="1">
        <v>41535</v>
      </c>
      <c r="B96">
        <v>1.25</v>
      </c>
      <c r="E96">
        <v>1</v>
      </c>
      <c r="F96">
        <v>1</v>
      </c>
    </row>
    <row r="97" spans="1:8" x14ac:dyDescent="0.25">
      <c r="A97" s="1">
        <v>41535</v>
      </c>
      <c r="B97">
        <v>1.5</v>
      </c>
      <c r="F97">
        <v>2</v>
      </c>
      <c r="G97">
        <v>1</v>
      </c>
    </row>
    <row r="98" spans="1:8" x14ac:dyDescent="0.25">
      <c r="A98" s="1">
        <v>41535</v>
      </c>
      <c r="B98">
        <v>1.75</v>
      </c>
      <c r="G98">
        <v>5</v>
      </c>
    </row>
    <row r="99" spans="1:8" x14ac:dyDescent="0.25">
      <c r="A99" s="1">
        <v>41535</v>
      </c>
      <c r="B99">
        <v>2</v>
      </c>
      <c r="G99">
        <v>2</v>
      </c>
    </row>
    <row r="100" spans="1:8" x14ac:dyDescent="0.25">
      <c r="A100" s="1">
        <v>41535</v>
      </c>
      <c r="B100">
        <v>2.25</v>
      </c>
    </row>
    <row r="101" spans="1:8" x14ac:dyDescent="0.25">
      <c r="A101" s="1">
        <v>41535</v>
      </c>
      <c r="B101">
        <v>2.5</v>
      </c>
      <c r="G101">
        <v>2</v>
      </c>
    </row>
    <row r="102" spans="1:8" x14ac:dyDescent="0.25">
      <c r="A102" s="1">
        <v>41535</v>
      </c>
      <c r="B102">
        <v>2.75</v>
      </c>
      <c r="G102">
        <v>2</v>
      </c>
    </row>
    <row r="103" spans="1:8" x14ac:dyDescent="0.25">
      <c r="A103" s="1">
        <v>41535</v>
      </c>
      <c r="B103">
        <v>3</v>
      </c>
      <c r="F103">
        <v>2</v>
      </c>
    </row>
    <row r="104" spans="1:8" x14ac:dyDescent="0.25">
      <c r="A104" s="1">
        <v>41535</v>
      </c>
      <c r="B104">
        <v>3.25</v>
      </c>
      <c r="F104">
        <v>1</v>
      </c>
      <c r="H104">
        <v>1</v>
      </c>
    </row>
    <row r="105" spans="1:8" x14ac:dyDescent="0.25">
      <c r="A105" s="1">
        <v>41535</v>
      </c>
      <c r="B105">
        <v>3.5</v>
      </c>
      <c r="H105">
        <v>2</v>
      </c>
    </row>
    <row r="106" spans="1:8" x14ac:dyDescent="0.25">
      <c r="A106" s="1">
        <v>41535</v>
      </c>
      <c r="B106">
        <v>3.75</v>
      </c>
      <c r="H106">
        <v>1</v>
      </c>
    </row>
    <row r="107" spans="1:8" x14ac:dyDescent="0.25">
      <c r="A107" s="1">
        <v>41535</v>
      </c>
      <c r="B107">
        <v>4</v>
      </c>
      <c r="G107">
        <v>2</v>
      </c>
      <c r="H107">
        <v>10</v>
      </c>
    </row>
    <row r="108" spans="1:8" x14ac:dyDescent="0.25">
      <c r="A108" s="1">
        <v>41535</v>
      </c>
      <c r="B108">
        <v>4.25</v>
      </c>
      <c r="G108">
        <v>1</v>
      </c>
      <c r="H108">
        <v>3</v>
      </c>
    </row>
    <row r="109" spans="1:8" x14ac:dyDescent="0.25">
      <c r="A109" s="1">
        <v>41535</v>
      </c>
      <c r="B109">
        <v>4.5</v>
      </c>
    </row>
    <row r="110" spans="1:8" x14ac:dyDescent="0.25">
      <c r="A110" s="1">
        <v>41626</v>
      </c>
      <c r="B110">
        <v>0.25</v>
      </c>
      <c r="D110">
        <v>17</v>
      </c>
      <c r="E110">
        <v>15</v>
      </c>
      <c r="F110">
        <v>3</v>
      </c>
    </row>
    <row r="111" spans="1:8" x14ac:dyDescent="0.25">
      <c r="A111" s="1">
        <v>41626</v>
      </c>
      <c r="B111">
        <v>0.5</v>
      </c>
      <c r="F111">
        <v>3</v>
      </c>
      <c r="G111">
        <v>1</v>
      </c>
    </row>
    <row r="112" spans="1:8" x14ac:dyDescent="0.25">
      <c r="A112" s="1">
        <v>41626</v>
      </c>
      <c r="B112">
        <v>0.75</v>
      </c>
      <c r="E112">
        <v>1</v>
      </c>
      <c r="F112">
        <v>4</v>
      </c>
    </row>
    <row r="113" spans="1:8" x14ac:dyDescent="0.25">
      <c r="A113" s="1">
        <v>41626</v>
      </c>
      <c r="B113">
        <v>1</v>
      </c>
      <c r="F113">
        <v>2</v>
      </c>
      <c r="G113">
        <v>1</v>
      </c>
    </row>
    <row r="114" spans="1:8" x14ac:dyDescent="0.25">
      <c r="A114" s="1">
        <v>41626</v>
      </c>
      <c r="B114">
        <v>1.25</v>
      </c>
      <c r="E114">
        <v>1</v>
      </c>
      <c r="F114">
        <v>1</v>
      </c>
      <c r="G114">
        <v>1</v>
      </c>
    </row>
    <row r="115" spans="1:8" x14ac:dyDescent="0.25">
      <c r="A115" s="1">
        <v>41626</v>
      </c>
      <c r="B115">
        <v>1.5</v>
      </c>
      <c r="F115">
        <v>1</v>
      </c>
      <c r="G115">
        <v>2</v>
      </c>
    </row>
    <row r="116" spans="1:8" x14ac:dyDescent="0.25">
      <c r="A116" s="1">
        <v>41626</v>
      </c>
      <c r="B116">
        <v>1.75</v>
      </c>
      <c r="G116">
        <v>4</v>
      </c>
    </row>
    <row r="117" spans="1:8" x14ac:dyDescent="0.25">
      <c r="A117" s="1">
        <v>41626</v>
      </c>
      <c r="B117">
        <v>2</v>
      </c>
      <c r="F117">
        <v>1</v>
      </c>
      <c r="G117">
        <v>1</v>
      </c>
    </row>
    <row r="118" spans="1:8" x14ac:dyDescent="0.25">
      <c r="A118" s="1">
        <v>41626</v>
      </c>
      <c r="B118">
        <v>2.25</v>
      </c>
    </row>
    <row r="119" spans="1:8" x14ac:dyDescent="0.25">
      <c r="A119" s="1">
        <v>41626</v>
      </c>
      <c r="B119">
        <v>2.5</v>
      </c>
      <c r="G119">
        <v>2</v>
      </c>
    </row>
    <row r="120" spans="1:8" x14ac:dyDescent="0.25">
      <c r="A120" s="1">
        <v>41626</v>
      </c>
      <c r="B120">
        <v>2.75</v>
      </c>
      <c r="F120">
        <v>1</v>
      </c>
      <c r="G120">
        <v>1</v>
      </c>
    </row>
    <row r="121" spans="1:8" x14ac:dyDescent="0.25">
      <c r="A121" s="1">
        <v>41626</v>
      </c>
      <c r="B121">
        <v>3</v>
      </c>
      <c r="G121">
        <v>1</v>
      </c>
    </row>
    <row r="122" spans="1:8" x14ac:dyDescent="0.25">
      <c r="A122" s="1">
        <v>41626</v>
      </c>
      <c r="B122">
        <v>3.25</v>
      </c>
      <c r="F122">
        <v>1</v>
      </c>
      <c r="G122">
        <v>1</v>
      </c>
    </row>
    <row r="123" spans="1:8" x14ac:dyDescent="0.25">
      <c r="A123" s="1">
        <v>41626</v>
      </c>
      <c r="B123">
        <v>3.5</v>
      </c>
      <c r="H123">
        <v>3</v>
      </c>
    </row>
    <row r="124" spans="1:8" x14ac:dyDescent="0.25">
      <c r="A124" s="1">
        <v>41626</v>
      </c>
      <c r="B124">
        <v>3.75</v>
      </c>
      <c r="H124">
        <v>2</v>
      </c>
    </row>
    <row r="125" spans="1:8" x14ac:dyDescent="0.25">
      <c r="A125" s="1">
        <v>41626</v>
      </c>
      <c r="B125">
        <v>4</v>
      </c>
      <c r="G125">
        <v>1</v>
      </c>
      <c r="H125">
        <v>10</v>
      </c>
    </row>
    <row r="126" spans="1:8" x14ac:dyDescent="0.25">
      <c r="A126" s="1">
        <v>41626</v>
      </c>
      <c r="B126">
        <v>4.25</v>
      </c>
      <c r="G126">
        <v>1</v>
      </c>
      <c r="H126">
        <v>2</v>
      </c>
    </row>
    <row r="127" spans="1:8" x14ac:dyDescent="0.25">
      <c r="A127" s="1">
        <v>41626</v>
      </c>
      <c r="B127">
        <v>4.5</v>
      </c>
    </row>
    <row r="128" spans="1:8" x14ac:dyDescent="0.25">
      <c r="A128" s="1">
        <v>41717</v>
      </c>
      <c r="B128">
        <v>0.25</v>
      </c>
      <c r="E128">
        <v>15</v>
      </c>
      <c r="F128">
        <v>2</v>
      </c>
    </row>
    <row r="129" spans="1:8" x14ac:dyDescent="0.25">
      <c r="A129" s="1">
        <v>41717</v>
      </c>
      <c r="B129">
        <v>0.5</v>
      </c>
      <c r="E129">
        <v>1</v>
      </c>
      <c r="F129">
        <v>2</v>
      </c>
    </row>
    <row r="130" spans="1:8" x14ac:dyDescent="0.25">
      <c r="A130" s="1">
        <v>41717</v>
      </c>
      <c r="B130">
        <v>0.75</v>
      </c>
      <c r="F130">
        <v>2</v>
      </c>
      <c r="G130">
        <v>1</v>
      </c>
    </row>
    <row r="131" spans="1:8" x14ac:dyDescent="0.25">
      <c r="A131" s="1">
        <v>41717</v>
      </c>
      <c r="B131">
        <v>1</v>
      </c>
      <c r="F131">
        <v>5</v>
      </c>
    </row>
    <row r="132" spans="1:8" x14ac:dyDescent="0.25">
      <c r="A132" s="1">
        <v>41717</v>
      </c>
      <c r="B132">
        <v>1.25</v>
      </c>
      <c r="F132">
        <v>1</v>
      </c>
      <c r="G132">
        <v>1</v>
      </c>
    </row>
    <row r="133" spans="1:8" x14ac:dyDescent="0.25">
      <c r="A133" s="1">
        <v>41717</v>
      </c>
      <c r="B133">
        <v>1.5</v>
      </c>
      <c r="F133">
        <v>1</v>
      </c>
    </row>
    <row r="134" spans="1:8" x14ac:dyDescent="0.25">
      <c r="A134" s="1">
        <v>41717</v>
      </c>
      <c r="B134">
        <v>1.75</v>
      </c>
      <c r="G134">
        <v>2</v>
      </c>
    </row>
    <row r="135" spans="1:8" x14ac:dyDescent="0.25">
      <c r="A135" s="1">
        <v>41717</v>
      </c>
      <c r="B135">
        <v>2</v>
      </c>
      <c r="F135">
        <v>1</v>
      </c>
      <c r="G135">
        <v>3</v>
      </c>
    </row>
    <row r="136" spans="1:8" x14ac:dyDescent="0.25">
      <c r="A136" s="1">
        <v>41717</v>
      </c>
      <c r="B136">
        <v>2.25</v>
      </c>
      <c r="F136">
        <v>1</v>
      </c>
      <c r="G136">
        <v>2</v>
      </c>
    </row>
    <row r="137" spans="1:8" x14ac:dyDescent="0.25">
      <c r="A137" s="1">
        <v>41717</v>
      </c>
      <c r="B137">
        <v>2.5</v>
      </c>
      <c r="G137">
        <v>1</v>
      </c>
    </row>
    <row r="138" spans="1:8" x14ac:dyDescent="0.25">
      <c r="A138" s="1">
        <v>41717</v>
      </c>
      <c r="B138">
        <v>2.75</v>
      </c>
      <c r="G138">
        <v>2</v>
      </c>
    </row>
    <row r="139" spans="1:8" x14ac:dyDescent="0.25">
      <c r="A139" s="1">
        <v>41717</v>
      </c>
      <c r="B139">
        <v>3</v>
      </c>
      <c r="F139">
        <v>1</v>
      </c>
      <c r="G139">
        <v>1</v>
      </c>
    </row>
    <row r="140" spans="1:8" x14ac:dyDescent="0.25">
      <c r="A140" s="1">
        <v>41717</v>
      </c>
      <c r="B140">
        <v>3.25</v>
      </c>
    </row>
    <row r="141" spans="1:8" x14ac:dyDescent="0.25">
      <c r="A141" s="1">
        <v>41717</v>
      </c>
      <c r="B141">
        <v>3.5</v>
      </c>
      <c r="G141">
        <v>1</v>
      </c>
      <c r="H141">
        <v>4</v>
      </c>
    </row>
    <row r="142" spans="1:8" x14ac:dyDescent="0.25">
      <c r="A142" s="1">
        <v>41717</v>
      </c>
      <c r="B142">
        <v>3.75</v>
      </c>
      <c r="H142">
        <v>2</v>
      </c>
    </row>
    <row r="143" spans="1:8" x14ac:dyDescent="0.25">
      <c r="A143" s="1">
        <v>41717</v>
      </c>
      <c r="B143">
        <v>4</v>
      </c>
      <c r="G143">
        <v>1</v>
      </c>
      <c r="H143">
        <v>8</v>
      </c>
    </row>
    <row r="144" spans="1:8" x14ac:dyDescent="0.25">
      <c r="A144" s="1">
        <v>41717</v>
      </c>
      <c r="B144">
        <v>4.25</v>
      </c>
      <c r="G144">
        <v>1</v>
      </c>
      <c r="H144">
        <v>2</v>
      </c>
    </row>
    <row r="145" spans="1:8" x14ac:dyDescent="0.25">
      <c r="A145" s="1">
        <v>41717</v>
      </c>
      <c r="B145">
        <v>4.5</v>
      </c>
    </row>
    <row r="146" spans="1:8" x14ac:dyDescent="0.25">
      <c r="A146" s="1">
        <v>41808</v>
      </c>
      <c r="B146">
        <v>0.25</v>
      </c>
      <c r="E146">
        <v>15</v>
      </c>
      <c r="F146">
        <v>3</v>
      </c>
    </row>
    <row r="147" spans="1:8" x14ac:dyDescent="0.25">
      <c r="A147" s="1">
        <v>41808</v>
      </c>
      <c r="B147">
        <v>0.5</v>
      </c>
      <c r="E147">
        <v>1</v>
      </c>
      <c r="F147">
        <v>1</v>
      </c>
      <c r="G147">
        <v>1</v>
      </c>
    </row>
    <row r="148" spans="1:8" x14ac:dyDescent="0.25">
      <c r="A148" s="1">
        <v>41808</v>
      </c>
      <c r="B148">
        <v>0.75</v>
      </c>
      <c r="F148">
        <v>1</v>
      </c>
    </row>
    <row r="149" spans="1:8" x14ac:dyDescent="0.25">
      <c r="A149" s="1">
        <v>41808</v>
      </c>
      <c r="B149">
        <v>1</v>
      </c>
      <c r="F149">
        <v>3</v>
      </c>
      <c r="G149">
        <v>1</v>
      </c>
    </row>
    <row r="150" spans="1:8" x14ac:dyDescent="0.25">
      <c r="A150" s="1">
        <v>41808</v>
      </c>
      <c r="B150">
        <v>1.25</v>
      </c>
      <c r="F150">
        <v>3</v>
      </c>
      <c r="G150">
        <v>1</v>
      </c>
    </row>
    <row r="151" spans="1:8" x14ac:dyDescent="0.25">
      <c r="A151" s="1">
        <v>41808</v>
      </c>
      <c r="B151">
        <v>1.5</v>
      </c>
      <c r="F151">
        <v>1</v>
      </c>
    </row>
    <row r="152" spans="1:8" x14ac:dyDescent="0.25">
      <c r="A152" s="1">
        <v>41808</v>
      </c>
      <c r="B152">
        <v>1.75</v>
      </c>
      <c r="F152">
        <v>1</v>
      </c>
    </row>
    <row r="153" spans="1:8" x14ac:dyDescent="0.25">
      <c r="A153" s="1">
        <v>41808</v>
      </c>
      <c r="B153">
        <v>2</v>
      </c>
      <c r="F153">
        <v>1</v>
      </c>
      <c r="G153">
        <v>2</v>
      </c>
    </row>
    <row r="154" spans="1:8" x14ac:dyDescent="0.25">
      <c r="A154" s="1">
        <v>41808</v>
      </c>
      <c r="B154">
        <v>2.25</v>
      </c>
      <c r="F154">
        <v>1</v>
      </c>
      <c r="G154">
        <v>2</v>
      </c>
    </row>
    <row r="155" spans="1:8" x14ac:dyDescent="0.25">
      <c r="A155" s="1">
        <v>41808</v>
      </c>
      <c r="B155">
        <v>2.5</v>
      </c>
      <c r="G155">
        <v>2</v>
      </c>
    </row>
    <row r="156" spans="1:8" x14ac:dyDescent="0.25">
      <c r="A156" s="1">
        <v>41808</v>
      </c>
      <c r="B156">
        <v>2.75</v>
      </c>
      <c r="G156">
        <v>1</v>
      </c>
    </row>
    <row r="157" spans="1:8" x14ac:dyDescent="0.25">
      <c r="A157" s="1">
        <v>41808</v>
      </c>
      <c r="B157">
        <v>3</v>
      </c>
      <c r="F157">
        <v>1</v>
      </c>
      <c r="G157">
        <v>2</v>
      </c>
    </row>
    <row r="158" spans="1:8" x14ac:dyDescent="0.25">
      <c r="A158" s="1">
        <v>41808</v>
      </c>
      <c r="B158">
        <v>3.25</v>
      </c>
      <c r="H158">
        <v>1</v>
      </c>
    </row>
    <row r="159" spans="1:8" x14ac:dyDescent="0.25">
      <c r="A159" s="1">
        <v>41808</v>
      </c>
      <c r="B159">
        <v>3.5</v>
      </c>
      <c r="G159">
        <v>1</v>
      </c>
      <c r="H159">
        <v>3</v>
      </c>
    </row>
    <row r="160" spans="1:8" x14ac:dyDescent="0.25">
      <c r="A160" s="1">
        <v>41808</v>
      </c>
      <c r="B160">
        <v>3.75</v>
      </c>
      <c r="G160">
        <v>1</v>
      </c>
      <c r="H160">
        <v>7</v>
      </c>
    </row>
    <row r="161" spans="1:8" x14ac:dyDescent="0.25">
      <c r="A161" s="1">
        <v>41808</v>
      </c>
      <c r="B161">
        <v>4</v>
      </c>
      <c r="G161">
        <v>1</v>
      </c>
      <c r="H161">
        <v>3</v>
      </c>
    </row>
    <row r="162" spans="1:8" x14ac:dyDescent="0.25">
      <c r="A162" s="1">
        <v>41808</v>
      </c>
      <c r="B162">
        <v>4.25</v>
      </c>
      <c r="G162">
        <v>1</v>
      </c>
      <c r="H162">
        <v>2</v>
      </c>
    </row>
    <row r="163" spans="1:8" x14ac:dyDescent="0.25">
      <c r="A163" s="1">
        <v>41808</v>
      </c>
      <c r="B163">
        <v>4.5</v>
      </c>
    </row>
    <row r="164" spans="1:8" x14ac:dyDescent="0.25">
      <c r="A164" s="1"/>
    </row>
    <row r="165" spans="1:8" x14ac:dyDescent="0.25">
      <c r="A165" s="1"/>
    </row>
    <row r="166" spans="1:8" x14ac:dyDescent="0.25">
      <c r="A166" s="1"/>
    </row>
    <row r="167" spans="1:8" x14ac:dyDescent="0.25">
      <c r="A167" s="1"/>
    </row>
    <row r="168" spans="1:8" x14ac:dyDescent="0.25">
      <c r="A168" s="1"/>
    </row>
    <row r="169" spans="1:8" x14ac:dyDescent="0.25">
      <c r="A169" s="1"/>
    </row>
    <row r="170" spans="1:8" x14ac:dyDescent="0.25">
      <c r="A170" s="1"/>
    </row>
    <row r="171" spans="1:8" x14ac:dyDescent="0.25">
      <c r="A171" s="1"/>
    </row>
    <row r="172" spans="1:8" x14ac:dyDescent="0.25">
      <c r="A172" s="1"/>
    </row>
    <row r="173" spans="1:8" x14ac:dyDescent="0.25">
      <c r="A173" s="1"/>
    </row>
    <row r="174" spans="1:8" x14ac:dyDescent="0.25">
      <c r="A174" s="1"/>
    </row>
    <row r="175" spans="1:8" x14ac:dyDescent="0.25">
      <c r="A175" s="1"/>
    </row>
    <row r="176" spans="1:8"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R973"/>
  <sheetViews>
    <sheetView zoomScale="115" zoomScaleNormal="115" workbookViewId="0">
      <selection activeCell="Z2" sqref="Z2"/>
    </sheetView>
  </sheetViews>
  <sheetFormatPr baseColWidth="10" defaultColWidth="9.140625" defaultRowHeight="15" x14ac:dyDescent="0.25"/>
  <cols>
    <col min="1" max="1" width="9.7109375" bestFit="1" customWidth="1"/>
    <col min="2" max="2" width="9.140625" customWidth="1"/>
    <col min="3" max="3" width="11.85546875" style="4" bestFit="1" customWidth="1"/>
    <col min="4" max="6" width="10.7109375" customWidth="1"/>
    <col min="7" max="15" width="2.28515625" bestFit="1" customWidth="1"/>
    <col min="16" max="25" width="3.42578125" bestFit="1" customWidth="1"/>
    <col min="68" max="68" width="11.85546875" style="4" bestFit="1" customWidth="1"/>
    <col min="70" max="70" width="11.85546875" style="4" bestFit="1" customWidth="1"/>
  </cols>
  <sheetData>
    <row r="1" spans="1:70" x14ac:dyDescent="0.25">
      <c r="Z1">
        <f>0.055*365</f>
        <v>20.074999999999999</v>
      </c>
    </row>
    <row r="2" spans="1:70" x14ac:dyDescent="0.25">
      <c r="A2" s="1">
        <v>41080</v>
      </c>
      <c r="B2" s="2">
        <v>0.25</v>
      </c>
      <c r="C2" s="4">
        <v>41274</v>
      </c>
      <c r="D2">
        <v>16</v>
      </c>
      <c r="E2">
        <f t="shared" ref="E2:E65" si="0">D2/SUMIFS(D:D,A:A,A2,C:C,C2)*B2</f>
        <v>0.21052631578947367</v>
      </c>
      <c r="F2" s="2"/>
      <c r="G2">
        <v>1</v>
      </c>
      <c r="H2">
        <f>IF($D2&gt;G2,G2+1,"")</f>
        <v>2</v>
      </c>
      <c r="I2">
        <f t="shared" ref="I2:Y2" si="1">IF($D2&gt;H2,H2+1,"")</f>
        <v>3</v>
      </c>
      <c r="J2">
        <f t="shared" si="1"/>
        <v>4</v>
      </c>
      <c r="K2">
        <f t="shared" si="1"/>
        <v>5</v>
      </c>
      <c r="L2">
        <f t="shared" si="1"/>
        <v>6</v>
      </c>
      <c r="M2">
        <f t="shared" si="1"/>
        <v>7</v>
      </c>
      <c r="N2">
        <f t="shared" si="1"/>
        <v>8</v>
      </c>
      <c r="O2">
        <f t="shared" si="1"/>
        <v>9</v>
      </c>
      <c r="P2">
        <f t="shared" si="1"/>
        <v>10</v>
      </c>
      <c r="Q2">
        <f t="shared" si="1"/>
        <v>11</v>
      </c>
      <c r="R2">
        <f t="shared" si="1"/>
        <v>12</v>
      </c>
      <c r="S2">
        <f t="shared" si="1"/>
        <v>13</v>
      </c>
      <c r="T2">
        <f t="shared" si="1"/>
        <v>14</v>
      </c>
      <c r="U2">
        <f t="shared" si="1"/>
        <v>15</v>
      </c>
      <c r="V2">
        <f t="shared" si="1"/>
        <v>16</v>
      </c>
      <c r="W2" t="str">
        <f t="shared" si="1"/>
        <v/>
      </c>
      <c r="X2" t="str">
        <f t="shared" si="1"/>
        <v/>
      </c>
      <c r="Y2" t="str">
        <f t="shared" si="1"/>
        <v/>
      </c>
      <c r="AA2">
        <f>IF(G2="",NA(),$C2-$Z$1*$D2/2+G2*$Z$1-$Z$1/2)</f>
        <v>41123.4375</v>
      </c>
      <c r="AB2">
        <f t="shared" ref="AB2:AS16" si="2">IF(H2="",NA(),$C2-$Z$1*$D2/2+H2*$Z$1-$Z$1/2)</f>
        <v>41143.512500000004</v>
      </c>
      <c r="AC2">
        <f t="shared" si="2"/>
        <v>41163.587500000001</v>
      </c>
      <c r="AD2">
        <f t="shared" si="2"/>
        <v>41183.662500000006</v>
      </c>
      <c r="AE2">
        <f t="shared" si="2"/>
        <v>41203.737500000003</v>
      </c>
      <c r="AF2">
        <f t="shared" si="2"/>
        <v>41223.8125</v>
      </c>
      <c r="AG2">
        <f t="shared" si="2"/>
        <v>41243.887500000004</v>
      </c>
      <c r="AH2">
        <f t="shared" si="2"/>
        <v>41263.962500000001</v>
      </c>
      <c r="AI2">
        <f t="shared" si="2"/>
        <v>41284.037500000006</v>
      </c>
      <c r="AJ2">
        <f t="shared" si="2"/>
        <v>41304.112500000003</v>
      </c>
      <c r="AK2">
        <f t="shared" si="2"/>
        <v>41324.1875</v>
      </c>
      <c r="AL2">
        <f t="shared" si="2"/>
        <v>41344.262500000004</v>
      </c>
      <c r="AM2">
        <f t="shared" si="2"/>
        <v>41364.337500000001</v>
      </c>
      <c r="AN2">
        <f t="shared" si="2"/>
        <v>41384.412500000006</v>
      </c>
      <c r="AO2">
        <f t="shared" si="2"/>
        <v>41404.487500000003</v>
      </c>
      <c r="AP2">
        <f t="shared" si="2"/>
        <v>41424.5625</v>
      </c>
      <c r="AQ2" t="e">
        <f t="shared" si="2"/>
        <v>#N/A</v>
      </c>
      <c r="AR2" t="e">
        <f t="shared" si="2"/>
        <v>#N/A</v>
      </c>
      <c r="AS2" t="e">
        <f t="shared" si="2"/>
        <v>#N/A</v>
      </c>
      <c r="AU2">
        <f>IFERROR(IF(AA2,$B2,0),"")</f>
        <v>0.25</v>
      </c>
      <c r="AV2">
        <f t="shared" ref="AV2:BM2" si="3">IFERROR(IF(AB2,$B2,0),"")</f>
        <v>0.25</v>
      </c>
      <c r="AW2">
        <f t="shared" si="3"/>
        <v>0.25</v>
      </c>
      <c r="AX2">
        <f t="shared" si="3"/>
        <v>0.25</v>
      </c>
      <c r="AY2">
        <f t="shared" si="3"/>
        <v>0.25</v>
      </c>
      <c r="AZ2">
        <f t="shared" si="3"/>
        <v>0.25</v>
      </c>
      <c r="BA2">
        <f t="shared" si="3"/>
        <v>0.25</v>
      </c>
      <c r="BB2">
        <f t="shared" si="3"/>
        <v>0.25</v>
      </c>
      <c r="BC2">
        <f t="shared" si="3"/>
        <v>0.25</v>
      </c>
      <c r="BD2">
        <f t="shared" si="3"/>
        <v>0.25</v>
      </c>
      <c r="BE2">
        <f t="shared" si="3"/>
        <v>0.25</v>
      </c>
      <c r="BF2">
        <f t="shared" si="3"/>
        <v>0.25</v>
      </c>
      <c r="BG2">
        <f t="shared" si="3"/>
        <v>0.25</v>
      </c>
      <c r="BH2">
        <f t="shared" si="3"/>
        <v>0.25</v>
      </c>
      <c r="BI2">
        <f t="shared" si="3"/>
        <v>0.25</v>
      </c>
      <c r="BJ2">
        <f t="shared" si="3"/>
        <v>0.25</v>
      </c>
      <c r="BK2" t="str">
        <f t="shared" si="3"/>
        <v/>
      </c>
      <c r="BL2" t="str">
        <f t="shared" si="3"/>
        <v/>
      </c>
      <c r="BM2" t="str">
        <f t="shared" si="3"/>
        <v/>
      </c>
      <c r="BP2" s="4">
        <v>41080</v>
      </c>
      <c r="BR2" s="4">
        <v>41274</v>
      </c>
    </row>
    <row r="3" spans="1:70" x14ac:dyDescent="0.25">
      <c r="A3" s="1">
        <v>41080</v>
      </c>
      <c r="B3">
        <v>0.5</v>
      </c>
      <c r="C3" s="4">
        <v>41274</v>
      </c>
      <c r="D3">
        <v>2</v>
      </c>
      <c r="E3">
        <f t="shared" si="0"/>
        <v>5.2631578947368418E-2</v>
      </c>
      <c r="F3" s="4"/>
      <c r="G3">
        <v>1</v>
      </c>
      <c r="H3">
        <f t="shared" ref="H3:Y3" si="4">IF($D3&gt;G3,G3+1,"")</f>
        <v>2</v>
      </c>
      <c r="I3" t="str">
        <f t="shared" si="4"/>
        <v/>
      </c>
      <c r="J3" t="str">
        <f t="shared" si="4"/>
        <v/>
      </c>
      <c r="K3" t="str">
        <f t="shared" si="4"/>
        <v/>
      </c>
      <c r="L3" t="str">
        <f t="shared" si="4"/>
        <v/>
      </c>
      <c r="M3" t="str">
        <f t="shared" si="4"/>
        <v/>
      </c>
      <c r="N3" t="str">
        <f t="shared" si="4"/>
        <v/>
      </c>
      <c r="O3" t="str">
        <f t="shared" si="4"/>
        <v/>
      </c>
      <c r="P3" t="str">
        <f t="shared" si="4"/>
        <v/>
      </c>
      <c r="Q3" t="str">
        <f t="shared" si="4"/>
        <v/>
      </c>
      <c r="R3" t="str">
        <f t="shared" si="4"/>
        <v/>
      </c>
      <c r="S3" t="str">
        <f t="shared" si="4"/>
        <v/>
      </c>
      <c r="T3" t="str">
        <f t="shared" si="4"/>
        <v/>
      </c>
      <c r="U3" t="str">
        <f t="shared" si="4"/>
        <v/>
      </c>
      <c r="V3" t="str">
        <f t="shared" si="4"/>
        <v/>
      </c>
      <c r="W3" t="str">
        <f t="shared" si="4"/>
        <v/>
      </c>
      <c r="X3" t="str">
        <f t="shared" si="4"/>
        <v/>
      </c>
      <c r="Y3" t="str">
        <f t="shared" si="4"/>
        <v/>
      </c>
      <c r="AA3">
        <f t="shared" ref="AA3:AA66" si="5">IF(G3="",NA(),$C3-$Z$1*$D3/2+G3*$Z$1-$Z$1/2)</f>
        <v>41263.962500000001</v>
      </c>
      <c r="AB3">
        <f t="shared" si="2"/>
        <v>41284.037500000006</v>
      </c>
      <c r="AC3" t="e">
        <f t="shared" si="2"/>
        <v>#N/A</v>
      </c>
      <c r="AD3" t="e">
        <f t="shared" si="2"/>
        <v>#N/A</v>
      </c>
      <c r="AE3" t="e">
        <f t="shared" si="2"/>
        <v>#N/A</v>
      </c>
      <c r="AF3" t="e">
        <f t="shared" si="2"/>
        <v>#N/A</v>
      </c>
      <c r="AG3" t="e">
        <f t="shared" si="2"/>
        <v>#N/A</v>
      </c>
      <c r="AH3" t="e">
        <f t="shared" si="2"/>
        <v>#N/A</v>
      </c>
      <c r="AI3" t="e">
        <f t="shared" si="2"/>
        <v>#N/A</v>
      </c>
      <c r="AJ3" t="e">
        <f t="shared" si="2"/>
        <v>#N/A</v>
      </c>
      <c r="AK3" t="e">
        <f t="shared" si="2"/>
        <v>#N/A</v>
      </c>
      <c r="AL3" t="e">
        <f t="shared" si="2"/>
        <v>#N/A</v>
      </c>
      <c r="AM3" t="e">
        <f t="shared" si="2"/>
        <v>#N/A</v>
      </c>
      <c r="AN3" t="e">
        <f t="shared" si="2"/>
        <v>#N/A</v>
      </c>
      <c r="AO3" t="e">
        <f t="shared" si="2"/>
        <v>#N/A</v>
      </c>
      <c r="AP3" t="e">
        <f t="shared" si="2"/>
        <v>#N/A</v>
      </c>
      <c r="AQ3" t="e">
        <f t="shared" si="2"/>
        <v>#N/A</v>
      </c>
      <c r="AR3" t="e">
        <f t="shared" si="2"/>
        <v>#N/A</v>
      </c>
      <c r="AS3" t="e">
        <f t="shared" si="2"/>
        <v>#N/A</v>
      </c>
      <c r="AU3">
        <f t="shared" ref="AU3:AU66" si="6">IFERROR(IF(AA3,$B3,0),"")</f>
        <v>0.5</v>
      </c>
      <c r="AV3">
        <f t="shared" ref="AV3:AV66" si="7">IFERROR(IF(AB3,$B3,0),"")</f>
        <v>0.5</v>
      </c>
      <c r="AW3" t="str">
        <f t="shared" ref="AW3:AW66" si="8">IFERROR(IF(AC3,$B3,0),"")</f>
        <v/>
      </c>
      <c r="AX3" t="str">
        <f t="shared" ref="AX3:AX66" si="9">IFERROR(IF(AD3,$B3,0),"")</f>
        <v/>
      </c>
      <c r="AY3" t="str">
        <f t="shared" ref="AY3:AY66" si="10">IFERROR(IF(AE3,$B3,0),"")</f>
        <v/>
      </c>
      <c r="AZ3" t="str">
        <f t="shared" ref="AZ3:AZ66" si="11">IFERROR(IF(AF3,$B3,0),"")</f>
        <v/>
      </c>
      <c r="BA3" t="str">
        <f t="shared" ref="BA3:BA66" si="12">IFERROR(IF(AG3,$B3,0),"")</f>
        <v/>
      </c>
      <c r="BB3" t="str">
        <f t="shared" ref="BB3:BB66" si="13">IFERROR(IF(AH3,$B3,0),"")</f>
        <v/>
      </c>
      <c r="BC3" t="str">
        <f t="shared" ref="BC3:BC66" si="14">IFERROR(IF(AI3,$B3,0),"")</f>
        <v/>
      </c>
      <c r="BD3" t="str">
        <f t="shared" ref="BD3:BD66" si="15">IFERROR(IF(AJ3,$B3,0),"")</f>
        <v/>
      </c>
      <c r="BE3" t="str">
        <f t="shared" ref="BE3:BE66" si="16">IFERROR(IF(AK3,$B3,0),"")</f>
        <v/>
      </c>
      <c r="BF3" t="str">
        <f t="shared" ref="BF3:BF66" si="17">IFERROR(IF(AL3,$B3,0),"")</f>
        <v/>
      </c>
      <c r="BG3" t="str">
        <f t="shared" ref="BG3:BG66" si="18">IFERROR(IF(AM3,$B3,0),"")</f>
        <v/>
      </c>
      <c r="BH3" t="str">
        <f t="shared" ref="BH3:BH66" si="19">IFERROR(IF(AN3,$B3,0),"")</f>
        <v/>
      </c>
      <c r="BI3" t="str">
        <f t="shared" ref="BI3:BI66" si="20">IFERROR(IF(AO3,$B3,0),"")</f>
        <v/>
      </c>
      <c r="BJ3" t="str">
        <f t="shared" ref="BJ3:BJ66" si="21">IFERROR(IF(AP3,$B3,0),"")</f>
        <v/>
      </c>
      <c r="BK3" t="str">
        <f t="shared" ref="BK3:BK66" si="22">IFERROR(IF(AQ3,$B3,0),"")</f>
        <v/>
      </c>
      <c r="BL3" t="str">
        <f t="shared" ref="BL3:BL66" si="23">IFERROR(IF(AR3,$B3,0),"")</f>
        <v/>
      </c>
      <c r="BM3" t="str">
        <f t="shared" ref="BM3:BM66" si="24">IFERROR(IF(AS3,$B3,0),"")</f>
        <v/>
      </c>
      <c r="BP3" s="4">
        <v>41165</v>
      </c>
      <c r="BR3" s="4">
        <v>41639</v>
      </c>
    </row>
    <row r="4" spans="1:70" x14ac:dyDescent="0.25">
      <c r="A4" s="1">
        <v>41080</v>
      </c>
      <c r="B4">
        <v>0.75</v>
      </c>
      <c r="C4" s="4">
        <v>41274</v>
      </c>
      <c r="D4">
        <v>1</v>
      </c>
      <c r="E4">
        <f t="shared" si="0"/>
        <v>3.9473684210526314E-2</v>
      </c>
      <c r="F4" s="4"/>
      <c r="G4">
        <v>1</v>
      </c>
      <c r="H4" t="str">
        <f t="shared" ref="H4:Y4" si="25">IF($D4&gt;G4,G4+1,"")</f>
        <v/>
      </c>
      <c r="I4" t="str">
        <f t="shared" si="25"/>
        <v/>
      </c>
      <c r="J4" t="str">
        <f t="shared" si="25"/>
        <v/>
      </c>
      <c r="K4" t="str">
        <f t="shared" si="25"/>
        <v/>
      </c>
      <c r="L4" t="str">
        <f t="shared" si="25"/>
        <v/>
      </c>
      <c r="M4" t="str">
        <f t="shared" si="25"/>
        <v/>
      </c>
      <c r="N4" t="str">
        <f t="shared" si="25"/>
        <v/>
      </c>
      <c r="O4" t="str">
        <f t="shared" si="25"/>
        <v/>
      </c>
      <c r="P4" t="str">
        <f t="shared" si="25"/>
        <v/>
      </c>
      <c r="Q4" t="str">
        <f t="shared" si="25"/>
        <v/>
      </c>
      <c r="R4" t="str">
        <f t="shared" si="25"/>
        <v/>
      </c>
      <c r="S4" t="str">
        <f t="shared" si="25"/>
        <v/>
      </c>
      <c r="T4" t="str">
        <f t="shared" si="25"/>
        <v/>
      </c>
      <c r="U4" t="str">
        <f t="shared" si="25"/>
        <v/>
      </c>
      <c r="V4" t="str">
        <f t="shared" si="25"/>
        <v/>
      </c>
      <c r="W4" t="str">
        <f t="shared" si="25"/>
        <v/>
      </c>
      <c r="X4" t="str">
        <f t="shared" si="25"/>
        <v/>
      </c>
      <c r="Y4" t="str">
        <f t="shared" si="25"/>
        <v/>
      </c>
      <c r="AA4">
        <f t="shared" si="5"/>
        <v>41274</v>
      </c>
      <c r="AB4" t="e">
        <f t="shared" si="2"/>
        <v>#N/A</v>
      </c>
      <c r="AC4" t="e">
        <f t="shared" si="2"/>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U4">
        <f t="shared" si="6"/>
        <v>0.75</v>
      </c>
      <c r="AV4" t="str">
        <f t="shared" si="7"/>
        <v/>
      </c>
      <c r="AW4" t="str">
        <f t="shared" si="8"/>
        <v/>
      </c>
      <c r="AX4" t="str">
        <f t="shared" si="9"/>
        <v/>
      </c>
      <c r="AY4" t="str">
        <f t="shared" si="10"/>
        <v/>
      </c>
      <c r="AZ4" t="str">
        <f t="shared" si="11"/>
        <v/>
      </c>
      <c r="BA4" t="str">
        <f t="shared" si="12"/>
        <v/>
      </c>
      <c r="BB4" t="str">
        <f t="shared" si="13"/>
        <v/>
      </c>
      <c r="BC4" t="str">
        <f t="shared" si="14"/>
        <v/>
      </c>
      <c r="BD4" t="str">
        <f t="shared" si="15"/>
        <v/>
      </c>
      <c r="BE4" t="str">
        <f t="shared" si="16"/>
        <v/>
      </c>
      <c r="BF4" t="str">
        <f t="shared" si="17"/>
        <v/>
      </c>
      <c r="BG4" t="str">
        <f t="shared" si="18"/>
        <v/>
      </c>
      <c r="BH4" t="str">
        <f t="shared" si="19"/>
        <v/>
      </c>
      <c r="BI4" t="str">
        <f t="shared" si="20"/>
        <v/>
      </c>
      <c r="BJ4" t="str">
        <f t="shared" si="21"/>
        <v/>
      </c>
      <c r="BK4" t="str">
        <f t="shared" si="22"/>
        <v/>
      </c>
      <c r="BL4" t="str">
        <f t="shared" si="23"/>
        <v/>
      </c>
      <c r="BM4" t="str">
        <f t="shared" si="24"/>
        <v/>
      </c>
      <c r="BP4" s="4">
        <v>41255</v>
      </c>
      <c r="BR4" s="4">
        <v>42004</v>
      </c>
    </row>
    <row r="5" spans="1:70" x14ac:dyDescent="0.25">
      <c r="A5" s="1">
        <v>41080</v>
      </c>
      <c r="B5" s="2">
        <v>0.25</v>
      </c>
      <c r="C5" s="4">
        <v>41639</v>
      </c>
      <c r="D5">
        <v>13</v>
      </c>
      <c r="E5">
        <f t="shared" si="0"/>
        <v>0.17105263157894737</v>
      </c>
      <c r="F5" s="4"/>
      <c r="G5">
        <v>1</v>
      </c>
      <c r="H5">
        <f t="shared" ref="H5:Y5" si="26">IF($D5&gt;G5,G5+1,"")</f>
        <v>2</v>
      </c>
      <c r="I5">
        <f t="shared" si="26"/>
        <v>3</v>
      </c>
      <c r="J5">
        <f t="shared" si="26"/>
        <v>4</v>
      </c>
      <c r="K5">
        <f t="shared" si="26"/>
        <v>5</v>
      </c>
      <c r="L5">
        <f t="shared" si="26"/>
        <v>6</v>
      </c>
      <c r="M5">
        <f t="shared" si="26"/>
        <v>7</v>
      </c>
      <c r="N5">
        <f t="shared" si="26"/>
        <v>8</v>
      </c>
      <c r="O5">
        <f t="shared" si="26"/>
        <v>9</v>
      </c>
      <c r="P5">
        <f t="shared" si="26"/>
        <v>10</v>
      </c>
      <c r="Q5">
        <f t="shared" si="26"/>
        <v>11</v>
      </c>
      <c r="R5">
        <f t="shared" si="26"/>
        <v>12</v>
      </c>
      <c r="S5">
        <f t="shared" si="26"/>
        <v>13</v>
      </c>
      <c r="T5" t="str">
        <f t="shared" si="26"/>
        <v/>
      </c>
      <c r="U5" t="str">
        <f t="shared" si="26"/>
        <v/>
      </c>
      <c r="V5" t="str">
        <f t="shared" si="26"/>
        <v/>
      </c>
      <c r="W5" t="str">
        <f t="shared" si="26"/>
        <v/>
      </c>
      <c r="X5" t="str">
        <f t="shared" si="26"/>
        <v/>
      </c>
      <c r="Y5" t="str">
        <f t="shared" si="26"/>
        <v/>
      </c>
      <c r="AA5">
        <f t="shared" si="5"/>
        <v>41518.549999999996</v>
      </c>
      <c r="AB5">
        <f t="shared" si="2"/>
        <v>41538.625</v>
      </c>
      <c r="AC5">
        <f t="shared" si="2"/>
        <v>41558.699999999997</v>
      </c>
      <c r="AD5">
        <f t="shared" si="2"/>
        <v>41578.775000000001</v>
      </c>
      <c r="AE5">
        <f t="shared" si="2"/>
        <v>41598.85</v>
      </c>
      <c r="AF5">
        <f t="shared" si="2"/>
        <v>41618.924999999996</v>
      </c>
      <c r="AG5">
        <f t="shared" si="2"/>
        <v>41639</v>
      </c>
      <c r="AH5">
        <f t="shared" si="2"/>
        <v>41659.074999999997</v>
      </c>
      <c r="AI5">
        <f t="shared" si="2"/>
        <v>41679.15</v>
      </c>
      <c r="AJ5">
        <f t="shared" si="2"/>
        <v>41699.224999999999</v>
      </c>
      <c r="AK5">
        <f t="shared" si="2"/>
        <v>41719.299999999996</v>
      </c>
      <c r="AL5">
        <f t="shared" si="2"/>
        <v>41739.375</v>
      </c>
      <c r="AM5">
        <f t="shared" si="2"/>
        <v>41759.449999999997</v>
      </c>
      <c r="AN5" t="e">
        <f t="shared" si="2"/>
        <v>#N/A</v>
      </c>
      <c r="AO5" t="e">
        <f t="shared" si="2"/>
        <v>#N/A</v>
      </c>
      <c r="AP5" t="e">
        <f t="shared" si="2"/>
        <v>#N/A</v>
      </c>
      <c r="AQ5" t="e">
        <f t="shared" si="2"/>
        <v>#N/A</v>
      </c>
      <c r="AR5" t="e">
        <f t="shared" si="2"/>
        <v>#N/A</v>
      </c>
      <c r="AS5" t="e">
        <f t="shared" si="2"/>
        <v>#N/A</v>
      </c>
      <c r="AU5">
        <f t="shared" si="6"/>
        <v>0.25</v>
      </c>
      <c r="AV5">
        <f t="shared" si="7"/>
        <v>0.25</v>
      </c>
      <c r="AW5">
        <f t="shared" si="8"/>
        <v>0.25</v>
      </c>
      <c r="AX5">
        <f t="shared" si="9"/>
        <v>0.25</v>
      </c>
      <c r="AY5">
        <f t="shared" si="10"/>
        <v>0.25</v>
      </c>
      <c r="AZ5">
        <f t="shared" si="11"/>
        <v>0.25</v>
      </c>
      <c r="BA5">
        <f t="shared" si="12"/>
        <v>0.25</v>
      </c>
      <c r="BB5">
        <f t="shared" si="13"/>
        <v>0.25</v>
      </c>
      <c r="BC5">
        <f t="shared" si="14"/>
        <v>0.25</v>
      </c>
      <c r="BD5">
        <f t="shared" si="15"/>
        <v>0.25</v>
      </c>
      <c r="BE5">
        <f t="shared" si="16"/>
        <v>0.25</v>
      </c>
      <c r="BF5">
        <f t="shared" si="17"/>
        <v>0.25</v>
      </c>
      <c r="BG5">
        <f t="shared" si="18"/>
        <v>0.25</v>
      </c>
      <c r="BH5" t="str">
        <f t="shared" si="19"/>
        <v/>
      </c>
      <c r="BI5" t="str">
        <f t="shared" si="20"/>
        <v/>
      </c>
      <c r="BJ5" t="str">
        <f t="shared" si="21"/>
        <v/>
      </c>
      <c r="BK5" t="str">
        <f t="shared" si="22"/>
        <v/>
      </c>
      <c r="BL5" t="str">
        <f t="shared" si="23"/>
        <v/>
      </c>
      <c r="BM5" t="str">
        <f t="shared" si="24"/>
        <v/>
      </c>
      <c r="BP5" s="4">
        <v>41353</v>
      </c>
      <c r="BR5" s="4">
        <v>42369</v>
      </c>
    </row>
    <row r="6" spans="1:70" x14ac:dyDescent="0.25">
      <c r="A6" s="1">
        <v>41080</v>
      </c>
      <c r="B6">
        <v>0.5</v>
      </c>
      <c r="C6" s="4">
        <v>41639</v>
      </c>
      <c r="D6">
        <v>1</v>
      </c>
      <c r="E6">
        <f t="shared" si="0"/>
        <v>2.6315789473684209E-2</v>
      </c>
      <c r="F6" s="4"/>
      <c r="G6">
        <v>1</v>
      </c>
      <c r="H6" t="str">
        <f t="shared" ref="H6:Y6" si="27">IF($D6&gt;G6,G6+1,"")</f>
        <v/>
      </c>
      <c r="I6" t="str">
        <f t="shared" si="27"/>
        <v/>
      </c>
      <c r="J6" t="str">
        <f t="shared" si="27"/>
        <v/>
      </c>
      <c r="K6" t="str">
        <f t="shared" si="27"/>
        <v/>
      </c>
      <c r="L6" t="str">
        <f t="shared" si="27"/>
        <v/>
      </c>
      <c r="M6" t="str">
        <f t="shared" si="27"/>
        <v/>
      </c>
      <c r="N6" t="str">
        <f t="shared" si="27"/>
        <v/>
      </c>
      <c r="O6" t="str">
        <f t="shared" si="27"/>
        <v/>
      </c>
      <c r="P6" t="str">
        <f t="shared" si="27"/>
        <v/>
      </c>
      <c r="Q6" t="str">
        <f t="shared" si="27"/>
        <v/>
      </c>
      <c r="R6" t="str">
        <f t="shared" si="27"/>
        <v/>
      </c>
      <c r="S6" t="str">
        <f t="shared" si="27"/>
        <v/>
      </c>
      <c r="T6" t="str">
        <f t="shared" si="27"/>
        <v/>
      </c>
      <c r="U6" t="str">
        <f t="shared" si="27"/>
        <v/>
      </c>
      <c r="V6" t="str">
        <f t="shared" si="27"/>
        <v/>
      </c>
      <c r="W6" t="str">
        <f t="shared" si="27"/>
        <v/>
      </c>
      <c r="X6" t="str">
        <f t="shared" si="27"/>
        <v/>
      </c>
      <c r="Y6" t="str">
        <f t="shared" si="27"/>
        <v/>
      </c>
      <c r="AA6">
        <f t="shared" si="5"/>
        <v>41639</v>
      </c>
      <c r="AB6" t="e">
        <f t="shared" si="2"/>
        <v>#N/A</v>
      </c>
      <c r="AC6" t="e">
        <f t="shared" si="2"/>
        <v>#N/A</v>
      </c>
      <c r="AD6" t="e">
        <f t="shared" si="2"/>
        <v>#N/A</v>
      </c>
      <c r="AE6" t="e">
        <f t="shared" si="2"/>
        <v>#N/A</v>
      </c>
      <c r="AF6" t="e">
        <f t="shared" si="2"/>
        <v>#N/A</v>
      </c>
      <c r="AG6" t="e">
        <f t="shared" si="2"/>
        <v>#N/A</v>
      </c>
      <c r="AH6" t="e">
        <f t="shared" si="2"/>
        <v>#N/A</v>
      </c>
      <c r="AI6" t="e">
        <f t="shared" si="2"/>
        <v>#N/A</v>
      </c>
      <c r="AJ6" t="e">
        <f t="shared" si="2"/>
        <v>#N/A</v>
      </c>
      <c r="AK6" t="e">
        <f t="shared" si="2"/>
        <v>#N/A</v>
      </c>
      <c r="AL6" t="e">
        <f t="shared" si="2"/>
        <v>#N/A</v>
      </c>
      <c r="AM6" t="e">
        <f t="shared" si="2"/>
        <v>#N/A</v>
      </c>
      <c r="AN6" t="e">
        <f t="shared" si="2"/>
        <v>#N/A</v>
      </c>
      <c r="AO6" t="e">
        <f t="shared" si="2"/>
        <v>#N/A</v>
      </c>
      <c r="AP6" t="e">
        <f t="shared" si="2"/>
        <v>#N/A</v>
      </c>
      <c r="AQ6" t="e">
        <f t="shared" si="2"/>
        <v>#N/A</v>
      </c>
      <c r="AR6" t="e">
        <f t="shared" si="2"/>
        <v>#N/A</v>
      </c>
      <c r="AS6" t="e">
        <f t="shared" si="2"/>
        <v>#N/A</v>
      </c>
      <c r="AU6">
        <f t="shared" si="6"/>
        <v>0.5</v>
      </c>
      <c r="AV6" t="str">
        <f t="shared" si="7"/>
        <v/>
      </c>
      <c r="AW6" t="str">
        <f t="shared" si="8"/>
        <v/>
      </c>
      <c r="AX6" t="str">
        <f t="shared" si="9"/>
        <v/>
      </c>
      <c r="AY6" t="str">
        <f t="shared" si="10"/>
        <v/>
      </c>
      <c r="AZ6" t="str">
        <f t="shared" si="11"/>
        <v/>
      </c>
      <c r="BA6" t="str">
        <f t="shared" si="12"/>
        <v/>
      </c>
      <c r="BB6" t="str">
        <f t="shared" si="13"/>
        <v/>
      </c>
      <c r="BC6" t="str">
        <f t="shared" si="14"/>
        <v/>
      </c>
      <c r="BD6" t="str">
        <f t="shared" si="15"/>
        <v/>
      </c>
      <c r="BE6" t="str">
        <f t="shared" si="16"/>
        <v/>
      </c>
      <c r="BF6" t="str">
        <f t="shared" si="17"/>
        <v/>
      </c>
      <c r="BG6" t="str">
        <f t="shared" si="18"/>
        <v/>
      </c>
      <c r="BH6" t="str">
        <f t="shared" si="19"/>
        <v/>
      </c>
      <c r="BI6" t="str">
        <f t="shared" si="20"/>
        <v/>
      </c>
      <c r="BJ6" t="str">
        <f t="shared" si="21"/>
        <v/>
      </c>
      <c r="BK6" t="str">
        <f t="shared" si="22"/>
        <v/>
      </c>
      <c r="BL6" t="str">
        <f t="shared" si="23"/>
        <v/>
      </c>
      <c r="BM6" t="str">
        <f t="shared" si="24"/>
        <v/>
      </c>
      <c r="BP6" s="4">
        <v>41444</v>
      </c>
      <c r="BR6" s="4">
        <v>42735</v>
      </c>
    </row>
    <row r="7" spans="1:70" x14ac:dyDescent="0.25">
      <c r="A7" s="1">
        <v>41080</v>
      </c>
      <c r="B7">
        <v>0.75</v>
      </c>
      <c r="C7" s="4">
        <v>41639</v>
      </c>
      <c r="D7">
        <v>1</v>
      </c>
      <c r="E7">
        <f t="shared" si="0"/>
        <v>3.9473684210526314E-2</v>
      </c>
      <c r="F7" s="4"/>
      <c r="G7">
        <v>1</v>
      </c>
      <c r="H7" t="str">
        <f t="shared" ref="H7:Y7" si="28">IF($D7&gt;G7,G7+1,"")</f>
        <v/>
      </c>
      <c r="I7" t="str">
        <f t="shared" si="28"/>
        <v/>
      </c>
      <c r="J7" t="str">
        <f t="shared" si="28"/>
        <v/>
      </c>
      <c r="K7" t="str">
        <f t="shared" si="28"/>
        <v/>
      </c>
      <c r="L7" t="str">
        <f t="shared" si="28"/>
        <v/>
      </c>
      <c r="M7" t="str">
        <f t="shared" si="28"/>
        <v/>
      </c>
      <c r="N7" t="str">
        <f t="shared" si="28"/>
        <v/>
      </c>
      <c r="O7" t="str">
        <f t="shared" si="28"/>
        <v/>
      </c>
      <c r="P7" t="str">
        <f t="shared" si="28"/>
        <v/>
      </c>
      <c r="Q7" t="str">
        <f t="shared" si="28"/>
        <v/>
      </c>
      <c r="R7" t="str">
        <f t="shared" si="28"/>
        <v/>
      </c>
      <c r="S7" t="str">
        <f t="shared" si="28"/>
        <v/>
      </c>
      <c r="T7" t="str">
        <f t="shared" si="28"/>
        <v/>
      </c>
      <c r="U7" t="str">
        <f t="shared" si="28"/>
        <v/>
      </c>
      <c r="V7" t="str">
        <f t="shared" si="28"/>
        <v/>
      </c>
      <c r="W7" t="str">
        <f t="shared" si="28"/>
        <v/>
      </c>
      <c r="X7" t="str">
        <f t="shared" si="28"/>
        <v/>
      </c>
      <c r="Y7" t="str">
        <f t="shared" si="28"/>
        <v/>
      </c>
      <c r="AA7">
        <f t="shared" si="5"/>
        <v>41639</v>
      </c>
      <c r="AB7" t="e">
        <f t="shared" si="2"/>
        <v>#N/A</v>
      </c>
      <c r="AC7" t="e">
        <f t="shared" si="2"/>
        <v>#N/A</v>
      </c>
      <c r="AD7" t="e">
        <f t="shared" si="2"/>
        <v>#N/A</v>
      </c>
      <c r="AE7" t="e">
        <f t="shared" si="2"/>
        <v>#N/A</v>
      </c>
      <c r="AF7" t="e">
        <f t="shared" si="2"/>
        <v>#N/A</v>
      </c>
      <c r="AG7" t="e">
        <f t="shared" si="2"/>
        <v>#N/A</v>
      </c>
      <c r="AH7" t="e">
        <f t="shared" si="2"/>
        <v>#N/A</v>
      </c>
      <c r="AI7" t="e">
        <f t="shared" si="2"/>
        <v>#N/A</v>
      </c>
      <c r="AJ7" t="e">
        <f t="shared" si="2"/>
        <v>#N/A</v>
      </c>
      <c r="AK7" t="e">
        <f t="shared" si="2"/>
        <v>#N/A</v>
      </c>
      <c r="AL7" t="e">
        <f t="shared" si="2"/>
        <v>#N/A</v>
      </c>
      <c r="AM7" t="e">
        <f t="shared" si="2"/>
        <v>#N/A</v>
      </c>
      <c r="AN7" t="e">
        <f t="shared" si="2"/>
        <v>#N/A</v>
      </c>
      <c r="AO7" t="e">
        <f t="shared" si="2"/>
        <v>#N/A</v>
      </c>
      <c r="AP7" t="e">
        <f t="shared" si="2"/>
        <v>#N/A</v>
      </c>
      <c r="AQ7" t="e">
        <f t="shared" si="2"/>
        <v>#N/A</v>
      </c>
      <c r="AR7" t="e">
        <f t="shared" si="2"/>
        <v>#N/A</v>
      </c>
      <c r="AS7" t="e">
        <f t="shared" si="2"/>
        <v>#N/A</v>
      </c>
      <c r="AU7">
        <f t="shared" si="6"/>
        <v>0.75</v>
      </c>
      <c r="AV7" t="str">
        <f t="shared" si="7"/>
        <v/>
      </c>
      <c r="AW7" t="str">
        <f t="shared" si="8"/>
        <v/>
      </c>
      <c r="AX7" t="str">
        <f t="shared" si="9"/>
        <v/>
      </c>
      <c r="AY7" t="str">
        <f t="shared" si="10"/>
        <v/>
      </c>
      <c r="AZ7" t="str">
        <f t="shared" si="11"/>
        <v/>
      </c>
      <c r="BA7" t="str">
        <f t="shared" si="12"/>
        <v/>
      </c>
      <c r="BB7" t="str">
        <f t="shared" si="13"/>
        <v/>
      </c>
      <c r="BC7" t="str">
        <f t="shared" si="14"/>
        <v/>
      </c>
      <c r="BD7" t="str">
        <f t="shared" si="15"/>
        <v/>
      </c>
      <c r="BE7" t="str">
        <f t="shared" si="16"/>
        <v/>
      </c>
      <c r="BF7" t="str">
        <f t="shared" si="17"/>
        <v/>
      </c>
      <c r="BG7" t="str">
        <f t="shared" si="18"/>
        <v/>
      </c>
      <c r="BH7" t="str">
        <f t="shared" si="19"/>
        <v/>
      </c>
      <c r="BI7" t="str">
        <f t="shared" si="20"/>
        <v/>
      </c>
      <c r="BJ7" t="str">
        <f t="shared" si="21"/>
        <v/>
      </c>
      <c r="BK7" t="str">
        <f t="shared" si="22"/>
        <v/>
      </c>
      <c r="BL7" t="str">
        <f t="shared" si="23"/>
        <v/>
      </c>
      <c r="BM7" t="str">
        <f t="shared" si="24"/>
        <v/>
      </c>
      <c r="BP7" s="4">
        <v>41535</v>
      </c>
      <c r="BR7" s="4">
        <v>43100</v>
      </c>
    </row>
    <row r="8" spans="1:70" x14ac:dyDescent="0.25">
      <c r="A8" s="1">
        <v>41080</v>
      </c>
      <c r="B8">
        <v>1</v>
      </c>
      <c r="C8" s="4">
        <v>41639</v>
      </c>
      <c r="D8">
        <v>1</v>
      </c>
      <c r="E8">
        <f t="shared" si="0"/>
        <v>5.2631578947368418E-2</v>
      </c>
      <c r="F8" s="4"/>
      <c r="G8">
        <v>1</v>
      </c>
      <c r="H8" t="str">
        <f t="shared" ref="H8:Y8" si="29">IF($D8&gt;G8,G8+1,"")</f>
        <v/>
      </c>
      <c r="I8" t="str">
        <f t="shared" si="29"/>
        <v/>
      </c>
      <c r="J8" t="str">
        <f t="shared" si="29"/>
        <v/>
      </c>
      <c r="K8" t="str">
        <f t="shared" si="29"/>
        <v/>
      </c>
      <c r="L8" t="str">
        <f t="shared" si="29"/>
        <v/>
      </c>
      <c r="M8" t="str">
        <f t="shared" si="29"/>
        <v/>
      </c>
      <c r="N8" t="str">
        <f t="shared" si="29"/>
        <v/>
      </c>
      <c r="O8" t="str">
        <f t="shared" si="29"/>
        <v/>
      </c>
      <c r="P8" t="str">
        <f t="shared" si="29"/>
        <v/>
      </c>
      <c r="Q8" t="str">
        <f t="shared" si="29"/>
        <v/>
      </c>
      <c r="R8" t="str">
        <f t="shared" si="29"/>
        <v/>
      </c>
      <c r="S8" t="str">
        <f t="shared" si="29"/>
        <v/>
      </c>
      <c r="T8" t="str">
        <f t="shared" si="29"/>
        <v/>
      </c>
      <c r="U8" t="str">
        <f t="shared" si="29"/>
        <v/>
      </c>
      <c r="V8" t="str">
        <f t="shared" si="29"/>
        <v/>
      </c>
      <c r="W8" t="str">
        <f t="shared" si="29"/>
        <v/>
      </c>
      <c r="X8" t="str">
        <f t="shared" si="29"/>
        <v/>
      </c>
      <c r="Y8" t="str">
        <f t="shared" si="29"/>
        <v/>
      </c>
      <c r="AA8">
        <f t="shared" si="5"/>
        <v>41639</v>
      </c>
      <c r="AB8" t="e">
        <f t="shared" si="2"/>
        <v>#N/A</v>
      </c>
      <c r="AC8" t="e">
        <f t="shared" si="2"/>
        <v>#N/A</v>
      </c>
      <c r="AD8" t="e">
        <f t="shared" si="2"/>
        <v>#N/A</v>
      </c>
      <c r="AE8" t="e">
        <f t="shared" si="2"/>
        <v>#N/A</v>
      </c>
      <c r="AF8" t="e">
        <f t="shared" si="2"/>
        <v>#N/A</v>
      </c>
      <c r="AG8" t="e">
        <f t="shared" si="2"/>
        <v>#N/A</v>
      </c>
      <c r="AH8" t="e">
        <f t="shared" si="2"/>
        <v>#N/A</v>
      </c>
      <c r="AI8" t="e">
        <f t="shared" si="2"/>
        <v>#N/A</v>
      </c>
      <c r="AJ8" t="e">
        <f t="shared" si="2"/>
        <v>#N/A</v>
      </c>
      <c r="AK8" t="e">
        <f t="shared" si="2"/>
        <v>#N/A</v>
      </c>
      <c r="AL8" t="e">
        <f t="shared" si="2"/>
        <v>#N/A</v>
      </c>
      <c r="AM8" t="e">
        <f t="shared" si="2"/>
        <v>#N/A</v>
      </c>
      <c r="AN8" t="e">
        <f t="shared" si="2"/>
        <v>#N/A</v>
      </c>
      <c r="AO8" t="e">
        <f t="shared" si="2"/>
        <v>#N/A</v>
      </c>
      <c r="AP8" t="e">
        <f t="shared" si="2"/>
        <v>#N/A</v>
      </c>
      <c r="AQ8" t="e">
        <f t="shared" si="2"/>
        <v>#N/A</v>
      </c>
      <c r="AR8" t="e">
        <f t="shared" si="2"/>
        <v>#N/A</v>
      </c>
      <c r="AS8" t="e">
        <f t="shared" si="2"/>
        <v>#N/A</v>
      </c>
      <c r="AU8">
        <f t="shared" si="6"/>
        <v>1</v>
      </c>
      <c r="AV8" t="str">
        <f t="shared" si="7"/>
        <v/>
      </c>
      <c r="AW8" t="str">
        <f t="shared" si="8"/>
        <v/>
      </c>
      <c r="AX8" t="str">
        <f t="shared" si="9"/>
        <v/>
      </c>
      <c r="AY8" t="str">
        <f t="shared" si="10"/>
        <v/>
      </c>
      <c r="AZ8" t="str">
        <f t="shared" si="11"/>
        <v/>
      </c>
      <c r="BA8" t="str">
        <f t="shared" si="12"/>
        <v/>
      </c>
      <c r="BB8" t="str">
        <f t="shared" si="13"/>
        <v/>
      </c>
      <c r="BC8" t="str">
        <f t="shared" si="14"/>
        <v/>
      </c>
      <c r="BD8" t="str">
        <f t="shared" si="15"/>
        <v/>
      </c>
      <c r="BE8" t="str">
        <f t="shared" si="16"/>
        <v/>
      </c>
      <c r="BF8" t="str">
        <f t="shared" si="17"/>
        <v/>
      </c>
      <c r="BG8" t="str">
        <f t="shared" si="18"/>
        <v/>
      </c>
      <c r="BH8" t="str">
        <f t="shared" si="19"/>
        <v/>
      </c>
      <c r="BI8" t="str">
        <f t="shared" si="20"/>
        <v/>
      </c>
      <c r="BJ8" t="str">
        <f t="shared" si="21"/>
        <v/>
      </c>
      <c r="BK8" t="str">
        <f t="shared" si="22"/>
        <v/>
      </c>
      <c r="BL8" t="str">
        <f t="shared" si="23"/>
        <v/>
      </c>
      <c r="BM8" t="str">
        <f t="shared" si="24"/>
        <v/>
      </c>
      <c r="BP8" s="4">
        <v>41626</v>
      </c>
      <c r="BR8"/>
    </row>
    <row r="9" spans="1:70" x14ac:dyDescent="0.25">
      <c r="A9" s="1">
        <v>41080</v>
      </c>
      <c r="B9">
        <v>1.25</v>
      </c>
      <c r="C9" s="4">
        <v>41639</v>
      </c>
      <c r="D9">
        <v>2</v>
      </c>
      <c r="E9">
        <f t="shared" si="0"/>
        <v>0.13157894736842105</v>
      </c>
      <c r="F9" s="4"/>
      <c r="G9">
        <v>1</v>
      </c>
      <c r="H9">
        <f t="shared" ref="H9:Y9" si="30">IF($D9&gt;G9,G9+1,"")</f>
        <v>2</v>
      </c>
      <c r="I9" t="str">
        <f t="shared" si="30"/>
        <v/>
      </c>
      <c r="J9" t="str">
        <f t="shared" si="30"/>
        <v/>
      </c>
      <c r="K9" t="str">
        <f t="shared" si="30"/>
        <v/>
      </c>
      <c r="L9" t="str">
        <f t="shared" si="30"/>
        <v/>
      </c>
      <c r="M9" t="str">
        <f t="shared" si="30"/>
        <v/>
      </c>
      <c r="N9" t="str">
        <f t="shared" si="30"/>
        <v/>
      </c>
      <c r="O9" t="str">
        <f t="shared" si="30"/>
        <v/>
      </c>
      <c r="P9" t="str">
        <f t="shared" si="30"/>
        <v/>
      </c>
      <c r="Q9" t="str">
        <f t="shared" si="30"/>
        <v/>
      </c>
      <c r="R9" t="str">
        <f t="shared" si="30"/>
        <v/>
      </c>
      <c r="S9" t="str">
        <f t="shared" si="30"/>
        <v/>
      </c>
      <c r="T9" t="str">
        <f t="shared" si="30"/>
        <v/>
      </c>
      <c r="U9" t="str">
        <f t="shared" si="30"/>
        <v/>
      </c>
      <c r="V9" t="str">
        <f t="shared" si="30"/>
        <v/>
      </c>
      <c r="W9" t="str">
        <f t="shared" si="30"/>
        <v/>
      </c>
      <c r="X9" t="str">
        <f t="shared" si="30"/>
        <v/>
      </c>
      <c r="Y9" t="str">
        <f t="shared" si="30"/>
        <v/>
      </c>
      <c r="AA9">
        <f t="shared" si="5"/>
        <v>41628.962500000001</v>
      </c>
      <c r="AB9">
        <f t="shared" si="2"/>
        <v>41649.037500000006</v>
      </c>
      <c r="AC9" t="e">
        <f t="shared" si="2"/>
        <v>#N/A</v>
      </c>
      <c r="AD9" t="e">
        <f t="shared" si="2"/>
        <v>#N/A</v>
      </c>
      <c r="AE9" t="e">
        <f t="shared" si="2"/>
        <v>#N/A</v>
      </c>
      <c r="AF9" t="e">
        <f t="shared" si="2"/>
        <v>#N/A</v>
      </c>
      <c r="AG9" t="e">
        <f t="shared" si="2"/>
        <v>#N/A</v>
      </c>
      <c r="AH9" t="e">
        <f t="shared" si="2"/>
        <v>#N/A</v>
      </c>
      <c r="AI9" t="e">
        <f t="shared" si="2"/>
        <v>#N/A</v>
      </c>
      <c r="AJ9" t="e">
        <f t="shared" si="2"/>
        <v>#N/A</v>
      </c>
      <c r="AK9" t="e">
        <f t="shared" si="2"/>
        <v>#N/A</v>
      </c>
      <c r="AL9" t="e">
        <f t="shared" si="2"/>
        <v>#N/A</v>
      </c>
      <c r="AM9" t="e">
        <f t="shared" si="2"/>
        <v>#N/A</v>
      </c>
      <c r="AN9" t="e">
        <f t="shared" si="2"/>
        <v>#N/A</v>
      </c>
      <c r="AO9" t="e">
        <f t="shared" si="2"/>
        <v>#N/A</v>
      </c>
      <c r="AP9" t="e">
        <f t="shared" si="2"/>
        <v>#N/A</v>
      </c>
      <c r="AQ9" t="e">
        <f t="shared" si="2"/>
        <v>#N/A</v>
      </c>
      <c r="AR9" t="e">
        <f t="shared" si="2"/>
        <v>#N/A</v>
      </c>
      <c r="AS9" t="e">
        <f t="shared" si="2"/>
        <v>#N/A</v>
      </c>
      <c r="AU9">
        <f t="shared" si="6"/>
        <v>1.25</v>
      </c>
      <c r="AV9">
        <f t="shared" si="7"/>
        <v>1.25</v>
      </c>
      <c r="AW9" t="str">
        <f t="shared" si="8"/>
        <v/>
      </c>
      <c r="AX9" t="str">
        <f t="shared" si="9"/>
        <v/>
      </c>
      <c r="AY9" t="str">
        <f t="shared" si="10"/>
        <v/>
      </c>
      <c r="AZ9" t="str">
        <f t="shared" si="11"/>
        <v/>
      </c>
      <c r="BA9" t="str">
        <f t="shared" si="12"/>
        <v/>
      </c>
      <c r="BB9" t="str">
        <f t="shared" si="13"/>
        <v/>
      </c>
      <c r="BC9" t="str">
        <f t="shared" si="14"/>
        <v/>
      </c>
      <c r="BD9" t="str">
        <f t="shared" si="15"/>
        <v/>
      </c>
      <c r="BE9" t="str">
        <f t="shared" si="16"/>
        <v/>
      </c>
      <c r="BF9" t="str">
        <f t="shared" si="17"/>
        <v/>
      </c>
      <c r="BG9" t="str">
        <f t="shared" si="18"/>
        <v/>
      </c>
      <c r="BH9" t="str">
        <f t="shared" si="19"/>
        <v/>
      </c>
      <c r="BI9" t="str">
        <f t="shared" si="20"/>
        <v/>
      </c>
      <c r="BJ9" t="str">
        <f t="shared" si="21"/>
        <v/>
      </c>
      <c r="BK9" t="str">
        <f t="shared" si="22"/>
        <v/>
      </c>
      <c r="BL9" t="str">
        <f t="shared" si="23"/>
        <v/>
      </c>
      <c r="BM9" t="str">
        <f t="shared" si="24"/>
        <v/>
      </c>
      <c r="BP9" s="4">
        <v>41717</v>
      </c>
      <c r="BR9"/>
    </row>
    <row r="10" spans="1:70" x14ac:dyDescent="0.25">
      <c r="A10" s="1">
        <v>41080</v>
      </c>
      <c r="B10" s="2">
        <v>1.75</v>
      </c>
      <c r="C10" s="4">
        <v>41639</v>
      </c>
      <c r="D10">
        <v>1</v>
      </c>
      <c r="E10">
        <f t="shared" si="0"/>
        <v>9.2105263157894732E-2</v>
      </c>
      <c r="F10" s="4"/>
      <c r="G10">
        <v>1</v>
      </c>
      <c r="H10" t="str">
        <f t="shared" ref="H10:Y10" si="31">IF($D10&gt;G10,G10+1,"")</f>
        <v/>
      </c>
      <c r="I10" t="str">
        <f t="shared" si="31"/>
        <v/>
      </c>
      <c r="J10" t="str">
        <f t="shared" si="31"/>
        <v/>
      </c>
      <c r="K10" t="str">
        <f t="shared" si="31"/>
        <v/>
      </c>
      <c r="L10" t="str">
        <f t="shared" si="31"/>
        <v/>
      </c>
      <c r="M10" t="str">
        <f t="shared" si="31"/>
        <v/>
      </c>
      <c r="N10" t="str">
        <f t="shared" si="31"/>
        <v/>
      </c>
      <c r="O10" t="str">
        <f t="shared" si="31"/>
        <v/>
      </c>
      <c r="P10" t="str">
        <f t="shared" si="31"/>
        <v/>
      </c>
      <c r="Q10" t="str">
        <f t="shared" si="31"/>
        <v/>
      </c>
      <c r="R10" t="str">
        <f t="shared" si="31"/>
        <v/>
      </c>
      <c r="S10" t="str">
        <f t="shared" si="31"/>
        <v/>
      </c>
      <c r="T10" t="str">
        <f t="shared" si="31"/>
        <v/>
      </c>
      <c r="U10" t="str">
        <f t="shared" si="31"/>
        <v/>
      </c>
      <c r="V10" t="str">
        <f t="shared" si="31"/>
        <v/>
      </c>
      <c r="W10" t="str">
        <f t="shared" si="31"/>
        <v/>
      </c>
      <c r="X10" t="str">
        <f t="shared" si="31"/>
        <v/>
      </c>
      <c r="Y10" t="str">
        <f t="shared" si="31"/>
        <v/>
      </c>
      <c r="AA10">
        <f t="shared" si="5"/>
        <v>41639</v>
      </c>
      <c r="AB10" t="e">
        <f t="shared" si="2"/>
        <v>#N/A</v>
      </c>
      <c r="AC10" t="e">
        <f t="shared" si="2"/>
        <v>#N/A</v>
      </c>
      <c r="AD10" t="e">
        <f t="shared" si="2"/>
        <v>#N/A</v>
      </c>
      <c r="AE10" t="e">
        <f t="shared" si="2"/>
        <v>#N/A</v>
      </c>
      <c r="AF10" t="e">
        <f t="shared" si="2"/>
        <v>#N/A</v>
      </c>
      <c r="AG10" t="e">
        <f t="shared" si="2"/>
        <v>#N/A</v>
      </c>
      <c r="AH10" t="e">
        <f t="shared" si="2"/>
        <v>#N/A</v>
      </c>
      <c r="AI10" t="e">
        <f t="shared" si="2"/>
        <v>#N/A</v>
      </c>
      <c r="AJ10" t="e">
        <f t="shared" si="2"/>
        <v>#N/A</v>
      </c>
      <c r="AK10" t="e">
        <f t="shared" si="2"/>
        <v>#N/A</v>
      </c>
      <c r="AL10" t="e">
        <f t="shared" si="2"/>
        <v>#N/A</v>
      </c>
      <c r="AM10" t="e">
        <f t="shared" si="2"/>
        <v>#N/A</v>
      </c>
      <c r="AN10" t="e">
        <f t="shared" si="2"/>
        <v>#N/A</v>
      </c>
      <c r="AO10" t="e">
        <f t="shared" si="2"/>
        <v>#N/A</v>
      </c>
      <c r="AP10" t="e">
        <f t="shared" si="2"/>
        <v>#N/A</v>
      </c>
      <c r="AQ10" t="e">
        <f t="shared" si="2"/>
        <v>#N/A</v>
      </c>
      <c r="AR10" t="e">
        <f t="shared" si="2"/>
        <v>#N/A</v>
      </c>
      <c r="AS10" t="e">
        <f t="shared" si="2"/>
        <v>#N/A</v>
      </c>
      <c r="AU10">
        <f t="shared" si="6"/>
        <v>1.75</v>
      </c>
      <c r="AV10" t="str">
        <f t="shared" si="7"/>
        <v/>
      </c>
      <c r="AW10" t="str">
        <f t="shared" si="8"/>
        <v/>
      </c>
      <c r="AX10" t="str">
        <f t="shared" si="9"/>
        <v/>
      </c>
      <c r="AY10" t="str">
        <f t="shared" si="10"/>
        <v/>
      </c>
      <c r="AZ10" t="str">
        <f t="shared" si="11"/>
        <v/>
      </c>
      <c r="BA10" t="str">
        <f t="shared" si="12"/>
        <v/>
      </c>
      <c r="BB10" t="str">
        <f t="shared" si="13"/>
        <v/>
      </c>
      <c r="BC10" t="str">
        <f t="shared" si="14"/>
        <v/>
      </c>
      <c r="BD10" t="str">
        <f t="shared" si="15"/>
        <v/>
      </c>
      <c r="BE10" t="str">
        <f t="shared" si="16"/>
        <v/>
      </c>
      <c r="BF10" t="str">
        <f t="shared" si="17"/>
        <v/>
      </c>
      <c r="BG10" t="str">
        <f t="shared" si="18"/>
        <v/>
      </c>
      <c r="BH10" t="str">
        <f t="shared" si="19"/>
        <v/>
      </c>
      <c r="BI10" t="str">
        <f t="shared" si="20"/>
        <v/>
      </c>
      <c r="BJ10" t="str">
        <f t="shared" si="21"/>
        <v/>
      </c>
      <c r="BK10" t="str">
        <f t="shared" si="22"/>
        <v/>
      </c>
      <c r="BL10" t="str">
        <f t="shared" si="23"/>
        <v/>
      </c>
      <c r="BM10" t="str">
        <f t="shared" si="24"/>
        <v/>
      </c>
      <c r="BP10" s="4">
        <v>41808</v>
      </c>
      <c r="BR10"/>
    </row>
    <row r="11" spans="1:70" x14ac:dyDescent="0.25">
      <c r="A11" s="1">
        <v>41080</v>
      </c>
      <c r="B11" s="2">
        <v>0.25</v>
      </c>
      <c r="C11" s="4">
        <v>42004</v>
      </c>
      <c r="D11">
        <v>6</v>
      </c>
      <c r="E11">
        <f t="shared" si="0"/>
        <v>7.8947368421052627E-2</v>
      </c>
      <c r="F11" s="4"/>
      <c r="G11">
        <v>1</v>
      </c>
      <c r="H11">
        <f t="shared" ref="H11:Y11" si="32">IF($D11&gt;G11,G11+1,"")</f>
        <v>2</v>
      </c>
      <c r="I11">
        <f t="shared" si="32"/>
        <v>3</v>
      </c>
      <c r="J11">
        <f t="shared" si="32"/>
        <v>4</v>
      </c>
      <c r="K11">
        <f t="shared" si="32"/>
        <v>5</v>
      </c>
      <c r="L11">
        <f t="shared" si="32"/>
        <v>6</v>
      </c>
      <c r="M11" t="str">
        <f t="shared" si="32"/>
        <v/>
      </c>
      <c r="N11" t="str">
        <f t="shared" si="32"/>
        <v/>
      </c>
      <c r="O11" t="str">
        <f t="shared" si="32"/>
        <v/>
      </c>
      <c r="P11" t="str">
        <f t="shared" si="32"/>
        <v/>
      </c>
      <c r="Q11" t="str">
        <f t="shared" si="32"/>
        <v/>
      </c>
      <c r="R11" t="str">
        <f t="shared" si="32"/>
        <v/>
      </c>
      <c r="S11" t="str">
        <f t="shared" si="32"/>
        <v/>
      </c>
      <c r="T11" t="str">
        <f t="shared" si="32"/>
        <v/>
      </c>
      <c r="U11" t="str">
        <f t="shared" si="32"/>
        <v/>
      </c>
      <c r="V11" t="str">
        <f t="shared" si="32"/>
        <v/>
      </c>
      <c r="W11" t="str">
        <f t="shared" si="32"/>
        <v/>
      </c>
      <c r="X11" t="str">
        <f t="shared" si="32"/>
        <v/>
      </c>
      <c r="Y11" t="str">
        <f t="shared" si="32"/>
        <v/>
      </c>
      <c r="AA11">
        <f t="shared" si="5"/>
        <v>41953.8125</v>
      </c>
      <c r="AB11">
        <f t="shared" si="2"/>
        <v>41973.887500000004</v>
      </c>
      <c r="AC11">
        <f t="shared" si="2"/>
        <v>41993.962500000001</v>
      </c>
      <c r="AD11">
        <f t="shared" si="2"/>
        <v>42014.037500000006</v>
      </c>
      <c r="AE11">
        <f t="shared" si="2"/>
        <v>42034.112500000003</v>
      </c>
      <c r="AF11">
        <f t="shared" si="2"/>
        <v>42054.1875</v>
      </c>
      <c r="AG11" t="e">
        <f t="shared" si="2"/>
        <v>#N/A</v>
      </c>
      <c r="AH11" t="e">
        <f t="shared" si="2"/>
        <v>#N/A</v>
      </c>
      <c r="AI11" t="e">
        <f t="shared" si="2"/>
        <v>#N/A</v>
      </c>
      <c r="AJ11" t="e">
        <f t="shared" si="2"/>
        <v>#N/A</v>
      </c>
      <c r="AK11" t="e">
        <f t="shared" si="2"/>
        <v>#N/A</v>
      </c>
      <c r="AL11" t="e">
        <f t="shared" si="2"/>
        <v>#N/A</v>
      </c>
      <c r="AM11" t="e">
        <f t="shared" si="2"/>
        <v>#N/A</v>
      </c>
      <c r="AN11" t="e">
        <f t="shared" si="2"/>
        <v>#N/A</v>
      </c>
      <c r="AO11" t="e">
        <f t="shared" si="2"/>
        <v>#N/A</v>
      </c>
      <c r="AP11" t="e">
        <f t="shared" si="2"/>
        <v>#N/A</v>
      </c>
      <c r="AQ11" t="e">
        <f t="shared" si="2"/>
        <v>#N/A</v>
      </c>
      <c r="AR11" t="e">
        <f t="shared" si="2"/>
        <v>#N/A</v>
      </c>
      <c r="AS11" t="e">
        <f t="shared" si="2"/>
        <v>#N/A</v>
      </c>
      <c r="AU11">
        <f t="shared" si="6"/>
        <v>0.25</v>
      </c>
      <c r="AV11">
        <f t="shared" si="7"/>
        <v>0.25</v>
      </c>
      <c r="AW11">
        <f t="shared" si="8"/>
        <v>0.25</v>
      </c>
      <c r="AX11">
        <f t="shared" si="9"/>
        <v>0.25</v>
      </c>
      <c r="AY11">
        <f t="shared" si="10"/>
        <v>0.25</v>
      </c>
      <c r="AZ11">
        <f t="shared" si="11"/>
        <v>0.25</v>
      </c>
      <c r="BA11" t="str">
        <f t="shared" si="12"/>
        <v/>
      </c>
      <c r="BB11" t="str">
        <f t="shared" si="13"/>
        <v/>
      </c>
      <c r="BC11" t="str">
        <f t="shared" si="14"/>
        <v/>
      </c>
      <c r="BD11" t="str">
        <f t="shared" si="15"/>
        <v/>
      </c>
      <c r="BE11" t="str">
        <f t="shared" si="16"/>
        <v/>
      </c>
      <c r="BF11" t="str">
        <f t="shared" si="17"/>
        <v/>
      </c>
      <c r="BG11" t="str">
        <f t="shared" si="18"/>
        <v/>
      </c>
      <c r="BH11" t="str">
        <f t="shared" si="19"/>
        <v/>
      </c>
      <c r="BI11" t="str">
        <f t="shared" si="20"/>
        <v/>
      </c>
      <c r="BJ11" t="str">
        <f t="shared" si="21"/>
        <v/>
      </c>
      <c r="BK11" t="str">
        <f t="shared" si="22"/>
        <v/>
      </c>
      <c r="BL11" t="str">
        <f t="shared" si="23"/>
        <v/>
      </c>
      <c r="BM11" t="str">
        <f t="shared" si="24"/>
        <v/>
      </c>
      <c r="BP11"/>
      <c r="BR11"/>
    </row>
    <row r="12" spans="1:70" x14ac:dyDescent="0.25">
      <c r="A12" s="1">
        <v>41080</v>
      </c>
      <c r="B12">
        <v>0.5</v>
      </c>
      <c r="C12" s="4">
        <v>42004</v>
      </c>
      <c r="D12">
        <v>4</v>
      </c>
      <c r="E12">
        <f t="shared" si="0"/>
        <v>0.10526315789473684</v>
      </c>
      <c r="F12" s="4"/>
      <c r="G12">
        <v>1</v>
      </c>
      <c r="H12">
        <f t="shared" ref="H12:Y12" si="33">IF($D12&gt;G12,G12+1,"")</f>
        <v>2</v>
      </c>
      <c r="I12">
        <f t="shared" si="33"/>
        <v>3</v>
      </c>
      <c r="J12">
        <f t="shared" si="33"/>
        <v>4</v>
      </c>
      <c r="K12" t="str">
        <f t="shared" si="33"/>
        <v/>
      </c>
      <c r="L12" t="str">
        <f t="shared" si="33"/>
        <v/>
      </c>
      <c r="M12" t="str">
        <f t="shared" si="33"/>
        <v/>
      </c>
      <c r="N12" t="str">
        <f t="shared" si="33"/>
        <v/>
      </c>
      <c r="O12" t="str">
        <f t="shared" si="33"/>
        <v/>
      </c>
      <c r="P12" t="str">
        <f t="shared" si="33"/>
        <v/>
      </c>
      <c r="Q12" t="str">
        <f t="shared" si="33"/>
        <v/>
      </c>
      <c r="R12" t="str">
        <f t="shared" si="33"/>
        <v/>
      </c>
      <c r="S12" t="str">
        <f t="shared" si="33"/>
        <v/>
      </c>
      <c r="T12" t="str">
        <f t="shared" si="33"/>
        <v/>
      </c>
      <c r="U12" t="str">
        <f t="shared" si="33"/>
        <v/>
      </c>
      <c r="V12" t="str">
        <f t="shared" si="33"/>
        <v/>
      </c>
      <c r="W12" t="str">
        <f t="shared" si="33"/>
        <v/>
      </c>
      <c r="X12" t="str">
        <f t="shared" si="33"/>
        <v/>
      </c>
      <c r="Y12" t="str">
        <f t="shared" si="33"/>
        <v/>
      </c>
      <c r="AA12">
        <f t="shared" si="5"/>
        <v>41973.887499999997</v>
      </c>
      <c r="AB12">
        <f t="shared" si="2"/>
        <v>41993.962500000001</v>
      </c>
      <c r="AC12">
        <f t="shared" si="2"/>
        <v>42014.037499999999</v>
      </c>
      <c r="AD12">
        <f t="shared" si="2"/>
        <v>42034.112500000003</v>
      </c>
      <c r="AE12" t="e">
        <f t="shared" si="2"/>
        <v>#N/A</v>
      </c>
      <c r="AF12" t="e">
        <f t="shared" si="2"/>
        <v>#N/A</v>
      </c>
      <c r="AG12" t="e">
        <f t="shared" si="2"/>
        <v>#N/A</v>
      </c>
      <c r="AH12" t="e">
        <f t="shared" si="2"/>
        <v>#N/A</v>
      </c>
      <c r="AI12" t="e">
        <f t="shared" si="2"/>
        <v>#N/A</v>
      </c>
      <c r="AJ12" t="e">
        <f t="shared" si="2"/>
        <v>#N/A</v>
      </c>
      <c r="AK12" t="e">
        <f t="shared" si="2"/>
        <v>#N/A</v>
      </c>
      <c r="AL12" t="e">
        <f t="shared" si="2"/>
        <v>#N/A</v>
      </c>
      <c r="AM12" t="e">
        <f t="shared" si="2"/>
        <v>#N/A</v>
      </c>
      <c r="AN12" t="e">
        <f t="shared" si="2"/>
        <v>#N/A</v>
      </c>
      <c r="AO12" t="e">
        <f t="shared" si="2"/>
        <v>#N/A</v>
      </c>
      <c r="AP12" t="e">
        <f t="shared" si="2"/>
        <v>#N/A</v>
      </c>
      <c r="AQ12" t="e">
        <f t="shared" si="2"/>
        <v>#N/A</v>
      </c>
      <c r="AR12" t="e">
        <f t="shared" si="2"/>
        <v>#N/A</v>
      </c>
      <c r="AS12" t="e">
        <f t="shared" si="2"/>
        <v>#N/A</v>
      </c>
      <c r="AU12">
        <f t="shared" si="6"/>
        <v>0.5</v>
      </c>
      <c r="AV12">
        <f t="shared" si="7"/>
        <v>0.5</v>
      </c>
      <c r="AW12">
        <f t="shared" si="8"/>
        <v>0.5</v>
      </c>
      <c r="AX12">
        <f t="shared" si="9"/>
        <v>0.5</v>
      </c>
      <c r="AY12" t="str">
        <f t="shared" si="10"/>
        <v/>
      </c>
      <c r="AZ12" t="str">
        <f t="shared" si="11"/>
        <v/>
      </c>
      <c r="BA12" t="str">
        <f t="shared" si="12"/>
        <v/>
      </c>
      <c r="BB12" t="str">
        <f t="shared" si="13"/>
        <v/>
      </c>
      <c r="BC12" t="str">
        <f t="shared" si="14"/>
        <v/>
      </c>
      <c r="BD12" t="str">
        <f t="shared" si="15"/>
        <v/>
      </c>
      <c r="BE12" t="str">
        <f t="shared" si="16"/>
        <v/>
      </c>
      <c r="BF12" t="str">
        <f t="shared" si="17"/>
        <v/>
      </c>
      <c r="BG12" t="str">
        <f t="shared" si="18"/>
        <v/>
      </c>
      <c r="BH12" t="str">
        <f t="shared" si="19"/>
        <v/>
      </c>
      <c r="BI12" t="str">
        <f t="shared" si="20"/>
        <v/>
      </c>
      <c r="BJ12" t="str">
        <f t="shared" si="21"/>
        <v/>
      </c>
      <c r="BK12" t="str">
        <f t="shared" si="22"/>
        <v/>
      </c>
      <c r="BL12" t="str">
        <f t="shared" si="23"/>
        <v/>
      </c>
      <c r="BM12" t="str">
        <f t="shared" si="24"/>
        <v/>
      </c>
      <c r="BP12"/>
      <c r="BR12"/>
    </row>
    <row r="13" spans="1:70" x14ac:dyDescent="0.25">
      <c r="A13" s="1">
        <v>41080</v>
      </c>
      <c r="B13">
        <v>0.75</v>
      </c>
      <c r="C13" s="4">
        <v>42004</v>
      </c>
      <c r="D13">
        <v>1</v>
      </c>
      <c r="E13">
        <f t="shared" si="0"/>
        <v>3.9473684210526314E-2</v>
      </c>
      <c r="F13" s="4"/>
      <c r="G13">
        <v>1</v>
      </c>
      <c r="H13" t="str">
        <f t="shared" ref="H13:Y13" si="34">IF($D13&gt;G13,G13+1,"")</f>
        <v/>
      </c>
      <c r="I13" t="str">
        <f t="shared" si="34"/>
        <v/>
      </c>
      <c r="J13" t="str">
        <f t="shared" si="34"/>
        <v/>
      </c>
      <c r="K13" t="str">
        <f t="shared" si="34"/>
        <v/>
      </c>
      <c r="L13" t="str">
        <f t="shared" si="34"/>
        <v/>
      </c>
      <c r="M13" t="str">
        <f t="shared" si="34"/>
        <v/>
      </c>
      <c r="N13" t="str">
        <f t="shared" si="34"/>
        <v/>
      </c>
      <c r="O13" t="str">
        <f t="shared" si="34"/>
        <v/>
      </c>
      <c r="P13" t="str">
        <f t="shared" si="34"/>
        <v/>
      </c>
      <c r="Q13" t="str">
        <f t="shared" si="34"/>
        <v/>
      </c>
      <c r="R13" t="str">
        <f t="shared" si="34"/>
        <v/>
      </c>
      <c r="S13" t="str">
        <f t="shared" si="34"/>
        <v/>
      </c>
      <c r="T13" t="str">
        <f t="shared" si="34"/>
        <v/>
      </c>
      <c r="U13" t="str">
        <f t="shared" si="34"/>
        <v/>
      </c>
      <c r="V13" t="str">
        <f t="shared" si="34"/>
        <v/>
      </c>
      <c r="W13" t="str">
        <f t="shared" si="34"/>
        <v/>
      </c>
      <c r="X13" t="str">
        <f t="shared" si="34"/>
        <v/>
      </c>
      <c r="Y13" t="str">
        <f t="shared" si="34"/>
        <v/>
      </c>
      <c r="AA13">
        <f t="shared" si="5"/>
        <v>42004</v>
      </c>
      <c r="AB13" t="e">
        <f t="shared" si="2"/>
        <v>#N/A</v>
      </c>
      <c r="AC13" t="e">
        <f t="shared" si="2"/>
        <v>#N/A</v>
      </c>
      <c r="AD13" t="e">
        <f t="shared" si="2"/>
        <v>#N/A</v>
      </c>
      <c r="AE13" t="e">
        <f t="shared" si="2"/>
        <v>#N/A</v>
      </c>
      <c r="AF13" t="e">
        <f t="shared" si="2"/>
        <v>#N/A</v>
      </c>
      <c r="AG13" t="e">
        <f t="shared" si="2"/>
        <v>#N/A</v>
      </c>
      <c r="AH13" t="e">
        <f t="shared" si="2"/>
        <v>#N/A</v>
      </c>
      <c r="AI13" t="e">
        <f t="shared" si="2"/>
        <v>#N/A</v>
      </c>
      <c r="AJ13" t="e">
        <f t="shared" si="2"/>
        <v>#N/A</v>
      </c>
      <c r="AK13" t="e">
        <f t="shared" si="2"/>
        <v>#N/A</v>
      </c>
      <c r="AL13" t="e">
        <f t="shared" si="2"/>
        <v>#N/A</v>
      </c>
      <c r="AM13" t="e">
        <f t="shared" si="2"/>
        <v>#N/A</v>
      </c>
      <c r="AN13" t="e">
        <f t="shared" si="2"/>
        <v>#N/A</v>
      </c>
      <c r="AO13" t="e">
        <f t="shared" si="2"/>
        <v>#N/A</v>
      </c>
      <c r="AP13" t="e">
        <f t="shared" si="2"/>
        <v>#N/A</v>
      </c>
      <c r="AQ13" t="e">
        <f t="shared" si="2"/>
        <v>#N/A</v>
      </c>
      <c r="AR13" t="e">
        <f t="shared" si="2"/>
        <v>#N/A</v>
      </c>
      <c r="AS13" t="e">
        <f t="shared" si="2"/>
        <v>#N/A</v>
      </c>
      <c r="AU13">
        <f t="shared" si="6"/>
        <v>0.75</v>
      </c>
      <c r="AV13" t="str">
        <f t="shared" si="7"/>
        <v/>
      </c>
      <c r="AW13" t="str">
        <f t="shared" si="8"/>
        <v/>
      </c>
      <c r="AX13" t="str">
        <f t="shared" si="9"/>
        <v/>
      </c>
      <c r="AY13" t="str">
        <f t="shared" si="10"/>
        <v/>
      </c>
      <c r="AZ13" t="str">
        <f t="shared" si="11"/>
        <v/>
      </c>
      <c r="BA13" t="str">
        <f t="shared" si="12"/>
        <v/>
      </c>
      <c r="BB13" t="str">
        <f t="shared" si="13"/>
        <v/>
      </c>
      <c r="BC13" t="str">
        <f t="shared" si="14"/>
        <v/>
      </c>
      <c r="BD13" t="str">
        <f t="shared" si="15"/>
        <v/>
      </c>
      <c r="BE13" t="str">
        <f t="shared" si="16"/>
        <v/>
      </c>
      <c r="BF13" t="str">
        <f t="shared" si="17"/>
        <v/>
      </c>
      <c r="BG13" t="str">
        <f t="shared" si="18"/>
        <v/>
      </c>
      <c r="BH13" t="str">
        <f t="shared" si="19"/>
        <v/>
      </c>
      <c r="BI13" t="str">
        <f t="shared" si="20"/>
        <v/>
      </c>
      <c r="BJ13" t="str">
        <f t="shared" si="21"/>
        <v/>
      </c>
      <c r="BK13" t="str">
        <f t="shared" si="22"/>
        <v/>
      </c>
      <c r="BL13" t="str">
        <f t="shared" si="23"/>
        <v/>
      </c>
      <c r="BM13" t="str">
        <f t="shared" si="24"/>
        <v/>
      </c>
      <c r="BP13"/>
      <c r="BR13"/>
    </row>
    <row r="14" spans="1:70" x14ac:dyDescent="0.25">
      <c r="A14" s="1">
        <v>41080</v>
      </c>
      <c r="B14">
        <v>1.5</v>
      </c>
      <c r="C14" s="4">
        <v>42004</v>
      </c>
      <c r="D14">
        <v>2</v>
      </c>
      <c r="E14">
        <f t="shared" si="0"/>
        <v>0.15789473684210525</v>
      </c>
      <c r="F14" s="4"/>
      <c r="G14">
        <v>1</v>
      </c>
      <c r="H14">
        <f t="shared" ref="H14:Y14" si="35">IF($D14&gt;G14,G14+1,"")</f>
        <v>2</v>
      </c>
      <c r="I14" t="str">
        <f t="shared" si="35"/>
        <v/>
      </c>
      <c r="J14" t="str">
        <f t="shared" si="35"/>
        <v/>
      </c>
      <c r="K14" t="str">
        <f t="shared" si="35"/>
        <v/>
      </c>
      <c r="L14" t="str">
        <f t="shared" si="35"/>
        <v/>
      </c>
      <c r="M14" t="str">
        <f t="shared" si="35"/>
        <v/>
      </c>
      <c r="N14" t="str">
        <f t="shared" si="35"/>
        <v/>
      </c>
      <c r="O14" t="str">
        <f t="shared" si="35"/>
        <v/>
      </c>
      <c r="P14" t="str">
        <f t="shared" si="35"/>
        <v/>
      </c>
      <c r="Q14" t="str">
        <f t="shared" si="35"/>
        <v/>
      </c>
      <c r="R14" t="str">
        <f t="shared" si="35"/>
        <v/>
      </c>
      <c r="S14" t="str">
        <f t="shared" si="35"/>
        <v/>
      </c>
      <c r="T14" t="str">
        <f t="shared" si="35"/>
        <v/>
      </c>
      <c r="U14" t="str">
        <f t="shared" si="35"/>
        <v/>
      </c>
      <c r="V14" t="str">
        <f t="shared" si="35"/>
        <v/>
      </c>
      <c r="W14" t="str">
        <f t="shared" si="35"/>
        <v/>
      </c>
      <c r="X14" t="str">
        <f t="shared" si="35"/>
        <v/>
      </c>
      <c r="Y14" t="str">
        <f t="shared" si="35"/>
        <v/>
      </c>
      <c r="AA14">
        <f t="shared" si="5"/>
        <v>41993.962500000001</v>
      </c>
      <c r="AB14">
        <f t="shared" si="2"/>
        <v>42014.037500000006</v>
      </c>
      <c r="AC14" t="e">
        <f t="shared" si="2"/>
        <v>#N/A</v>
      </c>
      <c r="AD14" t="e">
        <f t="shared" si="2"/>
        <v>#N/A</v>
      </c>
      <c r="AE14" t="e">
        <f t="shared" si="2"/>
        <v>#N/A</v>
      </c>
      <c r="AF14" t="e">
        <f t="shared" si="2"/>
        <v>#N/A</v>
      </c>
      <c r="AG14" t="e">
        <f t="shared" si="2"/>
        <v>#N/A</v>
      </c>
      <c r="AH14" t="e">
        <f t="shared" si="2"/>
        <v>#N/A</v>
      </c>
      <c r="AI14" t="e">
        <f t="shared" si="2"/>
        <v>#N/A</v>
      </c>
      <c r="AJ14" t="e">
        <f t="shared" si="2"/>
        <v>#N/A</v>
      </c>
      <c r="AK14" t="e">
        <f t="shared" si="2"/>
        <v>#N/A</v>
      </c>
      <c r="AL14" t="e">
        <f t="shared" si="2"/>
        <v>#N/A</v>
      </c>
      <c r="AM14" t="e">
        <f t="shared" si="2"/>
        <v>#N/A</v>
      </c>
      <c r="AN14" t="e">
        <f t="shared" si="2"/>
        <v>#N/A</v>
      </c>
      <c r="AO14" t="e">
        <f t="shared" si="2"/>
        <v>#N/A</v>
      </c>
      <c r="AP14" t="e">
        <f t="shared" si="2"/>
        <v>#N/A</v>
      </c>
      <c r="AQ14" t="e">
        <f t="shared" si="2"/>
        <v>#N/A</v>
      </c>
      <c r="AR14" t="e">
        <f t="shared" si="2"/>
        <v>#N/A</v>
      </c>
      <c r="AS14" t="e">
        <f t="shared" si="2"/>
        <v>#N/A</v>
      </c>
      <c r="AU14">
        <f t="shared" si="6"/>
        <v>1.5</v>
      </c>
      <c r="AV14">
        <f t="shared" si="7"/>
        <v>1.5</v>
      </c>
      <c r="AW14" t="str">
        <f t="shared" si="8"/>
        <v/>
      </c>
      <c r="AX14" t="str">
        <f t="shared" si="9"/>
        <v/>
      </c>
      <c r="AY14" t="str">
        <f t="shared" si="10"/>
        <v/>
      </c>
      <c r="AZ14" t="str">
        <f t="shared" si="11"/>
        <v/>
      </c>
      <c r="BA14" t="str">
        <f t="shared" si="12"/>
        <v/>
      </c>
      <c r="BB14" t="str">
        <f t="shared" si="13"/>
        <v/>
      </c>
      <c r="BC14" t="str">
        <f t="shared" si="14"/>
        <v/>
      </c>
      <c r="BD14" t="str">
        <f t="shared" si="15"/>
        <v/>
      </c>
      <c r="BE14" t="str">
        <f t="shared" si="16"/>
        <v/>
      </c>
      <c r="BF14" t="str">
        <f t="shared" si="17"/>
        <v/>
      </c>
      <c r="BG14" t="str">
        <f t="shared" si="18"/>
        <v/>
      </c>
      <c r="BH14" t="str">
        <f t="shared" si="19"/>
        <v/>
      </c>
      <c r="BI14" t="str">
        <f t="shared" si="20"/>
        <v/>
      </c>
      <c r="BJ14" t="str">
        <f t="shared" si="21"/>
        <v/>
      </c>
      <c r="BK14" t="str">
        <f t="shared" si="22"/>
        <v/>
      </c>
      <c r="BL14" t="str">
        <f t="shared" si="23"/>
        <v/>
      </c>
      <c r="BM14" t="str">
        <f t="shared" si="24"/>
        <v/>
      </c>
      <c r="BP14"/>
      <c r="BR14"/>
    </row>
    <row r="15" spans="1:70" x14ac:dyDescent="0.25">
      <c r="A15" s="1">
        <v>41080</v>
      </c>
      <c r="B15" s="2">
        <v>1.75</v>
      </c>
      <c r="C15" s="4">
        <v>42004</v>
      </c>
      <c r="D15">
        <v>2</v>
      </c>
      <c r="E15">
        <f t="shared" si="0"/>
        <v>0.18421052631578946</v>
      </c>
      <c r="F15" s="4"/>
      <c r="G15">
        <v>1</v>
      </c>
      <c r="H15">
        <f t="shared" ref="H15:Y15" si="36">IF($D15&gt;G15,G15+1,"")</f>
        <v>2</v>
      </c>
      <c r="I15" t="str">
        <f t="shared" si="36"/>
        <v/>
      </c>
      <c r="J15" t="str">
        <f t="shared" si="36"/>
        <v/>
      </c>
      <c r="K15" t="str">
        <f t="shared" si="36"/>
        <v/>
      </c>
      <c r="L15" t="str">
        <f t="shared" si="36"/>
        <v/>
      </c>
      <c r="M15" t="str">
        <f t="shared" si="36"/>
        <v/>
      </c>
      <c r="N15" t="str">
        <f t="shared" si="36"/>
        <v/>
      </c>
      <c r="O15" t="str">
        <f t="shared" si="36"/>
        <v/>
      </c>
      <c r="P15" t="str">
        <f t="shared" si="36"/>
        <v/>
      </c>
      <c r="Q15" t="str">
        <f t="shared" si="36"/>
        <v/>
      </c>
      <c r="R15" t="str">
        <f t="shared" si="36"/>
        <v/>
      </c>
      <c r="S15" t="str">
        <f t="shared" si="36"/>
        <v/>
      </c>
      <c r="T15" t="str">
        <f t="shared" si="36"/>
        <v/>
      </c>
      <c r="U15" t="str">
        <f t="shared" si="36"/>
        <v/>
      </c>
      <c r="V15" t="str">
        <f t="shared" si="36"/>
        <v/>
      </c>
      <c r="W15" t="str">
        <f t="shared" si="36"/>
        <v/>
      </c>
      <c r="X15" t="str">
        <f t="shared" si="36"/>
        <v/>
      </c>
      <c r="Y15" t="str">
        <f t="shared" si="36"/>
        <v/>
      </c>
      <c r="AA15">
        <f t="shared" si="5"/>
        <v>41993.962500000001</v>
      </c>
      <c r="AB15">
        <f t="shared" si="2"/>
        <v>42014.037500000006</v>
      </c>
      <c r="AC15" t="e">
        <f t="shared" si="2"/>
        <v>#N/A</v>
      </c>
      <c r="AD15" t="e">
        <f t="shared" si="2"/>
        <v>#N/A</v>
      </c>
      <c r="AE15" t="e">
        <f t="shared" si="2"/>
        <v>#N/A</v>
      </c>
      <c r="AF15" t="e">
        <f t="shared" si="2"/>
        <v>#N/A</v>
      </c>
      <c r="AG15" t="e">
        <f t="shared" si="2"/>
        <v>#N/A</v>
      </c>
      <c r="AH15" t="e">
        <f t="shared" si="2"/>
        <v>#N/A</v>
      </c>
      <c r="AI15" t="e">
        <f t="shared" si="2"/>
        <v>#N/A</v>
      </c>
      <c r="AJ15" t="e">
        <f t="shared" si="2"/>
        <v>#N/A</v>
      </c>
      <c r="AK15" t="e">
        <f t="shared" si="2"/>
        <v>#N/A</v>
      </c>
      <c r="AL15" t="e">
        <f t="shared" si="2"/>
        <v>#N/A</v>
      </c>
      <c r="AM15" t="e">
        <f t="shared" si="2"/>
        <v>#N/A</v>
      </c>
      <c r="AN15" t="e">
        <f t="shared" si="2"/>
        <v>#N/A</v>
      </c>
      <c r="AO15" t="e">
        <f t="shared" si="2"/>
        <v>#N/A</v>
      </c>
      <c r="AP15" t="e">
        <f t="shared" si="2"/>
        <v>#N/A</v>
      </c>
      <c r="AQ15" t="e">
        <f t="shared" si="2"/>
        <v>#N/A</v>
      </c>
      <c r="AR15" t="e">
        <f t="shared" si="2"/>
        <v>#N/A</v>
      </c>
      <c r="AS15" t="e">
        <f t="shared" si="2"/>
        <v>#N/A</v>
      </c>
      <c r="AU15">
        <f t="shared" si="6"/>
        <v>1.75</v>
      </c>
      <c r="AV15">
        <f t="shared" si="7"/>
        <v>1.75</v>
      </c>
      <c r="AW15" t="str">
        <f t="shared" si="8"/>
        <v/>
      </c>
      <c r="AX15" t="str">
        <f t="shared" si="9"/>
        <v/>
      </c>
      <c r="AY15" t="str">
        <f t="shared" si="10"/>
        <v/>
      </c>
      <c r="AZ15" t="str">
        <f t="shared" si="11"/>
        <v/>
      </c>
      <c r="BA15" t="str">
        <f t="shared" si="12"/>
        <v/>
      </c>
      <c r="BB15" t="str">
        <f t="shared" si="13"/>
        <v/>
      </c>
      <c r="BC15" t="str">
        <f t="shared" si="14"/>
        <v/>
      </c>
      <c r="BD15" t="str">
        <f t="shared" si="15"/>
        <v/>
      </c>
      <c r="BE15" t="str">
        <f t="shared" si="16"/>
        <v/>
      </c>
      <c r="BF15" t="str">
        <f t="shared" si="17"/>
        <v/>
      </c>
      <c r="BG15" t="str">
        <f t="shared" si="18"/>
        <v/>
      </c>
      <c r="BH15" t="str">
        <f t="shared" si="19"/>
        <v/>
      </c>
      <c r="BI15" t="str">
        <f t="shared" si="20"/>
        <v/>
      </c>
      <c r="BJ15" t="str">
        <f t="shared" si="21"/>
        <v/>
      </c>
      <c r="BK15" t="str">
        <f t="shared" si="22"/>
        <v/>
      </c>
      <c r="BL15" t="str">
        <f t="shared" si="23"/>
        <v/>
      </c>
      <c r="BM15" t="str">
        <f t="shared" si="24"/>
        <v/>
      </c>
      <c r="BP15"/>
      <c r="BR15"/>
    </row>
    <row r="16" spans="1:70" x14ac:dyDescent="0.25">
      <c r="A16" s="1">
        <v>41080</v>
      </c>
      <c r="B16">
        <v>2</v>
      </c>
      <c r="C16" s="4">
        <v>42004</v>
      </c>
      <c r="D16">
        <v>1</v>
      </c>
      <c r="E16">
        <f t="shared" si="0"/>
        <v>0.10526315789473684</v>
      </c>
      <c r="F16" s="4"/>
      <c r="G16">
        <v>1</v>
      </c>
      <c r="H16" t="str">
        <f t="shared" ref="H16:Y16" si="37">IF($D16&gt;G16,G16+1,"")</f>
        <v/>
      </c>
      <c r="I16" t="str">
        <f t="shared" si="37"/>
        <v/>
      </c>
      <c r="J16" t="str">
        <f t="shared" si="37"/>
        <v/>
      </c>
      <c r="K16" t="str">
        <f t="shared" si="37"/>
        <v/>
      </c>
      <c r="L16" t="str">
        <f t="shared" si="37"/>
        <v/>
      </c>
      <c r="M16" t="str">
        <f t="shared" si="37"/>
        <v/>
      </c>
      <c r="N16" t="str">
        <f t="shared" si="37"/>
        <v/>
      </c>
      <c r="O16" t="str">
        <f t="shared" si="37"/>
        <v/>
      </c>
      <c r="P16" t="str">
        <f t="shared" si="37"/>
        <v/>
      </c>
      <c r="Q16" t="str">
        <f t="shared" si="37"/>
        <v/>
      </c>
      <c r="R16" t="str">
        <f t="shared" si="37"/>
        <v/>
      </c>
      <c r="S16" t="str">
        <f t="shared" si="37"/>
        <v/>
      </c>
      <c r="T16" t="str">
        <f t="shared" si="37"/>
        <v/>
      </c>
      <c r="U16" t="str">
        <f t="shared" si="37"/>
        <v/>
      </c>
      <c r="V16" t="str">
        <f t="shared" si="37"/>
        <v/>
      </c>
      <c r="W16" t="str">
        <f t="shared" si="37"/>
        <v/>
      </c>
      <c r="X16" t="str">
        <f t="shared" si="37"/>
        <v/>
      </c>
      <c r="Y16" t="str">
        <f t="shared" si="37"/>
        <v/>
      </c>
      <c r="AA16">
        <f t="shared" si="5"/>
        <v>42004</v>
      </c>
      <c r="AB16" t="e">
        <f t="shared" si="2"/>
        <v>#N/A</v>
      </c>
      <c r="AC16" t="e">
        <f t="shared" si="2"/>
        <v>#N/A</v>
      </c>
      <c r="AD16" t="e">
        <f t="shared" si="2"/>
        <v>#N/A</v>
      </c>
      <c r="AE16" t="e">
        <f t="shared" ref="AE16:AE79" si="38">IF(K16="",NA(),$C16-$Z$1*$D16/2+K16*$Z$1-$Z$1/2)</f>
        <v>#N/A</v>
      </c>
      <c r="AF16" t="e">
        <f t="shared" ref="AF16:AF79" si="39">IF(L16="",NA(),$C16-$Z$1*$D16/2+L16*$Z$1-$Z$1/2)</f>
        <v>#N/A</v>
      </c>
      <c r="AG16" t="e">
        <f t="shared" ref="AG16:AG79" si="40">IF(M16="",NA(),$C16-$Z$1*$D16/2+M16*$Z$1-$Z$1/2)</f>
        <v>#N/A</v>
      </c>
      <c r="AH16" t="e">
        <f t="shared" ref="AH16:AH79" si="41">IF(N16="",NA(),$C16-$Z$1*$D16/2+N16*$Z$1-$Z$1/2)</f>
        <v>#N/A</v>
      </c>
      <c r="AI16" t="e">
        <f t="shared" ref="AI16:AI79" si="42">IF(O16="",NA(),$C16-$Z$1*$D16/2+O16*$Z$1-$Z$1/2)</f>
        <v>#N/A</v>
      </c>
      <c r="AJ16" t="e">
        <f t="shared" ref="AJ16:AJ79" si="43">IF(P16="",NA(),$C16-$Z$1*$D16/2+P16*$Z$1-$Z$1/2)</f>
        <v>#N/A</v>
      </c>
      <c r="AK16" t="e">
        <f t="shared" ref="AK16:AK79" si="44">IF(Q16="",NA(),$C16-$Z$1*$D16/2+Q16*$Z$1-$Z$1/2)</f>
        <v>#N/A</v>
      </c>
      <c r="AL16" t="e">
        <f t="shared" ref="AL16:AL79" si="45">IF(R16="",NA(),$C16-$Z$1*$D16/2+R16*$Z$1-$Z$1/2)</f>
        <v>#N/A</v>
      </c>
      <c r="AM16" t="e">
        <f t="shared" ref="AM16:AM79" si="46">IF(S16="",NA(),$C16-$Z$1*$D16/2+S16*$Z$1-$Z$1/2)</f>
        <v>#N/A</v>
      </c>
      <c r="AN16" t="e">
        <f t="shared" ref="AN16:AN79" si="47">IF(T16="",NA(),$C16-$Z$1*$D16/2+T16*$Z$1-$Z$1/2)</f>
        <v>#N/A</v>
      </c>
      <c r="AO16" t="e">
        <f t="shared" ref="AO16:AO79" si="48">IF(U16="",NA(),$C16-$Z$1*$D16/2+U16*$Z$1-$Z$1/2)</f>
        <v>#N/A</v>
      </c>
      <c r="AP16" t="e">
        <f t="shared" ref="AP16:AP79" si="49">IF(V16="",NA(),$C16-$Z$1*$D16/2+V16*$Z$1-$Z$1/2)</f>
        <v>#N/A</v>
      </c>
      <c r="AQ16" t="e">
        <f t="shared" ref="AQ16:AQ79" si="50">IF(W16="",NA(),$C16-$Z$1*$D16/2+W16*$Z$1-$Z$1/2)</f>
        <v>#N/A</v>
      </c>
      <c r="AR16" t="e">
        <f t="shared" ref="AR16:AR79" si="51">IF(X16="",NA(),$C16-$Z$1*$D16/2+X16*$Z$1-$Z$1/2)</f>
        <v>#N/A</v>
      </c>
      <c r="AS16" t="e">
        <f t="shared" ref="AS16:AS79" si="52">IF(Y16="",NA(),$C16-$Z$1*$D16/2+Y16*$Z$1-$Z$1/2)</f>
        <v>#N/A</v>
      </c>
      <c r="AU16">
        <f t="shared" si="6"/>
        <v>2</v>
      </c>
      <c r="AV16" t="str">
        <f t="shared" si="7"/>
        <v/>
      </c>
      <c r="AW16" t="str">
        <f t="shared" si="8"/>
        <v/>
      </c>
      <c r="AX16" t="str">
        <f t="shared" si="9"/>
        <v/>
      </c>
      <c r="AY16" t="str">
        <f t="shared" si="10"/>
        <v/>
      </c>
      <c r="AZ16" t="str">
        <f t="shared" si="11"/>
        <v/>
      </c>
      <c r="BA16" t="str">
        <f t="shared" si="12"/>
        <v/>
      </c>
      <c r="BB16" t="str">
        <f t="shared" si="13"/>
        <v/>
      </c>
      <c r="BC16" t="str">
        <f t="shared" si="14"/>
        <v/>
      </c>
      <c r="BD16" t="str">
        <f t="shared" si="15"/>
        <v/>
      </c>
      <c r="BE16" t="str">
        <f t="shared" si="16"/>
        <v/>
      </c>
      <c r="BF16" t="str">
        <f t="shared" si="17"/>
        <v/>
      </c>
      <c r="BG16" t="str">
        <f t="shared" si="18"/>
        <v/>
      </c>
      <c r="BH16" t="str">
        <f t="shared" si="19"/>
        <v/>
      </c>
      <c r="BI16" t="str">
        <f t="shared" si="20"/>
        <v/>
      </c>
      <c r="BJ16" t="str">
        <f t="shared" si="21"/>
        <v/>
      </c>
      <c r="BK16" t="str">
        <f t="shared" si="22"/>
        <v/>
      </c>
      <c r="BL16" t="str">
        <f t="shared" si="23"/>
        <v/>
      </c>
      <c r="BM16" t="str">
        <f t="shared" si="24"/>
        <v/>
      </c>
      <c r="BP16"/>
      <c r="BR16"/>
    </row>
    <row r="17" spans="1:70" x14ac:dyDescent="0.25">
      <c r="A17" s="1">
        <v>41080</v>
      </c>
      <c r="B17">
        <v>2.5</v>
      </c>
      <c r="C17" s="4">
        <v>42004</v>
      </c>
      <c r="D17">
        <v>1</v>
      </c>
      <c r="E17">
        <f t="shared" si="0"/>
        <v>0.13157894736842105</v>
      </c>
      <c r="F17" s="4"/>
      <c r="G17">
        <v>1</v>
      </c>
      <c r="H17" t="str">
        <f t="shared" ref="H17:Y17" si="53">IF($D17&gt;G17,G17+1,"")</f>
        <v/>
      </c>
      <c r="I17" t="str">
        <f t="shared" si="53"/>
        <v/>
      </c>
      <c r="J17" t="str">
        <f t="shared" si="53"/>
        <v/>
      </c>
      <c r="K17" t="str">
        <f t="shared" si="53"/>
        <v/>
      </c>
      <c r="L17" t="str">
        <f t="shared" si="53"/>
        <v/>
      </c>
      <c r="M17" t="str">
        <f t="shared" si="53"/>
        <v/>
      </c>
      <c r="N17" t="str">
        <f t="shared" si="53"/>
        <v/>
      </c>
      <c r="O17" t="str">
        <f t="shared" si="53"/>
        <v/>
      </c>
      <c r="P17" t="str">
        <f t="shared" si="53"/>
        <v/>
      </c>
      <c r="Q17" t="str">
        <f t="shared" si="53"/>
        <v/>
      </c>
      <c r="R17" t="str">
        <f t="shared" si="53"/>
        <v/>
      </c>
      <c r="S17" t="str">
        <f t="shared" si="53"/>
        <v/>
      </c>
      <c r="T17" t="str">
        <f t="shared" si="53"/>
        <v/>
      </c>
      <c r="U17" t="str">
        <f t="shared" si="53"/>
        <v/>
      </c>
      <c r="V17" t="str">
        <f t="shared" si="53"/>
        <v/>
      </c>
      <c r="W17" t="str">
        <f t="shared" si="53"/>
        <v/>
      </c>
      <c r="X17" t="str">
        <f t="shared" si="53"/>
        <v/>
      </c>
      <c r="Y17" t="str">
        <f t="shared" si="53"/>
        <v/>
      </c>
      <c r="AA17">
        <f t="shared" si="5"/>
        <v>42004</v>
      </c>
      <c r="AB17" t="e">
        <f t="shared" ref="AB17:AB80" si="54">IF(H17="",NA(),$C17-$Z$1*$D17/2+H17*$Z$1-$Z$1/2)</f>
        <v>#N/A</v>
      </c>
      <c r="AC17" t="e">
        <f t="shared" ref="AC17:AC80" si="55">IF(I17="",NA(),$C17-$Z$1*$D17/2+I17*$Z$1-$Z$1/2)</f>
        <v>#N/A</v>
      </c>
      <c r="AD17" t="e">
        <f t="shared" ref="AD17:AD80" si="56">IF(J17="",NA(),$C17-$Z$1*$D17/2+J17*$Z$1-$Z$1/2)</f>
        <v>#N/A</v>
      </c>
      <c r="AE17" t="e">
        <f t="shared" si="38"/>
        <v>#N/A</v>
      </c>
      <c r="AF17" t="e">
        <f t="shared" si="39"/>
        <v>#N/A</v>
      </c>
      <c r="AG17" t="e">
        <f t="shared" si="40"/>
        <v>#N/A</v>
      </c>
      <c r="AH17" t="e">
        <f t="shared" si="41"/>
        <v>#N/A</v>
      </c>
      <c r="AI17" t="e">
        <f t="shared" si="42"/>
        <v>#N/A</v>
      </c>
      <c r="AJ17" t="e">
        <f t="shared" si="43"/>
        <v>#N/A</v>
      </c>
      <c r="AK17" t="e">
        <f t="shared" si="44"/>
        <v>#N/A</v>
      </c>
      <c r="AL17" t="e">
        <f t="shared" si="45"/>
        <v>#N/A</v>
      </c>
      <c r="AM17" t="e">
        <f t="shared" si="46"/>
        <v>#N/A</v>
      </c>
      <c r="AN17" t="e">
        <f t="shared" si="47"/>
        <v>#N/A</v>
      </c>
      <c r="AO17" t="e">
        <f t="shared" si="48"/>
        <v>#N/A</v>
      </c>
      <c r="AP17" t="e">
        <f t="shared" si="49"/>
        <v>#N/A</v>
      </c>
      <c r="AQ17" t="e">
        <f t="shared" si="50"/>
        <v>#N/A</v>
      </c>
      <c r="AR17" t="e">
        <f t="shared" si="51"/>
        <v>#N/A</v>
      </c>
      <c r="AS17" t="e">
        <f t="shared" si="52"/>
        <v>#N/A</v>
      </c>
      <c r="AU17">
        <f t="shared" si="6"/>
        <v>2.5</v>
      </c>
      <c r="AV17" t="str">
        <f t="shared" si="7"/>
        <v/>
      </c>
      <c r="AW17" t="str">
        <f t="shared" si="8"/>
        <v/>
      </c>
      <c r="AX17" t="str">
        <f t="shared" si="9"/>
        <v/>
      </c>
      <c r="AY17" t="str">
        <f t="shared" si="10"/>
        <v/>
      </c>
      <c r="AZ17" t="str">
        <f t="shared" si="11"/>
        <v/>
      </c>
      <c r="BA17" t="str">
        <f t="shared" si="12"/>
        <v/>
      </c>
      <c r="BB17" t="str">
        <f t="shared" si="13"/>
        <v/>
      </c>
      <c r="BC17" t="str">
        <f t="shared" si="14"/>
        <v/>
      </c>
      <c r="BD17" t="str">
        <f t="shared" si="15"/>
        <v/>
      </c>
      <c r="BE17" t="str">
        <f t="shared" si="16"/>
        <v/>
      </c>
      <c r="BF17" t="str">
        <f t="shared" si="17"/>
        <v/>
      </c>
      <c r="BG17" t="str">
        <f t="shared" si="18"/>
        <v/>
      </c>
      <c r="BH17" t="str">
        <f t="shared" si="19"/>
        <v/>
      </c>
      <c r="BI17" t="str">
        <f t="shared" si="20"/>
        <v/>
      </c>
      <c r="BJ17" t="str">
        <f t="shared" si="21"/>
        <v/>
      </c>
      <c r="BK17" t="str">
        <f t="shared" si="22"/>
        <v/>
      </c>
      <c r="BL17" t="str">
        <f t="shared" si="23"/>
        <v/>
      </c>
      <c r="BM17" t="str">
        <f t="shared" si="24"/>
        <v/>
      </c>
      <c r="BP17"/>
      <c r="BR17"/>
    </row>
    <row r="18" spans="1:70" x14ac:dyDescent="0.25">
      <c r="A18" s="1">
        <v>41080</v>
      </c>
      <c r="B18">
        <v>2.75</v>
      </c>
      <c r="C18" s="4">
        <v>42004</v>
      </c>
      <c r="D18">
        <v>1</v>
      </c>
      <c r="E18">
        <f t="shared" si="0"/>
        <v>0.14473684210526316</v>
      </c>
      <c r="F18" s="4"/>
      <c r="G18">
        <v>1</v>
      </c>
      <c r="H18" t="str">
        <f t="shared" ref="H18:Y18" si="57">IF($D18&gt;G18,G18+1,"")</f>
        <v/>
      </c>
      <c r="I18" t="str">
        <f t="shared" si="57"/>
        <v/>
      </c>
      <c r="J18" t="str">
        <f t="shared" si="57"/>
        <v/>
      </c>
      <c r="K18" t="str">
        <f t="shared" si="57"/>
        <v/>
      </c>
      <c r="L18" t="str">
        <f t="shared" si="57"/>
        <v/>
      </c>
      <c r="M18" t="str">
        <f t="shared" si="57"/>
        <v/>
      </c>
      <c r="N18" t="str">
        <f t="shared" si="57"/>
        <v/>
      </c>
      <c r="O18" t="str">
        <f t="shared" si="57"/>
        <v/>
      </c>
      <c r="P18" t="str">
        <f t="shared" si="57"/>
        <v/>
      </c>
      <c r="Q18" t="str">
        <f t="shared" si="57"/>
        <v/>
      </c>
      <c r="R18" t="str">
        <f t="shared" si="57"/>
        <v/>
      </c>
      <c r="S18" t="str">
        <f t="shared" si="57"/>
        <v/>
      </c>
      <c r="T18" t="str">
        <f t="shared" si="57"/>
        <v/>
      </c>
      <c r="U18" t="str">
        <f t="shared" si="57"/>
        <v/>
      </c>
      <c r="V18" t="str">
        <f t="shared" si="57"/>
        <v/>
      </c>
      <c r="W18" t="str">
        <f t="shared" si="57"/>
        <v/>
      </c>
      <c r="X18" t="str">
        <f t="shared" si="57"/>
        <v/>
      </c>
      <c r="Y18" t="str">
        <f t="shared" si="57"/>
        <v/>
      </c>
      <c r="AA18">
        <f t="shared" si="5"/>
        <v>42004</v>
      </c>
      <c r="AB18" t="e">
        <f t="shared" si="54"/>
        <v>#N/A</v>
      </c>
      <c r="AC18" t="e">
        <f t="shared" si="55"/>
        <v>#N/A</v>
      </c>
      <c r="AD18" t="e">
        <f t="shared" si="56"/>
        <v>#N/A</v>
      </c>
      <c r="AE18" t="e">
        <f t="shared" si="38"/>
        <v>#N/A</v>
      </c>
      <c r="AF18" t="e">
        <f t="shared" si="39"/>
        <v>#N/A</v>
      </c>
      <c r="AG18" t="e">
        <f t="shared" si="40"/>
        <v>#N/A</v>
      </c>
      <c r="AH18" t="e">
        <f t="shared" si="41"/>
        <v>#N/A</v>
      </c>
      <c r="AI18" t="e">
        <f t="shared" si="42"/>
        <v>#N/A</v>
      </c>
      <c r="AJ18" t="e">
        <f t="shared" si="43"/>
        <v>#N/A</v>
      </c>
      <c r="AK18" t="e">
        <f t="shared" si="44"/>
        <v>#N/A</v>
      </c>
      <c r="AL18" t="e">
        <f t="shared" si="45"/>
        <v>#N/A</v>
      </c>
      <c r="AM18" t="e">
        <f t="shared" si="46"/>
        <v>#N/A</v>
      </c>
      <c r="AN18" t="e">
        <f t="shared" si="47"/>
        <v>#N/A</v>
      </c>
      <c r="AO18" t="e">
        <f t="shared" si="48"/>
        <v>#N/A</v>
      </c>
      <c r="AP18" t="e">
        <f t="shared" si="49"/>
        <v>#N/A</v>
      </c>
      <c r="AQ18" t="e">
        <f t="shared" si="50"/>
        <v>#N/A</v>
      </c>
      <c r="AR18" t="e">
        <f t="shared" si="51"/>
        <v>#N/A</v>
      </c>
      <c r="AS18" t="e">
        <f t="shared" si="52"/>
        <v>#N/A</v>
      </c>
      <c r="AU18">
        <f t="shared" si="6"/>
        <v>2.75</v>
      </c>
      <c r="AV18" t="str">
        <f t="shared" si="7"/>
        <v/>
      </c>
      <c r="AW18" t="str">
        <f t="shared" si="8"/>
        <v/>
      </c>
      <c r="AX18" t="str">
        <f t="shared" si="9"/>
        <v/>
      </c>
      <c r="AY18" t="str">
        <f t="shared" si="10"/>
        <v/>
      </c>
      <c r="AZ18" t="str">
        <f t="shared" si="11"/>
        <v/>
      </c>
      <c r="BA18" t="str">
        <f t="shared" si="12"/>
        <v/>
      </c>
      <c r="BB18" t="str">
        <f t="shared" si="13"/>
        <v/>
      </c>
      <c r="BC18" t="str">
        <f t="shared" si="14"/>
        <v/>
      </c>
      <c r="BD18" t="str">
        <f t="shared" si="15"/>
        <v/>
      </c>
      <c r="BE18" t="str">
        <f t="shared" si="16"/>
        <v/>
      </c>
      <c r="BF18" t="str">
        <f t="shared" si="17"/>
        <v/>
      </c>
      <c r="BG18" t="str">
        <f t="shared" si="18"/>
        <v/>
      </c>
      <c r="BH18" t="str">
        <f t="shared" si="19"/>
        <v/>
      </c>
      <c r="BI18" t="str">
        <f t="shared" si="20"/>
        <v/>
      </c>
      <c r="BJ18" t="str">
        <f t="shared" si="21"/>
        <v/>
      </c>
      <c r="BK18" t="str">
        <f t="shared" si="22"/>
        <v/>
      </c>
      <c r="BL18" t="str">
        <f t="shared" si="23"/>
        <v/>
      </c>
      <c r="BM18" t="str">
        <f t="shared" si="24"/>
        <v/>
      </c>
      <c r="BP18"/>
      <c r="BR18"/>
    </row>
    <row r="19" spans="1:70" x14ac:dyDescent="0.25">
      <c r="A19" s="1">
        <v>41080</v>
      </c>
      <c r="B19">
        <v>3</v>
      </c>
      <c r="C19" s="4">
        <v>42004</v>
      </c>
      <c r="D19">
        <v>1</v>
      </c>
      <c r="E19">
        <f t="shared" si="0"/>
        <v>0.15789473684210525</v>
      </c>
      <c r="F19" s="4"/>
      <c r="G19">
        <v>1</v>
      </c>
      <c r="H19" t="str">
        <f t="shared" ref="H19:Y19" si="58">IF($D19&gt;G19,G19+1,"")</f>
        <v/>
      </c>
      <c r="I19" t="str">
        <f t="shared" si="58"/>
        <v/>
      </c>
      <c r="J19" t="str">
        <f t="shared" si="58"/>
        <v/>
      </c>
      <c r="K19" t="str">
        <f t="shared" si="58"/>
        <v/>
      </c>
      <c r="L19" t="str">
        <f t="shared" si="58"/>
        <v/>
      </c>
      <c r="M19" t="str">
        <f t="shared" si="58"/>
        <v/>
      </c>
      <c r="N19" t="str">
        <f t="shared" si="58"/>
        <v/>
      </c>
      <c r="O19" t="str">
        <f t="shared" si="58"/>
        <v/>
      </c>
      <c r="P19" t="str">
        <f t="shared" si="58"/>
        <v/>
      </c>
      <c r="Q19" t="str">
        <f t="shared" si="58"/>
        <v/>
      </c>
      <c r="R19" t="str">
        <f t="shared" si="58"/>
        <v/>
      </c>
      <c r="S19" t="str">
        <f t="shared" si="58"/>
        <v/>
      </c>
      <c r="T19" t="str">
        <f t="shared" si="58"/>
        <v/>
      </c>
      <c r="U19" t="str">
        <f t="shared" si="58"/>
        <v/>
      </c>
      <c r="V19" t="str">
        <f t="shared" si="58"/>
        <v/>
      </c>
      <c r="W19" t="str">
        <f t="shared" si="58"/>
        <v/>
      </c>
      <c r="X19" t="str">
        <f t="shared" si="58"/>
        <v/>
      </c>
      <c r="Y19" t="str">
        <f t="shared" si="58"/>
        <v/>
      </c>
      <c r="AA19">
        <f t="shared" si="5"/>
        <v>42004</v>
      </c>
      <c r="AB19" t="e">
        <f t="shared" si="54"/>
        <v>#N/A</v>
      </c>
      <c r="AC19" t="e">
        <f t="shared" si="55"/>
        <v>#N/A</v>
      </c>
      <c r="AD19" t="e">
        <f t="shared" si="56"/>
        <v>#N/A</v>
      </c>
      <c r="AE19" t="e">
        <f t="shared" si="38"/>
        <v>#N/A</v>
      </c>
      <c r="AF19" t="e">
        <f t="shared" si="39"/>
        <v>#N/A</v>
      </c>
      <c r="AG19" t="e">
        <f t="shared" si="40"/>
        <v>#N/A</v>
      </c>
      <c r="AH19" t="e">
        <f t="shared" si="41"/>
        <v>#N/A</v>
      </c>
      <c r="AI19" t="e">
        <f t="shared" si="42"/>
        <v>#N/A</v>
      </c>
      <c r="AJ19" t="e">
        <f t="shared" si="43"/>
        <v>#N/A</v>
      </c>
      <c r="AK19" t="e">
        <f t="shared" si="44"/>
        <v>#N/A</v>
      </c>
      <c r="AL19" t="e">
        <f t="shared" si="45"/>
        <v>#N/A</v>
      </c>
      <c r="AM19" t="e">
        <f t="shared" si="46"/>
        <v>#N/A</v>
      </c>
      <c r="AN19" t="e">
        <f t="shared" si="47"/>
        <v>#N/A</v>
      </c>
      <c r="AO19" t="e">
        <f t="shared" si="48"/>
        <v>#N/A</v>
      </c>
      <c r="AP19" t="e">
        <f t="shared" si="49"/>
        <v>#N/A</v>
      </c>
      <c r="AQ19" t="e">
        <f t="shared" si="50"/>
        <v>#N/A</v>
      </c>
      <c r="AR19" t="e">
        <f t="shared" si="51"/>
        <v>#N/A</v>
      </c>
      <c r="AS19" t="e">
        <f t="shared" si="52"/>
        <v>#N/A</v>
      </c>
      <c r="AU19">
        <f t="shared" si="6"/>
        <v>3</v>
      </c>
      <c r="AV19" t="str">
        <f t="shared" si="7"/>
        <v/>
      </c>
      <c r="AW19" t="str">
        <f t="shared" si="8"/>
        <v/>
      </c>
      <c r="AX19" t="str">
        <f t="shared" si="9"/>
        <v/>
      </c>
      <c r="AY19" t="str">
        <f t="shared" si="10"/>
        <v/>
      </c>
      <c r="AZ19" t="str">
        <f t="shared" si="11"/>
        <v/>
      </c>
      <c r="BA19" t="str">
        <f t="shared" si="12"/>
        <v/>
      </c>
      <c r="BB19" t="str">
        <f t="shared" si="13"/>
        <v/>
      </c>
      <c r="BC19" t="str">
        <f t="shared" si="14"/>
        <v/>
      </c>
      <c r="BD19" t="str">
        <f t="shared" si="15"/>
        <v/>
      </c>
      <c r="BE19" t="str">
        <f t="shared" si="16"/>
        <v/>
      </c>
      <c r="BF19" t="str">
        <f t="shared" si="17"/>
        <v/>
      </c>
      <c r="BG19" t="str">
        <f t="shared" si="18"/>
        <v/>
      </c>
      <c r="BH19" t="str">
        <f t="shared" si="19"/>
        <v/>
      </c>
      <c r="BI19" t="str">
        <f t="shared" si="20"/>
        <v/>
      </c>
      <c r="BJ19" t="str">
        <f t="shared" si="21"/>
        <v/>
      </c>
      <c r="BK19" t="str">
        <f t="shared" si="22"/>
        <v/>
      </c>
      <c r="BL19" t="str">
        <f t="shared" si="23"/>
        <v/>
      </c>
      <c r="BM19" t="str">
        <f t="shared" si="24"/>
        <v/>
      </c>
      <c r="BP19"/>
      <c r="BR19"/>
    </row>
    <row r="20" spans="1:70" x14ac:dyDescent="0.25">
      <c r="A20" s="1">
        <v>41080</v>
      </c>
      <c r="B20">
        <v>3</v>
      </c>
      <c r="C20" s="4">
        <v>43100</v>
      </c>
      <c r="D20">
        <v>1</v>
      </c>
      <c r="E20">
        <f t="shared" si="0"/>
        <v>0.15789473684210525</v>
      </c>
      <c r="F20" s="4"/>
      <c r="G20">
        <v>1</v>
      </c>
      <c r="H20" t="str">
        <f t="shared" ref="H20:Y20" si="59">IF($D20&gt;G20,G20+1,"")</f>
        <v/>
      </c>
      <c r="I20" t="str">
        <f t="shared" si="59"/>
        <v/>
      </c>
      <c r="J20" t="str">
        <f t="shared" si="59"/>
        <v/>
      </c>
      <c r="K20" t="str">
        <f t="shared" si="59"/>
        <v/>
      </c>
      <c r="L20" t="str">
        <f t="shared" si="59"/>
        <v/>
      </c>
      <c r="M20" t="str">
        <f t="shared" si="59"/>
        <v/>
      </c>
      <c r="N20" t="str">
        <f t="shared" si="59"/>
        <v/>
      </c>
      <c r="O20" t="str">
        <f t="shared" si="59"/>
        <v/>
      </c>
      <c r="P20" t="str">
        <f t="shared" si="59"/>
        <v/>
      </c>
      <c r="Q20" t="str">
        <f t="shared" si="59"/>
        <v/>
      </c>
      <c r="R20" t="str">
        <f t="shared" si="59"/>
        <v/>
      </c>
      <c r="S20" t="str">
        <f t="shared" si="59"/>
        <v/>
      </c>
      <c r="T20" t="str">
        <f t="shared" si="59"/>
        <v/>
      </c>
      <c r="U20" t="str">
        <f t="shared" si="59"/>
        <v/>
      </c>
      <c r="V20" t="str">
        <f t="shared" si="59"/>
        <v/>
      </c>
      <c r="W20" t="str">
        <f t="shared" si="59"/>
        <v/>
      </c>
      <c r="X20" t="str">
        <f t="shared" si="59"/>
        <v/>
      </c>
      <c r="Y20" t="str">
        <f t="shared" si="59"/>
        <v/>
      </c>
      <c r="AA20">
        <f t="shared" si="5"/>
        <v>43100</v>
      </c>
      <c r="AB20" t="e">
        <f t="shared" si="54"/>
        <v>#N/A</v>
      </c>
      <c r="AC20" t="e">
        <f t="shared" si="55"/>
        <v>#N/A</v>
      </c>
      <c r="AD20" t="e">
        <f t="shared" si="56"/>
        <v>#N/A</v>
      </c>
      <c r="AE20" t="e">
        <f t="shared" si="38"/>
        <v>#N/A</v>
      </c>
      <c r="AF20" t="e">
        <f t="shared" si="39"/>
        <v>#N/A</v>
      </c>
      <c r="AG20" t="e">
        <f t="shared" si="40"/>
        <v>#N/A</v>
      </c>
      <c r="AH20" t="e">
        <f t="shared" si="41"/>
        <v>#N/A</v>
      </c>
      <c r="AI20" t="e">
        <f t="shared" si="42"/>
        <v>#N/A</v>
      </c>
      <c r="AJ20" t="e">
        <f t="shared" si="43"/>
        <v>#N/A</v>
      </c>
      <c r="AK20" t="e">
        <f t="shared" si="44"/>
        <v>#N/A</v>
      </c>
      <c r="AL20" t="e">
        <f t="shared" si="45"/>
        <v>#N/A</v>
      </c>
      <c r="AM20" t="e">
        <f t="shared" si="46"/>
        <v>#N/A</v>
      </c>
      <c r="AN20" t="e">
        <f t="shared" si="47"/>
        <v>#N/A</v>
      </c>
      <c r="AO20" t="e">
        <f t="shared" si="48"/>
        <v>#N/A</v>
      </c>
      <c r="AP20" t="e">
        <f t="shared" si="49"/>
        <v>#N/A</v>
      </c>
      <c r="AQ20" t="e">
        <f t="shared" si="50"/>
        <v>#N/A</v>
      </c>
      <c r="AR20" t="e">
        <f t="shared" si="51"/>
        <v>#N/A</v>
      </c>
      <c r="AS20" t="e">
        <f t="shared" si="52"/>
        <v>#N/A</v>
      </c>
      <c r="AU20">
        <f t="shared" si="6"/>
        <v>3</v>
      </c>
      <c r="AV20" t="str">
        <f t="shared" si="7"/>
        <v/>
      </c>
      <c r="AW20" t="str">
        <f t="shared" si="8"/>
        <v/>
      </c>
      <c r="AX20" t="str">
        <f t="shared" si="9"/>
        <v/>
      </c>
      <c r="AY20" t="str">
        <f t="shared" si="10"/>
        <v/>
      </c>
      <c r="AZ20" t="str">
        <f t="shared" si="11"/>
        <v/>
      </c>
      <c r="BA20" t="str">
        <f t="shared" si="12"/>
        <v/>
      </c>
      <c r="BB20" t="str">
        <f t="shared" si="13"/>
        <v/>
      </c>
      <c r="BC20" t="str">
        <f t="shared" si="14"/>
        <v/>
      </c>
      <c r="BD20" t="str">
        <f t="shared" si="15"/>
        <v/>
      </c>
      <c r="BE20" t="str">
        <f t="shared" si="16"/>
        <v/>
      </c>
      <c r="BF20" t="str">
        <f t="shared" si="17"/>
        <v/>
      </c>
      <c r="BG20" t="str">
        <f t="shared" si="18"/>
        <v/>
      </c>
      <c r="BH20" t="str">
        <f t="shared" si="19"/>
        <v/>
      </c>
      <c r="BI20" t="str">
        <f t="shared" si="20"/>
        <v/>
      </c>
      <c r="BJ20" t="str">
        <f t="shared" si="21"/>
        <v/>
      </c>
      <c r="BK20" t="str">
        <f t="shared" si="22"/>
        <v/>
      </c>
      <c r="BL20" t="str">
        <f t="shared" si="23"/>
        <v/>
      </c>
      <c r="BM20" t="str">
        <f t="shared" si="24"/>
        <v/>
      </c>
      <c r="BP20"/>
      <c r="BR20"/>
    </row>
    <row r="21" spans="1:70" x14ac:dyDescent="0.25">
      <c r="A21" s="1">
        <v>41080</v>
      </c>
      <c r="B21">
        <v>3.5</v>
      </c>
      <c r="C21" s="4">
        <v>43100</v>
      </c>
      <c r="D21">
        <v>1</v>
      </c>
      <c r="E21">
        <f t="shared" si="0"/>
        <v>0.18421052631578946</v>
      </c>
      <c r="F21" s="4"/>
      <c r="G21">
        <v>1</v>
      </c>
      <c r="H21" t="str">
        <f t="shared" ref="H21:Y21" si="60">IF($D21&gt;G21,G21+1,"")</f>
        <v/>
      </c>
      <c r="I21" t="str">
        <f t="shared" si="60"/>
        <v/>
      </c>
      <c r="J21" t="str">
        <f t="shared" si="60"/>
        <v/>
      </c>
      <c r="K21" t="str">
        <f t="shared" si="60"/>
        <v/>
      </c>
      <c r="L21" t="str">
        <f t="shared" si="60"/>
        <v/>
      </c>
      <c r="M21" t="str">
        <f t="shared" si="60"/>
        <v/>
      </c>
      <c r="N21" t="str">
        <f t="shared" si="60"/>
        <v/>
      </c>
      <c r="O21" t="str">
        <f t="shared" si="60"/>
        <v/>
      </c>
      <c r="P21" t="str">
        <f t="shared" si="60"/>
        <v/>
      </c>
      <c r="Q21" t="str">
        <f t="shared" si="60"/>
        <v/>
      </c>
      <c r="R21" t="str">
        <f t="shared" si="60"/>
        <v/>
      </c>
      <c r="S21" t="str">
        <f t="shared" si="60"/>
        <v/>
      </c>
      <c r="T21" t="str">
        <f t="shared" si="60"/>
        <v/>
      </c>
      <c r="U21" t="str">
        <f t="shared" si="60"/>
        <v/>
      </c>
      <c r="V21" t="str">
        <f t="shared" si="60"/>
        <v/>
      </c>
      <c r="W21" t="str">
        <f t="shared" si="60"/>
        <v/>
      </c>
      <c r="X21" t="str">
        <f t="shared" si="60"/>
        <v/>
      </c>
      <c r="Y21" t="str">
        <f t="shared" si="60"/>
        <v/>
      </c>
      <c r="AA21">
        <f t="shared" si="5"/>
        <v>43100</v>
      </c>
      <c r="AB21" t="e">
        <f t="shared" si="54"/>
        <v>#N/A</v>
      </c>
      <c r="AC21" t="e">
        <f t="shared" si="55"/>
        <v>#N/A</v>
      </c>
      <c r="AD21" t="e">
        <f t="shared" si="56"/>
        <v>#N/A</v>
      </c>
      <c r="AE21" t="e">
        <f t="shared" si="38"/>
        <v>#N/A</v>
      </c>
      <c r="AF21" t="e">
        <f t="shared" si="39"/>
        <v>#N/A</v>
      </c>
      <c r="AG21" t="e">
        <f t="shared" si="40"/>
        <v>#N/A</v>
      </c>
      <c r="AH21" t="e">
        <f t="shared" si="41"/>
        <v>#N/A</v>
      </c>
      <c r="AI21" t="e">
        <f t="shared" si="42"/>
        <v>#N/A</v>
      </c>
      <c r="AJ21" t="e">
        <f t="shared" si="43"/>
        <v>#N/A</v>
      </c>
      <c r="AK21" t="e">
        <f t="shared" si="44"/>
        <v>#N/A</v>
      </c>
      <c r="AL21" t="e">
        <f t="shared" si="45"/>
        <v>#N/A</v>
      </c>
      <c r="AM21" t="e">
        <f t="shared" si="46"/>
        <v>#N/A</v>
      </c>
      <c r="AN21" t="e">
        <f t="shared" si="47"/>
        <v>#N/A</v>
      </c>
      <c r="AO21" t="e">
        <f t="shared" si="48"/>
        <v>#N/A</v>
      </c>
      <c r="AP21" t="e">
        <f t="shared" si="49"/>
        <v>#N/A</v>
      </c>
      <c r="AQ21" t="e">
        <f t="shared" si="50"/>
        <v>#N/A</v>
      </c>
      <c r="AR21" t="e">
        <f t="shared" si="51"/>
        <v>#N/A</v>
      </c>
      <c r="AS21" t="e">
        <f t="shared" si="52"/>
        <v>#N/A</v>
      </c>
      <c r="AU21">
        <f t="shared" si="6"/>
        <v>3.5</v>
      </c>
      <c r="AV21" t="str">
        <f t="shared" si="7"/>
        <v/>
      </c>
      <c r="AW21" t="str">
        <f t="shared" si="8"/>
        <v/>
      </c>
      <c r="AX21" t="str">
        <f t="shared" si="9"/>
        <v/>
      </c>
      <c r="AY21" t="str">
        <f t="shared" si="10"/>
        <v/>
      </c>
      <c r="AZ21" t="str">
        <f t="shared" si="11"/>
        <v/>
      </c>
      <c r="BA21" t="str">
        <f t="shared" si="12"/>
        <v/>
      </c>
      <c r="BB21" t="str">
        <f t="shared" si="13"/>
        <v/>
      </c>
      <c r="BC21" t="str">
        <f t="shared" si="14"/>
        <v/>
      </c>
      <c r="BD21" t="str">
        <f t="shared" si="15"/>
        <v/>
      </c>
      <c r="BE21" t="str">
        <f t="shared" si="16"/>
        <v/>
      </c>
      <c r="BF21" t="str">
        <f t="shared" si="17"/>
        <v/>
      </c>
      <c r="BG21" t="str">
        <f t="shared" si="18"/>
        <v/>
      </c>
      <c r="BH21" t="str">
        <f t="shared" si="19"/>
        <v/>
      </c>
      <c r="BI21" t="str">
        <f t="shared" si="20"/>
        <v/>
      </c>
      <c r="BJ21" t="str">
        <f t="shared" si="21"/>
        <v/>
      </c>
      <c r="BK21" t="str">
        <f t="shared" si="22"/>
        <v/>
      </c>
      <c r="BL21" t="str">
        <f t="shared" si="23"/>
        <v/>
      </c>
      <c r="BM21" t="str">
        <f t="shared" si="24"/>
        <v/>
      </c>
      <c r="BP21"/>
      <c r="BR21"/>
    </row>
    <row r="22" spans="1:70" x14ac:dyDescent="0.25">
      <c r="A22" s="1">
        <v>41080</v>
      </c>
      <c r="B22">
        <v>3.75</v>
      </c>
      <c r="C22" s="4">
        <v>43100</v>
      </c>
      <c r="D22">
        <v>1</v>
      </c>
      <c r="E22">
        <f t="shared" si="0"/>
        <v>0.19736842105263158</v>
      </c>
      <c r="F22" s="4"/>
      <c r="G22">
        <v>1</v>
      </c>
      <c r="H22" t="str">
        <f t="shared" ref="H22:Y22" si="61">IF($D22&gt;G22,G22+1,"")</f>
        <v/>
      </c>
      <c r="I22" t="str">
        <f t="shared" si="61"/>
        <v/>
      </c>
      <c r="J22" t="str">
        <f t="shared" si="61"/>
        <v/>
      </c>
      <c r="K22" t="str">
        <f t="shared" si="61"/>
        <v/>
      </c>
      <c r="L22" t="str">
        <f t="shared" si="61"/>
        <v/>
      </c>
      <c r="M22" t="str">
        <f t="shared" si="61"/>
        <v/>
      </c>
      <c r="N22" t="str">
        <f t="shared" si="61"/>
        <v/>
      </c>
      <c r="O22" t="str">
        <f t="shared" si="61"/>
        <v/>
      </c>
      <c r="P22" t="str">
        <f t="shared" si="61"/>
        <v/>
      </c>
      <c r="Q22" t="str">
        <f t="shared" si="61"/>
        <v/>
      </c>
      <c r="R22" t="str">
        <f t="shared" si="61"/>
        <v/>
      </c>
      <c r="S22" t="str">
        <f t="shared" si="61"/>
        <v/>
      </c>
      <c r="T22" t="str">
        <f t="shared" si="61"/>
        <v/>
      </c>
      <c r="U22" t="str">
        <f t="shared" si="61"/>
        <v/>
      </c>
      <c r="V22" t="str">
        <f t="shared" si="61"/>
        <v/>
      </c>
      <c r="W22" t="str">
        <f t="shared" si="61"/>
        <v/>
      </c>
      <c r="X22" t="str">
        <f t="shared" si="61"/>
        <v/>
      </c>
      <c r="Y22" t="str">
        <f t="shared" si="61"/>
        <v/>
      </c>
      <c r="AA22">
        <f t="shared" si="5"/>
        <v>43100</v>
      </c>
      <c r="AB22" t="e">
        <f t="shared" si="54"/>
        <v>#N/A</v>
      </c>
      <c r="AC22" t="e">
        <f t="shared" si="55"/>
        <v>#N/A</v>
      </c>
      <c r="AD22" t="e">
        <f t="shared" si="56"/>
        <v>#N/A</v>
      </c>
      <c r="AE22" t="e">
        <f t="shared" si="38"/>
        <v>#N/A</v>
      </c>
      <c r="AF22" t="e">
        <f t="shared" si="39"/>
        <v>#N/A</v>
      </c>
      <c r="AG22" t="e">
        <f t="shared" si="40"/>
        <v>#N/A</v>
      </c>
      <c r="AH22" t="e">
        <f t="shared" si="41"/>
        <v>#N/A</v>
      </c>
      <c r="AI22" t="e">
        <f t="shared" si="42"/>
        <v>#N/A</v>
      </c>
      <c r="AJ22" t="e">
        <f t="shared" si="43"/>
        <v>#N/A</v>
      </c>
      <c r="AK22" t="e">
        <f t="shared" si="44"/>
        <v>#N/A</v>
      </c>
      <c r="AL22" t="e">
        <f t="shared" si="45"/>
        <v>#N/A</v>
      </c>
      <c r="AM22" t="e">
        <f t="shared" si="46"/>
        <v>#N/A</v>
      </c>
      <c r="AN22" t="e">
        <f t="shared" si="47"/>
        <v>#N/A</v>
      </c>
      <c r="AO22" t="e">
        <f t="shared" si="48"/>
        <v>#N/A</v>
      </c>
      <c r="AP22" t="e">
        <f t="shared" si="49"/>
        <v>#N/A</v>
      </c>
      <c r="AQ22" t="e">
        <f t="shared" si="50"/>
        <v>#N/A</v>
      </c>
      <c r="AR22" t="e">
        <f t="shared" si="51"/>
        <v>#N/A</v>
      </c>
      <c r="AS22" t="e">
        <f t="shared" si="52"/>
        <v>#N/A</v>
      </c>
      <c r="AU22">
        <f t="shared" si="6"/>
        <v>3.75</v>
      </c>
      <c r="AV22" t="str">
        <f t="shared" si="7"/>
        <v/>
      </c>
      <c r="AW22" t="str">
        <f t="shared" si="8"/>
        <v/>
      </c>
      <c r="AX22" t="str">
        <f t="shared" si="9"/>
        <v/>
      </c>
      <c r="AY22" t="str">
        <f t="shared" si="10"/>
        <v/>
      </c>
      <c r="AZ22" t="str">
        <f t="shared" si="11"/>
        <v/>
      </c>
      <c r="BA22" t="str">
        <f t="shared" si="12"/>
        <v/>
      </c>
      <c r="BB22" t="str">
        <f t="shared" si="13"/>
        <v/>
      </c>
      <c r="BC22" t="str">
        <f t="shared" si="14"/>
        <v/>
      </c>
      <c r="BD22" t="str">
        <f t="shared" si="15"/>
        <v/>
      </c>
      <c r="BE22" t="str">
        <f t="shared" si="16"/>
        <v/>
      </c>
      <c r="BF22" t="str">
        <f t="shared" si="17"/>
        <v/>
      </c>
      <c r="BG22" t="str">
        <f t="shared" si="18"/>
        <v/>
      </c>
      <c r="BH22" t="str">
        <f t="shared" si="19"/>
        <v/>
      </c>
      <c r="BI22" t="str">
        <f t="shared" si="20"/>
        <v/>
      </c>
      <c r="BJ22" t="str">
        <f t="shared" si="21"/>
        <v/>
      </c>
      <c r="BK22" t="str">
        <f t="shared" si="22"/>
        <v/>
      </c>
      <c r="BL22" t="str">
        <f t="shared" si="23"/>
        <v/>
      </c>
      <c r="BM22" t="str">
        <f t="shared" si="24"/>
        <v/>
      </c>
      <c r="BP22"/>
      <c r="BR22"/>
    </row>
    <row r="23" spans="1:70" x14ac:dyDescent="0.25">
      <c r="A23" s="1">
        <v>41080</v>
      </c>
      <c r="B23">
        <v>4</v>
      </c>
      <c r="C23" s="4">
        <v>43100</v>
      </c>
      <c r="D23">
        <v>6</v>
      </c>
      <c r="E23">
        <f t="shared" si="0"/>
        <v>1.263157894736842</v>
      </c>
      <c r="F23" s="4"/>
      <c r="G23">
        <v>1</v>
      </c>
      <c r="H23">
        <f t="shared" ref="H23:Y23" si="62">IF($D23&gt;G23,G23+1,"")</f>
        <v>2</v>
      </c>
      <c r="I23">
        <f t="shared" si="62"/>
        <v>3</v>
      </c>
      <c r="J23">
        <f t="shared" si="62"/>
        <v>4</v>
      </c>
      <c r="K23">
        <f t="shared" si="62"/>
        <v>5</v>
      </c>
      <c r="L23">
        <f t="shared" si="62"/>
        <v>6</v>
      </c>
      <c r="M23" t="str">
        <f t="shared" si="62"/>
        <v/>
      </c>
      <c r="N23" t="str">
        <f t="shared" si="62"/>
        <v/>
      </c>
      <c r="O23" t="str">
        <f t="shared" si="62"/>
        <v/>
      </c>
      <c r="P23" t="str">
        <f t="shared" si="62"/>
        <v/>
      </c>
      <c r="Q23" t="str">
        <f t="shared" si="62"/>
        <v/>
      </c>
      <c r="R23" t="str">
        <f t="shared" si="62"/>
        <v/>
      </c>
      <c r="S23" t="str">
        <f t="shared" si="62"/>
        <v/>
      </c>
      <c r="T23" t="str">
        <f t="shared" si="62"/>
        <v/>
      </c>
      <c r="U23" t="str">
        <f t="shared" si="62"/>
        <v/>
      </c>
      <c r="V23" t="str">
        <f t="shared" si="62"/>
        <v/>
      </c>
      <c r="W23" t="str">
        <f t="shared" si="62"/>
        <v/>
      </c>
      <c r="X23" t="str">
        <f t="shared" si="62"/>
        <v/>
      </c>
      <c r="Y23" t="str">
        <f t="shared" si="62"/>
        <v/>
      </c>
      <c r="AA23">
        <f t="shared" si="5"/>
        <v>43049.8125</v>
      </c>
      <c r="AB23">
        <f t="shared" si="54"/>
        <v>43069.887500000004</v>
      </c>
      <c r="AC23">
        <f t="shared" si="55"/>
        <v>43089.962500000001</v>
      </c>
      <c r="AD23">
        <f t="shared" si="56"/>
        <v>43110.037500000006</v>
      </c>
      <c r="AE23">
        <f t="shared" si="38"/>
        <v>43130.112500000003</v>
      </c>
      <c r="AF23">
        <f t="shared" si="39"/>
        <v>43150.1875</v>
      </c>
      <c r="AG23" t="e">
        <f t="shared" si="40"/>
        <v>#N/A</v>
      </c>
      <c r="AH23" t="e">
        <f t="shared" si="41"/>
        <v>#N/A</v>
      </c>
      <c r="AI23" t="e">
        <f t="shared" si="42"/>
        <v>#N/A</v>
      </c>
      <c r="AJ23" t="e">
        <f t="shared" si="43"/>
        <v>#N/A</v>
      </c>
      <c r="AK23" t="e">
        <f t="shared" si="44"/>
        <v>#N/A</v>
      </c>
      <c r="AL23" t="e">
        <f t="shared" si="45"/>
        <v>#N/A</v>
      </c>
      <c r="AM23" t="e">
        <f t="shared" si="46"/>
        <v>#N/A</v>
      </c>
      <c r="AN23" t="e">
        <f t="shared" si="47"/>
        <v>#N/A</v>
      </c>
      <c r="AO23" t="e">
        <f t="shared" si="48"/>
        <v>#N/A</v>
      </c>
      <c r="AP23" t="e">
        <f t="shared" si="49"/>
        <v>#N/A</v>
      </c>
      <c r="AQ23" t="e">
        <f t="shared" si="50"/>
        <v>#N/A</v>
      </c>
      <c r="AR23" t="e">
        <f t="shared" si="51"/>
        <v>#N/A</v>
      </c>
      <c r="AS23" t="e">
        <f t="shared" si="52"/>
        <v>#N/A</v>
      </c>
      <c r="AU23">
        <f t="shared" si="6"/>
        <v>4</v>
      </c>
      <c r="AV23">
        <f t="shared" si="7"/>
        <v>4</v>
      </c>
      <c r="AW23">
        <f t="shared" si="8"/>
        <v>4</v>
      </c>
      <c r="AX23">
        <f t="shared" si="9"/>
        <v>4</v>
      </c>
      <c r="AY23">
        <f t="shared" si="10"/>
        <v>4</v>
      </c>
      <c r="AZ23">
        <f t="shared" si="11"/>
        <v>4</v>
      </c>
      <c r="BA23" t="str">
        <f t="shared" si="12"/>
        <v/>
      </c>
      <c r="BB23" t="str">
        <f t="shared" si="13"/>
        <v/>
      </c>
      <c r="BC23" t="str">
        <f t="shared" si="14"/>
        <v/>
      </c>
      <c r="BD23" t="str">
        <f t="shared" si="15"/>
        <v/>
      </c>
      <c r="BE23" t="str">
        <f t="shared" si="16"/>
        <v/>
      </c>
      <c r="BF23" t="str">
        <f t="shared" si="17"/>
        <v/>
      </c>
      <c r="BG23" t="str">
        <f t="shared" si="18"/>
        <v/>
      </c>
      <c r="BH23" t="str">
        <f t="shared" si="19"/>
        <v/>
      </c>
      <c r="BI23" t="str">
        <f t="shared" si="20"/>
        <v/>
      </c>
      <c r="BJ23" t="str">
        <f t="shared" si="21"/>
        <v/>
      </c>
      <c r="BK23" t="str">
        <f t="shared" si="22"/>
        <v/>
      </c>
      <c r="BL23" t="str">
        <f t="shared" si="23"/>
        <v/>
      </c>
      <c r="BM23" t="str">
        <f t="shared" si="24"/>
        <v/>
      </c>
      <c r="BP23"/>
      <c r="BR23"/>
    </row>
    <row r="24" spans="1:70" x14ac:dyDescent="0.25">
      <c r="A24" s="1">
        <v>41080</v>
      </c>
      <c r="B24">
        <v>4.25</v>
      </c>
      <c r="C24" s="4">
        <v>43100</v>
      </c>
      <c r="D24">
        <v>5</v>
      </c>
      <c r="E24">
        <f t="shared" si="0"/>
        <v>1.118421052631579</v>
      </c>
      <c r="F24" s="4"/>
      <c r="G24">
        <v>1</v>
      </c>
      <c r="H24">
        <f t="shared" ref="H24:Y24" si="63">IF($D24&gt;G24,G24+1,"")</f>
        <v>2</v>
      </c>
      <c r="I24">
        <f t="shared" si="63"/>
        <v>3</v>
      </c>
      <c r="J24">
        <f t="shared" si="63"/>
        <v>4</v>
      </c>
      <c r="K24">
        <f t="shared" si="63"/>
        <v>5</v>
      </c>
      <c r="L24" t="str">
        <f t="shared" si="63"/>
        <v/>
      </c>
      <c r="M24" t="str">
        <f t="shared" si="63"/>
        <v/>
      </c>
      <c r="N24" t="str">
        <f t="shared" si="63"/>
        <v/>
      </c>
      <c r="O24" t="str">
        <f t="shared" si="63"/>
        <v/>
      </c>
      <c r="P24" t="str">
        <f t="shared" si="63"/>
        <v/>
      </c>
      <c r="Q24" t="str">
        <f t="shared" si="63"/>
        <v/>
      </c>
      <c r="R24" t="str">
        <f t="shared" si="63"/>
        <v/>
      </c>
      <c r="S24" t="str">
        <f t="shared" si="63"/>
        <v/>
      </c>
      <c r="T24" t="str">
        <f t="shared" si="63"/>
        <v/>
      </c>
      <c r="U24" t="str">
        <f t="shared" si="63"/>
        <v/>
      </c>
      <c r="V24" t="str">
        <f t="shared" si="63"/>
        <v/>
      </c>
      <c r="W24" t="str">
        <f t="shared" si="63"/>
        <v/>
      </c>
      <c r="X24" t="str">
        <f t="shared" si="63"/>
        <v/>
      </c>
      <c r="Y24" t="str">
        <f t="shared" si="63"/>
        <v/>
      </c>
      <c r="AA24">
        <f t="shared" si="5"/>
        <v>43059.85</v>
      </c>
      <c r="AB24">
        <f t="shared" si="54"/>
        <v>43079.925000000003</v>
      </c>
      <c r="AC24">
        <f t="shared" si="55"/>
        <v>43100</v>
      </c>
      <c r="AD24">
        <f t="shared" si="56"/>
        <v>43120.075000000004</v>
      </c>
      <c r="AE24">
        <f t="shared" si="38"/>
        <v>43140.15</v>
      </c>
      <c r="AF24" t="e">
        <f t="shared" si="39"/>
        <v>#N/A</v>
      </c>
      <c r="AG24" t="e">
        <f t="shared" si="40"/>
        <v>#N/A</v>
      </c>
      <c r="AH24" t="e">
        <f t="shared" si="41"/>
        <v>#N/A</v>
      </c>
      <c r="AI24" t="e">
        <f t="shared" si="42"/>
        <v>#N/A</v>
      </c>
      <c r="AJ24" t="e">
        <f t="shared" si="43"/>
        <v>#N/A</v>
      </c>
      <c r="AK24" t="e">
        <f t="shared" si="44"/>
        <v>#N/A</v>
      </c>
      <c r="AL24" t="e">
        <f t="shared" si="45"/>
        <v>#N/A</v>
      </c>
      <c r="AM24" t="e">
        <f t="shared" si="46"/>
        <v>#N/A</v>
      </c>
      <c r="AN24" t="e">
        <f t="shared" si="47"/>
        <v>#N/A</v>
      </c>
      <c r="AO24" t="e">
        <f t="shared" si="48"/>
        <v>#N/A</v>
      </c>
      <c r="AP24" t="e">
        <f t="shared" si="49"/>
        <v>#N/A</v>
      </c>
      <c r="AQ24" t="e">
        <f t="shared" si="50"/>
        <v>#N/A</v>
      </c>
      <c r="AR24" t="e">
        <f t="shared" si="51"/>
        <v>#N/A</v>
      </c>
      <c r="AS24" t="e">
        <f t="shared" si="52"/>
        <v>#N/A</v>
      </c>
      <c r="AU24">
        <f t="shared" si="6"/>
        <v>4.25</v>
      </c>
      <c r="AV24">
        <f t="shared" si="7"/>
        <v>4.25</v>
      </c>
      <c r="AW24">
        <f t="shared" si="8"/>
        <v>4.25</v>
      </c>
      <c r="AX24">
        <f t="shared" si="9"/>
        <v>4.25</v>
      </c>
      <c r="AY24">
        <f t="shared" si="10"/>
        <v>4.25</v>
      </c>
      <c r="AZ24" t="str">
        <f t="shared" si="11"/>
        <v/>
      </c>
      <c r="BA24" t="str">
        <f t="shared" si="12"/>
        <v/>
      </c>
      <c r="BB24" t="str">
        <f t="shared" si="13"/>
        <v/>
      </c>
      <c r="BC24" t="str">
        <f t="shared" si="14"/>
        <v/>
      </c>
      <c r="BD24" t="str">
        <f t="shared" si="15"/>
        <v/>
      </c>
      <c r="BE24" t="str">
        <f t="shared" si="16"/>
        <v/>
      </c>
      <c r="BF24" t="str">
        <f t="shared" si="17"/>
        <v/>
      </c>
      <c r="BG24" t="str">
        <f t="shared" si="18"/>
        <v/>
      </c>
      <c r="BH24" t="str">
        <f t="shared" si="19"/>
        <v/>
      </c>
      <c r="BI24" t="str">
        <f t="shared" si="20"/>
        <v/>
      </c>
      <c r="BJ24" t="str">
        <f t="shared" si="21"/>
        <v/>
      </c>
      <c r="BK24" t="str">
        <f t="shared" si="22"/>
        <v/>
      </c>
      <c r="BL24" t="str">
        <f t="shared" si="23"/>
        <v/>
      </c>
      <c r="BM24" t="str">
        <f t="shared" si="24"/>
        <v/>
      </c>
      <c r="BP24"/>
      <c r="BR24"/>
    </row>
    <row r="25" spans="1:70" x14ac:dyDescent="0.25">
      <c r="A25" s="1">
        <v>41080</v>
      </c>
      <c r="B25">
        <v>4.5</v>
      </c>
      <c r="C25" s="4">
        <v>43100</v>
      </c>
      <c r="D25">
        <v>5</v>
      </c>
      <c r="E25">
        <f t="shared" si="0"/>
        <v>1.1842105263157894</v>
      </c>
      <c r="F25" s="4"/>
      <c r="G25">
        <v>1</v>
      </c>
      <c r="H25">
        <f t="shared" ref="H25:Y25" si="64">IF($D25&gt;G25,G25+1,"")</f>
        <v>2</v>
      </c>
      <c r="I25">
        <f t="shared" si="64"/>
        <v>3</v>
      </c>
      <c r="J25">
        <f t="shared" si="64"/>
        <v>4</v>
      </c>
      <c r="K25">
        <f t="shared" si="64"/>
        <v>5</v>
      </c>
      <c r="L25" t="str">
        <f t="shared" si="64"/>
        <v/>
      </c>
      <c r="M25" t="str">
        <f t="shared" si="64"/>
        <v/>
      </c>
      <c r="N25" t="str">
        <f t="shared" si="64"/>
        <v/>
      </c>
      <c r="O25" t="str">
        <f t="shared" si="64"/>
        <v/>
      </c>
      <c r="P25" t="str">
        <f t="shared" si="64"/>
        <v/>
      </c>
      <c r="Q25" t="str">
        <f t="shared" si="64"/>
        <v/>
      </c>
      <c r="R25" t="str">
        <f t="shared" si="64"/>
        <v/>
      </c>
      <c r="S25" t="str">
        <f t="shared" si="64"/>
        <v/>
      </c>
      <c r="T25" t="str">
        <f t="shared" si="64"/>
        <v/>
      </c>
      <c r="U25" t="str">
        <f t="shared" si="64"/>
        <v/>
      </c>
      <c r="V25" t="str">
        <f t="shared" si="64"/>
        <v/>
      </c>
      <c r="W25" t="str">
        <f t="shared" si="64"/>
        <v/>
      </c>
      <c r="X25" t="str">
        <f t="shared" si="64"/>
        <v/>
      </c>
      <c r="Y25" t="str">
        <f t="shared" si="64"/>
        <v/>
      </c>
      <c r="AA25">
        <f t="shared" si="5"/>
        <v>43059.85</v>
      </c>
      <c r="AB25">
        <f t="shared" si="54"/>
        <v>43079.925000000003</v>
      </c>
      <c r="AC25">
        <f t="shared" si="55"/>
        <v>43100</v>
      </c>
      <c r="AD25">
        <f t="shared" si="56"/>
        <v>43120.075000000004</v>
      </c>
      <c r="AE25">
        <f t="shared" si="38"/>
        <v>43140.15</v>
      </c>
      <c r="AF25" t="e">
        <f t="shared" si="39"/>
        <v>#N/A</v>
      </c>
      <c r="AG25" t="e">
        <f t="shared" si="40"/>
        <v>#N/A</v>
      </c>
      <c r="AH25" t="e">
        <f t="shared" si="41"/>
        <v>#N/A</v>
      </c>
      <c r="AI25" t="e">
        <f t="shared" si="42"/>
        <v>#N/A</v>
      </c>
      <c r="AJ25" t="e">
        <f t="shared" si="43"/>
        <v>#N/A</v>
      </c>
      <c r="AK25" t="e">
        <f t="shared" si="44"/>
        <v>#N/A</v>
      </c>
      <c r="AL25" t="e">
        <f t="shared" si="45"/>
        <v>#N/A</v>
      </c>
      <c r="AM25" t="e">
        <f t="shared" si="46"/>
        <v>#N/A</v>
      </c>
      <c r="AN25" t="e">
        <f t="shared" si="47"/>
        <v>#N/A</v>
      </c>
      <c r="AO25" t="e">
        <f t="shared" si="48"/>
        <v>#N/A</v>
      </c>
      <c r="AP25" t="e">
        <f t="shared" si="49"/>
        <v>#N/A</v>
      </c>
      <c r="AQ25" t="e">
        <f t="shared" si="50"/>
        <v>#N/A</v>
      </c>
      <c r="AR25" t="e">
        <f t="shared" si="51"/>
        <v>#N/A</v>
      </c>
      <c r="AS25" t="e">
        <f t="shared" si="52"/>
        <v>#N/A</v>
      </c>
      <c r="AU25">
        <f t="shared" si="6"/>
        <v>4.5</v>
      </c>
      <c r="AV25">
        <f t="shared" si="7"/>
        <v>4.5</v>
      </c>
      <c r="AW25">
        <f t="shared" si="8"/>
        <v>4.5</v>
      </c>
      <c r="AX25">
        <f t="shared" si="9"/>
        <v>4.5</v>
      </c>
      <c r="AY25">
        <f t="shared" si="10"/>
        <v>4.5</v>
      </c>
      <c r="AZ25" t="str">
        <f t="shared" si="11"/>
        <v/>
      </c>
      <c r="BA25" t="str">
        <f t="shared" si="12"/>
        <v/>
      </c>
      <c r="BB25" t="str">
        <f t="shared" si="13"/>
        <v/>
      </c>
      <c r="BC25" t="str">
        <f t="shared" si="14"/>
        <v/>
      </c>
      <c r="BD25" t="str">
        <f t="shared" si="15"/>
        <v/>
      </c>
      <c r="BE25" t="str">
        <f t="shared" si="16"/>
        <v/>
      </c>
      <c r="BF25" t="str">
        <f t="shared" si="17"/>
        <v/>
      </c>
      <c r="BG25" t="str">
        <f t="shared" si="18"/>
        <v/>
      </c>
      <c r="BH25" t="str">
        <f t="shared" si="19"/>
        <v/>
      </c>
      <c r="BI25" t="str">
        <f t="shared" si="20"/>
        <v/>
      </c>
      <c r="BJ25" t="str">
        <f t="shared" si="21"/>
        <v/>
      </c>
      <c r="BK25" t="str">
        <f t="shared" si="22"/>
        <v/>
      </c>
      <c r="BL25" t="str">
        <f t="shared" si="23"/>
        <v/>
      </c>
      <c r="BM25" t="str">
        <f t="shared" si="24"/>
        <v/>
      </c>
      <c r="BP25"/>
      <c r="BR25"/>
    </row>
    <row r="26" spans="1:70" x14ac:dyDescent="0.25">
      <c r="A26" s="1">
        <v>41165</v>
      </c>
      <c r="B26" s="2">
        <v>0.25</v>
      </c>
      <c r="C26" s="4">
        <v>41274</v>
      </c>
      <c r="D26">
        <v>18</v>
      </c>
      <c r="E26">
        <f t="shared" si="0"/>
        <v>0.23684210526315788</v>
      </c>
      <c r="F26" s="4"/>
      <c r="G26">
        <v>1</v>
      </c>
      <c r="H26">
        <f t="shared" ref="H26:Y26" si="65">IF($D26&gt;G26,G26+1,"")</f>
        <v>2</v>
      </c>
      <c r="I26">
        <f t="shared" si="65"/>
        <v>3</v>
      </c>
      <c r="J26">
        <f t="shared" si="65"/>
        <v>4</v>
      </c>
      <c r="K26">
        <f t="shared" si="65"/>
        <v>5</v>
      </c>
      <c r="L26">
        <f t="shared" si="65"/>
        <v>6</v>
      </c>
      <c r="M26">
        <f t="shared" si="65"/>
        <v>7</v>
      </c>
      <c r="N26">
        <f t="shared" si="65"/>
        <v>8</v>
      </c>
      <c r="O26">
        <f t="shared" si="65"/>
        <v>9</v>
      </c>
      <c r="P26">
        <f t="shared" si="65"/>
        <v>10</v>
      </c>
      <c r="Q26">
        <f t="shared" si="65"/>
        <v>11</v>
      </c>
      <c r="R26">
        <f t="shared" si="65"/>
        <v>12</v>
      </c>
      <c r="S26">
        <f t="shared" si="65"/>
        <v>13</v>
      </c>
      <c r="T26">
        <f t="shared" si="65"/>
        <v>14</v>
      </c>
      <c r="U26">
        <f t="shared" si="65"/>
        <v>15</v>
      </c>
      <c r="V26">
        <f t="shared" si="65"/>
        <v>16</v>
      </c>
      <c r="W26">
        <f t="shared" si="65"/>
        <v>17</v>
      </c>
      <c r="X26">
        <f t="shared" si="65"/>
        <v>18</v>
      </c>
      <c r="Y26" t="str">
        <f t="shared" si="65"/>
        <v/>
      </c>
      <c r="AA26">
        <f t="shared" si="5"/>
        <v>41103.362499999996</v>
      </c>
      <c r="AB26">
        <f t="shared" si="54"/>
        <v>41123.4375</v>
      </c>
      <c r="AC26">
        <f t="shared" si="55"/>
        <v>41143.512499999997</v>
      </c>
      <c r="AD26">
        <f t="shared" si="56"/>
        <v>41163.587500000001</v>
      </c>
      <c r="AE26">
        <f t="shared" si="38"/>
        <v>41183.662499999999</v>
      </c>
      <c r="AF26">
        <f t="shared" si="39"/>
        <v>41203.737499999996</v>
      </c>
      <c r="AG26">
        <f t="shared" si="40"/>
        <v>41223.8125</v>
      </c>
      <c r="AH26">
        <f t="shared" si="41"/>
        <v>41243.887499999997</v>
      </c>
      <c r="AI26">
        <f t="shared" si="42"/>
        <v>41263.962500000001</v>
      </c>
      <c r="AJ26">
        <f t="shared" si="43"/>
        <v>41284.037499999999</v>
      </c>
      <c r="AK26">
        <f t="shared" si="44"/>
        <v>41304.112499999996</v>
      </c>
      <c r="AL26">
        <f t="shared" si="45"/>
        <v>41324.1875</v>
      </c>
      <c r="AM26">
        <f t="shared" si="46"/>
        <v>41344.262499999997</v>
      </c>
      <c r="AN26">
        <f t="shared" si="47"/>
        <v>41364.337500000001</v>
      </c>
      <c r="AO26">
        <f t="shared" si="48"/>
        <v>41384.412499999999</v>
      </c>
      <c r="AP26">
        <f t="shared" si="49"/>
        <v>41404.487499999996</v>
      </c>
      <c r="AQ26">
        <f t="shared" si="50"/>
        <v>41424.5625</v>
      </c>
      <c r="AR26">
        <f t="shared" si="51"/>
        <v>41444.637499999997</v>
      </c>
      <c r="AS26" t="e">
        <f t="shared" si="52"/>
        <v>#N/A</v>
      </c>
      <c r="AU26">
        <f t="shared" si="6"/>
        <v>0.25</v>
      </c>
      <c r="AV26">
        <f t="shared" si="7"/>
        <v>0.25</v>
      </c>
      <c r="AW26">
        <f t="shared" si="8"/>
        <v>0.25</v>
      </c>
      <c r="AX26">
        <f t="shared" si="9"/>
        <v>0.25</v>
      </c>
      <c r="AY26">
        <f t="shared" si="10"/>
        <v>0.25</v>
      </c>
      <c r="AZ26">
        <f t="shared" si="11"/>
        <v>0.25</v>
      </c>
      <c r="BA26">
        <f t="shared" si="12"/>
        <v>0.25</v>
      </c>
      <c r="BB26">
        <f t="shared" si="13"/>
        <v>0.25</v>
      </c>
      <c r="BC26">
        <f t="shared" si="14"/>
        <v>0.25</v>
      </c>
      <c r="BD26">
        <f t="shared" si="15"/>
        <v>0.25</v>
      </c>
      <c r="BE26">
        <f t="shared" si="16"/>
        <v>0.25</v>
      </c>
      <c r="BF26">
        <f t="shared" si="17"/>
        <v>0.25</v>
      </c>
      <c r="BG26">
        <f t="shared" si="18"/>
        <v>0.25</v>
      </c>
      <c r="BH26">
        <f t="shared" si="19"/>
        <v>0.25</v>
      </c>
      <c r="BI26">
        <f t="shared" si="20"/>
        <v>0.25</v>
      </c>
      <c r="BJ26">
        <f t="shared" si="21"/>
        <v>0.25</v>
      </c>
      <c r="BK26">
        <f t="shared" si="22"/>
        <v>0.25</v>
      </c>
      <c r="BL26">
        <f t="shared" si="23"/>
        <v>0.25</v>
      </c>
      <c r="BM26" t="str">
        <f t="shared" si="24"/>
        <v/>
      </c>
      <c r="BP26"/>
      <c r="BR26"/>
    </row>
    <row r="27" spans="1:70" x14ac:dyDescent="0.25">
      <c r="A27" s="1">
        <v>41165</v>
      </c>
      <c r="B27">
        <v>0.5</v>
      </c>
      <c r="C27" s="4">
        <v>41274</v>
      </c>
      <c r="D27">
        <v>1</v>
      </c>
      <c r="E27">
        <f t="shared" si="0"/>
        <v>2.6315789473684209E-2</v>
      </c>
      <c r="F27" s="4"/>
      <c r="G27">
        <v>1</v>
      </c>
      <c r="H27" t="str">
        <f t="shared" ref="H27:Y27" si="66">IF($D27&gt;G27,G27+1,"")</f>
        <v/>
      </c>
      <c r="I27" t="str">
        <f t="shared" si="66"/>
        <v/>
      </c>
      <c r="J27" t="str">
        <f t="shared" si="66"/>
        <v/>
      </c>
      <c r="K27" t="str">
        <f t="shared" si="66"/>
        <v/>
      </c>
      <c r="L27" t="str">
        <f t="shared" si="66"/>
        <v/>
      </c>
      <c r="M27" t="str">
        <f t="shared" si="66"/>
        <v/>
      </c>
      <c r="N27" t="str">
        <f t="shared" si="66"/>
        <v/>
      </c>
      <c r="O27" t="str">
        <f t="shared" si="66"/>
        <v/>
      </c>
      <c r="P27" t="str">
        <f t="shared" si="66"/>
        <v/>
      </c>
      <c r="Q27" t="str">
        <f t="shared" si="66"/>
        <v/>
      </c>
      <c r="R27" t="str">
        <f t="shared" si="66"/>
        <v/>
      </c>
      <c r="S27" t="str">
        <f t="shared" si="66"/>
        <v/>
      </c>
      <c r="T27" t="str">
        <f t="shared" si="66"/>
        <v/>
      </c>
      <c r="U27" t="str">
        <f t="shared" si="66"/>
        <v/>
      </c>
      <c r="V27" t="str">
        <f t="shared" si="66"/>
        <v/>
      </c>
      <c r="W27" t="str">
        <f t="shared" si="66"/>
        <v/>
      </c>
      <c r="X27" t="str">
        <f t="shared" si="66"/>
        <v/>
      </c>
      <c r="Y27" t="str">
        <f t="shared" si="66"/>
        <v/>
      </c>
      <c r="AA27">
        <f t="shared" si="5"/>
        <v>41274</v>
      </c>
      <c r="AB27" t="e">
        <f t="shared" si="54"/>
        <v>#N/A</v>
      </c>
      <c r="AC27" t="e">
        <f t="shared" si="55"/>
        <v>#N/A</v>
      </c>
      <c r="AD27" t="e">
        <f t="shared" si="56"/>
        <v>#N/A</v>
      </c>
      <c r="AE27" t="e">
        <f t="shared" si="38"/>
        <v>#N/A</v>
      </c>
      <c r="AF27" t="e">
        <f t="shared" si="39"/>
        <v>#N/A</v>
      </c>
      <c r="AG27" t="e">
        <f t="shared" si="40"/>
        <v>#N/A</v>
      </c>
      <c r="AH27" t="e">
        <f t="shared" si="41"/>
        <v>#N/A</v>
      </c>
      <c r="AI27" t="e">
        <f t="shared" si="42"/>
        <v>#N/A</v>
      </c>
      <c r="AJ27" t="e">
        <f t="shared" si="43"/>
        <v>#N/A</v>
      </c>
      <c r="AK27" t="e">
        <f t="shared" si="44"/>
        <v>#N/A</v>
      </c>
      <c r="AL27" t="e">
        <f t="shared" si="45"/>
        <v>#N/A</v>
      </c>
      <c r="AM27" t="e">
        <f t="shared" si="46"/>
        <v>#N/A</v>
      </c>
      <c r="AN27" t="e">
        <f t="shared" si="47"/>
        <v>#N/A</v>
      </c>
      <c r="AO27" t="e">
        <f t="shared" si="48"/>
        <v>#N/A</v>
      </c>
      <c r="AP27" t="e">
        <f t="shared" si="49"/>
        <v>#N/A</v>
      </c>
      <c r="AQ27" t="e">
        <f t="shared" si="50"/>
        <v>#N/A</v>
      </c>
      <c r="AR27" t="e">
        <f t="shared" si="51"/>
        <v>#N/A</v>
      </c>
      <c r="AS27" t="e">
        <f t="shared" si="52"/>
        <v>#N/A</v>
      </c>
      <c r="AU27">
        <f t="shared" si="6"/>
        <v>0.5</v>
      </c>
      <c r="AV27" t="str">
        <f t="shared" si="7"/>
        <v/>
      </c>
      <c r="AW27" t="str">
        <f t="shared" si="8"/>
        <v/>
      </c>
      <c r="AX27" t="str">
        <f t="shared" si="9"/>
        <v/>
      </c>
      <c r="AY27" t="str">
        <f t="shared" si="10"/>
        <v/>
      </c>
      <c r="AZ27" t="str">
        <f t="shared" si="11"/>
        <v/>
      </c>
      <c r="BA27" t="str">
        <f t="shared" si="12"/>
        <v/>
      </c>
      <c r="BB27" t="str">
        <f t="shared" si="13"/>
        <v/>
      </c>
      <c r="BC27" t="str">
        <f t="shared" si="14"/>
        <v/>
      </c>
      <c r="BD27" t="str">
        <f t="shared" si="15"/>
        <v/>
      </c>
      <c r="BE27" t="str">
        <f t="shared" si="16"/>
        <v/>
      </c>
      <c r="BF27" t="str">
        <f t="shared" si="17"/>
        <v/>
      </c>
      <c r="BG27" t="str">
        <f t="shared" si="18"/>
        <v/>
      </c>
      <c r="BH27" t="str">
        <f t="shared" si="19"/>
        <v/>
      </c>
      <c r="BI27" t="str">
        <f t="shared" si="20"/>
        <v/>
      </c>
      <c r="BJ27" t="str">
        <f t="shared" si="21"/>
        <v/>
      </c>
      <c r="BK27" t="str">
        <f t="shared" si="22"/>
        <v/>
      </c>
      <c r="BL27" t="str">
        <f t="shared" si="23"/>
        <v/>
      </c>
      <c r="BM27" t="str">
        <f t="shared" si="24"/>
        <v/>
      </c>
      <c r="BP27"/>
      <c r="BR27"/>
    </row>
    <row r="28" spans="1:70" x14ac:dyDescent="0.25">
      <c r="A28" s="1">
        <v>41165</v>
      </c>
      <c r="B28" s="2">
        <v>0.25</v>
      </c>
      <c r="C28" s="4">
        <v>41639</v>
      </c>
      <c r="D28">
        <v>15</v>
      </c>
      <c r="E28">
        <f t="shared" si="0"/>
        <v>0.19736842105263158</v>
      </c>
      <c r="F28" s="4"/>
      <c r="G28">
        <v>1</v>
      </c>
      <c r="H28">
        <f t="shared" ref="H28:Y28" si="67">IF($D28&gt;G28,G28+1,"")</f>
        <v>2</v>
      </c>
      <c r="I28">
        <f t="shared" si="67"/>
        <v>3</v>
      </c>
      <c r="J28">
        <f t="shared" si="67"/>
        <v>4</v>
      </c>
      <c r="K28">
        <f t="shared" si="67"/>
        <v>5</v>
      </c>
      <c r="L28">
        <f t="shared" si="67"/>
        <v>6</v>
      </c>
      <c r="M28">
        <f t="shared" si="67"/>
        <v>7</v>
      </c>
      <c r="N28">
        <f t="shared" si="67"/>
        <v>8</v>
      </c>
      <c r="O28">
        <f t="shared" si="67"/>
        <v>9</v>
      </c>
      <c r="P28">
        <f t="shared" si="67"/>
        <v>10</v>
      </c>
      <c r="Q28">
        <f t="shared" si="67"/>
        <v>11</v>
      </c>
      <c r="R28">
        <f t="shared" si="67"/>
        <v>12</v>
      </c>
      <c r="S28">
        <f t="shared" si="67"/>
        <v>13</v>
      </c>
      <c r="T28">
        <f t="shared" si="67"/>
        <v>14</v>
      </c>
      <c r="U28">
        <f t="shared" si="67"/>
        <v>15</v>
      </c>
      <c r="V28" t="str">
        <f t="shared" si="67"/>
        <v/>
      </c>
      <c r="W28" t="str">
        <f t="shared" si="67"/>
        <v/>
      </c>
      <c r="X28" t="str">
        <f t="shared" si="67"/>
        <v/>
      </c>
      <c r="Y28" t="str">
        <f t="shared" si="67"/>
        <v/>
      </c>
      <c r="AA28">
        <f t="shared" si="5"/>
        <v>41498.474999999999</v>
      </c>
      <c r="AB28">
        <f t="shared" si="54"/>
        <v>41518.550000000003</v>
      </c>
      <c r="AC28">
        <f t="shared" si="55"/>
        <v>41538.625</v>
      </c>
      <c r="AD28">
        <f t="shared" si="56"/>
        <v>41558.700000000004</v>
      </c>
      <c r="AE28">
        <f t="shared" si="38"/>
        <v>41578.775000000001</v>
      </c>
      <c r="AF28">
        <f t="shared" si="39"/>
        <v>41598.85</v>
      </c>
      <c r="AG28">
        <f t="shared" si="40"/>
        <v>41618.925000000003</v>
      </c>
      <c r="AH28">
        <f t="shared" si="41"/>
        <v>41639</v>
      </c>
      <c r="AI28">
        <f t="shared" si="42"/>
        <v>41659.075000000004</v>
      </c>
      <c r="AJ28">
        <f t="shared" si="43"/>
        <v>41679.15</v>
      </c>
      <c r="AK28">
        <f t="shared" si="44"/>
        <v>41699.224999999999</v>
      </c>
      <c r="AL28">
        <f t="shared" si="45"/>
        <v>41719.300000000003</v>
      </c>
      <c r="AM28">
        <f t="shared" si="46"/>
        <v>41739.375</v>
      </c>
      <c r="AN28">
        <f t="shared" si="47"/>
        <v>41759.450000000004</v>
      </c>
      <c r="AO28">
        <f t="shared" si="48"/>
        <v>41779.525000000001</v>
      </c>
      <c r="AP28" t="e">
        <f t="shared" si="49"/>
        <v>#N/A</v>
      </c>
      <c r="AQ28" t="e">
        <f t="shared" si="50"/>
        <v>#N/A</v>
      </c>
      <c r="AR28" t="e">
        <f t="shared" si="51"/>
        <v>#N/A</v>
      </c>
      <c r="AS28" t="e">
        <f t="shared" si="52"/>
        <v>#N/A</v>
      </c>
      <c r="AU28">
        <f t="shared" si="6"/>
        <v>0.25</v>
      </c>
      <c r="AV28">
        <f t="shared" si="7"/>
        <v>0.25</v>
      </c>
      <c r="AW28">
        <f t="shared" si="8"/>
        <v>0.25</v>
      </c>
      <c r="AX28">
        <f t="shared" si="9"/>
        <v>0.25</v>
      </c>
      <c r="AY28">
        <f t="shared" si="10"/>
        <v>0.25</v>
      </c>
      <c r="AZ28">
        <f t="shared" si="11"/>
        <v>0.25</v>
      </c>
      <c r="BA28">
        <f t="shared" si="12"/>
        <v>0.25</v>
      </c>
      <c r="BB28">
        <f t="shared" si="13"/>
        <v>0.25</v>
      </c>
      <c r="BC28">
        <f t="shared" si="14"/>
        <v>0.25</v>
      </c>
      <c r="BD28">
        <f t="shared" si="15"/>
        <v>0.25</v>
      </c>
      <c r="BE28">
        <f t="shared" si="16"/>
        <v>0.25</v>
      </c>
      <c r="BF28">
        <f t="shared" si="17"/>
        <v>0.25</v>
      </c>
      <c r="BG28">
        <f t="shared" si="18"/>
        <v>0.25</v>
      </c>
      <c r="BH28">
        <f t="shared" si="19"/>
        <v>0.25</v>
      </c>
      <c r="BI28">
        <f t="shared" si="20"/>
        <v>0.25</v>
      </c>
      <c r="BJ28" t="str">
        <f t="shared" si="21"/>
        <v/>
      </c>
      <c r="BK28" t="str">
        <f t="shared" si="22"/>
        <v/>
      </c>
      <c r="BL28" t="str">
        <f t="shared" si="23"/>
        <v/>
      </c>
      <c r="BM28" t="str">
        <f t="shared" si="24"/>
        <v/>
      </c>
      <c r="BP28"/>
      <c r="BR28"/>
    </row>
    <row r="29" spans="1:70" x14ac:dyDescent="0.25">
      <c r="A29" s="1">
        <v>41165</v>
      </c>
      <c r="B29">
        <v>0.5</v>
      </c>
      <c r="C29" s="4">
        <v>41639</v>
      </c>
      <c r="D29">
        <v>2</v>
      </c>
      <c r="E29">
        <f t="shared" si="0"/>
        <v>5.2631578947368418E-2</v>
      </c>
      <c r="F29" s="4"/>
      <c r="G29">
        <v>1</v>
      </c>
      <c r="H29">
        <f t="shared" ref="H29:Y29" si="68">IF($D29&gt;G29,G29+1,"")</f>
        <v>2</v>
      </c>
      <c r="I29" t="str">
        <f t="shared" si="68"/>
        <v/>
      </c>
      <c r="J29" t="str">
        <f t="shared" si="68"/>
        <v/>
      </c>
      <c r="K29" t="str">
        <f t="shared" si="68"/>
        <v/>
      </c>
      <c r="L29" t="str">
        <f t="shared" si="68"/>
        <v/>
      </c>
      <c r="M29" t="str">
        <f t="shared" si="68"/>
        <v/>
      </c>
      <c r="N29" t="str">
        <f t="shared" si="68"/>
        <v/>
      </c>
      <c r="O29" t="str">
        <f t="shared" si="68"/>
        <v/>
      </c>
      <c r="P29" t="str">
        <f t="shared" si="68"/>
        <v/>
      </c>
      <c r="Q29" t="str">
        <f t="shared" si="68"/>
        <v/>
      </c>
      <c r="R29" t="str">
        <f t="shared" si="68"/>
        <v/>
      </c>
      <c r="S29" t="str">
        <f t="shared" si="68"/>
        <v/>
      </c>
      <c r="T29" t="str">
        <f t="shared" si="68"/>
        <v/>
      </c>
      <c r="U29" t="str">
        <f t="shared" si="68"/>
        <v/>
      </c>
      <c r="V29" t="str">
        <f t="shared" si="68"/>
        <v/>
      </c>
      <c r="W29" t="str">
        <f t="shared" si="68"/>
        <v/>
      </c>
      <c r="X29" t="str">
        <f t="shared" si="68"/>
        <v/>
      </c>
      <c r="Y29" t="str">
        <f t="shared" si="68"/>
        <v/>
      </c>
      <c r="AA29">
        <f t="shared" si="5"/>
        <v>41628.962500000001</v>
      </c>
      <c r="AB29">
        <f t="shared" si="54"/>
        <v>41649.037500000006</v>
      </c>
      <c r="AC29" t="e">
        <f t="shared" si="55"/>
        <v>#N/A</v>
      </c>
      <c r="AD29" t="e">
        <f t="shared" si="56"/>
        <v>#N/A</v>
      </c>
      <c r="AE29" t="e">
        <f t="shared" si="38"/>
        <v>#N/A</v>
      </c>
      <c r="AF29" t="e">
        <f t="shared" si="39"/>
        <v>#N/A</v>
      </c>
      <c r="AG29" t="e">
        <f t="shared" si="40"/>
        <v>#N/A</v>
      </c>
      <c r="AH29" t="e">
        <f t="shared" si="41"/>
        <v>#N/A</v>
      </c>
      <c r="AI29" t="e">
        <f t="shared" si="42"/>
        <v>#N/A</v>
      </c>
      <c r="AJ29" t="e">
        <f t="shared" si="43"/>
        <v>#N/A</v>
      </c>
      <c r="AK29" t="e">
        <f t="shared" si="44"/>
        <v>#N/A</v>
      </c>
      <c r="AL29" t="e">
        <f t="shared" si="45"/>
        <v>#N/A</v>
      </c>
      <c r="AM29" t="e">
        <f t="shared" si="46"/>
        <v>#N/A</v>
      </c>
      <c r="AN29" t="e">
        <f t="shared" si="47"/>
        <v>#N/A</v>
      </c>
      <c r="AO29" t="e">
        <f t="shared" si="48"/>
        <v>#N/A</v>
      </c>
      <c r="AP29" t="e">
        <f t="shared" si="49"/>
        <v>#N/A</v>
      </c>
      <c r="AQ29" t="e">
        <f t="shared" si="50"/>
        <v>#N/A</v>
      </c>
      <c r="AR29" t="e">
        <f t="shared" si="51"/>
        <v>#N/A</v>
      </c>
      <c r="AS29" t="e">
        <f t="shared" si="52"/>
        <v>#N/A</v>
      </c>
      <c r="AU29">
        <f t="shared" si="6"/>
        <v>0.5</v>
      </c>
      <c r="AV29">
        <f t="shared" si="7"/>
        <v>0.5</v>
      </c>
      <c r="AW29" t="str">
        <f t="shared" si="8"/>
        <v/>
      </c>
      <c r="AX29" t="str">
        <f t="shared" si="9"/>
        <v/>
      </c>
      <c r="AY29" t="str">
        <f t="shared" si="10"/>
        <v/>
      </c>
      <c r="AZ29" t="str">
        <f t="shared" si="11"/>
        <v/>
      </c>
      <c r="BA29" t="str">
        <f t="shared" si="12"/>
        <v/>
      </c>
      <c r="BB29" t="str">
        <f t="shared" si="13"/>
        <v/>
      </c>
      <c r="BC29" t="str">
        <f t="shared" si="14"/>
        <v/>
      </c>
      <c r="BD29" t="str">
        <f t="shared" si="15"/>
        <v/>
      </c>
      <c r="BE29" t="str">
        <f t="shared" si="16"/>
        <v/>
      </c>
      <c r="BF29" t="str">
        <f t="shared" si="17"/>
        <v/>
      </c>
      <c r="BG29" t="str">
        <f t="shared" si="18"/>
        <v/>
      </c>
      <c r="BH29" t="str">
        <f t="shared" si="19"/>
        <v/>
      </c>
      <c r="BI29" t="str">
        <f t="shared" si="20"/>
        <v/>
      </c>
      <c r="BJ29" t="str">
        <f t="shared" si="21"/>
        <v/>
      </c>
      <c r="BK29" t="str">
        <f t="shared" si="22"/>
        <v/>
      </c>
      <c r="BL29" t="str">
        <f t="shared" si="23"/>
        <v/>
      </c>
      <c r="BM29" t="str">
        <f t="shared" si="24"/>
        <v/>
      </c>
      <c r="BP29"/>
      <c r="BR29"/>
    </row>
    <row r="30" spans="1:70" x14ac:dyDescent="0.25">
      <c r="A30" s="1">
        <v>41165</v>
      </c>
      <c r="B30">
        <v>0.75</v>
      </c>
      <c r="C30" s="4">
        <v>41639</v>
      </c>
      <c r="D30">
        <v>1</v>
      </c>
      <c r="E30">
        <f t="shared" si="0"/>
        <v>3.9473684210526314E-2</v>
      </c>
      <c r="F30" s="4"/>
      <c r="G30">
        <v>1</v>
      </c>
      <c r="H30" t="str">
        <f t="shared" ref="H30:Y30" si="69">IF($D30&gt;G30,G30+1,"")</f>
        <v/>
      </c>
      <c r="I30" t="str">
        <f t="shared" si="69"/>
        <v/>
      </c>
      <c r="J30" t="str">
        <f t="shared" si="69"/>
        <v/>
      </c>
      <c r="K30" t="str">
        <f t="shared" si="69"/>
        <v/>
      </c>
      <c r="L30" t="str">
        <f t="shared" si="69"/>
        <v/>
      </c>
      <c r="M30" t="str">
        <f t="shared" si="69"/>
        <v/>
      </c>
      <c r="N30" t="str">
        <f t="shared" si="69"/>
        <v/>
      </c>
      <c r="O30" t="str">
        <f t="shared" si="69"/>
        <v/>
      </c>
      <c r="P30" t="str">
        <f t="shared" si="69"/>
        <v/>
      </c>
      <c r="Q30" t="str">
        <f t="shared" si="69"/>
        <v/>
      </c>
      <c r="R30" t="str">
        <f t="shared" si="69"/>
        <v/>
      </c>
      <c r="S30" t="str">
        <f t="shared" si="69"/>
        <v/>
      </c>
      <c r="T30" t="str">
        <f t="shared" si="69"/>
        <v/>
      </c>
      <c r="U30" t="str">
        <f t="shared" si="69"/>
        <v/>
      </c>
      <c r="V30" t="str">
        <f t="shared" si="69"/>
        <v/>
      </c>
      <c r="W30" t="str">
        <f t="shared" si="69"/>
        <v/>
      </c>
      <c r="X30" t="str">
        <f t="shared" si="69"/>
        <v/>
      </c>
      <c r="Y30" t="str">
        <f t="shared" si="69"/>
        <v/>
      </c>
      <c r="AA30">
        <f t="shared" si="5"/>
        <v>41639</v>
      </c>
      <c r="AB30" t="e">
        <f t="shared" si="54"/>
        <v>#N/A</v>
      </c>
      <c r="AC30" t="e">
        <f t="shared" si="55"/>
        <v>#N/A</v>
      </c>
      <c r="AD30" t="e">
        <f t="shared" si="56"/>
        <v>#N/A</v>
      </c>
      <c r="AE30" t="e">
        <f t="shared" si="38"/>
        <v>#N/A</v>
      </c>
      <c r="AF30" t="e">
        <f t="shared" si="39"/>
        <v>#N/A</v>
      </c>
      <c r="AG30" t="e">
        <f t="shared" si="40"/>
        <v>#N/A</v>
      </c>
      <c r="AH30" t="e">
        <f t="shared" si="41"/>
        <v>#N/A</v>
      </c>
      <c r="AI30" t="e">
        <f t="shared" si="42"/>
        <v>#N/A</v>
      </c>
      <c r="AJ30" t="e">
        <f t="shared" si="43"/>
        <v>#N/A</v>
      </c>
      <c r="AK30" t="e">
        <f t="shared" si="44"/>
        <v>#N/A</v>
      </c>
      <c r="AL30" t="e">
        <f t="shared" si="45"/>
        <v>#N/A</v>
      </c>
      <c r="AM30" t="e">
        <f t="shared" si="46"/>
        <v>#N/A</v>
      </c>
      <c r="AN30" t="e">
        <f t="shared" si="47"/>
        <v>#N/A</v>
      </c>
      <c r="AO30" t="e">
        <f t="shared" si="48"/>
        <v>#N/A</v>
      </c>
      <c r="AP30" t="e">
        <f t="shared" si="49"/>
        <v>#N/A</v>
      </c>
      <c r="AQ30" t="e">
        <f t="shared" si="50"/>
        <v>#N/A</v>
      </c>
      <c r="AR30" t="e">
        <f t="shared" si="51"/>
        <v>#N/A</v>
      </c>
      <c r="AS30" t="e">
        <f t="shared" si="52"/>
        <v>#N/A</v>
      </c>
      <c r="AU30">
        <f t="shared" si="6"/>
        <v>0.75</v>
      </c>
      <c r="AV30" t="str">
        <f t="shared" si="7"/>
        <v/>
      </c>
      <c r="AW30" t="str">
        <f t="shared" si="8"/>
        <v/>
      </c>
      <c r="AX30" t="str">
        <f t="shared" si="9"/>
        <v/>
      </c>
      <c r="AY30" t="str">
        <f t="shared" si="10"/>
        <v/>
      </c>
      <c r="AZ30" t="str">
        <f t="shared" si="11"/>
        <v/>
      </c>
      <c r="BA30" t="str">
        <f t="shared" si="12"/>
        <v/>
      </c>
      <c r="BB30" t="str">
        <f t="shared" si="13"/>
        <v/>
      </c>
      <c r="BC30" t="str">
        <f t="shared" si="14"/>
        <v/>
      </c>
      <c r="BD30" t="str">
        <f t="shared" si="15"/>
        <v/>
      </c>
      <c r="BE30" t="str">
        <f t="shared" si="16"/>
        <v/>
      </c>
      <c r="BF30" t="str">
        <f t="shared" si="17"/>
        <v/>
      </c>
      <c r="BG30" t="str">
        <f t="shared" si="18"/>
        <v/>
      </c>
      <c r="BH30" t="str">
        <f t="shared" si="19"/>
        <v/>
      </c>
      <c r="BI30" t="str">
        <f t="shared" si="20"/>
        <v/>
      </c>
      <c r="BJ30" t="str">
        <f t="shared" si="21"/>
        <v/>
      </c>
      <c r="BK30" t="str">
        <f t="shared" si="22"/>
        <v/>
      </c>
      <c r="BL30" t="str">
        <f t="shared" si="23"/>
        <v/>
      </c>
      <c r="BM30" t="str">
        <f t="shared" si="24"/>
        <v/>
      </c>
      <c r="BP30"/>
      <c r="BR30"/>
    </row>
    <row r="31" spans="1:70" x14ac:dyDescent="0.25">
      <c r="A31" s="1">
        <v>41165</v>
      </c>
      <c r="B31" s="2">
        <v>1.75</v>
      </c>
      <c r="C31" s="4">
        <v>41639</v>
      </c>
      <c r="D31">
        <v>1</v>
      </c>
      <c r="E31">
        <f t="shared" si="0"/>
        <v>9.2105263157894732E-2</v>
      </c>
      <c r="F31" s="4"/>
      <c r="G31">
        <v>1</v>
      </c>
      <c r="H31" t="str">
        <f t="shared" ref="H31:Y31" si="70">IF($D31&gt;G31,G31+1,"")</f>
        <v/>
      </c>
      <c r="I31" t="str">
        <f t="shared" si="70"/>
        <v/>
      </c>
      <c r="J31" t="str">
        <f t="shared" si="70"/>
        <v/>
      </c>
      <c r="K31" t="str">
        <f t="shared" si="70"/>
        <v/>
      </c>
      <c r="L31" t="str">
        <f t="shared" si="70"/>
        <v/>
      </c>
      <c r="M31" t="str">
        <f t="shared" si="70"/>
        <v/>
      </c>
      <c r="N31" t="str">
        <f t="shared" si="70"/>
        <v/>
      </c>
      <c r="O31" t="str">
        <f t="shared" si="70"/>
        <v/>
      </c>
      <c r="P31" t="str">
        <f t="shared" si="70"/>
        <v/>
      </c>
      <c r="Q31" t="str">
        <f t="shared" si="70"/>
        <v/>
      </c>
      <c r="R31" t="str">
        <f t="shared" si="70"/>
        <v/>
      </c>
      <c r="S31" t="str">
        <f t="shared" si="70"/>
        <v/>
      </c>
      <c r="T31" t="str">
        <f t="shared" si="70"/>
        <v/>
      </c>
      <c r="U31" t="str">
        <f t="shared" si="70"/>
        <v/>
      </c>
      <c r="V31" t="str">
        <f t="shared" si="70"/>
        <v/>
      </c>
      <c r="W31" t="str">
        <f t="shared" si="70"/>
        <v/>
      </c>
      <c r="X31" t="str">
        <f t="shared" si="70"/>
        <v/>
      </c>
      <c r="Y31" t="str">
        <f t="shared" si="70"/>
        <v/>
      </c>
      <c r="AA31">
        <f t="shared" si="5"/>
        <v>41639</v>
      </c>
      <c r="AB31" t="e">
        <f t="shared" si="54"/>
        <v>#N/A</v>
      </c>
      <c r="AC31" t="e">
        <f t="shared" si="55"/>
        <v>#N/A</v>
      </c>
      <c r="AD31" t="e">
        <f t="shared" si="56"/>
        <v>#N/A</v>
      </c>
      <c r="AE31" t="e">
        <f t="shared" si="38"/>
        <v>#N/A</v>
      </c>
      <c r="AF31" t="e">
        <f t="shared" si="39"/>
        <v>#N/A</v>
      </c>
      <c r="AG31" t="e">
        <f t="shared" si="40"/>
        <v>#N/A</v>
      </c>
      <c r="AH31" t="e">
        <f t="shared" si="41"/>
        <v>#N/A</v>
      </c>
      <c r="AI31" t="e">
        <f t="shared" si="42"/>
        <v>#N/A</v>
      </c>
      <c r="AJ31" t="e">
        <f t="shared" si="43"/>
        <v>#N/A</v>
      </c>
      <c r="AK31" t="e">
        <f t="shared" si="44"/>
        <v>#N/A</v>
      </c>
      <c r="AL31" t="e">
        <f t="shared" si="45"/>
        <v>#N/A</v>
      </c>
      <c r="AM31" t="e">
        <f t="shared" si="46"/>
        <v>#N/A</v>
      </c>
      <c r="AN31" t="e">
        <f t="shared" si="47"/>
        <v>#N/A</v>
      </c>
      <c r="AO31" t="e">
        <f t="shared" si="48"/>
        <v>#N/A</v>
      </c>
      <c r="AP31" t="e">
        <f t="shared" si="49"/>
        <v>#N/A</v>
      </c>
      <c r="AQ31" t="e">
        <f t="shared" si="50"/>
        <v>#N/A</v>
      </c>
      <c r="AR31" t="e">
        <f t="shared" si="51"/>
        <v>#N/A</v>
      </c>
      <c r="AS31" t="e">
        <f t="shared" si="52"/>
        <v>#N/A</v>
      </c>
      <c r="AU31">
        <f t="shared" si="6"/>
        <v>1.75</v>
      </c>
      <c r="AV31" t="str">
        <f t="shared" si="7"/>
        <v/>
      </c>
      <c r="AW31" t="str">
        <f t="shared" si="8"/>
        <v/>
      </c>
      <c r="AX31" t="str">
        <f t="shared" si="9"/>
        <v/>
      </c>
      <c r="AY31" t="str">
        <f t="shared" si="10"/>
        <v/>
      </c>
      <c r="AZ31" t="str">
        <f t="shared" si="11"/>
        <v/>
      </c>
      <c r="BA31" t="str">
        <f t="shared" si="12"/>
        <v/>
      </c>
      <c r="BB31" t="str">
        <f t="shared" si="13"/>
        <v/>
      </c>
      <c r="BC31" t="str">
        <f t="shared" si="14"/>
        <v/>
      </c>
      <c r="BD31" t="str">
        <f t="shared" si="15"/>
        <v/>
      </c>
      <c r="BE31" t="str">
        <f t="shared" si="16"/>
        <v/>
      </c>
      <c r="BF31" t="str">
        <f t="shared" si="17"/>
        <v/>
      </c>
      <c r="BG31" t="str">
        <f t="shared" si="18"/>
        <v/>
      </c>
      <c r="BH31" t="str">
        <f t="shared" si="19"/>
        <v/>
      </c>
      <c r="BI31" t="str">
        <f t="shared" si="20"/>
        <v/>
      </c>
      <c r="BJ31" t="str">
        <f t="shared" si="21"/>
        <v/>
      </c>
      <c r="BK31" t="str">
        <f t="shared" si="22"/>
        <v/>
      </c>
      <c r="BL31" t="str">
        <f t="shared" si="23"/>
        <v/>
      </c>
      <c r="BM31" t="str">
        <f t="shared" si="24"/>
        <v/>
      </c>
      <c r="BP31"/>
      <c r="BR31"/>
    </row>
    <row r="32" spans="1:70" x14ac:dyDescent="0.25">
      <c r="A32" s="1">
        <v>41165</v>
      </c>
      <c r="B32" s="2">
        <v>0.25</v>
      </c>
      <c r="C32" s="4">
        <v>42004</v>
      </c>
      <c r="D32">
        <v>13</v>
      </c>
      <c r="E32">
        <f t="shared" si="0"/>
        <v>0.17105263157894737</v>
      </c>
      <c r="F32" s="4"/>
      <c r="G32">
        <v>1</v>
      </c>
      <c r="H32">
        <f t="shared" ref="H32:Y32" si="71">IF($D32&gt;G32,G32+1,"")</f>
        <v>2</v>
      </c>
      <c r="I32">
        <f t="shared" si="71"/>
        <v>3</v>
      </c>
      <c r="J32">
        <f t="shared" si="71"/>
        <v>4</v>
      </c>
      <c r="K32">
        <f t="shared" si="71"/>
        <v>5</v>
      </c>
      <c r="L32">
        <f t="shared" si="71"/>
        <v>6</v>
      </c>
      <c r="M32">
        <f t="shared" si="71"/>
        <v>7</v>
      </c>
      <c r="N32">
        <f t="shared" si="71"/>
        <v>8</v>
      </c>
      <c r="O32">
        <f t="shared" si="71"/>
        <v>9</v>
      </c>
      <c r="P32">
        <f t="shared" si="71"/>
        <v>10</v>
      </c>
      <c r="Q32">
        <f t="shared" si="71"/>
        <v>11</v>
      </c>
      <c r="R32">
        <f t="shared" si="71"/>
        <v>12</v>
      </c>
      <c r="S32">
        <f t="shared" si="71"/>
        <v>13</v>
      </c>
      <c r="T32" t="str">
        <f t="shared" si="71"/>
        <v/>
      </c>
      <c r="U32" t="str">
        <f t="shared" si="71"/>
        <v/>
      </c>
      <c r="V32" t="str">
        <f t="shared" si="71"/>
        <v/>
      </c>
      <c r="W32" t="str">
        <f t="shared" si="71"/>
        <v/>
      </c>
      <c r="X32" t="str">
        <f t="shared" si="71"/>
        <v/>
      </c>
      <c r="Y32" t="str">
        <f t="shared" si="71"/>
        <v/>
      </c>
      <c r="AA32">
        <f t="shared" si="5"/>
        <v>41883.549999999996</v>
      </c>
      <c r="AB32">
        <f t="shared" si="54"/>
        <v>41903.625</v>
      </c>
      <c r="AC32">
        <f t="shared" si="55"/>
        <v>41923.699999999997</v>
      </c>
      <c r="AD32">
        <f t="shared" si="56"/>
        <v>41943.775000000001</v>
      </c>
      <c r="AE32">
        <f t="shared" si="38"/>
        <v>41963.85</v>
      </c>
      <c r="AF32">
        <f t="shared" si="39"/>
        <v>41983.924999999996</v>
      </c>
      <c r="AG32">
        <f t="shared" si="40"/>
        <v>42004</v>
      </c>
      <c r="AH32">
        <f t="shared" si="41"/>
        <v>42024.074999999997</v>
      </c>
      <c r="AI32">
        <f t="shared" si="42"/>
        <v>42044.15</v>
      </c>
      <c r="AJ32">
        <f t="shared" si="43"/>
        <v>42064.224999999999</v>
      </c>
      <c r="AK32">
        <f t="shared" si="44"/>
        <v>42084.299999999996</v>
      </c>
      <c r="AL32">
        <f t="shared" si="45"/>
        <v>42104.375</v>
      </c>
      <c r="AM32">
        <f t="shared" si="46"/>
        <v>42124.45</v>
      </c>
      <c r="AN32" t="e">
        <f t="shared" si="47"/>
        <v>#N/A</v>
      </c>
      <c r="AO32" t="e">
        <f t="shared" si="48"/>
        <v>#N/A</v>
      </c>
      <c r="AP32" t="e">
        <f t="shared" si="49"/>
        <v>#N/A</v>
      </c>
      <c r="AQ32" t="e">
        <f t="shared" si="50"/>
        <v>#N/A</v>
      </c>
      <c r="AR32" t="e">
        <f t="shared" si="51"/>
        <v>#N/A</v>
      </c>
      <c r="AS32" t="e">
        <f t="shared" si="52"/>
        <v>#N/A</v>
      </c>
      <c r="AU32">
        <f t="shared" si="6"/>
        <v>0.25</v>
      </c>
      <c r="AV32">
        <f t="shared" si="7"/>
        <v>0.25</v>
      </c>
      <c r="AW32">
        <f t="shared" si="8"/>
        <v>0.25</v>
      </c>
      <c r="AX32">
        <f t="shared" si="9"/>
        <v>0.25</v>
      </c>
      <c r="AY32">
        <f t="shared" si="10"/>
        <v>0.25</v>
      </c>
      <c r="AZ32">
        <f t="shared" si="11"/>
        <v>0.25</v>
      </c>
      <c r="BA32">
        <f t="shared" si="12"/>
        <v>0.25</v>
      </c>
      <c r="BB32">
        <f t="shared" si="13"/>
        <v>0.25</v>
      </c>
      <c r="BC32">
        <f t="shared" si="14"/>
        <v>0.25</v>
      </c>
      <c r="BD32">
        <f t="shared" si="15"/>
        <v>0.25</v>
      </c>
      <c r="BE32">
        <f t="shared" si="16"/>
        <v>0.25</v>
      </c>
      <c r="BF32">
        <f t="shared" si="17"/>
        <v>0.25</v>
      </c>
      <c r="BG32">
        <f t="shared" si="18"/>
        <v>0.25</v>
      </c>
      <c r="BH32" t="str">
        <f t="shared" si="19"/>
        <v/>
      </c>
      <c r="BI32" t="str">
        <f t="shared" si="20"/>
        <v/>
      </c>
      <c r="BJ32" t="str">
        <f t="shared" si="21"/>
        <v/>
      </c>
      <c r="BK32" t="str">
        <f t="shared" si="22"/>
        <v/>
      </c>
      <c r="BL32" t="str">
        <f t="shared" si="23"/>
        <v/>
      </c>
      <c r="BM32" t="str">
        <f t="shared" si="24"/>
        <v/>
      </c>
      <c r="BP32"/>
      <c r="BR32"/>
    </row>
    <row r="33" spans="1:70" x14ac:dyDescent="0.25">
      <c r="A33" s="1">
        <v>41165</v>
      </c>
      <c r="B33">
        <v>1.5</v>
      </c>
      <c r="C33" s="4">
        <v>42004</v>
      </c>
      <c r="D33">
        <v>2</v>
      </c>
      <c r="E33">
        <f t="shared" si="0"/>
        <v>0.15789473684210525</v>
      </c>
      <c r="F33" s="4"/>
      <c r="G33">
        <v>1</v>
      </c>
      <c r="H33">
        <f t="shared" ref="H33:Y33" si="72">IF($D33&gt;G33,G33+1,"")</f>
        <v>2</v>
      </c>
      <c r="I33" t="str">
        <f t="shared" si="72"/>
        <v/>
      </c>
      <c r="J33" t="str">
        <f t="shared" si="72"/>
        <v/>
      </c>
      <c r="K33" t="str">
        <f t="shared" si="72"/>
        <v/>
      </c>
      <c r="L33" t="str">
        <f t="shared" si="72"/>
        <v/>
      </c>
      <c r="M33" t="str">
        <f t="shared" si="72"/>
        <v/>
      </c>
      <c r="N33" t="str">
        <f t="shared" si="72"/>
        <v/>
      </c>
      <c r="O33" t="str">
        <f t="shared" si="72"/>
        <v/>
      </c>
      <c r="P33" t="str">
        <f t="shared" si="72"/>
        <v/>
      </c>
      <c r="Q33" t="str">
        <f t="shared" si="72"/>
        <v/>
      </c>
      <c r="R33" t="str">
        <f t="shared" si="72"/>
        <v/>
      </c>
      <c r="S33" t="str">
        <f t="shared" si="72"/>
        <v/>
      </c>
      <c r="T33" t="str">
        <f t="shared" si="72"/>
        <v/>
      </c>
      <c r="U33" t="str">
        <f t="shared" si="72"/>
        <v/>
      </c>
      <c r="V33" t="str">
        <f t="shared" si="72"/>
        <v/>
      </c>
      <c r="W33" t="str">
        <f t="shared" si="72"/>
        <v/>
      </c>
      <c r="X33" t="str">
        <f t="shared" si="72"/>
        <v/>
      </c>
      <c r="Y33" t="str">
        <f t="shared" si="72"/>
        <v/>
      </c>
      <c r="AA33">
        <f t="shared" si="5"/>
        <v>41993.962500000001</v>
      </c>
      <c r="AB33">
        <f t="shared" si="54"/>
        <v>42014.037500000006</v>
      </c>
      <c r="AC33" t="e">
        <f t="shared" si="55"/>
        <v>#N/A</v>
      </c>
      <c r="AD33" t="e">
        <f t="shared" si="56"/>
        <v>#N/A</v>
      </c>
      <c r="AE33" t="e">
        <f t="shared" si="38"/>
        <v>#N/A</v>
      </c>
      <c r="AF33" t="e">
        <f t="shared" si="39"/>
        <v>#N/A</v>
      </c>
      <c r="AG33" t="e">
        <f t="shared" si="40"/>
        <v>#N/A</v>
      </c>
      <c r="AH33" t="e">
        <f t="shared" si="41"/>
        <v>#N/A</v>
      </c>
      <c r="AI33" t="e">
        <f t="shared" si="42"/>
        <v>#N/A</v>
      </c>
      <c r="AJ33" t="e">
        <f t="shared" si="43"/>
        <v>#N/A</v>
      </c>
      <c r="AK33" t="e">
        <f t="shared" si="44"/>
        <v>#N/A</v>
      </c>
      <c r="AL33" t="e">
        <f t="shared" si="45"/>
        <v>#N/A</v>
      </c>
      <c r="AM33" t="e">
        <f t="shared" si="46"/>
        <v>#N/A</v>
      </c>
      <c r="AN33" t="e">
        <f t="shared" si="47"/>
        <v>#N/A</v>
      </c>
      <c r="AO33" t="e">
        <f t="shared" si="48"/>
        <v>#N/A</v>
      </c>
      <c r="AP33" t="e">
        <f t="shared" si="49"/>
        <v>#N/A</v>
      </c>
      <c r="AQ33" t="e">
        <f t="shared" si="50"/>
        <v>#N/A</v>
      </c>
      <c r="AR33" t="e">
        <f t="shared" si="51"/>
        <v>#N/A</v>
      </c>
      <c r="AS33" t="e">
        <f t="shared" si="52"/>
        <v>#N/A</v>
      </c>
      <c r="AU33">
        <f t="shared" si="6"/>
        <v>1.5</v>
      </c>
      <c r="AV33">
        <f t="shared" si="7"/>
        <v>1.5</v>
      </c>
      <c r="AW33" t="str">
        <f t="shared" si="8"/>
        <v/>
      </c>
      <c r="AX33" t="str">
        <f t="shared" si="9"/>
        <v/>
      </c>
      <c r="AY33" t="str">
        <f t="shared" si="10"/>
        <v/>
      </c>
      <c r="AZ33" t="str">
        <f t="shared" si="11"/>
        <v/>
      </c>
      <c r="BA33" t="str">
        <f t="shared" si="12"/>
        <v/>
      </c>
      <c r="BB33" t="str">
        <f t="shared" si="13"/>
        <v/>
      </c>
      <c r="BC33" t="str">
        <f t="shared" si="14"/>
        <v/>
      </c>
      <c r="BD33" t="str">
        <f t="shared" si="15"/>
        <v/>
      </c>
      <c r="BE33" t="str">
        <f t="shared" si="16"/>
        <v/>
      </c>
      <c r="BF33" t="str">
        <f t="shared" si="17"/>
        <v/>
      </c>
      <c r="BG33" t="str">
        <f t="shared" si="18"/>
        <v/>
      </c>
      <c r="BH33" t="str">
        <f t="shared" si="19"/>
        <v/>
      </c>
      <c r="BI33" t="str">
        <f t="shared" si="20"/>
        <v/>
      </c>
      <c r="BJ33" t="str">
        <f t="shared" si="21"/>
        <v/>
      </c>
      <c r="BK33" t="str">
        <f t="shared" si="22"/>
        <v/>
      </c>
      <c r="BL33" t="str">
        <f t="shared" si="23"/>
        <v/>
      </c>
      <c r="BM33" t="str">
        <f t="shared" si="24"/>
        <v/>
      </c>
      <c r="BP33"/>
      <c r="BR33"/>
    </row>
    <row r="34" spans="1:70" x14ac:dyDescent="0.25">
      <c r="A34" s="1">
        <v>41165</v>
      </c>
      <c r="B34" s="2">
        <v>1.75</v>
      </c>
      <c r="C34" s="4">
        <v>42004</v>
      </c>
      <c r="D34">
        <v>2</v>
      </c>
      <c r="E34">
        <f t="shared" si="0"/>
        <v>0.18421052631578946</v>
      </c>
      <c r="F34" s="4"/>
      <c r="G34">
        <v>1</v>
      </c>
      <c r="H34">
        <f t="shared" ref="H34:Y34" si="73">IF($D34&gt;G34,G34+1,"")</f>
        <v>2</v>
      </c>
      <c r="I34" t="str">
        <f t="shared" si="73"/>
        <v/>
      </c>
      <c r="J34" t="str">
        <f t="shared" si="73"/>
        <v/>
      </c>
      <c r="K34" t="str">
        <f t="shared" si="73"/>
        <v/>
      </c>
      <c r="L34" t="str">
        <f t="shared" si="73"/>
        <v/>
      </c>
      <c r="M34" t="str">
        <f t="shared" si="73"/>
        <v/>
      </c>
      <c r="N34" t="str">
        <f t="shared" si="73"/>
        <v/>
      </c>
      <c r="O34" t="str">
        <f t="shared" si="73"/>
        <v/>
      </c>
      <c r="P34" t="str">
        <f t="shared" si="73"/>
        <v/>
      </c>
      <c r="Q34" t="str">
        <f t="shared" si="73"/>
        <v/>
      </c>
      <c r="R34" t="str">
        <f t="shared" si="73"/>
        <v/>
      </c>
      <c r="S34" t="str">
        <f t="shared" si="73"/>
        <v/>
      </c>
      <c r="T34" t="str">
        <f t="shared" si="73"/>
        <v/>
      </c>
      <c r="U34" t="str">
        <f t="shared" si="73"/>
        <v/>
      </c>
      <c r="V34" t="str">
        <f t="shared" si="73"/>
        <v/>
      </c>
      <c r="W34" t="str">
        <f t="shared" si="73"/>
        <v/>
      </c>
      <c r="X34" t="str">
        <f t="shared" si="73"/>
        <v/>
      </c>
      <c r="Y34" t="str">
        <f t="shared" si="73"/>
        <v/>
      </c>
      <c r="AA34">
        <f t="shared" si="5"/>
        <v>41993.962500000001</v>
      </c>
      <c r="AB34">
        <f t="shared" si="54"/>
        <v>42014.037500000006</v>
      </c>
      <c r="AC34" t="e">
        <f t="shared" si="55"/>
        <v>#N/A</v>
      </c>
      <c r="AD34" t="e">
        <f t="shared" si="56"/>
        <v>#N/A</v>
      </c>
      <c r="AE34" t="e">
        <f t="shared" si="38"/>
        <v>#N/A</v>
      </c>
      <c r="AF34" t="e">
        <f t="shared" si="39"/>
        <v>#N/A</v>
      </c>
      <c r="AG34" t="e">
        <f t="shared" si="40"/>
        <v>#N/A</v>
      </c>
      <c r="AH34" t="e">
        <f t="shared" si="41"/>
        <v>#N/A</v>
      </c>
      <c r="AI34" t="e">
        <f t="shared" si="42"/>
        <v>#N/A</v>
      </c>
      <c r="AJ34" t="e">
        <f t="shared" si="43"/>
        <v>#N/A</v>
      </c>
      <c r="AK34" t="e">
        <f t="shared" si="44"/>
        <v>#N/A</v>
      </c>
      <c r="AL34" t="e">
        <f t="shared" si="45"/>
        <v>#N/A</v>
      </c>
      <c r="AM34" t="e">
        <f t="shared" si="46"/>
        <v>#N/A</v>
      </c>
      <c r="AN34" t="e">
        <f t="shared" si="47"/>
        <v>#N/A</v>
      </c>
      <c r="AO34" t="e">
        <f t="shared" si="48"/>
        <v>#N/A</v>
      </c>
      <c r="AP34" t="e">
        <f t="shared" si="49"/>
        <v>#N/A</v>
      </c>
      <c r="AQ34" t="e">
        <f t="shared" si="50"/>
        <v>#N/A</v>
      </c>
      <c r="AR34" t="e">
        <f t="shared" si="51"/>
        <v>#N/A</v>
      </c>
      <c r="AS34" t="e">
        <f t="shared" si="52"/>
        <v>#N/A</v>
      </c>
      <c r="AU34">
        <f t="shared" si="6"/>
        <v>1.75</v>
      </c>
      <c r="AV34">
        <f t="shared" si="7"/>
        <v>1.75</v>
      </c>
      <c r="AW34" t="str">
        <f t="shared" si="8"/>
        <v/>
      </c>
      <c r="AX34" t="str">
        <f t="shared" si="9"/>
        <v/>
      </c>
      <c r="AY34" t="str">
        <f t="shared" si="10"/>
        <v/>
      </c>
      <c r="AZ34" t="str">
        <f t="shared" si="11"/>
        <v/>
      </c>
      <c r="BA34" t="str">
        <f t="shared" si="12"/>
        <v/>
      </c>
      <c r="BB34" t="str">
        <f t="shared" si="13"/>
        <v/>
      </c>
      <c r="BC34" t="str">
        <f t="shared" si="14"/>
        <v/>
      </c>
      <c r="BD34" t="str">
        <f t="shared" si="15"/>
        <v/>
      </c>
      <c r="BE34" t="str">
        <f t="shared" si="16"/>
        <v/>
      </c>
      <c r="BF34" t="str">
        <f t="shared" si="17"/>
        <v/>
      </c>
      <c r="BG34" t="str">
        <f t="shared" si="18"/>
        <v/>
      </c>
      <c r="BH34" t="str">
        <f t="shared" si="19"/>
        <v/>
      </c>
      <c r="BI34" t="str">
        <f t="shared" si="20"/>
        <v/>
      </c>
      <c r="BJ34" t="str">
        <f t="shared" si="21"/>
        <v/>
      </c>
      <c r="BK34" t="str">
        <f t="shared" si="22"/>
        <v/>
      </c>
      <c r="BL34" t="str">
        <f t="shared" si="23"/>
        <v/>
      </c>
      <c r="BM34" t="str">
        <f t="shared" si="24"/>
        <v/>
      </c>
      <c r="BP34"/>
      <c r="BR34"/>
    </row>
    <row r="35" spans="1:70" x14ac:dyDescent="0.25">
      <c r="A35" s="1">
        <v>41165</v>
      </c>
      <c r="B35">
        <v>2.5</v>
      </c>
      <c r="C35" s="4">
        <v>42004</v>
      </c>
      <c r="D35">
        <v>1</v>
      </c>
      <c r="E35">
        <f t="shared" si="0"/>
        <v>0.13157894736842105</v>
      </c>
      <c r="F35" s="4"/>
      <c r="G35">
        <v>1</v>
      </c>
      <c r="H35" t="str">
        <f t="shared" ref="H35:Y35" si="74">IF($D35&gt;G35,G35+1,"")</f>
        <v/>
      </c>
      <c r="I35" t="str">
        <f t="shared" si="74"/>
        <v/>
      </c>
      <c r="J35" t="str">
        <f t="shared" si="74"/>
        <v/>
      </c>
      <c r="K35" t="str">
        <f t="shared" si="74"/>
        <v/>
      </c>
      <c r="L35" t="str">
        <f t="shared" si="74"/>
        <v/>
      </c>
      <c r="M35" t="str">
        <f t="shared" si="74"/>
        <v/>
      </c>
      <c r="N35" t="str">
        <f t="shared" si="74"/>
        <v/>
      </c>
      <c r="O35" t="str">
        <f t="shared" si="74"/>
        <v/>
      </c>
      <c r="P35" t="str">
        <f t="shared" si="74"/>
        <v/>
      </c>
      <c r="Q35" t="str">
        <f t="shared" si="74"/>
        <v/>
      </c>
      <c r="R35" t="str">
        <f t="shared" si="74"/>
        <v/>
      </c>
      <c r="S35" t="str">
        <f t="shared" si="74"/>
        <v/>
      </c>
      <c r="T35" t="str">
        <f t="shared" si="74"/>
        <v/>
      </c>
      <c r="U35" t="str">
        <f t="shared" si="74"/>
        <v/>
      </c>
      <c r="V35" t="str">
        <f t="shared" si="74"/>
        <v/>
      </c>
      <c r="W35" t="str">
        <f t="shared" si="74"/>
        <v/>
      </c>
      <c r="X35" t="str">
        <f t="shared" si="74"/>
        <v/>
      </c>
      <c r="Y35" t="str">
        <f t="shared" si="74"/>
        <v/>
      </c>
      <c r="AA35">
        <f t="shared" si="5"/>
        <v>42004</v>
      </c>
      <c r="AB35" t="e">
        <f t="shared" si="54"/>
        <v>#N/A</v>
      </c>
      <c r="AC35" t="e">
        <f t="shared" si="55"/>
        <v>#N/A</v>
      </c>
      <c r="AD35" t="e">
        <f t="shared" si="56"/>
        <v>#N/A</v>
      </c>
      <c r="AE35" t="e">
        <f t="shared" si="38"/>
        <v>#N/A</v>
      </c>
      <c r="AF35" t="e">
        <f t="shared" si="39"/>
        <v>#N/A</v>
      </c>
      <c r="AG35" t="e">
        <f t="shared" si="40"/>
        <v>#N/A</v>
      </c>
      <c r="AH35" t="e">
        <f t="shared" si="41"/>
        <v>#N/A</v>
      </c>
      <c r="AI35" t="e">
        <f t="shared" si="42"/>
        <v>#N/A</v>
      </c>
      <c r="AJ35" t="e">
        <f t="shared" si="43"/>
        <v>#N/A</v>
      </c>
      <c r="AK35" t="e">
        <f t="shared" si="44"/>
        <v>#N/A</v>
      </c>
      <c r="AL35" t="e">
        <f t="shared" si="45"/>
        <v>#N/A</v>
      </c>
      <c r="AM35" t="e">
        <f t="shared" si="46"/>
        <v>#N/A</v>
      </c>
      <c r="AN35" t="e">
        <f t="shared" si="47"/>
        <v>#N/A</v>
      </c>
      <c r="AO35" t="e">
        <f t="shared" si="48"/>
        <v>#N/A</v>
      </c>
      <c r="AP35" t="e">
        <f t="shared" si="49"/>
        <v>#N/A</v>
      </c>
      <c r="AQ35" t="e">
        <f t="shared" si="50"/>
        <v>#N/A</v>
      </c>
      <c r="AR35" t="e">
        <f t="shared" si="51"/>
        <v>#N/A</v>
      </c>
      <c r="AS35" t="e">
        <f t="shared" si="52"/>
        <v>#N/A</v>
      </c>
      <c r="AU35">
        <f t="shared" si="6"/>
        <v>2.5</v>
      </c>
      <c r="AV35" t="str">
        <f t="shared" si="7"/>
        <v/>
      </c>
      <c r="AW35" t="str">
        <f t="shared" si="8"/>
        <v/>
      </c>
      <c r="AX35" t="str">
        <f t="shared" si="9"/>
        <v/>
      </c>
      <c r="AY35" t="str">
        <f t="shared" si="10"/>
        <v/>
      </c>
      <c r="AZ35" t="str">
        <f t="shared" si="11"/>
        <v/>
      </c>
      <c r="BA35" t="str">
        <f t="shared" si="12"/>
        <v/>
      </c>
      <c r="BB35" t="str">
        <f t="shared" si="13"/>
        <v/>
      </c>
      <c r="BC35" t="str">
        <f t="shared" si="14"/>
        <v/>
      </c>
      <c r="BD35" t="str">
        <f t="shared" si="15"/>
        <v/>
      </c>
      <c r="BE35" t="str">
        <f t="shared" si="16"/>
        <v/>
      </c>
      <c r="BF35" t="str">
        <f t="shared" si="17"/>
        <v/>
      </c>
      <c r="BG35" t="str">
        <f t="shared" si="18"/>
        <v/>
      </c>
      <c r="BH35" t="str">
        <f t="shared" si="19"/>
        <v/>
      </c>
      <c r="BI35" t="str">
        <f t="shared" si="20"/>
        <v/>
      </c>
      <c r="BJ35" t="str">
        <f t="shared" si="21"/>
        <v/>
      </c>
      <c r="BK35" t="str">
        <f t="shared" si="22"/>
        <v/>
      </c>
      <c r="BL35" t="str">
        <f t="shared" si="23"/>
        <v/>
      </c>
      <c r="BM35" t="str">
        <f t="shared" si="24"/>
        <v/>
      </c>
      <c r="BP35"/>
      <c r="BR35"/>
    </row>
    <row r="36" spans="1:70" x14ac:dyDescent="0.25">
      <c r="A36" s="1">
        <v>41165</v>
      </c>
      <c r="B36">
        <v>3</v>
      </c>
      <c r="C36" s="4">
        <v>42004</v>
      </c>
      <c r="D36">
        <v>1</v>
      </c>
      <c r="E36">
        <f t="shared" si="0"/>
        <v>0.15789473684210525</v>
      </c>
      <c r="F36" s="4"/>
      <c r="G36">
        <v>1</v>
      </c>
      <c r="H36" t="str">
        <f t="shared" ref="H36:Y36" si="75">IF($D36&gt;G36,G36+1,"")</f>
        <v/>
      </c>
      <c r="I36" t="str">
        <f t="shared" si="75"/>
        <v/>
      </c>
      <c r="J36" t="str">
        <f t="shared" si="75"/>
        <v/>
      </c>
      <c r="K36" t="str">
        <f t="shared" si="75"/>
        <v/>
      </c>
      <c r="L36" t="str">
        <f t="shared" si="75"/>
        <v/>
      </c>
      <c r="M36" t="str">
        <f t="shared" si="75"/>
        <v/>
      </c>
      <c r="N36" t="str">
        <f t="shared" si="75"/>
        <v/>
      </c>
      <c r="O36" t="str">
        <f t="shared" si="75"/>
        <v/>
      </c>
      <c r="P36" t="str">
        <f t="shared" si="75"/>
        <v/>
      </c>
      <c r="Q36" t="str">
        <f t="shared" si="75"/>
        <v/>
      </c>
      <c r="R36" t="str">
        <f t="shared" si="75"/>
        <v/>
      </c>
      <c r="S36" t="str">
        <f t="shared" si="75"/>
        <v/>
      </c>
      <c r="T36" t="str">
        <f t="shared" si="75"/>
        <v/>
      </c>
      <c r="U36" t="str">
        <f t="shared" si="75"/>
        <v/>
      </c>
      <c r="V36" t="str">
        <f t="shared" si="75"/>
        <v/>
      </c>
      <c r="W36" t="str">
        <f t="shared" si="75"/>
        <v/>
      </c>
      <c r="X36" t="str">
        <f t="shared" si="75"/>
        <v/>
      </c>
      <c r="Y36" t="str">
        <f t="shared" si="75"/>
        <v/>
      </c>
      <c r="AA36">
        <f t="shared" si="5"/>
        <v>42004</v>
      </c>
      <c r="AB36" t="e">
        <f t="shared" si="54"/>
        <v>#N/A</v>
      </c>
      <c r="AC36" t="e">
        <f t="shared" si="55"/>
        <v>#N/A</v>
      </c>
      <c r="AD36" t="e">
        <f t="shared" si="56"/>
        <v>#N/A</v>
      </c>
      <c r="AE36" t="e">
        <f t="shared" si="38"/>
        <v>#N/A</v>
      </c>
      <c r="AF36" t="e">
        <f t="shared" si="39"/>
        <v>#N/A</v>
      </c>
      <c r="AG36" t="e">
        <f t="shared" si="40"/>
        <v>#N/A</v>
      </c>
      <c r="AH36" t="e">
        <f t="shared" si="41"/>
        <v>#N/A</v>
      </c>
      <c r="AI36" t="e">
        <f t="shared" si="42"/>
        <v>#N/A</v>
      </c>
      <c r="AJ36" t="e">
        <f t="shared" si="43"/>
        <v>#N/A</v>
      </c>
      <c r="AK36" t="e">
        <f t="shared" si="44"/>
        <v>#N/A</v>
      </c>
      <c r="AL36" t="e">
        <f t="shared" si="45"/>
        <v>#N/A</v>
      </c>
      <c r="AM36" t="e">
        <f t="shared" si="46"/>
        <v>#N/A</v>
      </c>
      <c r="AN36" t="e">
        <f t="shared" si="47"/>
        <v>#N/A</v>
      </c>
      <c r="AO36" t="e">
        <f t="shared" si="48"/>
        <v>#N/A</v>
      </c>
      <c r="AP36" t="e">
        <f t="shared" si="49"/>
        <v>#N/A</v>
      </c>
      <c r="AQ36" t="e">
        <f t="shared" si="50"/>
        <v>#N/A</v>
      </c>
      <c r="AR36" t="e">
        <f t="shared" si="51"/>
        <v>#N/A</v>
      </c>
      <c r="AS36" t="e">
        <f t="shared" si="52"/>
        <v>#N/A</v>
      </c>
      <c r="AU36">
        <f t="shared" si="6"/>
        <v>3</v>
      </c>
      <c r="AV36" t="str">
        <f t="shared" si="7"/>
        <v/>
      </c>
      <c r="AW36" t="str">
        <f t="shared" si="8"/>
        <v/>
      </c>
      <c r="AX36" t="str">
        <f t="shared" si="9"/>
        <v/>
      </c>
      <c r="AY36" t="str">
        <f t="shared" si="10"/>
        <v/>
      </c>
      <c r="AZ36" t="str">
        <f t="shared" si="11"/>
        <v/>
      </c>
      <c r="BA36" t="str">
        <f t="shared" si="12"/>
        <v/>
      </c>
      <c r="BB36" t="str">
        <f t="shared" si="13"/>
        <v/>
      </c>
      <c r="BC36" t="str">
        <f t="shared" si="14"/>
        <v/>
      </c>
      <c r="BD36" t="str">
        <f t="shared" si="15"/>
        <v/>
      </c>
      <c r="BE36" t="str">
        <f t="shared" si="16"/>
        <v/>
      </c>
      <c r="BF36" t="str">
        <f t="shared" si="17"/>
        <v/>
      </c>
      <c r="BG36" t="str">
        <f t="shared" si="18"/>
        <v/>
      </c>
      <c r="BH36" t="str">
        <f t="shared" si="19"/>
        <v/>
      </c>
      <c r="BI36" t="str">
        <f t="shared" si="20"/>
        <v/>
      </c>
      <c r="BJ36" t="str">
        <f t="shared" si="21"/>
        <v/>
      </c>
      <c r="BK36" t="str">
        <f t="shared" si="22"/>
        <v/>
      </c>
      <c r="BL36" t="str">
        <f t="shared" si="23"/>
        <v/>
      </c>
      <c r="BM36" t="str">
        <f t="shared" si="24"/>
        <v/>
      </c>
      <c r="BP36"/>
      <c r="BR36"/>
    </row>
    <row r="37" spans="1:70" x14ac:dyDescent="0.25">
      <c r="A37" s="1">
        <v>41165</v>
      </c>
      <c r="B37" s="2">
        <v>0.25</v>
      </c>
      <c r="C37" s="4">
        <v>42369</v>
      </c>
      <c r="D37">
        <v>1</v>
      </c>
      <c r="E37">
        <f t="shared" si="0"/>
        <v>1.3157894736842105E-2</v>
      </c>
      <c r="F37" s="4"/>
      <c r="G37">
        <v>1</v>
      </c>
      <c r="H37" t="str">
        <f t="shared" ref="H37:Y37" si="76">IF($D37&gt;G37,G37+1,"")</f>
        <v/>
      </c>
      <c r="I37" t="str">
        <f t="shared" si="76"/>
        <v/>
      </c>
      <c r="J37" t="str">
        <f t="shared" si="76"/>
        <v/>
      </c>
      <c r="K37" t="str">
        <f t="shared" si="76"/>
        <v/>
      </c>
      <c r="L37" t="str">
        <f t="shared" si="76"/>
        <v/>
      </c>
      <c r="M37" t="str">
        <f t="shared" si="76"/>
        <v/>
      </c>
      <c r="N37" t="str">
        <f t="shared" si="76"/>
        <v/>
      </c>
      <c r="O37" t="str">
        <f t="shared" si="76"/>
        <v/>
      </c>
      <c r="P37" t="str">
        <f t="shared" si="76"/>
        <v/>
      </c>
      <c r="Q37" t="str">
        <f t="shared" si="76"/>
        <v/>
      </c>
      <c r="R37" t="str">
        <f t="shared" si="76"/>
        <v/>
      </c>
      <c r="S37" t="str">
        <f t="shared" si="76"/>
        <v/>
      </c>
      <c r="T37" t="str">
        <f t="shared" si="76"/>
        <v/>
      </c>
      <c r="U37" t="str">
        <f t="shared" si="76"/>
        <v/>
      </c>
      <c r="V37" t="str">
        <f t="shared" si="76"/>
        <v/>
      </c>
      <c r="W37" t="str">
        <f t="shared" si="76"/>
        <v/>
      </c>
      <c r="X37" t="str">
        <f t="shared" si="76"/>
        <v/>
      </c>
      <c r="Y37" t="str">
        <f t="shared" si="76"/>
        <v/>
      </c>
      <c r="AA37">
        <f t="shared" si="5"/>
        <v>42369</v>
      </c>
      <c r="AB37" t="e">
        <f t="shared" si="54"/>
        <v>#N/A</v>
      </c>
      <c r="AC37" t="e">
        <f t="shared" si="55"/>
        <v>#N/A</v>
      </c>
      <c r="AD37" t="e">
        <f t="shared" si="56"/>
        <v>#N/A</v>
      </c>
      <c r="AE37" t="e">
        <f t="shared" si="38"/>
        <v>#N/A</v>
      </c>
      <c r="AF37" t="e">
        <f t="shared" si="39"/>
        <v>#N/A</v>
      </c>
      <c r="AG37" t="e">
        <f t="shared" si="40"/>
        <v>#N/A</v>
      </c>
      <c r="AH37" t="e">
        <f t="shared" si="41"/>
        <v>#N/A</v>
      </c>
      <c r="AI37" t="e">
        <f t="shared" si="42"/>
        <v>#N/A</v>
      </c>
      <c r="AJ37" t="e">
        <f t="shared" si="43"/>
        <v>#N/A</v>
      </c>
      <c r="AK37" t="e">
        <f t="shared" si="44"/>
        <v>#N/A</v>
      </c>
      <c r="AL37" t="e">
        <f t="shared" si="45"/>
        <v>#N/A</v>
      </c>
      <c r="AM37" t="e">
        <f t="shared" si="46"/>
        <v>#N/A</v>
      </c>
      <c r="AN37" t="e">
        <f t="shared" si="47"/>
        <v>#N/A</v>
      </c>
      <c r="AO37" t="e">
        <f t="shared" si="48"/>
        <v>#N/A</v>
      </c>
      <c r="AP37" t="e">
        <f t="shared" si="49"/>
        <v>#N/A</v>
      </c>
      <c r="AQ37" t="e">
        <f t="shared" si="50"/>
        <v>#N/A</v>
      </c>
      <c r="AR37" t="e">
        <f t="shared" si="51"/>
        <v>#N/A</v>
      </c>
      <c r="AS37" t="e">
        <f t="shared" si="52"/>
        <v>#N/A</v>
      </c>
      <c r="AU37">
        <f t="shared" si="6"/>
        <v>0.25</v>
      </c>
      <c r="AV37" t="str">
        <f t="shared" si="7"/>
        <v/>
      </c>
      <c r="AW37" t="str">
        <f t="shared" si="8"/>
        <v/>
      </c>
      <c r="AX37" t="str">
        <f t="shared" si="9"/>
        <v/>
      </c>
      <c r="AY37" t="str">
        <f t="shared" si="10"/>
        <v/>
      </c>
      <c r="AZ37" t="str">
        <f t="shared" si="11"/>
        <v/>
      </c>
      <c r="BA37" t="str">
        <f t="shared" si="12"/>
        <v/>
      </c>
      <c r="BB37" t="str">
        <f t="shared" si="13"/>
        <v/>
      </c>
      <c r="BC37" t="str">
        <f t="shared" si="14"/>
        <v/>
      </c>
      <c r="BD37" t="str">
        <f t="shared" si="15"/>
        <v/>
      </c>
      <c r="BE37" t="str">
        <f t="shared" si="16"/>
        <v/>
      </c>
      <c r="BF37" t="str">
        <f t="shared" si="17"/>
        <v/>
      </c>
      <c r="BG37" t="str">
        <f t="shared" si="18"/>
        <v/>
      </c>
      <c r="BH37" t="str">
        <f t="shared" si="19"/>
        <v/>
      </c>
      <c r="BI37" t="str">
        <f t="shared" si="20"/>
        <v/>
      </c>
      <c r="BJ37" t="str">
        <f t="shared" si="21"/>
        <v/>
      </c>
      <c r="BK37" t="str">
        <f t="shared" si="22"/>
        <v/>
      </c>
      <c r="BL37" t="str">
        <f t="shared" si="23"/>
        <v/>
      </c>
      <c r="BM37" t="str">
        <f t="shared" si="24"/>
        <v/>
      </c>
      <c r="BP37"/>
      <c r="BR37"/>
    </row>
    <row r="38" spans="1:70" x14ac:dyDescent="0.25">
      <c r="A38" s="1">
        <v>41165</v>
      </c>
      <c r="B38">
        <v>0.5</v>
      </c>
      <c r="C38" s="4">
        <v>42369</v>
      </c>
      <c r="D38">
        <v>2</v>
      </c>
      <c r="E38">
        <f t="shared" si="0"/>
        <v>5.2631578947368418E-2</v>
      </c>
      <c r="F38" s="4"/>
      <c r="G38">
        <v>1</v>
      </c>
      <c r="H38">
        <f t="shared" ref="H38:Y38" si="77">IF($D38&gt;G38,G38+1,"")</f>
        <v>2</v>
      </c>
      <c r="I38" t="str">
        <f t="shared" si="77"/>
        <v/>
      </c>
      <c r="J38" t="str">
        <f t="shared" si="77"/>
        <v/>
      </c>
      <c r="K38" t="str">
        <f t="shared" si="77"/>
        <v/>
      </c>
      <c r="L38" t="str">
        <f t="shared" si="77"/>
        <v/>
      </c>
      <c r="M38" t="str">
        <f t="shared" si="77"/>
        <v/>
      </c>
      <c r="N38" t="str">
        <f t="shared" si="77"/>
        <v/>
      </c>
      <c r="O38" t="str">
        <f t="shared" si="77"/>
        <v/>
      </c>
      <c r="P38" t="str">
        <f t="shared" si="77"/>
        <v/>
      </c>
      <c r="Q38" t="str">
        <f t="shared" si="77"/>
        <v/>
      </c>
      <c r="R38" t="str">
        <f t="shared" si="77"/>
        <v/>
      </c>
      <c r="S38" t="str">
        <f t="shared" si="77"/>
        <v/>
      </c>
      <c r="T38" t="str">
        <f t="shared" si="77"/>
        <v/>
      </c>
      <c r="U38" t="str">
        <f t="shared" si="77"/>
        <v/>
      </c>
      <c r="V38" t="str">
        <f t="shared" si="77"/>
        <v/>
      </c>
      <c r="W38" t="str">
        <f t="shared" si="77"/>
        <v/>
      </c>
      <c r="X38" t="str">
        <f t="shared" si="77"/>
        <v/>
      </c>
      <c r="Y38" t="str">
        <f t="shared" si="77"/>
        <v/>
      </c>
      <c r="AA38">
        <f t="shared" si="5"/>
        <v>42358.962500000001</v>
      </c>
      <c r="AB38">
        <f t="shared" si="54"/>
        <v>42379.037500000006</v>
      </c>
      <c r="AC38" t="e">
        <f t="shared" si="55"/>
        <v>#N/A</v>
      </c>
      <c r="AD38" t="e">
        <f t="shared" si="56"/>
        <v>#N/A</v>
      </c>
      <c r="AE38" t="e">
        <f t="shared" si="38"/>
        <v>#N/A</v>
      </c>
      <c r="AF38" t="e">
        <f t="shared" si="39"/>
        <v>#N/A</v>
      </c>
      <c r="AG38" t="e">
        <f t="shared" si="40"/>
        <v>#N/A</v>
      </c>
      <c r="AH38" t="e">
        <f t="shared" si="41"/>
        <v>#N/A</v>
      </c>
      <c r="AI38" t="e">
        <f t="shared" si="42"/>
        <v>#N/A</v>
      </c>
      <c r="AJ38" t="e">
        <f t="shared" si="43"/>
        <v>#N/A</v>
      </c>
      <c r="AK38" t="e">
        <f t="shared" si="44"/>
        <v>#N/A</v>
      </c>
      <c r="AL38" t="e">
        <f t="shared" si="45"/>
        <v>#N/A</v>
      </c>
      <c r="AM38" t="e">
        <f t="shared" si="46"/>
        <v>#N/A</v>
      </c>
      <c r="AN38" t="e">
        <f t="shared" si="47"/>
        <v>#N/A</v>
      </c>
      <c r="AO38" t="e">
        <f t="shared" si="48"/>
        <v>#N/A</v>
      </c>
      <c r="AP38" t="e">
        <f t="shared" si="49"/>
        <v>#N/A</v>
      </c>
      <c r="AQ38" t="e">
        <f t="shared" si="50"/>
        <v>#N/A</v>
      </c>
      <c r="AR38" t="e">
        <f t="shared" si="51"/>
        <v>#N/A</v>
      </c>
      <c r="AS38" t="e">
        <f t="shared" si="52"/>
        <v>#N/A</v>
      </c>
      <c r="AU38">
        <f t="shared" si="6"/>
        <v>0.5</v>
      </c>
      <c r="AV38">
        <f t="shared" si="7"/>
        <v>0.5</v>
      </c>
      <c r="AW38" t="str">
        <f t="shared" si="8"/>
        <v/>
      </c>
      <c r="AX38" t="str">
        <f t="shared" si="9"/>
        <v/>
      </c>
      <c r="AY38" t="str">
        <f t="shared" si="10"/>
        <v/>
      </c>
      <c r="AZ38" t="str">
        <f t="shared" si="11"/>
        <v/>
      </c>
      <c r="BA38" t="str">
        <f t="shared" si="12"/>
        <v/>
      </c>
      <c r="BB38" t="str">
        <f t="shared" si="13"/>
        <v/>
      </c>
      <c r="BC38" t="str">
        <f t="shared" si="14"/>
        <v/>
      </c>
      <c r="BD38" t="str">
        <f t="shared" si="15"/>
        <v/>
      </c>
      <c r="BE38" t="str">
        <f t="shared" si="16"/>
        <v/>
      </c>
      <c r="BF38" t="str">
        <f t="shared" si="17"/>
        <v/>
      </c>
      <c r="BG38" t="str">
        <f t="shared" si="18"/>
        <v/>
      </c>
      <c r="BH38" t="str">
        <f t="shared" si="19"/>
        <v/>
      </c>
      <c r="BI38" t="str">
        <f t="shared" si="20"/>
        <v/>
      </c>
      <c r="BJ38" t="str">
        <f t="shared" si="21"/>
        <v/>
      </c>
      <c r="BK38" t="str">
        <f t="shared" si="22"/>
        <v/>
      </c>
      <c r="BL38" t="str">
        <f t="shared" si="23"/>
        <v/>
      </c>
      <c r="BM38" t="str">
        <f t="shared" si="24"/>
        <v/>
      </c>
      <c r="BP38"/>
      <c r="BR38"/>
    </row>
    <row r="39" spans="1:70" x14ac:dyDescent="0.25">
      <c r="A39" s="1">
        <v>41165</v>
      </c>
      <c r="B39">
        <v>0.75</v>
      </c>
      <c r="C39" s="4">
        <v>42369</v>
      </c>
      <c r="D39">
        <v>3</v>
      </c>
      <c r="E39">
        <f t="shared" si="0"/>
        <v>0.11842105263157894</v>
      </c>
      <c r="F39" s="4"/>
      <c r="G39">
        <v>1</v>
      </c>
      <c r="H39">
        <f t="shared" ref="H39:Y39" si="78">IF($D39&gt;G39,G39+1,"")</f>
        <v>2</v>
      </c>
      <c r="I39">
        <f t="shared" si="78"/>
        <v>3</v>
      </c>
      <c r="J39" t="str">
        <f t="shared" si="78"/>
        <v/>
      </c>
      <c r="K39" t="str">
        <f t="shared" si="78"/>
        <v/>
      </c>
      <c r="L39" t="str">
        <f t="shared" si="78"/>
        <v/>
      </c>
      <c r="M39" t="str">
        <f t="shared" si="78"/>
        <v/>
      </c>
      <c r="N39" t="str">
        <f t="shared" si="78"/>
        <v/>
      </c>
      <c r="O39" t="str">
        <f t="shared" si="78"/>
        <v/>
      </c>
      <c r="P39" t="str">
        <f t="shared" si="78"/>
        <v/>
      </c>
      <c r="Q39" t="str">
        <f t="shared" si="78"/>
        <v/>
      </c>
      <c r="R39" t="str">
        <f t="shared" si="78"/>
        <v/>
      </c>
      <c r="S39" t="str">
        <f t="shared" si="78"/>
        <v/>
      </c>
      <c r="T39" t="str">
        <f t="shared" si="78"/>
        <v/>
      </c>
      <c r="U39" t="str">
        <f t="shared" si="78"/>
        <v/>
      </c>
      <c r="V39" t="str">
        <f t="shared" si="78"/>
        <v/>
      </c>
      <c r="W39" t="str">
        <f t="shared" si="78"/>
        <v/>
      </c>
      <c r="X39" t="str">
        <f t="shared" si="78"/>
        <v/>
      </c>
      <c r="Y39" t="str">
        <f t="shared" si="78"/>
        <v/>
      </c>
      <c r="AA39">
        <f t="shared" si="5"/>
        <v>42348.924999999996</v>
      </c>
      <c r="AB39">
        <f t="shared" si="54"/>
        <v>42369</v>
      </c>
      <c r="AC39">
        <f t="shared" si="55"/>
        <v>42389.074999999997</v>
      </c>
      <c r="AD39" t="e">
        <f t="shared" si="56"/>
        <v>#N/A</v>
      </c>
      <c r="AE39" t="e">
        <f t="shared" si="38"/>
        <v>#N/A</v>
      </c>
      <c r="AF39" t="e">
        <f t="shared" si="39"/>
        <v>#N/A</v>
      </c>
      <c r="AG39" t="e">
        <f t="shared" si="40"/>
        <v>#N/A</v>
      </c>
      <c r="AH39" t="e">
        <f t="shared" si="41"/>
        <v>#N/A</v>
      </c>
      <c r="AI39" t="e">
        <f t="shared" si="42"/>
        <v>#N/A</v>
      </c>
      <c r="AJ39" t="e">
        <f t="shared" si="43"/>
        <v>#N/A</v>
      </c>
      <c r="AK39" t="e">
        <f t="shared" si="44"/>
        <v>#N/A</v>
      </c>
      <c r="AL39" t="e">
        <f t="shared" si="45"/>
        <v>#N/A</v>
      </c>
      <c r="AM39" t="e">
        <f t="shared" si="46"/>
        <v>#N/A</v>
      </c>
      <c r="AN39" t="e">
        <f t="shared" si="47"/>
        <v>#N/A</v>
      </c>
      <c r="AO39" t="e">
        <f t="shared" si="48"/>
        <v>#N/A</v>
      </c>
      <c r="AP39" t="e">
        <f t="shared" si="49"/>
        <v>#N/A</v>
      </c>
      <c r="AQ39" t="e">
        <f t="shared" si="50"/>
        <v>#N/A</v>
      </c>
      <c r="AR39" t="e">
        <f t="shared" si="51"/>
        <v>#N/A</v>
      </c>
      <c r="AS39" t="e">
        <f t="shared" si="52"/>
        <v>#N/A</v>
      </c>
      <c r="AU39">
        <f t="shared" si="6"/>
        <v>0.75</v>
      </c>
      <c r="AV39">
        <f t="shared" si="7"/>
        <v>0.75</v>
      </c>
      <c r="AW39">
        <f t="shared" si="8"/>
        <v>0.75</v>
      </c>
      <c r="AX39" t="str">
        <f t="shared" si="9"/>
        <v/>
      </c>
      <c r="AY39" t="str">
        <f t="shared" si="10"/>
        <v/>
      </c>
      <c r="AZ39" t="str">
        <f t="shared" si="11"/>
        <v/>
      </c>
      <c r="BA39" t="str">
        <f t="shared" si="12"/>
        <v/>
      </c>
      <c r="BB39" t="str">
        <f t="shared" si="13"/>
        <v/>
      </c>
      <c r="BC39" t="str">
        <f t="shared" si="14"/>
        <v/>
      </c>
      <c r="BD39" t="str">
        <f t="shared" si="15"/>
        <v/>
      </c>
      <c r="BE39" t="str">
        <f t="shared" si="16"/>
        <v/>
      </c>
      <c r="BF39" t="str">
        <f t="shared" si="17"/>
        <v/>
      </c>
      <c r="BG39" t="str">
        <f t="shared" si="18"/>
        <v/>
      </c>
      <c r="BH39" t="str">
        <f t="shared" si="19"/>
        <v/>
      </c>
      <c r="BI39" t="str">
        <f t="shared" si="20"/>
        <v/>
      </c>
      <c r="BJ39" t="str">
        <f t="shared" si="21"/>
        <v/>
      </c>
      <c r="BK39" t="str">
        <f t="shared" si="22"/>
        <v/>
      </c>
      <c r="BL39" t="str">
        <f t="shared" si="23"/>
        <v/>
      </c>
      <c r="BM39" t="str">
        <f t="shared" si="24"/>
        <v/>
      </c>
      <c r="BP39"/>
      <c r="BR39"/>
    </row>
    <row r="40" spans="1:70" x14ac:dyDescent="0.25">
      <c r="A40" s="1">
        <v>41165</v>
      </c>
      <c r="B40">
        <v>1</v>
      </c>
      <c r="C40" s="4">
        <v>42369</v>
      </c>
      <c r="D40">
        <v>4</v>
      </c>
      <c r="E40">
        <f t="shared" si="0"/>
        <v>0.21052631578947367</v>
      </c>
      <c r="F40" s="4"/>
      <c r="G40">
        <v>1</v>
      </c>
      <c r="H40">
        <f t="shared" ref="H40:Y40" si="79">IF($D40&gt;G40,G40+1,"")</f>
        <v>2</v>
      </c>
      <c r="I40">
        <f t="shared" si="79"/>
        <v>3</v>
      </c>
      <c r="J40">
        <f t="shared" si="79"/>
        <v>4</v>
      </c>
      <c r="K40" t="str">
        <f t="shared" si="79"/>
        <v/>
      </c>
      <c r="L40" t="str">
        <f t="shared" si="79"/>
        <v/>
      </c>
      <c r="M40" t="str">
        <f t="shared" si="79"/>
        <v/>
      </c>
      <c r="N40" t="str">
        <f t="shared" si="79"/>
        <v/>
      </c>
      <c r="O40" t="str">
        <f t="shared" si="79"/>
        <v/>
      </c>
      <c r="P40" t="str">
        <f t="shared" si="79"/>
        <v/>
      </c>
      <c r="Q40" t="str">
        <f t="shared" si="79"/>
        <v/>
      </c>
      <c r="R40" t="str">
        <f t="shared" si="79"/>
        <v/>
      </c>
      <c r="S40" t="str">
        <f t="shared" si="79"/>
        <v/>
      </c>
      <c r="T40" t="str">
        <f t="shared" si="79"/>
        <v/>
      </c>
      <c r="U40" t="str">
        <f t="shared" si="79"/>
        <v/>
      </c>
      <c r="V40" t="str">
        <f t="shared" si="79"/>
        <v/>
      </c>
      <c r="W40" t="str">
        <f t="shared" si="79"/>
        <v/>
      </c>
      <c r="X40" t="str">
        <f t="shared" si="79"/>
        <v/>
      </c>
      <c r="Y40" t="str">
        <f t="shared" si="79"/>
        <v/>
      </c>
      <c r="AA40">
        <f t="shared" si="5"/>
        <v>42338.887499999997</v>
      </c>
      <c r="AB40">
        <f t="shared" si="54"/>
        <v>42358.962500000001</v>
      </c>
      <c r="AC40">
        <f t="shared" si="55"/>
        <v>42379.037499999999</v>
      </c>
      <c r="AD40">
        <f t="shared" si="56"/>
        <v>42399.112500000003</v>
      </c>
      <c r="AE40" t="e">
        <f t="shared" si="38"/>
        <v>#N/A</v>
      </c>
      <c r="AF40" t="e">
        <f t="shared" si="39"/>
        <v>#N/A</v>
      </c>
      <c r="AG40" t="e">
        <f t="shared" si="40"/>
        <v>#N/A</v>
      </c>
      <c r="AH40" t="e">
        <f t="shared" si="41"/>
        <v>#N/A</v>
      </c>
      <c r="AI40" t="e">
        <f t="shared" si="42"/>
        <v>#N/A</v>
      </c>
      <c r="AJ40" t="e">
        <f t="shared" si="43"/>
        <v>#N/A</v>
      </c>
      <c r="AK40" t="e">
        <f t="shared" si="44"/>
        <v>#N/A</v>
      </c>
      <c r="AL40" t="e">
        <f t="shared" si="45"/>
        <v>#N/A</v>
      </c>
      <c r="AM40" t="e">
        <f t="shared" si="46"/>
        <v>#N/A</v>
      </c>
      <c r="AN40" t="e">
        <f t="shared" si="47"/>
        <v>#N/A</v>
      </c>
      <c r="AO40" t="e">
        <f t="shared" si="48"/>
        <v>#N/A</v>
      </c>
      <c r="AP40" t="e">
        <f t="shared" si="49"/>
        <v>#N/A</v>
      </c>
      <c r="AQ40" t="e">
        <f t="shared" si="50"/>
        <v>#N/A</v>
      </c>
      <c r="AR40" t="e">
        <f t="shared" si="51"/>
        <v>#N/A</v>
      </c>
      <c r="AS40" t="e">
        <f t="shared" si="52"/>
        <v>#N/A</v>
      </c>
      <c r="AU40">
        <f t="shared" si="6"/>
        <v>1</v>
      </c>
      <c r="AV40">
        <f t="shared" si="7"/>
        <v>1</v>
      </c>
      <c r="AW40">
        <f t="shared" si="8"/>
        <v>1</v>
      </c>
      <c r="AX40">
        <f t="shared" si="9"/>
        <v>1</v>
      </c>
      <c r="AY40" t="str">
        <f t="shared" si="10"/>
        <v/>
      </c>
      <c r="AZ40" t="str">
        <f t="shared" si="11"/>
        <v/>
      </c>
      <c r="BA40" t="str">
        <f t="shared" si="12"/>
        <v/>
      </c>
      <c r="BB40" t="str">
        <f t="shared" si="13"/>
        <v/>
      </c>
      <c r="BC40" t="str">
        <f t="shared" si="14"/>
        <v/>
      </c>
      <c r="BD40" t="str">
        <f t="shared" si="15"/>
        <v/>
      </c>
      <c r="BE40" t="str">
        <f t="shared" si="16"/>
        <v/>
      </c>
      <c r="BF40" t="str">
        <f t="shared" si="17"/>
        <v/>
      </c>
      <c r="BG40" t="str">
        <f t="shared" si="18"/>
        <v/>
      </c>
      <c r="BH40" t="str">
        <f t="shared" si="19"/>
        <v/>
      </c>
      <c r="BI40" t="str">
        <f t="shared" si="20"/>
        <v/>
      </c>
      <c r="BJ40" t="str">
        <f t="shared" si="21"/>
        <v/>
      </c>
      <c r="BK40" t="str">
        <f t="shared" si="22"/>
        <v/>
      </c>
      <c r="BL40" t="str">
        <f t="shared" si="23"/>
        <v/>
      </c>
      <c r="BM40" t="str">
        <f t="shared" si="24"/>
        <v/>
      </c>
      <c r="BP40"/>
      <c r="BR40"/>
    </row>
    <row r="41" spans="1:70" x14ac:dyDescent="0.25">
      <c r="A41" s="1">
        <v>41165</v>
      </c>
      <c r="B41">
        <v>1.5</v>
      </c>
      <c r="C41" s="4">
        <v>42369</v>
      </c>
      <c r="D41">
        <v>3</v>
      </c>
      <c r="E41">
        <f t="shared" si="0"/>
        <v>0.23684210526315788</v>
      </c>
      <c r="F41" s="4"/>
      <c r="G41">
        <v>1</v>
      </c>
      <c r="H41">
        <f t="shared" ref="H41:Y41" si="80">IF($D41&gt;G41,G41+1,"")</f>
        <v>2</v>
      </c>
      <c r="I41">
        <f t="shared" si="80"/>
        <v>3</v>
      </c>
      <c r="J41" t="str">
        <f t="shared" si="80"/>
        <v/>
      </c>
      <c r="K41" t="str">
        <f t="shared" si="80"/>
        <v/>
      </c>
      <c r="L41" t="str">
        <f t="shared" si="80"/>
        <v/>
      </c>
      <c r="M41" t="str">
        <f t="shared" si="80"/>
        <v/>
      </c>
      <c r="N41" t="str">
        <f t="shared" si="80"/>
        <v/>
      </c>
      <c r="O41" t="str">
        <f t="shared" si="80"/>
        <v/>
      </c>
      <c r="P41" t="str">
        <f t="shared" si="80"/>
        <v/>
      </c>
      <c r="Q41" t="str">
        <f t="shared" si="80"/>
        <v/>
      </c>
      <c r="R41" t="str">
        <f t="shared" si="80"/>
        <v/>
      </c>
      <c r="S41" t="str">
        <f t="shared" si="80"/>
        <v/>
      </c>
      <c r="T41" t="str">
        <f t="shared" si="80"/>
        <v/>
      </c>
      <c r="U41" t="str">
        <f t="shared" si="80"/>
        <v/>
      </c>
      <c r="V41" t="str">
        <f t="shared" si="80"/>
        <v/>
      </c>
      <c r="W41" t="str">
        <f t="shared" si="80"/>
        <v/>
      </c>
      <c r="X41" t="str">
        <f t="shared" si="80"/>
        <v/>
      </c>
      <c r="Y41" t="str">
        <f t="shared" si="80"/>
        <v/>
      </c>
      <c r="AA41">
        <f t="shared" si="5"/>
        <v>42348.924999999996</v>
      </c>
      <c r="AB41">
        <f t="shared" si="54"/>
        <v>42369</v>
      </c>
      <c r="AC41">
        <f t="shared" si="55"/>
        <v>42389.074999999997</v>
      </c>
      <c r="AD41" t="e">
        <f t="shared" si="56"/>
        <v>#N/A</v>
      </c>
      <c r="AE41" t="e">
        <f t="shared" si="38"/>
        <v>#N/A</v>
      </c>
      <c r="AF41" t="e">
        <f t="shared" si="39"/>
        <v>#N/A</v>
      </c>
      <c r="AG41" t="e">
        <f t="shared" si="40"/>
        <v>#N/A</v>
      </c>
      <c r="AH41" t="e">
        <f t="shared" si="41"/>
        <v>#N/A</v>
      </c>
      <c r="AI41" t="e">
        <f t="shared" si="42"/>
        <v>#N/A</v>
      </c>
      <c r="AJ41" t="e">
        <f t="shared" si="43"/>
        <v>#N/A</v>
      </c>
      <c r="AK41" t="e">
        <f t="shared" si="44"/>
        <v>#N/A</v>
      </c>
      <c r="AL41" t="e">
        <f t="shared" si="45"/>
        <v>#N/A</v>
      </c>
      <c r="AM41" t="e">
        <f t="shared" si="46"/>
        <v>#N/A</v>
      </c>
      <c r="AN41" t="e">
        <f t="shared" si="47"/>
        <v>#N/A</v>
      </c>
      <c r="AO41" t="e">
        <f t="shared" si="48"/>
        <v>#N/A</v>
      </c>
      <c r="AP41" t="e">
        <f t="shared" si="49"/>
        <v>#N/A</v>
      </c>
      <c r="AQ41" t="e">
        <f t="shared" si="50"/>
        <v>#N/A</v>
      </c>
      <c r="AR41" t="e">
        <f t="shared" si="51"/>
        <v>#N/A</v>
      </c>
      <c r="AS41" t="e">
        <f t="shared" si="52"/>
        <v>#N/A</v>
      </c>
      <c r="AU41">
        <f t="shared" si="6"/>
        <v>1.5</v>
      </c>
      <c r="AV41">
        <f t="shared" si="7"/>
        <v>1.5</v>
      </c>
      <c r="AW41">
        <f t="shared" si="8"/>
        <v>1.5</v>
      </c>
      <c r="AX41" t="str">
        <f t="shared" si="9"/>
        <v/>
      </c>
      <c r="AY41" t="str">
        <f t="shared" si="10"/>
        <v/>
      </c>
      <c r="AZ41" t="str">
        <f t="shared" si="11"/>
        <v/>
      </c>
      <c r="BA41" t="str">
        <f t="shared" si="12"/>
        <v/>
      </c>
      <c r="BB41" t="str">
        <f t="shared" si="13"/>
        <v/>
      </c>
      <c r="BC41" t="str">
        <f t="shared" si="14"/>
        <v/>
      </c>
      <c r="BD41" t="str">
        <f t="shared" si="15"/>
        <v/>
      </c>
      <c r="BE41" t="str">
        <f t="shared" si="16"/>
        <v/>
      </c>
      <c r="BF41" t="str">
        <f t="shared" si="17"/>
        <v/>
      </c>
      <c r="BG41" t="str">
        <f t="shared" si="18"/>
        <v/>
      </c>
      <c r="BH41" t="str">
        <f t="shared" si="19"/>
        <v/>
      </c>
      <c r="BI41" t="str">
        <f t="shared" si="20"/>
        <v/>
      </c>
      <c r="BJ41" t="str">
        <f t="shared" si="21"/>
        <v/>
      </c>
      <c r="BK41" t="str">
        <f t="shared" si="22"/>
        <v/>
      </c>
      <c r="BL41" t="str">
        <f t="shared" si="23"/>
        <v/>
      </c>
      <c r="BM41" t="str">
        <f t="shared" si="24"/>
        <v/>
      </c>
      <c r="BP41"/>
      <c r="BR41"/>
    </row>
    <row r="42" spans="1:70" x14ac:dyDescent="0.25">
      <c r="A42" s="1">
        <v>41165</v>
      </c>
      <c r="B42">
        <v>2.5</v>
      </c>
      <c r="C42" s="4">
        <v>42369</v>
      </c>
      <c r="D42">
        <v>2</v>
      </c>
      <c r="E42">
        <f t="shared" si="0"/>
        <v>0.26315789473684209</v>
      </c>
      <c r="F42" s="4"/>
      <c r="G42">
        <v>1</v>
      </c>
      <c r="H42">
        <f t="shared" ref="H42:Y42" si="81">IF($D42&gt;G42,G42+1,"")</f>
        <v>2</v>
      </c>
      <c r="I42" t="str">
        <f t="shared" si="81"/>
        <v/>
      </c>
      <c r="J42" t="str">
        <f t="shared" si="81"/>
        <v/>
      </c>
      <c r="K42" t="str">
        <f t="shared" si="81"/>
        <v/>
      </c>
      <c r="L42" t="str">
        <f t="shared" si="81"/>
        <v/>
      </c>
      <c r="M42" t="str">
        <f t="shared" si="81"/>
        <v/>
      </c>
      <c r="N42" t="str">
        <f t="shared" si="81"/>
        <v/>
      </c>
      <c r="O42" t="str">
        <f t="shared" si="81"/>
        <v/>
      </c>
      <c r="P42" t="str">
        <f t="shared" si="81"/>
        <v/>
      </c>
      <c r="Q42" t="str">
        <f t="shared" si="81"/>
        <v/>
      </c>
      <c r="R42" t="str">
        <f t="shared" si="81"/>
        <v/>
      </c>
      <c r="S42" t="str">
        <f t="shared" si="81"/>
        <v/>
      </c>
      <c r="T42" t="str">
        <f t="shared" si="81"/>
        <v/>
      </c>
      <c r="U42" t="str">
        <f t="shared" si="81"/>
        <v/>
      </c>
      <c r="V42" t="str">
        <f t="shared" si="81"/>
        <v/>
      </c>
      <c r="W42" t="str">
        <f t="shared" si="81"/>
        <v/>
      </c>
      <c r="X42" t="str">
        <f t="shared" si="81"/>
        <v/>
      </c>
      <c r="Y42" t="str">
        <f t="shared" si="81"/>
        <v/>
      </c>
      <c r="AA42">
        <f t="shared" si="5"/>
        <v>42358.962500000001</v>
      </c>
      <c r="AB42">
        <f t="shared" si="54"/>
        <v>42379.037500000006</v>
      </c>
      <c r="AC42" t="e">
        <f t="shared" si="55"/>
        <v>#N/A</v>
      </c>
      <c r="AD42" t="e">
        <f t="shared" si="56"/>
        <v>#N/A</v>
      </c>
      <c r="AE42" t="e">
        <f t="shared" si="38"/>
        <v>#N/A</v>
      </c>
      <c r="AF42" t="e">
        <f t="shared" si="39"/>
        <v>#N/A</v>
      </c>
      <c r="AG42" t="e">
        <f t="shared" si="40"/>
        <v>#N/A</v>
      </c>
      <c r="AH42" t="e">
        <f t="shared" si="41"/>
        <v>#N/A</v>
      </c>
      <c r="AI42" t="e">
        <f t="shared" si="42"/>
        <v>#N/A</v>
      </c>
      <c r="AJ42" t="e">
        <f t="shared" si="43"/>
        <v>#N/A</v>
      </c>
      <c r="AK42" t="e">
        <f t="shared" si="44"/>
        <v>#N/A</v>
      </c>
      <c r="AL42" t="e">
        <f t="shared" si="45"/>
        <v>#N/A</v>
      </c>
      <c r="AM42" t="e">
        <f t="shared" si="46"/>
        <v>#N/A</v>
      </c>
      <c r="AN42" t="e">
        <f t="shared" si="47"/>
        <v>#N/A</v>
      </c>
      <c r="AO42" t="e">
        <f t="shared" si="48"/>
        <v>#N/A</v>
      </c>
      <c r="AP42" t="e">
        <f t="shared" si="49"/>
        <v>#N/A</v>
      </c>
      <c r="AQ42" t="e">
        <f t="shared" si="50"/>
        <v>#N/A</v>
      </c>
      <c r="AR42" t="e">
        <f t="shared" si="51"/>
        <v>#N/A</v>
      </c>
      <c r="AS42" t="e">
        <f t="shared" si="52"/>
        <v>#N/A</v>
      </c>
      <c r="AU42">
        <f t="shared" si="6"/>
        <v>2.5</v>
      </c>
      <c r="AV42">
        <f t="shared" si="7"/>
        <v>2.5</v>
      </c>
      <c r="AW42" t="str">
        <f t="shared" si="8"/>
        <v/>
      </c>
      <c r="AX42" t="str">
        <f t="shared" si="9"/>
        <v/>
      </c>
      <c r="AY42" t="str">
        <f t="shared" si="10"/>
        <v/>
      </c>
      <c r="AZ42" t="str">
        <f t="shared" si="11"/>
        <v/>
      </c>
      <c r="BA42" t="str">
        <f t="shared" si="12"/>
        <v/>
      </c>
      <c r="BB42" t="str">
        <f t="shared" si="13"/>
        <v/>
      </c>
      <c r="BC42" t="str">
        <f t="shared" si="14"/>
        <v/>
      </c>
      <c r="BD42" t="str">
        <f t="shared" si="15"/>
        <v/>
      </c>
      <c r="BE42" t="str">
        <f t="shared" si="16"/>
        <v/>
      </c>
      <c r="BF42" t="str">
        <f t="shared" si="17"/>
        <v/>
      </c>
      <c r="BG42" t="str">
        <f t="shared" si="18"/>
        <v/>
      </c>
      <c r="BH42" t="str">
        <f t="shared" si="19"/>
        <v/>
      </c>
      <c r="BI42" t="str">
        <f t="shared" si="20"/>
        <v/>
      </c>
      <c r="BJ42" t="str">
        <f t="shared" si="21"/>
        <v/>
      </c>
      <c r="BK42" t="str">
        <f t="shared" si="22"/>
        <v/>
      </c>
      <c r="BL42" t="str">
        <f t="shared" si="23"/>
        <v/>
      </c>
      <c r="BM42" t="str">
        <f t="shared" si="24"/>
        <v/>
      </c>
      <c r="BP42"/>
      <c r="BR42"/>
    </row>
    <row r="43" spans="1:70" x14ac:dyDescent="0.25">
      <c r="A43" s="1">
        <v>41165</v>
      </c>
      <c r="B43">
        <v>3.5</v>
      </c>
      <c r="C43" s="4">
        <v>42369</v>
      </c>
      <c r="D43">
        <v>1</v>
      </c>
      <c r="E43">
        <f t="shared" si="0"/>
        <v>0.18421052631578946</v>
      </c>
      <c r="F43" s="4"/>
      <c r="G43">
        <v>1</v>
      </c>
      <c r="H43" t="str">
        <f t="shared" ref="H43:Y43" si="82">IF($D43&gt;G43,G43+1,"")</f>
        <v/>
      </c>
      <c r="I43" t="str">
        <f t="shared" si="82"/>
        <v/>
      </c>
      <c r="J43" t="str">
        <f t="shared" si="82"/>
        <v/>
      </c>
      <c r="K43" t="str">
        <f t="shared" si="82"/>
        <v/>
      </c>
      <c r="L43" t="str">
        <f t="shared" si="82"/>
        <v/>
      </c>
      <c r="M43" t="str">
        <f t="shared" si="82"/>
        <v/>
      </c>
      <c r="N43" t="str">
        <f t="shared" si="82"/>
        <v/>
      </c>
      <c r="O43" t="str">
        <f t="shared" si="82"/>
        <v/>
      </c>
      <c r="P43" t="str">
        <f t="shared" si="82"/>
        <v/>
      </c>
      <c r="Q43" t="str">
        <f t="shared" si="82"/>
        <v/>
      </c>
      <c r="R43" t="str">
        <f t="shared" si="82"/>
        <v/>
      </c>
      <c r="S43" t="str">
        <f t="shared" si="82"/>
        <v/>
      </c>
      <c r="T43" t="str">
        <f t="shared" si="82"/>
        <v/>
      </c>
      <c r="U43" t="str">
        <f t="shared" si="82"/>
        <v/>
      </c>
      <c r="V43" t="str">
        <f t="shared" si="82"/>
        <v/>
      </c>
      <c r="W43" t="str">
        <f t="shared" si="82"/>
        <v/>
      </c>
      <c r="X43" t="str">
        <f t="shared" si="82"/>
        <v/>
      </c>
      <c r="Y43" t="str">
        <f t="shared" si="82"/>
        <v/>
      </c>
      <c r="AA43">
        <f t="shared" si="5"/>
        <v>42369</v>
      </c>
      <c r="AB43" t="e">
        <f t="shared" si="54"/>
        <v>#N/A</v>
      </c>
      <c r="AC43" t="e">
        <f t="shared" si="55"/>
        <v>#N/A</v>
      </c>
      <c r="AD43" t="e">
        <f t="shared" si="56"/>
        <v>#N/A</v>
      </c>
      <c r="AE43" t="e">
        <f t="shared" si="38"/>
        <v>#N/A</v>
      </c>
      <c r="AF43" t="e">
        <f t="shared" si="39"/>
        <v>#N/A</v>
      </c>
      <c r="AG43" t="e">
        <f t="shared" si="40"/>
        <v>#N/A</v>
      </c>
      <c r="AH43" t="e">
        <f t="shared" si="41"/>
        <v>#N/A</v>
      </c>
      <c r="AI43" t="e">
        <f t="shared" si="42"/>
        <v>#N/A</v>
      </c>
      <c r="AJ43" t="e">
        <f t="shared" si="43"/>
        <v>#N/A</v>
      </c>
      <c r="AK43" t="e">
        <f t="shared" si="44"/>
        <v>#N/A</v>
      </c>
      <c r="AL43" t="e">
        <f t="shared" si="45"/>
        <v>#N/A</v>
      </c>
      <c r="AM43" t="e">
        <f t="shared" si="46"/>
        <v>#N/A</v>
      </c>
      <c r="AN43" t="e">
        <f t="shared" si="47"/>
        <v>#N/A</v>
      </c>
      <c r="AO43" t="e">
        <f t="shared" si="48"/>
        <v>#N/A</v>
      </c>
      <c r="AP43" t="e">
        <f t="shared" si="49"/>
        <v>#N/A</v>
      </c>
      <c r="AQ43" t="e">
        <f t="shared" si="50"/>
        <v>#N/A</v>
      </c>
      <c r="AR43" t="e">
        <f t="shared" si="51"/>
        <v>#N/A</v>
      </c>
      <c r="AS43" t="e">
        <f t="shared" si="52"/>
        <v>#N/A</v>
      </c>
      <c r="AU43">
        <f t="shared" si="6"/>
        <v>3.5</v>
      </c>
      <c r="AV43" t="str">
        <f t="shared" si="7"/>
        <v/>
      </c>
      <c r="AW43" t="str">
        <f t="shared" si="8"/>
        <v/>
      </c>
      <c r="AX43" t="str">
        <f t="shared" si="9"/>
        <v/>
      </c>
      <c r="AY43" t="str">
        <f t="shared" si="10"/>
        <v/>
      </c>
      <c r="AZ43" t="str">
        <f t="shared" si="11"/>
        <v/>
      </c>
      <c r="BA43" t="str">
        <f t="shared" si="12"/>
        <v/>
      </c>
      <c r="BB43" t="str">
        <f t="shared" si="13"/>
        <v/>
      </c>
      <c r="BC43" t="str">
        <f t="shared" si="14"/>
        <v/>
      </c>
      <c r="BD43" t="str">
        <f t="shared" si="15"/>
        <v/>
      </c>
      <c r="BE43" t="str">
        <f t="shared" si="16"/>
        <v/>
      </c>
      <c r="BF43" t="str">
        <f t="shared" si="17"/>
        <v/>
      </c>
      <c r="BG43" t="str">
        <f t="shared" si="18"/>
        <v/>
      </c>
      <c r="BH43" t="str">
        <f t="shared" si="19"/>
        <v/>
      </c>
      <c r="BI43" t="str">
        <f t="shared" si="20"/>
        <v/>
      </c>
      <c r="BJ43" t="str">
        <f t="shared" si="21"/>
        <v/>
      </c>
      <c r="BK43" t="str">
        <f t="shared" si="22"/>
        <v/>
      </c>
      <c r="BL43" t="str">
        <f t="shared" si="23"/>
        <v/>
      </c>
      <c r="BM43" t="str">
        <f t="shared" si="24"/>
        <v/>
      </c>
      <c r="BP43"/>
      <c r="BR43"/>
    </row>
    <row r="44" spans="1:70" x14ac:dyDescent="0.25">
      <c r="A44" s="1">
        <v>41165</v>
      </c>
      <c r="B44">
        <v>3.75</v>
      </c>
      <c r="C44" s="4">
        <v>42369</v>
      </c>
      <c r="D44">
        <v>1</v>
      </c>
      <c r="E44">
        <f t="shared" si="0"/>
        <v>0.19736842105263158</v>
      </c>
      <c r="F44" s="4"/>
      <c r="G44">
        <v>1</v>
      </c>
      <c r="H44" t="str">
        <f t="shared" ref="H44:Y44" si="83">IF($D44&gt;G44,G44+1,"")</f>
        <v/>
      </c>
      <c r="I44" t="str">
        <f t="shared" si="83"/>
        <v/>
      </c>
      <c r="J44" t="str">
        <f t="shared" si="83"/>
        <v/>
      </c>
      <c r="K44" t="str">
        <f t="shared" si="83"/>
        <v/>
      </c>
      <c r="L44" t="str">
        <f t="shared" si="83"/>
        <v/>
      </c>
      <c r="M44" t="str">
        <f t="shared" si="83"/>
        <v/>
      </c>
      <c r="N44" t="str">
        <f t="shared" si="83"/>
        <v/>
      </c>
      <c r="O44" t="str">
        <f t="shared" si="83"/>
        <v/>
      </c>
      <c r="P44" t="str">
        <f t="shared" si="83"/>
        <v/>
      </c>
      <c r="Q44" t="str">
        <f t="shared" si="83"/>
        <v/>
      </c>
      <c r="R44" t="str">
        <f t="shared" si="83"/>
        <v/>
      </c>
      <c r="S44" t="str">
        <f t="shared" si="83"/>
        <v/>
      </c>
      <c r="T44" t="str">
        <f t="shared" si="83"/>
        <v/>
      </c>
      <c r="U44" t="str">
        <f t="shared" si="83"/>
        <v/>
      </c>
      <c r="V44" t="str">
        <f t="shared" si="83"/>
        <v/>
      </c>
      <c r="W44" t="str">
        <f t="shared" si="83"/>
        <v/>
      </c>
      <c r="X44" t="str">
        <f t="shared" si="83"/>
        <v/>
      </c>
      <c r="Y44" t="str">
        <f t="shared" si="83"/>
        <v/>
      </c>
      <c r="AA44">
        <f t="shared" si="5"/>
        <v>42369</v>
      </c>
      <c r="AB44" t="e">
        <f t="shared" si="54"/>
        <v>#N/A</v>
      </c>
      <c r="AC44" t="e">
        <f t="shared" si="55"/>
        <v>#N/A</v>
      </c>
      <c r="AD44" t="e">
        <f t="shared" si="56"/>
        <v>#N/A</v>
      </c>
      <c r="AE44" t="e">
        <f t="shared" si="38"/>
        <v>#N/A</v>
      </c>
      <c r="AF44" t="e">
        <f t="shared" si="39"/>
        <v>#N/A</v>
      </c>
      <c r="AG44" t="e">
        <f t="shared" si="40"/>
        <v>#N/A</v>
      </c>
      <c r="AH44" t="e">
        <f t="shared" si="41"/>
        <v>#N/A</v>
      </c>
      <c r="AI44" t="e">
        <f t="shared" si="42"/>
        <v>#N/A</v>
      </c>
      <c r="AJ44" t="e">
        <f t="shared" si="43"/>
        <v>#N/A</v>
      </c>
      <c r="AK44" t="e">
        <f t="shared" si="44"/>
        <v>#N/A</v>
      </c>
      <c r="AL44" t="e">
        <f t="shared" si="45"/>
        <v>#N/A</v>
      </c>
      <c r="AM44" t="e">
        <f t="shared" si="46"/>
        <v>#N/A</v>
      </c>
      <c r="AN44" t="e">
        <f t="shared" si="47"/>
        <v>#N/A</v>
      </c>
      <c r="AO44" t="e">
        <f t="shared" si="48"/>
        <v>#N/A</v>
      </c>
      <c r="AP44" t="e">
        <f t="shared" si="49"/>
        <v>#N/A</v>
      </c>
      <c r="AQ44" t="e">
        <f t="shared" si="50"/>
        <v>#N/A</v>
      </c>
      <c r="AR44" t="e">
        <f t="shared" si="51"/>
        <v>#N/A</v>
      </c>
      <c r="AS44" t="e">
        <f t="shared" si="52"/>
        <v>#N/A</v>
      </c>
      <c r="AU44">
        <f t="shared" si="6"/>
        <v>3.75</v>
      </c>
      <c r="AV44" t="str">
        <f t="shared" si="7"/>
        <v/>
      </c>
      <c r="AW44" t="str">
        <f t="shared" si="8"/>
        <v/>
      </c>
      <c r="AX44" t="str">
        <f t="shared" si="9"/>
        <v/>
      </c>
      <c r="AY44" t="str">
        <f t="shared" si="10"/>
        <v/>
      </c>
      <c r="AZ44" t="str">
        <f t="shared" si="11"/>
        <v/>
      </c>
      <c r="BA44" t="str">
        <f t="shared" si="12"/>
        <v/>
      </c>
      <c r="BB44" t="str">
        <f t="shared" si="13"/>
        <v/>
      </c>
      <c r="BC44" t="str">
        <f t="shared" si="14"/>
        <v/>
      </c>
      <c r="BD44" t="str">
        <f t="shared" si="15"/>
        <v/>
      </c>
      <c r="BE44" t="str">
        <f t="shared" si="16"/>
        <v/>
      </c>
      <c r="BF44" t="str">
        <f t="shared" si="17"/>
        <v/>
      </c>
      <c r="BG44" t="str">
        <f t="shared" si="18"/>
        <v/>
      </c>
      <c r="BH44" t="str">
        <f t="shared" si="19"/>
        <v/>
      </c>
      <c r="BI44" t="str">
        <f t="shared" si="20"/>
        <v/>
      </c>
      <c r="BJ44" t="str">
        <f t="shared" si="21"/>
        <v/>
      </c>
      <c r="BK44" t="str">
        <f t="shared" si="22"/>
        <v/>
      </c>
      <c r="BL44" t="str">
        <f t="shared" si="23"/>
        <v/>
      </c>
      <c r="BM44" t="str">
        <f t="shared" si="24"/>
        <v/>
      </c>
      <c r="BP44"/>
      <c r="BR44"/>
    </row>
    <row r="45" spans="1:70" x14ac:dyDescent="0.25">
      <c r="A45" s="1">
        <v>41165</v>
      </c>
      <c r="B45">
        <v>4</v>
      </c>
      <c r="C45" s="4">
        <v>42369</v>
      </c>
      <c r="D45">
        <v>1</v>
      </c>
      <c r="E45">
        <f t="shared" si="0"/>
        <v>0.21052631578947367</v>
      </c>
      <c r="F45" s="4"/>
      <c r="G45">
        <v>1</v>
      </c>
      <c r="H45" t="str">
        <f t="shared" ref="H45:Y45" si="84">IF($D45&gt;G45,G45+1,"")</f>
        <v/>
      </c>
      <c r="I45" t="str">
        <f t="shared" si="84"/>
        <v/>
      </c>
      <c r="J45" t="str">
        <f t="shared" si="84"/>
        <v/>
      </c>
      <c r="K45" t="str">
        <f t="shared" si="84"/>
        <v/>
      </c>
      <c r="L45" t="str">
        <f t="shared" si="84"/>
        <v/>
      </c>
      <c r="M45" t="str">
        <f t="shared" si="84"/>
        <v/>
      </c>
      <c r="N45" t="str">
        <f t="shared" si="84"/>
        <v/>
      </c>
      <c r="O45" t="str">
        <f t="shared" si="84"/>
        <v/>
      </c>
      <c r="P45" t="str">
        <f t="shared" si="84"/>
        <v/>
      </c>
      <c r="Q45" t="str">
        <f t="shared" si="84"/>
        <v/>
      </c>
      <c r="R45" t="str">
        <f t="shared" si="84"/>
        <v/>
      </c>
      <c r="S45" t="str">
        <f t="shared" si="84"/>
        <v/>
      </c>
      <c r="T45" t="str">
        <f t="shared" si="84"/>
        <v/>
      </c>
      <c r="U45" t="str">
        <f t="shared" si="84"/>
        <v/>
      </c>
      <c r="V45" t="str">
        <f t="shared" si="84"/>
        <v/>
      </c>
      <c r="W45" t="str">
        <f t="shared" si="84"/>
        <v/>
      </c>
      <c r="X45" t="str">
        <f t="shared" si="84"/>
        <v/>
      </c>
      <c r="Y45" t="str">
        <f t="shared" si="84"/>
        <v/>
      </c>
      <c r="AA45">
        <f t="shared" si="5"/>
        <v>42369</v>
      </c>
      <c r="AB45" t="e">
        <f t="shared" si="54"/>
        <v>#N/A</v>
      </c>
      <c r="AC45" t="e">
        <f t="shared" si="55"/>
        <v>#N/A</v>
      </c>
      <c r="AD45" t="e">
        <f t="shared" si="56"/>
        <v>#N/A</v>
      </c>
      <c r="AE45" t="e">
        <f t="shared" si="38"/>
        <v>#N/A</v>
      </c>
      <c r="AF45" t="e">
        <f t="shared" si="39"/>
        <v>#N/A</v>
      </c>
      <c r="AG45" t="e">
        <f t="shared" si="40"/>
        <v>#N/A</v>
      </c>
      <c r="AH45" t="e">
        <f t="shared" si="41"/>
        <v>#N/A</v>
      </c>
      <c r="AI45" t="e">
        <f t="shared" si="42"/>
        <v>#N/A</v>
      </c>
      <c r="AJ45" t="e">
        <f t="shared" si="43"/>
        <v>#N/A</v>
      </c>
      <c r="AK45" t="e">
        <f t="shared" si="44"/>
        <v>#N/A</v>
      </c>
      <c r="AL45" t="e">
        <f t="shared" si="45"/>
        <v>#N/A</v>
      </c>
      <c r="AM45" t="e">
        <f t="shared" si="46"/>
        <v>#N/A</v>
      </c>
      <c r="AN45" t="e">
        <f t="shared" si="47"/>
        <v>#N/A</v>
      </c>
      <c r="AO45" t="e">
        <f t="shared" si="48"/>
        <v>#N/A</v>
      </c>
      <c r="AP45" t="e">
        <f t="shared" si="49"/>
        <v>#N/A</v>
      </c>
      <c r="AQ45" t="e">
        <f t="shared" si="50"/>
        <v>#N/A</v>
      </c>
      <c r="AR45" t="e">
        <f t="shared" si="51"/>
        <v>#N/A</v>
      </c>
      <c r="AS45" t="e">
        <f t="shared" si="52"/>
        <v>#N/A</v>
      </c>
      <c r="AU45">
        <f t="shared" si="6"/>
        <v>4</v>
      </c>
      <c r="AV45" t="str">
        <f t="shared" si="7"/>
        <v/>
      </c>
      <c r="AW45" t="str">
        <f t="shared" si="8"/>
        <v/>
      </c>
      <c r="AX45" t="str">
        <f t="shared" si="9"/>
        <v/>
      </c>
      <c r="AY45" t="str">
        <f t="shared" si="10"/>
        <v/>
      </c>
      <c r="AZ45" t="str">
        <f t="shared" si="11"/>
        <v/>
      </c>
      <c r="BA45" t="str">
        <f t="shared" si="12"/>
        <v/>
      </c>
      <c r="BB45" t="str">
        <f t="shared" si="13"/>
        <v/>
      </c>
      <c r="BC45" t="str">
        <f t="shared" si="14"/>
        <v/>
      </c>
      <c r="BD45" t="str">
        <f t="shared" si="15"/>
        <v/>
      </c>
      <c r="BE45" t="str">
        <f t="shared" si="16"/>
        <v/>
      </c>
      <c r="BF45" t="str">
        <f t="shared" si="17"/>
        <v/>
      </c>
      <c r="BG45" t="str">
        <f t="shared" si="18"/>
        <v/>
      </c>
      <c r="BH45" t="str">
        <f t="shared" si="19"/>
        <v/>
      </c>
      <c r="BI45" t="str">
        <f t="shared" si="20"/>
        <v/>
      </c>
      <c r="BJ45" t="str">
        <f t="shared" si="21"/>
        <v/>
      </c>
      <c r="BK45" t="str">
        <f t="shared" si="22"/>
        <v/>
      </c>
      <c r="BL45" t="str">
        <f t="shared" si="23"/>
        <v/>
      </c>
      <c r="BM45" t="str">
        <f t="shared" si="24"/>
        <v/>
      </c>
      <c r="BP45"/>
      <c r="BR45"/>
    </row>
    <row r="46" spans="1:70" x14ac:dyDescent="0.25">
      <c r="A46" s="1">
        <v>41165</v>
      </c>
      <c r="B46">
        <v>4.5</v>
      </c>
      <c r="C46" s="4">
        <v>42369</v>
      </c>
      <c r="D46">
        <v>1</v>
      </c>
      <c r="E46">
        <f t="shared" si="0"/>
        <v>0.23684210526315788</v>
      </c>
      <c r="F46" s="4"/>
      <c r="G46">
        <v>1</v>
      </c>
      <c r="H46" t="str">
        <f t="shared" ref="H46:Y46" si="85">IF($D46&gt;G46,G46+1,"")</f>
        <v/>
      </c>
      <c r="I46" t="str">
        <f t="shared" si="85"/>
        <v/>
      </c>
      <c r="J46" t="str">
        <f t="shared" si="85"/>
        <v/>
      </c>
      <c r="K46" t="str">
        <f t="shared" si="85"/>
        <v/>
      </c>
      <c r="L46" t="str">
        <f t="shared" si="85"/>
        <v/>
      </c>
      <c r="M46" t="str">
        <f t="shared" si="85"/>
        <v/>
      </c>
      <c r="N46" t="str">
        <f t="shared" si="85"/>
        <v/>
      </c>
      <c r="O46" t="str">
        <f t="shared" si="85"/>
        <v/>
      </c>
      <c r="P46" t="str">
        <f t="shared" si="85"/>
        <v/>
      </c>
      <c r="Q46" t="str">
        <f t="shared" si="85"/>
        <v/>
      </c>
      <c r="R46" t="str">
        <f t="shared" si="85"/>
        <v/>
      </c>
      <c r="S46" t="str">
        <f t="shared" si="85"/>
        <v/>
      </c>
      <c r="T46" t="str">
        <f t="shared" si="85"/>
        <v/>
      </c>
      <c r="U46" t="str">
        <f t="shared" si="85"/>
        <v/>
      </c>
      <c r="V46" t="str">
        <f t="shared" si="85"/>
        <v/>
      </c>
      <c r="W46" t="str">
        <f t="shared" si="85"/>
        <v/>
      </c>
      <c r="X46" t="str">
        <f t="shared" si="85"/>
        <v/>
      </c>
      <c r="Y46" t="str">
        <f t="shared" si="85"/>
        <v/>
      </c>
      <c r="AA46">
        <f t="shared" si="5"/>
        <v>42369</v>
      </c>
      <c r="AB46" t="e">
        <f t="shared" si="54"/>
        <v>#N/A</v>
      </c>
      <c r="AC46" t="e">
        <f t="shared" si="55"/>
        <v>#N/A</v>
      </c>
      <c r="AD46" t="e">
        <f t="shared" si="56"/>
        <v>#N/A</v>
      </c>
      <c r="AE46" t="e">
        <f t="shared" si="38"/>
        <v>#N/A</v>
      </c>
      <c r="AF46" t="e">
        <f t="shared" si="39"/>
        <v>#N/A</v>
      </c>
      <c r="AG46" t="e">
        <f t="shared" si="40"/>
        <v>#N/A</v>
      </c>
      <c r="AH46" t="e">
        <f t="shared" si="41"/>
        <v>#N/A</v>
      </c>
      <c r="AI46" t="e">
        <f t="shared" si="42"/>
        <v>#N/A</v>
      </c>
      <c r="AJ46" t="e">
        <f t="shared" si="43"/>
        <v>#N/A</v>
      </c>
      <c r="AK46" t="e">
        <f t="shared" si="44"/>
        <v>#N/A</v>
      </c>
      <c r="AL46" t="e">
        <f t="shared" si="45"/>
        <v>#N/A</v>
      </c>
      <c r="AM46" t="e">
        <f t="shared" si="46"/>
        <v>#N/A</v>
      </c>
      <c r="AN46" t="e">
        <f t="shared" si="47"/>
        <v>#N/A</v>
      </c>
      <c r="AO46" t="e">
        <f t="shared" si="48"/>
        <v>#N/A</v>
      </c>
      <c r="AP46" t="e">
        <f t="shared" si="49"/>
        <v>#N/A</v>
      </c>
      <c r="AQ46" t="e">
        <f t="shared" si="50"/>
        <v>#N/A</v>
      </c>
      <c r="AR46" t="e">
        <f t="shared" si="51"/>
        <v>#N/A</v>
      </c>
      <c r="AS46" t="e">
        <f t="shared" si="52"/>
        <v>#N/A</v>
      </c>
      <c r="AU46">
        <f t="shared" si="6"/>
        <v>4.5</v>
      </c>
      <c r="AV46" t="str">
        <f t="shared" si="7"/>
        <v/>
      </c>
      <c r="AW46" t="str">
        <f t="shared" si="8"/>
        <v/>
      </c>
      <c r="AX46" t="str">
        <f t="shared" si="9"/>
        <v/>
      </c>
      <c r="AY46" t="str">
        <f t="shared" si="10"/>
        <v/>
      </c>
      <c r="AZ46" t="str">
        <f t="shared" si="11"/>
        <v/>
      </c>
      <c r="BA46" t="str">
        <f t="shared" si="12"/>
        <v/>
      </c>
      <c r="BB46" t="str">
        <f t="shared" si="13"/>
        <v/>
      </c>
      <c r="BC46" t="str">
        <f t="shared" si="14"/>
        <v/>
      </c>
      <c r="BD46" t="str">
        <f t="shared" si="15"/>
        <v/>
      </c>
      <c r="BE46" t="str">
        <f t="shared" si="16"/>
        <v/>
      </c>
      <c r="BF46" t="str">
        <f t="shared" si="17"/>
        <v/>
      </c>
      <c r="BG46" t="str">
        <f t="shared" si="18"/>
        <v/>
      </c>
      <c r="BH46" t="str">
        <f t="shared" si="19"/>
        <v/>
      </c>
      <c r="BI46" t="str">
        <f t="shared" si="20"/>
        <v/>
      </c>
      <c r="BJ46" t="str">
        <f t="shared" si="21"/>
        <v/>
      </c>
      <c r="BK46" t="str">
        <f t="shared" si="22"/>
        <v/>
      </c>
      <c r="BL46" t="str">
        <f t="shared" si="23"/>
        <v/>
      </c>
      <c r="BM46" t="str">
        <f t="shared" si="24"/>
        <v/>
      </c>
      <c r="BP46"/>
      <c r="BR46"/>
    </row>
    <row r="47" spans="1:70" x14ac:dyDescent="0.25">
      <c r="A47" s="1">
        <v>41165</v>
      </c>
      <c r="B47">
        <v>3</v>
      </c>
      <c r="C47" s="4">
        <v>43100</v>
      </c>
      <c r="D47">
        <v>1</v>
      </c>
      <c r="E47">
        <f t="shared" si="0"/>
        <v>0.15789473684210525</v>
      </c>
      <c r="F47" s="4"/>
      <c r="G47">
        <v>1</v>
      </c>
      <c r="H47" t="str">
        <f t="shared" ref="H47:Y47" si="86">IF($D47&gt;G47,G47+1,"")</f>
        <v/>
      </c>
      <c r="I47" t="str">
        <f t="shared" si="86"/>
        <v/>
      </c>
      <c r="J47" t="str">
        <f t="shared" si="86"/>
        <v/>
      </c>
      <c r="K47" t="str">
        <f t="shared" si="86"/>
        <v/>
      </c>
      <c r="L47" t="str">
        <f t="shared" si="86"/>
        <v/>
      </c>
      <c r="M47" t="str">
        <f t="shared" si="86"/>
        <v/>
      </c>
      <c r="N47" t="str">
        <f t="shared" si="86"/>
        <v/>
      </c>
      <c r="O47" t="str">
        <f t="shared" si="86"/>
        <v/>
      </c>
      <c r="P47" t="str">
        <f t="shared" si="86"/>
        <v/>
      </c>
      <c r="Q47" t="str">
        <f t="shared" si="86"/>
        <v/>
      </c>
      <c r="R47" t="str">
        <f t="shared" si="86"/>
        <v/>
      </c>
      <c r="S47" t="str">
        <f t="shared" si="86"/>
        <v/>
      </c>
      <c r="T47" t="str">
        <f t="shared" si="86"/>
        <v/>
      </c>
      <c r="U47" t="str">
        <f t="shared" si="86"/>
        <v/>
      </c>
      <c r="V47" t="str">
        <f t="shared" si="86"/>
        <v/>
      </c>
      <c r="W47" t="str">
        <f t="shared" si="86"/>
        <v/>
      </c>
      <c r="X47" t="str">
        <f t="shared" si="86"/>
        <v/>
      </c>
      <c r="Y47" t="str">
        <f t="shared" si="86"/>
        <v/>
      </c>
      <c r="AA47">
        <f t="shared" si="5"/>
        <v>43100</v>
      </c>
      <c r="AB47" t="e">
        <f t="shared" si="54"/>
        <v>#N/A</v>
      </c>
      <c r="AC47" t="e">
        <f t="shared" si="55"/>
        <v>#N/A</v>
      </c>
      <c r="AD47" t="e">
        <f t="shared" si="56"/>
        <v>#N/A</v>
      </c>
      <c r="AE47" t="e">
        <f t="shared" si="38"/>
        <v>#N/A</v>
      </c>
      <c r="AF47" t="e">
        <f t="shared" si="39"/>
        <v>#N/A</v>
      </c>
      <c r="AG47" t="e">
        <f t="shared" si="40"/>
        <v>#N/A</v>
      </c>
      <c r="AH47" t="e">
        <f t="shared" si="41"/>
        <v>#N/A</v>
      </c>
      <c r="AI47" t="e">
        <f t="shared" si="42"/>
        <v>#N/A</v>
      </c>
      <c r="AJ47" t="e">
        <f t="shared" si="43"/>
        <v>#N/A</v>
      </c>
      <c r="AK47" t="e">
        <f t="shared" si="44"/>
        <v>#N/A</v>
      </c>
      <c r="AL47" t="e">
        <f t="shared" si="45"/>
        <v>#N/A</v>
      </c>
      <c r="AM47" t="e">
        <f t="shared" si="46"/>
        <v>#N/A</v>
      </c>
      <c r="AN47" t="e">
        <f t="shared" si="47"/>
        <v>#N/A</v>
      </c>
      <c r="AO47" t="e">
        <f t="shared" si="48"/>
        <v>#N/A</v>
      </c>
      <c r="AP47" t="e">
        <f t="shared" si="49"/>
        <v>#N/A</v>
      </c>
      <c r="AQ47" t="e">
        <f t="shared" si="50"/>
        <v>#N/A</v>
      </c>
      <c r="AR47" t="e">
        <f t="shared" si="51"/>
        <v>#N/A</v>
      </c>
      <c r="AS47" t="e">
        <f t="shared" si="52"/>
        <v>#N/A</v>
      </c>
      <c r="AU47">
        <f t="shared" si="6"/>
        <v>3</v>
      </c>
      <c r="AV47" t="str">
        <f t="shared" si="7"/>
        <v/>
      </c>
      <c r="AW47" t="str">
        <f t="shared" si="8"/>
        <v/>
      </c>
      <c r="AX47" t="str">
        <f t="shared" si="9"/>
        <v/>
      </c>
      <c r="AY47" t="str">
        <f t="shared" si="10"/>
        <v/>
      </c>
      <c r="AZ47" t="str">
        <f t="shared" si="11"/>
        <v/>
      </c>
      <c r="BA47" t="str">
        <f t="shared" si="12"/>
        <v/>
      </c>
      <c r="BB47" t="str">
        <f t="shared" si="13"/>
        <v/>
      </c>
      <c r="BC47" t="str">
        <f t="shared" si="14"/>
        <v/>
      </c>
      <c r="BD47" t="str">
        <f t="shared" si="15"/>
        <v/>
      </c>
      <c r="BE47" t="str">
        <f t="shared" si="16"/>
        <v/>
      </c>
      <c r="BF47" t="str">
        <f t="shared" si="17"/>
        <v/>
      </c>
      <c r="BG47" t="str">
        <f t="shared" si="18"/>
        <v/>
      </c>
      <c r="BH47" t="str">
        <f t="shared" si="19"/>
        <v/>
      </c>
      <c r="BI47" t="str">
        <f t="shared" si="20"/>
        <v/>
      </c>
      <c r="BJ47" t="str">
        <f t="shared" si="21"/>
        <v/>
      </c>
      <c r="BK47" t="str">
        <f t="shared" si="22"/>
        <v/>
      </c>
      <c r="BL47" t="str">
        <f t="shared" si="23"/>
        <v/>
      </c>
      <c r="BM47" t="str">
        <f t="shared" si="24"/>
        <v/>
      </c>
      <c r="BP47"/>
      <c r="BR47"/>
    </row>
    <row r="48" spans="1:70" x14ac:dyDescent="0.25">
      <c r="A48" s="1">
        <v>41165</v>
      </c>
      <c r="B48">
        <v>3.5</v>
      </c>
      <c r="C48" s="4">
        <v>43100</v>
      </c>
      <c r="D48">
        <v>1</v>
      </c>
      <c r="E48">
        <f t="shared" si="0"/>
        <v>0.18421052631578946</v>
      </c>
      <c r="F48" s="4"/>
      <c r="G48">
        <v>1</v>
      </c>
      <c r="H48" t="str">
        <f t="shared" ref="H48:Y48" si="87">IF($D48&gt;G48,G48+1,"")</f>
        <v/>
      </c>
      <c r="I48" t="str">
        <f t="shared" si="87"/>
        <v/>
      </c>
      <c r="J48" t="str">
        <f t="shared" si="87"/>
        <v/>
      </c>
      <c r="K48" t="str">
        <f t="shared" si="87"/>
        <v/>
      </c>
      <c r="L48" t="str">
        <f t="shared" si="87"/>
        <v/>
      </c>
      <c r="M48" t="str">
        <f t="shared" si="87"/>
        <v/>
      </c>
      <c r="N48" t="str">
        <f t="shared" si="87"/>
        <v/>
      </c>
      <c r="O48" t="str">
        <f t="shared" si="87"/>
        <v/>
      </c>
      <c r="P48" t="str">
        <f t="shared" si="87"/>
        <v/>
      </c>
      <c r="Q48" t="str">
        <f t="shared" si="87"/>
        <v/>
      </c>
      <c r="R48" t="str">
        <f t="shared" si="87"/>
        <v/>
      </c>
      <c r="S48" t="str">
        <f t="shared" si="87"/>
        <v/>
      </c>
      <c r="T48" t="str">
        <f t="shared" si="87"/>
        <v/>
      </c>
      <c r="U48" t="str">
        <f t="shared" si="87"/>
        <v/>
      </c>
      <c r="V48" t="str">
        <f t="shared" si="87"/>
        <v/>
      </c>
      <c r="W48" t="str">
        <f t="shared" si="87"/>
        <v/>
      </c>
      <c r="X48" t="str">
        <f t="shared" si="87"/>
        <v/>
      </c>
      <c r="Y48" t="str">
        <f t="shared" si="87"/>
        <v/>
      </c>
      <c r="AA48">
        <f t="shared" si="5"/>
        <v>43100</v>
      </c>
      <c r="AB48" t="e">
        <f t="shared" si="54"/>
        <v>#N/A</v>
      </c>
      <c r="AC48" t="e">
        <f t="shared" si="55"/>
        <v>#N/A</v>
      </c>
      <c r="AD48" t="e">
        <f t="shared" si="56"/>
        <v>#N/A</v>
      </c>
      <c r="AE48" t="e">
        <f t="shared" si="38"/>
        <v>#N/A</v>
      </c>
      <c r="AF48" t="e">
        <f t="shared" si="39"/>
        <v>#N/A</v>
      </c>
      <c r="AG48" t="e">
        <f t="shared" si="40"/>
        <v>#N/A</v>
      </c>
      <c r="AH48" t="e">
        <f t="shared" si="41"/>
        <v>#N/A</v>
      </c>
      <c r="AI48" t="e">
        <f t="shared" si="42"/>
        <v>#N/A</v>
      </c>
      <c r="AJ48" t="e">
        <f t="shared" si="43"/>
        <v>#N/A</v>
      </c>
      <c r="AK48" t="e">
        <f t="shared" si="44"/>
        <v>#N/A</v>
      </c>
      <c r="AL48" t="e">
        <f t="shared" si="45"/>
        <v>#N/A</v>
      </c>
      <c r="AM48" t="e">
        <f t="shared" si="46"/>
        <v>#N/A</v>
      </c>
      <c r="AN48" t="e">
        <f t="shared" si="47"/>
        <v>#N/A</v>
      </c>
      <c r="AO48" t="e">
        <f t="shared" si="48"/>
        <v>#N/A</v>
      </c>
      <c r="AP48" t="e">
        <f t="shared" si="49"/>
        <v>#N/A</v>
      </c>
      <c r="AQ48" t="e">
        <f t="shared" si="50"/>
        <v>#N/A</v>
      </c>
      <c r="AR48" t="e">
        <f t="shared" si="51"/>
        <v>#N/A</v>
      </c>
      <c r="AS48" t="e">
        <f t="shared" si="52"/>
        <v>#N/A</v>
      </c>
      <c r="AU48">
        <f t="shared" si="6"/>
        <v>3.5</v>
      </c>
      <c r="AV48" t="str">
        <f t="shared" si="7"/>
        <v/>
      </c>
      <c r="AW48" t="str">
        <f t="shared" si="8"/>
        <v/>
      </c>
      <c r="AX48" t="str">
        <f t="shared" si="9"/>
        <v/>
      </c>
      <c r="AY48" t="str">
        <f t="shared" si="10"/>
        <v/>
      </c>
      <c r="AZ48" t="str">
        <f t="shared" si="11"/>
        <v/>
      </c>
      <c r="BA48" t="str">
        <f t="shared" si="12"/>
        <v/>
      </c>
      <c r="BB48" t="str">
        <f t="shared" si="13"/>
        <v/>
      </c>
      <c r="BC48" t="str">
        <f t="shared" si="14"/>
        <v/>
      </c>
      <c r="BD48" t="str">
        <f t="shared" si="15"/>
        <v/>
      </c>
      <c r="BE48" t="str">
        <f t="shared" si="16"/>
        <v/>
      </c>
      <c r="BF48" t="str">
        <f t="shared" si="17"/>
        <v/>
      </c>
      <c r="BG48" t="str">
        <f t="shared" si="18"/>
        <v/>
      </c>
      <c r="BH48" t="str">
        <f t="shared" si="19"/>
        <v/>
      </c>
      <c r="BI48" t="str">
        <f t="shared" si="20"/>
        <v/>
      </c>
      <c r="BJ48" t="str">
        <f t="shared" si="21"/>
        <v/>
      </c>
      <c r="BK48" t="str">
        <f t="shared" si="22"/>
        <v/>
      </c>
      <c r="BL48" t="str">
        <f t="shared" si="23"/>
        <v/>
      </c>
      <c r="BM48" t="str">
        <f t="shared" si="24"/>
        <v/>
      </c>
      <c r="BP48"/>
      <c r="BR48"/>
    </row>
    <row r="49" spans="1:70" x14ac:dyDescent="0.25">
      <c r="A49" s="1">
        <v>41165</v>
      </c>
      <c r="B49">
        <v>3.75</v>
      </c>
      <c r="C49" s="4">
        <v>43100</v>
      </c>
      <c r="D49">
        <v>2</v>
      </c>
      <c r="E49">
        <f t="shared" si="0"/>
        <v>0.39473684210526316</v>
      </c>
      <c r="F49" s="4"/>
      <c r="G49">
        <v>1</v>
      </c>
      <c r="H49">
        <f t="shared" ref="H49:Y49" si="88">IF($D49&gt;G49,G49+1,"")</f>
        <v>2</v>
      </c>
      <c r="I49" t="str">
        <f t="shared" si="88"/>
        <v/>
      </c>
      <c r="J49" t="str">
        <f t="shared" si="88"/>
        <v/>
      </c>
      <c r="K49" t="str">
        <f t="shared" si="88"/>
        <v/>
      </c>
      <c r="L49" t="str">
        <f t="shared" si="88"/>
        <v/>
      </c>
      <c r="M49" t="str">
        <f t="shared" si="88"/>
        <v/>
      </c>
      <c r="N49" t="str">
        <f t="shared" si="88"/>
        <v/>
      </c>
      <c r="O49" t="str">
        <f t="shared" si="88"/>
        <v/>
      </c>
      <c r="P49" t="str">
        <f t="shared" si="88"/>
        <v/>
      </c>
      <c r="Q49" t="str">
        <f t="shared" si="88"/>
        <v/>
      </c>
      <c r="R49" t="str">
        <f t="shared" si="88"/>
        <v/>
      </c>
      <c r="S49" t="str">
        <f t="shared" si="88"/>
        <v/>
      </c>
      <c r="T49" t="str">
        <f t="shared" si="88"/>
        <v/>
      </c>
      <c r="U49" t="str">
        <f t="shared" si="88"/>
        <v/>
      </c>
      <c r="V49" t="str">
        <f t="shared" si="88"/>
        <v/>
      </c>
      <c r="W49" t="str">
        <f t="shared" si="88"/>
        <v/>
      </c>
      <c r="X49" t="str">
        <f t="shared" si="88"/>
        <v/>
      </c>
      <c r="Y49" t="str">
        <f t="shared" si="88"/>
        <v/>
      </c>
      <c r="AA49">
        <f t="shared" si="5"/>
        <v>43089.962500000001</v>
      </c>
      <c r="AB49">
        <f t="shared" si="54"/>
        <v>43110.037500000006</v>
      </c>
      <c r="AC49" t="e">
        <f t="shared" si="55"/>
        <v>#N/A</v>
      </c>
      <c r="AD49" t="e">
        <f t="shared" si="56"/>
        <v>#N/A</v>
      </c>
      <c r="AE49" t="e">
        <f t="shared" si="38"/>
        <v>#N/A</v>
      </c>
      <c r="AF49" t="e">
        <f t="shared" si="39"/>
        <v>#N/A</v>
      </c>
      <c r="AG49" t="e">
        <f t="shared" si="40"/>
        <v>#N/A</v>
      </c>
      <c r="AH49" t="e">
        <f t="shared" si="41"/>
        <v>#N/A</v>
      </c>
      <c r="AI49" t="e">
        <f t="shared" si="42"/>
        <v>#N/A</v>
      </c>
      <c r="AJ49" t="e">
        <f t="shared" si="43"/>
        <v>#N/A</v>
      </c>
      <c r="AK49" t="e">
        <f t="shared" si="44"/>
        <v>#N/A</v>
      </c>
      <c r="AL49" t="e">
        <f t="shared" si="45"/>
        <v>#N/A</v>
      </c>
      <c r="AM49" t="e">
        <f t="shared" si="46"/>
        <v>#N/A</v>
      </c>
      <c r="AN49" t="e">
        <f t="shared" si="47"/>
        <v>#N/A</v>
      </c>
      <c r="AO49" t="e">
        <f t="shared" si="48"/>
        <v>#N/A</v>
      </c>
      <c r="AP49" t="e">
        <f t="shared" si="49"/>
        <v>#N/A</v>
      </c>
      <c r="AQ49" t="e">
        <f t="shared" si="50"/>
        <v>#N/A</v>
      </c>
      <c r="AR49" t="e">
        <f t="shared" si="51"/>
        <v>#N/A</v>
      </c>
      <c r="AS49" t="e">
        <f t="shared" si="52"/>
        <v>#N/A</v>
      </c>
      <c r="AU49">
        <f t="shared" si="6"/>
        <v>3.75</v>
      </c>
      <c r="AV49">
        <f t="shared" si="7"/>
        <v>3.75</v>
      </c>
      <c r="AW49" t="str">
        <f t="shared" si="8"/>
        <v/>
      </c>
      <c r="AX49" t="str">
        <f t="shared" si="9"/>
        <v/>
      </c>
      <c r="AY49" t="str">
        <f t="shared" si="10"/>
        <v/>
      </c>
      <c r="AZ49" t="str">
        <f t="shared" si="11"/>
        <v/>
      </c>
      <c r="BA49" t="str">
        <f t="shared" si="12"/>
        <v/>
      </c>
      <c r="BB49" t="str">
        <f t="shared" si="13"/>
        <v/>
      </c>
      <c r="BC49" t="str">
        <f t="shared" si="14"/>
        <v/>
      </c>
      <c r="BD49" t="str">
        <f t="shared" si="15"/>
        <v/>
      </c>
      <c r="BE49" t="str">
        <f t="shared" si="16"/>
        <v/>
      </c>
      <c r="BF49" t="str">
        <f t="shared" si="17"/>
        <v/>
      </c>
      <c r="BG49" t="str">
        <f t="shared" si="18"/>
        <v/>
      </c>
      <c r="BH49" t="str">
        <f t="shared" si="19"/>
        <v/>
      </c>
      <c r="BI49" t="str">
        <f t="shared" si="20"/>
        <v/>
      </c>
      <c r="BJ49" t="str">
        <f t="shared" si="21"/>
        <v/>
      </c>
      <c r="BK49" t="str">
        <f t="shared" si="22"/>
        <v/>
      </c>
      <c r="BL49" t="str">
        <f t="shared" si="23"/>
        <v/>
      </c>
      <c r="BM49" t="str">
        <f t="shared" si="24"/>
        <v/>
      </c>
      <c r="BP49"/>
      <c r="BR49"/>
    </row>
    <row r="50" spans="1:70" x14ac:dyDescent="0.25">
      <c r="A50" s="1">
        <v>41165</v>
      </c>
      <c r="B50">
        <v>4</v>
      </c>
      <c r="C50" s="4">
        <v>43100</v>
      </c>
      <c r="D50">
        <v>6</v>
      </c>
      <c r="E50">
        <f t="shared" si="0"/>
        <v>1.263157894736842</v>
      </c>
      <c r="F50" s="4"/>
      <c r="G50">
        <v>1</v>
      </c>
      <c r="H50">
        <f t="shared" ref="H50:Y50" si="89">IF($D50&gt;G50,G50+1,"")</f>
        <v>2</v>
      </c>
      <c r="I50">
        <f t="shared" si="89"/>
        <v>3</v>
      </c>
      <c r="J50">
        <f t="shared" si="89"/>
        <v>4</v>
      </c>
      <c r="K50">
        <f t="shared" si="89"/>
        <v>5</v>
      </c>
      <c r="L50">
        <f t="shared" si="89"/>
        <v>6</v>
      </c>
      <c r="M50" t="str">
        <f t="shared" si="89"/>
        <v/>
      </c>
      <c r="N50" t="str">
        <f t="shared" si="89"/>
        <v/>
      </c>
      <c r="O50" t="str">
        <f t="shared" si="89"/>
        <v/>
      </c>
      <c r="P50" t="str">
        <f t="shared" si="89"/>
        <v/>
      </c>
      <c r="Q50" t="str">
        <f t="shared" si="89"/>
        <v/>
      </c>
      <c r="R50" t="str">
        <f t="shared" si="89"/>
        <v/>
      </c>
      <c r="S50" t="str">
        <f t="shared" si="89"/>
        <v/>
      </c>
      <c r="T50" t="str">
        <f t="shared" si="89"/>
        <v/>
      </c>
      <c r="U50" t="str">
        <f t="shared" si="89"/>
        <v/>
      </c>
      <c r="V50" t="str">
        <f t="shared" si="89"/>
        <v/>
      </c>
      <c r="W50" t="str">
        <f t="shared" si="89"/>
        <v/>
      </c>
      <c r="X50" t="str">
        <f t="shared" si="89"/>
        <v/>
      </c>
      <c r="Y50" t="str">
        <f t="shared" si="89"/>
        <v/>
      </c>
      <c r="AA50">
        <f t="shared" si="5"/>
        <v>43049.8125</v>
      </c>
      <c r="AB50">
        <f t="shared" si="54"/>
        <v>43069.887500000004</v>
      </c>
      <c r="AC50">
        <f t="shared" si="55"/>
        <v>43089.962500000001</v>
      </c>
      <c r="AD50">
        <f t="shared" si="56"/>
        <v>43110.037500000006</v>
      </c>
      <c r="AE50">
        <f t="shared" si="38"/>
        <v>43130.112500000003</v>
      </c>
      <c r="AF50">
        <f t="shared" si="39"/>
        <v>43150.1875</v>
      </c>
      <c r="AG50" t="e">
        <f t="shared" si="40"/>
        <v>#N/A</v>
      </c>
      <c r="AH50" t="e">
        <f t="shared" si="41"/>
        <v>#N/A</v>
      </c>
      <c r="AI50" t="e">
        <f t="shared" si="42"/>
        <v>#N/A</v>
      </c>
      <c r="AJ50" t="e">
        <f t="shared" si="43"/>
        <v>#N/A</v>
      </c>
      <c r="AK50" t="e">
        <f t="shared" si="44"/>
        <v>#N/A</v>
      </c>
      <c r="AL50" t="e">
        <f t="shared" si="45"/>
        <v>#N/A</v>
      </c>
      <c r="AM50" t="e">
        <f t="shared" si="46"/>
        <v>#N/A</v>
      </c>
      <c r="AN50" t="e">
        <f t="shared" si="47"/>
        <v>#N/A</v>
      </c>
      <c r="AO50" t="e">
        <f t="shared" si="48"/>
        <v>#N/A</v>
      </c>
      <c r="AP50" t="e">
        <f t="shared" si="49"/>
        <v>#N/A</v>
      </c>
      <c r="AQ50" t="e">
        <f t="shared" si="50"/>
        <v>#N/A</v>
      </c>
      <c r="AR50" t="e">
        <f t="shared" si="51"/>
        <v>#N/A</v>
      </c>
      <c r="AS50" t="e">
        <f t="shared" si="52"/>
        <v>#N/A</v>
      </c>
      <c r="AU50">
        <f t="shared" si="6"/>
        <v>4</v>
      </c>
      <c r="AV50">
        <f t="shared" si="7"/>
        <v>4</v>
      </c>
      <c r="AW50">
        <f t="shared" si="8"/>
        <v>4</v>
      </c>
      <c r="AX50">
        <f t="shared" si="9"/>
        <v>4</v>
      </c>
      <c r="AY50">
        <f t="shared" si="10"/>
        <v>4</v>
      </c>
      <c r="AZ50">
        <f t="shared" si="11"/>
        <v>4</v>
      </c>
      <c r="BA50" t="str">
        <f t="shared" si="12"/>
        <v/>
      </c>
      <c r="BB50" t="str">
        <f t="shared" si="13"/>
        <v/>
      </c>
      <c r="BC50" t="str">
        <f t="shared" si="14"/>
        <v/>
      </c>
      <c r="BD50" t="str">
        <f t="shared" si="15"/>
        <v/>
      </c>
      <c r="BE50" t="str">
        <f t="shared" si="16"/>
        <v/>
      </c>
      <c r="BF50" t="str">
        <f t="shared" si="17"/>
        <v/>
      </c>
      <c r="BG50" t="str">
        <f t="shared" si="18"/>
        <v/>
      </c>
      <c r="BH50" t="str">
        <f t="shared" si="19"/>
        <v/>
      </c>
      <c r="BI50" t="str">
        <f t="shared" si="20"/>
        <v/>
      </c>
      <c r="BJ50" t="str">
        <f t="shared" si="21"/>
        <v/>
      </c>
      <c r="BK50" t="str">
        <f t="shared" si="22"/>
        <v/>
      </c>
      <c r="BL50" t="str">
        <f t="shared" si="23"/>
        <v/>
      </c>
      <c r="BM50" t="str">
        <f t="shared" si="24"/>
        <v/>
      </c>
      <c r="BP50"/>
      <c r="BR50"/>
    </row>
    <row r="51" spans="1:70" x14ac:dyDescent="0.25">
      <c r="A51" s="1">
        <v>41165</v>
      </c>
      <c r="B51">
        <v>4.25</v>
      </c>
      <c r="C51" s="4">
        <v>43100</v>
      </c>
      <c r="D51">
        <v>5</v>
      </c>
      <c r="E51">
        <f t="shared" si="0"/>
        <v>1.118421052631579</v>
      </c>
      <c r="F51" s="4"/>
      <c r="G51">
        <v>1</v>
      </c>
      <c r="H51">
        <f t="shared" ref="H51:Y51" si="90">IF($D51&gt;G51,G51+1,"")</f>
        <v>2</v>
      </c>
      <c r="I51">
        <f t="shared" si="90"/>
        <v>3</v>
      </c>
      <c r="J51">
        <f t="shared" si="90"/>
        <v>4</v>
      </c>
      <c r="K51">
        <f t="shared" si="90"/>
        <v>5</v>
      </c>
      <c r="L51" t="str">
        <f t="shared" si="90"/>
        <v/>
      </c>
      <c r="M51" t="str">
        <f t="shared" si="90"/>
        <v/>
      </c>
      <c r="N51" t="str">
        <f t="shared" si="90"/>
        <v/>
      </c>
      <c r="O51" t="str">
        <f t="shared" si="90"/>
        <v/>
      </c>
      <c r="P51" t="str">
        <f t="shared" si="90"/>
        <v/>
      </c>
      <c r="Q51" t="str">
        <f t="shared" si="90"/>
        <v/>
      </c>
      <c r="R51" t="str">
        <f t="shared" si="90"/>
        <v/>
      </c>
      <c r="S51" t="str">
        <f t="shared" si="90"/>
        <v/>
      </c>
      <c r="T51" t="str">
        <f t="shared" si="90"/>
        <v/>
      </c>
      <c r="U51" t="str">
        <f t="shared" si="90"/>
        <v/>
      </c>
      <c r="V51" t="str">
        <f t="shared" si="90"/>
        <v/>
      </c>
      <c r="W51" t="str">
        <f t="shared" si="90"/>
        <v/>
      </c>
      <c r="X51" t="str">
        <f t="shared" si="90"/>
        <v/>
      </c>
      <c r="Y51" t="str">
        <f t="shared" si="90"/>
        <v/>
      </c>
      <c r="AA51">
        <f t="shared" si="5"/>
        <v>43059.85</v>
      </c>
      <c r="AB51">
        <f t="shared" si="54"/>
        <v>43079.925000000003</v>
      </c>
      <c r="AC51">
        <f t="shared" si="55"/>
        <v>43100</v>
      </c>
      <c r="AD51">
        <f t="shared" si="56"/>
        <v>43120.075000000004</v>
      </c>
      <c r="AE51">
        <f t="shared" si="38"/>
        <v>43140.15</v>
      </c>
      <c r="AF51" t="e">
        <f t="shared" si="39"/>
        <v>#N/A</v>
      </c>
      <c r="AG51" t="e">
        <f t="shared" si="40"/>
        <v>#N/A</v>
      </c>
      <c r="AH51" t="e">
        <f t="shared" si="41"/>
        <v>#N/A</v>
      </c>
      <c r="AI51" t="e">
        <f t="shared" si="42"/>
        <v>#N/A</v>
      </c>
      <c r="AJ51" t="e">
        <f t="shared" si="43"/>
        <v>#N/A</v>
      </c>
      <c r="AK51" t="e">
        <f t="shared" si="44"/>
        <v>#N/A</v>
      </c>
      <c r="AL51" t="e">
        <f t="shared" si="45"/>
        <v>#N/A</v>
      </c>
      <c r="AM51" t="e">
        <f t="shared" si="46"/>
        <v>#N/A</v>
      </c>
      <c r="AN51" t="e">
        <f t="shared" si="47"/>
        <v>#N/A</v>
      </c>
      <c r="AO51" t="e">
        <f t="shared" si="48"/>
        <v>#N/A</v>
      </c>
      <c r="AP51" t="e">
        <f t="shared" si="49"/>
        <v>#N/A</v>
      </c>
      <c r="AQ51" t="e">
        <f t="shared" si="50"/>
        <v>#N/A</v>
      </c>
      <c r="AR51" t="e">
        <f t="shared" si="51"/>
        <v>#N/A</v>
      </c>
      <c r="AS51" t="e">
        <f t="shared" si="52"/>
        <v>#N/A</v>
      </c>
      <c r="AU51">
        <f t="shared" si="6"/>
        <v>4.25</v>
      </c>
      <c r="AV51">
        <f t="shared" si="7"/>
        <v>4.25</v>
      </c>
      <c r="AW51">
        <f t="shared" si="8"/>
        <v>4.25</v>
      </c>
      <c r="AX51">
        <f t="shared" si="9"/>
        <v>4.25</v>
      </c>
      <c r="AY51">
        <f t="shared" si="10"/>
        <v>4.25</v>
      </c>
      <c r="AZ51" t="str">
        <f t="shared" si="11"/>
        <v/>
      </c>
      <c r="BA51" t="str">
        <f t="shared" si="12"/>
        <v/>
      </c>
      <c r="BB51" t="str">
        <f t="shared" si="13"/>
        <v/>
      </c>
      <c r="BC51" t="str">
        <f t="shared" si="14"/>
        <v/>
      </c>
      <c r="BD51" t="str">
        <f t="shared" si="15"/>
        <v/>
      </c>
      <c r="BE51" t="str">
        <f t="shared" si="16"/>
        <v/>
      </c>
      <c r="BF51" t="str">
        <f t="shared" si="17"/>
        <v/>
      </c>
      <c r="BG51" t="str">
        <f t="shared" si="18"/>
        <v/>
      </c>
      <c r="BH51" t="str">
        <f t="shared" si="19"/>
        <v/>
      </c>
      <c r="BI51" t="str">
        <f t="shared" si="20"/>
        <v/>
      </c>
      <c r="BJ51" t="str">
        <f t="shared" si="21"/>
        <v/>
      </c>
      <c r="BK51" t="str">
        <f t="shared" si="22"/>
        <v/>
      </c>
      <c r="BL51" t="str">
        <f t="shared" si="23"/>
        <v/>
      </c>
      <c r="BM51" t="str">
        <f t="shared" si="24"/>
        <v/>
      </c>
      <c r="BP51"/>
      <c r="BR51"/>
    </row>
    <row r="52" spans="1:70" x14ac:dyDescent="0.25">
      <c r="A52" s="1">
        <v>41165</v>
      </c>
      <c r="B52">
        <v>4.5</v>
      </c>
      <c r="C52" s="4">
        <v>43100</v>
      </c>
      <c r="D52">
        <v>4</v>
      </c>
      <c r="E52">
        <f t="shared" si="0"/>
        <v>0.94736842105263153</v>
      </c>
      <c r="F52" s="4"/>
      <c r="G52">
        <v>1</v>
      </c>
      <c r="H52">
        <f t="shared" ref="H52:Y52" si="91">IF($D52&gt;G52,G52+1,"")</f>
        <v>2</v>
      </c>
      <c r="I52">
        <f t="shared" si="91"/>
        <v>3</v>
      </c>
      <c r="J52">
        <f t="shared" si="91"/>
        <v>4</v>
      </c>
      <c r="K52" t="str">
        <f t="shared" si="91"/>
        <v/>
      </c>
      <c r="L52" t="str">
        <f t="shared" si="91"/>
        <v/>
      </c>
      <c r="M52" t="str">
        <f t="shared" si="91"/>
        <v/>
      </c>
      <c r="N52" t="str">
        <f t="shared" si="91"/>
        <v/>
      </c>
      <c r="O52" t="str">
        <f t="shared" si="91"/>
        <v/>
      </c>
      <c r="P52" t="str">
        <f t="shared" si="91"/>
        <v/>
      </c>
      <c r="Q52" t="str">
        <f t="shared" si="91"/>
        <v/>
      </c>
      <c r="R52" t="str">
        <f t="shared" si="91"/>
        <v/>
      </c>
      <c r="S52" t="str">
        <f t="shared" si="91"/>
        <v/>
      </c>
      <c r="T52" t="str">
        <f t="shared" si="91"/>
        <v/>
      </c>
      <c r="U52" t="str">
        <f t="shared" si="91"/>
        <v/>
      </c>
      <c r="V52" t="str">
        <f t="shared" si="91"/>
        <v/>
      </c>
      <c r="W52" t="str">
        <f t="shared" si="91"/>
        <v/>
      </c>
      <c r="X52" t="str">
        <f t="shared" si="91"/>
        <v/>
      </c>
      <c r="Y52" t="str">
        <f t="shared" si="91"/>
        <v/>
      </c>
      <c r="AA52">
        <f t="shared" si="5"/>
        <v>43069.887499999997</v>
      </c>
      <c r="AB52">
        <f t="shared" si="54"/>
        <v>43089.962500000001</v>
      </c>
      <c r="AC52">
        <f t="shared" si="55"/>
        <v>43110.037499999999</v>
      </c>
      <c r="AD52">
        <f t="shared" si="56"/>
        <v>43130.112500000003</v>
      </c>
      <c r="AE52" t="e">
        <f t="shared" si="38"/>
        <v>#N/A</v>
      </c>
      <c r="AF52" t="e">
        <f t="shared" si="39"/>
        <v>#N/A</v>
      </c>
      <c r="AG52" t="e">
        <f t="shared" si="40"/>
        <v>#N/A</v>
      </c>
      <c r="AH52" t="e">
        <f t="shared" si="41"/>
        <v>#N/A</v>
      </c>
      <c r="AI52" t="e">
        <f t="shared" si="42"/>
        <v>#N/A</v>
      </c>
      <c r="AJ52" t="e">
        <f t="shared" si="43"/>
        <v>#N/A</v>
      </c>
      <c r="AK52" t="e">
        <f t="shared" si="44"/>
        <v>#N/A</v>
      </c>
      <c r="AL52" t="e">
        <f t="shared" si="45"/>
        <v>#N/A</v>
      </c>
      <c r="AM52" t="e">
        <f t="shared" si="46"/>
        <v>#N/A</v>
      </c>
      <c r="AN52" t="e">
        <f t="shared" si="47"/>
        <v>#N/A</v>
      </c>
      <c r="AO52" t="e">
        <f t="shared" si="48"/>
        <v>#N/A</v>
      </c>
      <c r="AP52" t="e">
        <f t="shared" si="49"/>
        <v>#N/A</v>
      </c>
      <c r="AQ52" t="e">
        <f t="shared" si="50"/>
        <v>#N/A</v>
      </c>
      <c r="AR52" t="e">
        <f t="shared" si="51"/>
        <v>#N/A</v>
      </c>
      <c r="AS52" t="e">
        <f t="shared" si="52"/>
        <v>#N/A</v>
      </c>
      <c r="AU52">
        <f t="shared" si="6"/>
        <v>4.5</v>
      </c>
      <c r="AV52">
        <f t="shared" si="7"/>
        <v>4.5</v>
      </c>
      <c r="AW52">
        <f t="shared" si="8"/>
        <v>4.5</v>
      </c>
      <c r="AX52">
        <f t="shared" si="9"/>
        <v>4.5</v>
      </c>
      <c r="AY52" t="str">
        <f t="shared" si="10"/>
        <v/>
      </c>
      <c r="AZ52" t="str">
        <f t="shared" si="11"/>
        <v/>
      </c>
      <c r="BA52" t="str">
        <f t="shared" si="12"/>
        <v/>
      </c>
      <c r="BB52" t="str">
        <f t="shared" si="13"/>
        <v/>
      </c>
      <c r="BC52" t="str">
        <f t="shared" si="14"/>
        <v/>
      </c>
      <c r="BD52" t="str">
        <f t="shared" si="15"/>
        <v/>
      </c>
      <c r="BE52" t="str">
        <f t="shared" si="16"/>
        <v/>
      </c>
      <c r="BF52" t="str">
        <f t="shared" si="17"/>
        <v/>
      </c>
      <c r="BG52" t="str">
        <f t="shared" si="18"/>
        <v/>
      </c>
      <c r="BH52" t="str">
        <f t="shared" si="19"/>
        <v/>
      </c>
      <c r="BI52" t="str">
        <f t="shared" si="20"/>
        <v/>
      </c>
      <c r="BJ52" t="str">
        <f t="shared" si="21"/>
        <v/>
      </c>
      <c r="BK52" t="str">
        <f t="shared" si="22"/>
        <v/>
      </c>
      <c r="BL52" t="str">
        <f t="shared" si="23"/>
        <v/>
      </c>
      <c r="BM52" t="str">
        <f t="shared" si="24"/>
        <v/>
      </c>
      <c r="BP52"/>
      <c r="BR52"/>
    </row>
    <row r="53" spans="1:70" x14ac:dyDescent="0.25">
      <c r="A53" s="1">
        <v>41255</v>
      </c>
      <c r="B53" s="2">
        <v>0.25</v>
      </c>
      <c r="C53" s="4">
        <v>41274</v>
      </c>
      <c r="D53">
        <v>19</v>
      </c>
      <c r="E53">
        <f t="shared" si="0"/>
        <v>0.25</v>
      </c>
      <c r="F53" s="4"/>
      <c r="G53">
        <v>1</v>
      </c>
      <c r="H53">
        <f t="shared" ref="H53:Y53" si="92">IF($D53&gt;G53,G53+1,"")</f>
        <v>2</v>
      </c>
      <c r="I53">
        <f t="shared" si="92"/>
        <v>3</v>
      </c>
      <c r="J53">
        <f t="shared" si="92"/>
        <v>4</v>
      </c>
      <c r="K53">
        <f t="shared" si="92"/>
        <v>5</v>
      </c>
      <c r="L53">
        <f t="shared" si="92"/>
        <v>6</v>
      </c>
      <c r="M53">
        <f t="shared" si="92"/>
        <v>7</v>
      </c>
      <c r="N53">
        <f t="shared" si="92"/>
        <v>8</v>
      </c>
      <c r="O53">
        <f t="shared" si="92"/>
        <v>9</v>
      </c>
      <c r="P53">
        <f t="shared" si="92"/>
        <v>10</v>
      </c>
      <c r="Q53">
        <f t="shared" si="92"/>
        <v>11</v>
      </c>
      <c r="R53">
        <f t="shared" si="92"/>
        <v>12</v>
      </c>
      <c r="S53">
        <f t="shared" si="92"/>
        <v>13</v>
      </c>
      <c r="T53">
        <f t="shared" si="92"/>
        <v>14</v>
      </c>
      <c r="U53">
        <f t="shared" si="92"/>
        <v>15</v>
      </c>
      <c r="V53">
        <f t="shared" si="92"/>
        <v>16</v>
      </c>
      <c r="W53">
        <f t="shared" si="92"/>
        <v>17</v>
      </c>
      <c r="X53">
        <f t="shared" si="92"/>
        <v>18</v>
      </c>
      <c r="Y53">
        <f t="shared" si="92"/>
        <v>19</v>
      </c>
      <c r="AA53">
        <f t="shared" si="5"/>
        <v>41093.324999999997</v>
      </c>
      <c r="AB53">
        <f t="shared" si="54"/>
        <v>41113.4</v>
      </c>
      <c r="AC53">
        <f t="shared" si="55"/>
        <v>41133.474999999999</v>
      </c>
      <c r="AD53">
        <f t="shared" si="56"/>
        <v>41153.550000000003</v>
      </c>
      <c r="AE53">
        <f t="shared" si="38"/>
        <v>41173.625</v>
      </c>
      <c r="AF53">
        <f t="shared" si="39"/>
        <v>41193.699999999997</v>
      </c>
      <c r="AG53">
        <f t="shared" si="40"/>
        <v>41213.775000000001</v>
      </c>
      <c r="AH53">
        <f t="shared" si="41"/>
        <v>41233.85</v>
      </c>
      <c r="AI53">
        <f t="shared" si="42"/>
        <v>41253.925000000003</v>
      </c>
      <c r="AJ53">
        <f t="shared" si="43"/>
        <v>41274</v>
      </c>
      <c r="AK53">
        <f t="shared" si="44"/>
        <v>41294.074999999997</v>
      </c>
      <c r="AL53">
        <f t="shared" si="45"/>
        <v>41314.15</v>
      </c>
      <c r="AM53">
        <f t="shared" si="46"/>
        <v>41334.224999999999</v>
      </c>
      <c r="AN53">
        <f t="shared" si="47"/>
        <v>41354.300000000003</v>
      </c>
      <c r="AO53">
        <f t="shared" si="48"/>
        <v>41374.375</v>
      </c>
      <c r="AP53">
        <f t="shared" si="49"/>
        <v>41394.449999999997</v>
      </c>
      <c r="AQ53">
        <f t="shared" si="50"/>
        <v>41414.525000000001</v>
      </c>
      <c r="AR53">
        <f t="shared" si="51"/>
        <v>41434.6</v>
      </c>
      <c r="AS53">
        <f t="shared" si="52"/>
        <v>41454.675000000003</v>
      </c>
      <c r="AU53">
        <f t="shared" si="6"/>
        <v>0.25</v>
      </c>
      <c r="AV53">
        <f t="shared" si="7"/>
        <v>0.25</v>
      </c>
      <c r="AW53">
        <f t="shared" si="8"/>
        <v>0.25</v>
      </c>
      <c r="AX53">
        <f t="shared" si="9"/>
        <v>0.25</v>
      </c>
      <c r="AY53">
        <f t="shared" si="10"/>
        <v>0.25</v>
      </c>
      <c r="AZ53">
        <f t="shared" si="11"/>
        <v>0.25</v>
      </c>
      <c r="BA53">
        <f t="shared" si="12"/>
        <v>0.25</v>
      </c>
      <c r="BB53">
        <f t="shared" si="13"/>
        <v>0.25</v>
      </c>
      <c r="BC53">
        <f t="shared" si="14"/>
        <v>0.25</v>
      </c>
      <c r="BD53">
        <f t="shared" si="15"/>
        <v>0.25</v>
      </c>
      <c r="BE53">
        <f t="shared" si="16"/>
        <v>0.25</v>
      </c>
      <c r="BF53">
        <f t="shared" si="17"/>
        <v>0.25</v>
      </c>
      <c r="BG53">
        <f t="shared" si="18"/>
        <v>0.25</v>
      </c>
      <c r="BH53">
        <f t="shared" si="19"/>
        <v>0.25</v>
      </c>
      <c r="BI53">
        <f t="shared" si="20"/>
        <v>0.25</v>
      </c>
      <c r="BJ53">
        <f t="shared" si="21"/>
        <v>0.25</v>
      </c>
      <c r="BK53">
        <f t="shared" si="22"/>
        <v>0.25</v>
      </c>
      <c r="BL53">
        <f t="shared" si="23"/>
        <v>0.25</v>
      </c>
      <c r="BM53">
        <f t="shared" si="24"/>
        <v>0.25</v>
      </c>
      <c r="BP53"/>
      <c r="BR53"/>
    </row>
    <row r="54" spans="1:70" x14ac:dyDescent="0.25">
      <c r="A54" s="1">
        <v>41255</v>
      </c>
      <c r="B54" s="2">
        <v>0.25</v>
      </c>
      <c r="C54" s="4">
        <v>41639</v>
      </c>
      <c r="D54">
        <v>17</v>
      </c>
      <c r="E54">
        <f t="shared" si="0"/>
        <v>0.22368421052631579</v>
      </c>
      <c r="F54" s="4"/>
      <c r="G54">
        <v>1</v>
      </c>
      <c r="H54">
        <f t="shared" ref="H54:Y54" si="93">IF($D54&gt;G54,G54+1,"")</f>
        <v>2</v>
      </c>
      <c r="I54">
        <f t="shared" si="93"/>
        <v>3</v>
      </c>
      <c r="J54">
        <f t="shared" si="93"/>
        <v>4</v>
      </c>
      <c r="K54">
        <f t="shared" si="93"/>
        <v>5</v>
      </c>
      <c r="L54">
        <f t="shared" si="93"/>
        <v>6</v>
      </c>
      <c r="M54">
        <f t="shared" si="93"/>
        <v>7</v>
      </c>
      <c r="N54">
        <f t="shared" si="93"/>
        <v>8</v>
      </c>
      <c r="O54">
        <f t="shared" si="93"/>
        <v>9</v>
      </c>
      <c r="P54">
        <f t="shared" si="93"/>
        <v>10</v>
      </c>
      <c r="Q54">
        <f t="shared" si="93"/>
        <v>11</v>
      </c>
      <c r="R54">
        <f t="shared" si="93"/>
        <v>12</v>
      </c>
      <c r="S54">
        <f t="shared" si="93"/>
        <v>13</v>
      </c>
      <c r="T54">
        <f t="shared" si="93"/>
        <v>14</v>
      </c>
      <c r="U54">
        <f t="shared" si="93"/>
        <v>15</v>
      </c>
      <c r="V54">
        <f t="shared" si="93"/>
        <v>16</v>
      </c>
      <c r="W54">
        <f t="shared" si="93"/>
        <v>17</v>
      </c>
      <c r="X54" t="str">
        <f t="shared" si="93"/>
        <v/>
      </c>
      <c r="Y54" t="str">
        <f t="shared" si="93"/>
        <v/>
      </c>
      <c r="AA54">
        <f t="shared" si="5"/>
        <v>41478.400000000001</v>
      </c>
      <c r="AB54">
        <f t="shared" si="54"/>
        <v>41498.475000000006</v>
      </c>
      <c r="AC54">
        <f t="shared" si="55"/>
        <v>41518.550000000003</v>
      </c>
      <c r="AD54">
        <f t="shared" si="56"/>
        <v>41538.625000000007</v>
      </c>
      <c r="AE54">
        <f t="shared" si="38"/>
        <v>41558.700000000004</v>
      </c>
      <c r="AF54">
        <f t="shared" si="39"/>
        <v>41578.775000000001</v>
      </c>
      <c r="AG54">
        <f t="shared" si="40"/>
        <v>41598.850000000006</v>
      </c>
      <c r="AH54">
        <f t="shared" si="41"/>
        <v>41618.925000000003</v>
      </c>
      <c r="AI54">
        <f t="shared" si="42"/>
        <v>41639.000000000007</v>
      </c>
      <c r="AJ54">
        <f t="shared" si="43"/>
        <v>41659.075000000004</v>
      </c>
      <c r="AK54">
        <f t="shared" si="44"/>
        <v>41679.15</v>
      </c>
      <c r="AL54">
        <f t="shared" si="45"/>
        <v>41699.225000000006</v>
      </c>
      <c r="AM54">
        <f t="shared" si="46"/>
        <v>41719.300000000003</v>
      </c>
      <c r="AN54">
        <f t="shared" si="47"/>
        <v>41739.375000000007</v>
      </c>
      <c r="AO54">
        <f t="shared" si="48"/>
        <v>41759.450000000004</v>
      </c>
      <c r="AP54">
        <f t="shared" si="49"/>
        <v>41779.525000000001</v>
      </c>
      <c r="AQ54">
        <f t="shared" si="50"/>
        <v>41799.600000000006</v>
      </c>
      <c r="AR54" t="e">
        <f t="shared" si="51"/>
        <v>#N/A</v>
      </c>
      <c r="AS54" t="e">
        <f t="shared" si="52"/>
        <v>#N/A</v>
      </c>
      <c r="AU54">
        <f t="shared" si="6"/>
        <v>0.25</v>
      </c>
      <c r="AV54">
        <f t="shared" si="7"/>
        <v>0.25</v>
      </c>
      <c r="AW54">
        <f t="shared" si="8"/>
        <v>0.25</v>
      </c>
      <c r="AX54">
        <f t="shared" si="9"/>
        <v>0.25</v>
      </c>
      <c r="AY54">
        <f t="shared" si="10"/>
        <v>0.25</v>
      </c>
      <c r="AZ54">
        <f t="shared" si="11"/>
        <v>0.25</v>
      </c>
      <c r="BA54">
        <f t="shared" si="12"/>
        <v>0.25</v>
      </c>
      <c r="BB54">
        <f t="shared" si="13"/>
        <v>0.25</v>
      </c>
      <c r="BC54">
        <f t="shared" si="14"/>
        <v>0.25</v>
      </c>
      <c r="BD54">
        <f t="shared" si="15"/>
        <v>0.25</v>
      </c>
      <c r="BE54">
        <f t="shared" si="16"/>
        <v>0.25</v>
      </c>
      <c r="BF54">
        <f t="shared" si="17"/>
        <v>0.25</v>
      </c>
      <c r="BG54">
        <f t="shared" si="18"/>
        <v>0.25</v>
      </c>
      <c r="BH54">
        <f t="shared" si="19"/>
        <v>0.25</v>
      </c>
      <c r="BI54">
        <f t="shared" si="20"/>
        <v>0.25</v>
      </c>
      <c r="BJ54">
        <f t="shared" si="21"/>
        <v>0.25</v>
      </c>
      <c r="BK54">
        <f t="shared" si="22"/>
        <v>0.25</v>
      </c>
      <c r="BL54" t="str">
        <f t="shared" si="23"/>
        <v/>
      </c>
      <c r="BM54" t="str">
        <f t="shared" si="24"/>
        <v/>
      </c>
      <c r="BP54"/>
      <c r="BR54"/>
    </row>
    <row r="55" spans="1:70" x14ac:dyDescent="0.25">
      <c r="A55" s="1">
        <v>41255</v>
      </c>
      <c r="B55">
        <v>0.5</v>
      </c>
      <c r="C55" s="4">
        <v>41639</v>
      </c>
      <c r="D55">
        <v>1</v>
      </c>
      <c r="E55">
        <f t="shared" si="0"/>
        <v>2.6315789473684209E-2</v>
      </c>
      <c r="F55" s="4"/>
      <c r="G55">
        <v>1</v>
      </c>
      <c r="H55" t="str">
        <f t="shared" ref="H55:Y55" si="94">IF($D55&gt;G55,G55+1,"")</f>
        <v/>
      </c>
      <c r="I55" t="str">
        <f t="shared" si="94"/>
        <v/>
      </c>
      <c r="J55" t="str">
        <f t="shared" si="94"/>
        <v/>
      </c>
      <c r="K55" t="str">
        <f t="shared" si="94"/>
        <v/>
      </c>
      <c r="L55" t="str">
        <f t="shared" si="94"/>
        <v/>
      </c>
      <c r="M55" t="str">
        <f t="shared" si="94"/>
        <v/>
      </c>
      <c r="N55" t="str">
        <f t="shared" si="94"/>
        <v/>
      </c>
      <c r="O55" t="str">
        <f t="shared" si="94"/>
        <v/>
      </c>
      <c r="P55" t="str">
        <f t="shared" si="94"/>
        <v/>
      </c>
      <c r="Q55" t="str">
        <f t="shared" si="94"/>
        <v/>
      </c>
      <c r="R55" t="str">
        <f t="shared" si="94"/>
        <v/>
      </c>
      <c r="S55" t="str">
        <f t="shared" si="94"/>
        <v/>
      </c>
      <c r="T55" t="str">
        <f t="shared" si="94"/>
        <v/>
      </c>
      <c r="U55" t="str">
        <f t="shared" si="94"/>
        <v/>
      </c>
      <c r="V55" t="str">
        <f t="shared" si="94"/>
        <v/>
      </c>
      <c r="W55" t="str">
        <f t="shared" si="94"/>
        <v/>
      </c>
      <c r="X55" t="str">
        <f t="shared" si="94"/>
        <v/>
      </c>
      <c r="Y55" t="str">
        <f t="shared" si="94"/>
        <v/>
      </c>
      <c r="AA55">
        <f t="shared" si="5"/>
        <v>41639</v>
      </c>
      <c r="AB55" t="e">
        <f t="shared" si="54"/>
        <v>#N/A</v>
      </c>
      <c r="AC55" t="e">
        <f t="shared" si="55"/>
        <v>#N/A</v>
      </c>
      <c r="AD55" t="e">
        <f t="shared" si="56"/>
        <v>#N/A</v>
      </c>
      <c r="AE55" t="e">
        <f t="shared" si="38"/>
        <v>#N/A</v>
      </c>
      <c r="AF55" t="e">
        <f t="shared" si="39"/>
        <v>#N/A</v>
      </c>
      <c r="AG55" t="e">
        <f t="shared" si="40"/>
        <v>#N/A</v>
      </c>
      <c r="AH55" t="e">
        <f t="shared" si="41"/>
        <v>#N/A</v>
      </c>
      <c r="AI55" t="e">
        <f t="shared" si="42"/>
        <v>#N/A</v>
      </c>
      <c r="AJ55" t="e">
        <f t="shared" si="43"/>
        <v>#N/A</v>
      </c>
      <c r="AK55" t="e">
        <f t="shared" si="44"/>
        <v>#N/A</v>
      </c>
      <c r="AL55" t="e">
        <f t="shared" si="45"/>
        <v>#N/A</v>
      </c>
      <c r="AM55" t="e">
        <f t="shared" si="46"/>
        <v>#N/A</v>
      </c>
      <c r="AN55" t="e">
        <f t="shared" si="47"/>
        <v>#N/A</v>
      </c>
      <c r="AO55" t="e">
        <f t="shared" si="48"/>
        <v>#N/A</v>
      </c>
      <c r="AP55" t="e">
        <f t="shared" si="49"/>
        <v>#N/A</v>
      </c>
      <c r="AQ55" t="e">
        <f t="shared" si="50"/>
        <v>#N/A</v>
      </c>
      <c r="AR55" t="e">
        <f t="shared" si="51"/>
        <v>#N/A</v>
      </c>
      <c r="AS55" t="e">
        <f t="shared" si="52"/>
        <v>#N/A</v>
      </c>
      <c r="AU55">
        <f t="shared" si="6"/>
        <v>0.5</v>
      </c>
      <c r="AV55" t="str">
        <f t="shared" si="7"/>
        <v/>
      </c>
      <c r="AW55" t="str">
        <f t="shared" si="8"/>
        <v/>
      </c>
      <c r="AX55" t="str">
        <f t="shared" si="9"/>
        <v/>
      </c>
      <c r="AY55" t="str">
        <f t="shared" si="10"/>
        <v/>
      </c>
      <c r="AZ55" t="str">
        <f t="shared" si="11"/>
        <v/>
      </c>
      <c r="BA55" t="str">
        <f t="shared" si="12"/>
        <v/>
      </c>
      <c r="BB55" t="str">
        <f t="shared" si="13"/>
        <v/>
      </c>
      <c r="BC55" t="str">
        <f t="shared" si="14"/>
        <v/>
      </c>
      <c r="BD55" t="str">
        <f t="shared" si="15"/>
        <v/>
      </c>
      <c r="BE55" t="str">
        <f t="shared" si="16"/>
        <v/>
      </c>
      <c r="BF55" t="str">
        <f t="shared" si="17"/>
        <v/>
      </c>
      <c r="BG55" t="str">
        <f t="shared" si="18"/>
        <v/>
      </c>
      <c r="BH55" t="str">
        <f t="shared" si="19"/>
        <v/>
      </c>
      <c r="BI55" t="str">
        <f t="shared" si="20"/>
        <v/>
      </c>
      <c r="BJ55" t="str">
        <f t="shared" si="21"/>
        <v/>
      </c>
      <c r="BK55" t="str">
        <f t="shared" si="22"/>
        <v/>
      </c>
      <c r="BL55" t="str">
        <f t="shared" si="23"/>
        <v/>
      </c>
      <c r="BM55" t="str">
        <f t="shared" si="24"/>
        <v/>
      </c>
      <c r="BP55"/>
      <c r="BR55"/>
    </row>
    <row r="56" spans="1:70" x14ac:dyDescent="0.25">
      <c r="A56" s="1">
        <v>41255</v>
      </c>
      <c r="B56">
        <v>1</v>
      </c>
      <c r="C56" s="4">
        <v>41639</v>
      </c>
      <c r="D56">
        <v>1</v>
      </c>
      <c r="E56">
        <f t="shared" si="0"/>
        <v>5.2631578947368418E-2</v>
      </c>
      <c r="F56" s="4"/>
      <c r="G56">
        <v>1</v>
      </c>
      <c r="H56" t="str">
        <f t="shared" ref="H56:Y56" si="95">IF($D56&gt;G56,G56+1,"")</f>
        <v/>
      </c>
      <c r="I56" t="str">
        <f t="shared" si="95"/>
        <v/>
      </c>
      <c r="J56" t="str">
        <f t="shared" si="95"/>
        <v/>
      </c>
      <c r="K56" t="str">
        <f t="shared" si="95"/>
        <v/>
      </c>
      <c r="L56" t="str">
        <f t="shared" si="95"/>
        <v/>
      </c>
      <c r="M56" t="str">
        <f t="shared" si="95"/>
        <v/>
      </c>
      <c r="N56" t="str">
        <f t="shared" si="95"/>
        <v/>
      </c>
      <c r="O56" t="str">
        <f t="shared" si="95"/>
        <v/>
      </c>
      <c r="P56" t="str">
        <f t="shared" si="95"/>
        <v/>
      </c>
      <c r="Q56" t="str">
        <f t="shared" si="95"/>
        <v/>
      </c>
      <c r="R56" t="str">
        <f t="shared" si="95"/>
        <v/>
      </c>
      <c r="S56" t="str">
        <f t="shared" si="95"/>
        <v/>
      </c>
      <c r="T56" t="str">
        <f t="shared" si="95"/>
        <v/>
      </c>
      <c r="U56" t="str">
        <f t="shared" si="95"/>
        <v/>
      </c>
      <c r="V56" t="str">
        <f t="shared" si="95"/>
        <v/>
      </c>
      <c r="W56" t="str">
        <f t="shared" si="95"/>
        <v/>
      </c>
      <c r="X56" t="str">
        <f t="shared" si="95"/>
        <v/>
      </c>
      <c r="Y56" t="str">
        <f t="shared" si="95"/>
        <v/>
      </c>
      <c r="AA56">
        <f t="shared" si="5"/>
        <v>41639</v>
      </c>
      <c r="AB56" t="e">
        <f t="shared" si="54"/>
        <v>#N/A</v>
      </c>
      <c r="AC56" t="e">
        <f t="shared" si="55"/>
        <v>#N/A</v>
      </c>
      <c r="AD56" t="e">
        <f t="shared" si="56"/>
        <v>#N/A</v>
      </c>
      <c r="AE56" t="e">
        <f t="shared" si="38"/>
        <v>#N/A</v>
      </c>
      <c r="AF56" t="e">
        <f t="shared" si="39"/>
        <v>#N/A</v>
      </c>
      <c r="AG56" t="e">
        <f t="shared" si="40"/>
        <v>#N/A</v>
      </c>
      <c r="AH56" t="e">
        <f t="shared" si="41"/>
        <v>#N/A</v>
      </c>
      <c r="AI56" t="e">
        <f t="shared" si="42"/>
        <v>#N/A</v>
      </c>
      <c r="AJ56" t="e">
        <f t="shared" si="43"/>
        <v>#N/A</v>
      </c>
      <c r="AK56" t="e">
        <f t="shared" si="44"/>
        <v>#N/A</v>
      </c>
      <c r="AL56" t="e">
        <f t="shared" si="45"/>
        <v>#N/A</v>
      </c>
      <c r="AM56" t="e">
        <f t="shared" si="46"/>
        <v>#N/A</v>
      </c>
      <c r="AN56" t="e">
        <f t="shared" si="47"/>
        <v>#N/A</v>
      </c>
      <c r="AO56" t="e">
        <f t="shared" si="48"/>
        <v>#N/A</v>
      </c>
      <c r="AP56" t="e">
        <f t="shared" si="49"/>
        <v>#N/A</v>
      </c>
      <c r="AQ56" t="e">
        <f t="shared" si="50"/>
        <v>#N/A</v>
      </c>
      <c r="AR56" t="e">
        <f t="shared" si="51"/>
        <v>#N/A</v>
      </c>
      <c r="AS56" t="e">
        <f t="shared" si="52"/>
        <v>#N/A</v>
      </c>
      <c r="AU56">
        <f t="shared" si="6"/>
        <v>1</v>
      </c>
      <c r="AV56" t="str">
        <f t="shared" si="7"/>
        <v/>
      </c>
      <c r="AW56" t="str">
        <f t="shared" si="8"/>
        <v/>
      </c>
      <c r="AX56" t="str">
        <f t="shared" si="9"/>
        <v/>
      </c>
      <c r="AY56" t="str">
        <f t="shared" si="10"/>
        <v/>
      </c>
      <c r="AZ56" t="str">
        <f t="shared" si="11"/>
        <v/>
      </c>
      <c r="BA56" t="str">
        <f t="shared" si="12"/>
        <v/>
      </c>
      <c r="BB56" t="str">
        <f t="shared" si="13"/>
        <v/>
      </c>
      <c r="BC56" t="str">
        <f t="shared" si="14"/>
        <v/>
      </c>
      <c r="BD56" t="str">
        <f t="shared" si="15"/>
        <v/>
      </c>
      <c r="BE56" t="str">
        <f t="shared" si="16"/>
        <v/>
      </c>
      <c r="BF56" t="str">
        <f t="shared" si="17"/>
        <v/>
      </c>
      <c r="BG56" t="str">
        <f t="shared" si="18"/>
        <v/>
      </c>
      <c r="BH56" t="str">
        <f t="shared" si="19"/>
        <v/>
      </c>
      <c r="BI56" t="str">
        <f t="shared" si="20"/>
        <v/>
      </c>
      <c r="BJ56" t="str">
        <f t="shared" si="21"/>
        <v/>
      </c>
      <c r="BK56" t="str">
        <f t="shared" si="22"/>
        <v/>
      </c>
      <c r="BL56" t="str">
        <f t="shared" si="23"/>
        <v/>
      </c>
      <c r="BM56" t="str">
        <f t="shared" si="24"/>
        <v/>
      </c>
      <c r="BP56"/>
      <c r="BR56"/>
    </row>
    <row r="57" spans="1:70" x14ac:dyDescent="0.25">
      <c r="A57" s="1">
        <v>41255</v>
      </c>
      <c r="B57" s="2">
        <v>0.25</v>
      </c>
      <c r="C57" s="4">
        <v>42004</v>
      </c>
      <c r="D57">
        <v>14</v>
      </c>
      <c r="E57">
        <f t="shared" si="0"/>
        <v>0.18421052631578946</v>
      </c>
      <c r="F57" s="4"/>
      <c r="G57">
        <v>1</v>
      </c>
      <c r="H57">
        <f t="shared" ref="H57:Y57" si="96">IF($D57&gt;G57,G57+1,"")</f>
        <v>2</v>
      </c>
      <c r="I57">
        <f t="shared" si="96"/>
        <v>3</v>
      </c>
      <c r="J57">
        <f t="shared" si="96"/>
        <v>4</v>
      </c>
      <c r="K57">
        <f t="shared" si="96"/>
        <v>5</v>
      </c>
      <c r="L57">
        <f t="shared" si="96"/>
        <v>6</v>
      </c>
      <c r="M57">
        <f t="shared" si="96"/>
        <v>7</v>
      </c>
      <c r="N57">
        <f t="shared" si="96"/>
        <v>8</v>
      </c>
      <c r="O57">
        <f t="shared" si="96"/>
        <v>9</v>
      </c>
      <c r="P57">
        <f t="shared" si="96"/>
        <v>10</v>
      </c>
      <c r="Q57">
        <f t="shared" si="96"/>
        <v>11</v>
      </c>
      <c r="R57">
        <f t="shared" si="96"/>
        <v>12</v>
      </c>
      <c r="S57">
        <f t="shared" si="96"/>
        <v>13</v>
      </c>
      <c r="T57">
        <f t="shared" si="96"/>
        <v>14</v>
      </c>
      <c r="U57" t="str">
        <f t="shared" si="96"/>
        <v/>
      </c>
      <c r="V57" t="str">
        <f t="shared" si="96"/>
        <v/>
      </c>
      <c r="W57" t="str">
        <f t="shared" si="96"/>
        <v/>
      </c>
      <c r="X57" t="str">
        <f t="shared" si="96"/>
        <v/>
      </c>
      <c r="Y57" t="str">
        <f t="shared" si="96"/>
        <v/>
      </c>
      <c r="AA57">
        <f t="shared" si="5"/>
        <v>41873.512499999997</v>
      </c>
      <c r="AB57">
        <f t="shared" si="54"/>
        <v>41893.587500000001</v>
      </c>
      <c r="AC57">
        <f t="shared" si="55"/>
        <v>41913.662499999999</v>
      </c>
      <c r="AD57">
        <f t="shared" si="56"/>
        <v>41933.737500000003</v>
      </c>
      <c r="AE57">
        <f t="shared" si="38"/>
        <v>41953.8125</v>
      </c>
      <c r="AF57">
        <f t="shared" si="39"/>
        <v>41973.887499999997</v>
      </c>
      <c r="AG57">
        <f t="shared" si="40"/>
        <v>41993.962500000001</v>
      </c>
      <c r="AH57">
        <f t="shared" si="41"/>
        <v>42014.037499999999</v>
      </c>
      <c r="AI57">
        <f t="shared" si="42"/>
        <v>42034.112500000003</v>
      </c>
      <c r="AJ57">
        <f t="shared" si="43"/>
        <v>42054.1875</v>
      </c>
      <c r="AK57">
        <f t="shared" si="44"/>
        <v>42074.262499999997</v>
      </c>
      <c r="AL57">
        <f t="shared" si="45"/>
        <v>42094.337500000001</v>
      </c>
      <c r="AM57">
        <f t="shared" si="46"/>
        <v>42114.412499999999</v>
      </c>
      <c r="AN57">
        <f t="shared" si="47"/>
        <v>42134.487500000003</v>
      </c>
      <c r="AO57" t="e">
        <f t="shared" si="48"/>
        <v>#N/A</v>
      </c>
      <c r="AP57" t="e">
        <f t="shared" si="49"/>
        <v>#N/A</v>
      </c>
      <c r="AQ57" t="e">
        <f t="shared" si="50"/>
        <v>#N/A</v>
      </c>
      <c r="AR57" t="e">
        <f t="shared" si="51"/>
        <v>#N/A</v>
      </c>
      <c r="AS57" t="e">
        <f t="shared" si="52"/>
        <v>#N/A</v>
      </c>
      <c r="AU57">
        <f t="shared" si="6"/>
        <v>0.25</v>
      </c>
      <c r="AV57">
        <f t="shared" si="7"/>
        <v>0.25</v>
      </c>
      <c r="AW57">
        <f t="shared" si="8"/>
        <v>0.25</v>
      </c>
      <c r="AX57">
        <f t="shared" si="9"/>
        <v>0.25</v>
      </c>
      <c r="AY57">
        <f t="shared" si="10"/>
        <v>0.25</v>
      </c>
      <c r="AZ57">
        <f t="shared" si="11"/>
        <v>0.25</v>
      </c>
      <c r="BA57">
        <f t="shared" si="12"/>
        <v>0.25</v>
      </c>
      <c r="BB57">
        <f t="shared" si="13"/>
        <v>0.25</v>
      </c>
      <c r="BC57">
        <f t="shared" si="14"/>
        <v>0.25</v>
      </c>
      <c r="BD57">
        <f t="shared" si="15"/>
        <v>0.25</v>
      </c>
      <c r="BE57">
        <f t="shared" si="16"/>
        <v>0.25</v>
      </c>
      <c r="BF57">
        <f t="shared" si="17"/>
        <v>0.25</v>
      </c>
      <c r="BG57">
        <f t="shared" si="18"/>
        <v>0.25</v>
      </c>
      <c r="BH57">
        <f t="shared" si="19"/>
        <v>0.25</v>
      </c>
      <c r="BI57" t="str">
        <f t="shared" si="20"/>
        <v/>
      </c>
      <c r="BJ57" t="str">
        <f t="shared" si="21"/>
        <v/>
      </c>
      <c r="BK57" t="str">
        <f t="shared" si="22"/>
        <v/>
      </c>
      <c r="BL57" t="str">
        <f t="shared" si="23"/>
        <v/>
      </c>
      <c r="BM57" t="str">
        <f t="shared" si="24"/>
        <v/>
      </c>
      <c r="BP57"/>
      <c r="BR57"/>
    </row>
    <row r="58" spans="1:70" x14ac:dyDescent="0.25">
      <c r="A58" s="1">
        <v>41255</v>
      </c>
      <c r="B58">
        <v>0.5</v>
      </c>
      <c r="C58" s="4">
        <v>42004</v>
      </c>
      <c r="D58">
        <v>1</v>
      </c>
      <c r="E58">
        <f t="shared" si="0"/>
        <v>2.6315789473684209E-2</v>
      </c>
      <c r="F58" s="4"/>
      <c r="G58">
        <v>1</v>
      </c>
      <c r="H58" t="str">
        <f t="shared" ref="H58:Y58" si="97">IF($D58&gt;G58,G58+1,"")</f>
        <v/>
      </c>
      <c r="I58" t="str">
        <f t="shared" si="97"/>
        <v/>
      </c>
      <c r="J58" t="str">
        <f t="shared" si="97"/>
        <v/>
      </c>
      <c r="K58" t="str">
        <f t="shared" si="97"/>
        <v/>
      </c>
      <c r="L58" t="str">
        <f t="shared" si="97"/>
        <v/>
      </c>
      <c r="M58" t="str">
        <f t="shared" si="97"/>
        <v/>
      </c>
      <c r="N58" t="str">
        <f t="shared" si="97"/>
        <v/>
      </c>
      <c r="O58" t="str">
        <f t="shared" si="97"/>
        <v/>
      </c>
      <c r="P58" t="str">
        <f t="shared" si="97"/>
        <v/>
      </c>
      <c r="Q58" t="str">
        <f t="shared" si="97"/>
        <v/>
      </c>
      <c r="R58" t="str">
        <f t="shared" si="97"/>
        <v/>
      </c>
      <c r="S58" t="str">
        <f t="shared" si="97"/>
        <v/>
      </c>
      <c r="T58" t="str">
        <f t="shared" si="97"/>
        <v/>
      </c>
      <c r="U58" t="str">
        <f t="shared" si="97"/>
        <v/>
      </c>
      <c r="V58" t="str">
        <f t="shared" si="97"/>
        <v/>
      </c>
      <c r="W58" t="str">
        <f t="shared" si="97"/>
        <v/>
      </c>
      <c r="X58" t="str">
        <f t="shared" si="97"/>
        <v/>
      </c>
      <c r="Y58" t="str">
        <f t="shared" si="97"/>
        <v/>
      </c>
      <c r="AA58">
        <f t="shared" si="5"/>
        <v>42004</v>
      </c>
      <c r="AB58" t="e">
        <f t="shared" si="54"/>
        <v>#N/A</v>
      </c>
      <c r="AC58" t="e">
        <f t="shared" si="55"/>
        <v>#N/A</v>
      </c>
      <c r="AD58" t="e">
        <f t="shared" si="56"/>
        <v>#N/A</v>
      </c>
      <c r="AE58" t="e">
        <f t="shared" si="38"/>
        <v>#N/A</v>
      </c>
      <c r="AF58" t="e">
        <f t="shared" si="39"/>
        <v>#N/A</v>
      </c>
      <c r="AG58" t="e">
        <f t="shared" si="40"/>
        <v>#N/A</v>
      </c>
      <c r="AH58" t="e">
        <f t="shared" si="41"/>
        <v>#N/A</v>
      </c>
      <c r="AI58" t="e">
        <f t="shared" si="42"/>
        <v>#N/A</v>
      </c>
      <c r="AJ58" t="e">
        <f t="shared" si="43"/>
        <v>#N/A</v>
      </c>
      <c r="AK58" t="e">
        <f t="shared" si="44"/>
        <v>#N/A</v>
      </c>
      <c r="AL58" t="e">
        <f t="shared" si="45"/>
        <v>#N/A</v>
      </c>
      <c r="AM58" t="e">
        <f t="shared" si="46"/>
        <v>#N/A</v>
      </c>
      <c r="AN58" t="e">
        <f t="shared" si="47"/>
        <v>#N/A</v>
      </c>
      <c r="AO58" t="e">
        <f t="shared" si="48"/>
        <v>#N/A</v>
      </c>
      <c r="AP58" t="e">
        <f t="shared" si="49"/>
        <v>#N/A</v>
      </c>
      <c r="AQ58" t="e">
        <f t="shared" si="50"/>
        <v>#N/A</v>
      </c>
      <c r="AR58" t="e">
        <f t="shared" si="51"/>
        <v>#N/A</v>
      </c>
      <c r="AS58" t="e">
        <f t="shared" si="52"/>
        <v>#N/A</v>
      </c>
      <c r="AU58">
        <f t="shared" si="6"/>
        <v>0.5</v>
      </c>
      <c r="AV58" t="str">
        <f t="shared" si="7"/>
        <v/>
      </c>
      <c r="AW58" t="str">
        <f t="shared" si="8"/>
        <v/>
      </c>
      <c r="AX58" t="str">
        <f t="shared" si="9"/>
        <v/>
      </c>
      <c r="AY58" t="str">
        <f t="shared" si="10"/>
        <v/>
      </c>
      <c r="AZ58" t="str">
        <f t="shared" si="11"/>
        <v/>
      </c>
      <c r="BA58" t="str">
        <f t="shared" si="12"/>
        <v/>
      </c>
      <c r="BB58" t="str">
        <f t="shared" si="13"/>
        <v/>
      </c>
      <c r="BC58" t="str">
        <f t="shared" si="14"/>
        <v/>
      </c>
      <c r="BD58" t="str">
        <f t="shared" si="15"/>
        <v/>
      </c>
      <c r="BE58" t="str">
        <f t="shared" si="16"/>
        <v/>
      </c>
      <c r="BF58" t="str">
        <f t="shared" si="17"/>
        <v/>
      </c>
      <c r="BG58" t="str">
        <f t="shared" si="18"/>
        <v/>
      </c>
      <c r="BH58" t="str">
        <f t="shared" si="19"/>
        <v/>
      </c>
      <c r="BI58" t="str">
        <f t="shared" si="20"/>
        <v/>
      </c>
      <c r="BJ58" t="str">
        <f t="shared" si="21"/>
        <v/>
      </c>
      <c r="BK58" t="str">
        <f t="shared" si="22"/>
        <v/>
      </c>
      <c r="BL58" t="str">
        <f t="shared" si="23"/>
        <v/>
      </c>
      <c r="BM58" t="str">
        <f t="shared" si="24"/>
        <v/>
      </c>
      <c r="BP58"/>
      <c r="BR58"/>
    </row>
    <row r="59" spans="1:70" x14ac:dyDescent="0.25">
      <c r="A59" s="1">
        <v>41255</v>
      </c>
      <c r="B59">
        <v>1.5</v>
      </c>
      <c r="C59" s="4">
        <v>42004</v>
      </c>
      <c r="D59">
        <v>2</v>
      </c>
      <c r="E59">
        <f t="shared" si="0"/>
        <v>0.15789473684210525</v>
      </c>
      <c r="F59" s="4"/>
      <c r="G59">
        <v>1</v>
      </c>
      <c r="H59">
        <f t="shared" ref="H59:Y59" si="98">IF($D59&gt;G59,G59+1,"")</f>
        <v>2</v>
      </c>
      <c r="I59" t="str">
        <f t="shared" si="98"/>
        <v/>
      </c>
      <c r="J59" t="str">
        <f t="shared" si="98"/>
        <v/>
      </c>
      <c r="K59" t="str">
        <f t="shared" si="98"/>
        <v/>
      </c>
      <c r="L59" t="str">
        <f t="shared" si="98"/>
        <v/>
      </c>
      <c r="M59" t="str">
        <f t="shared" si="98"/>
        <v/>
      </c>
      <c r="N59" t="str">
        <f t="shared" si="98"/>
        <v/>
      </c>
      <c r="O59" t="str">
        <f t="shared" si="98"/>
        <v/>
      </c>
      <c r="P59" t="str">
        <f t="shared" si="98"/>
        <v/>
      </c>
      <c r="Q59" t="str">
        <f t="shared" si="98"/>
        <v/>
      </c>
      <c r="R59" t="str">
        <f t="shared" si="98"/>
        <v/>
      </c>
      <c r="S59" t="str">
        <f t="shared" si="98"/>
        <v/>
      </c>
      <c r="T59" t="str">
        <f t="shared" si="98"/>
        <v/>
      </c>
      <c r="U59" t="str">
        <f t="shared" si="98"/>
        <v/>
      </c>
      <c r="V59" t="str">
        <f t="shared" si="98"/>
        <v/>
      </c>
      <c r="W59" t="str">
        <f t="shared" si="98"/>
        <v/>
      </c>
      <c r="X59" t="str">
        <f t="shared" si="98"/>
        <v/>
      </c>
      <c r="Y59" t="str">
        <f t="shared" si="98"/>
        <v/>
      </c>
      <c r="AA59">
        <f t="shared" si="5"/>
        <v>41993.962500000001</v>
      </c>
      <c r="AB59">
        <f t="shared" si="54"/>
        <v>42014.037500000006</v>
      </c>
      <c r="AC59" t="e">
        <f t="shared" si="55"/>
        <v>#N/A</v>
      </c>
      <c r="AD59" t="e">
        <f t="shared" si="56"/>
        <v>#N/A</v>
      </c>
      <c r="AE59" t="e">
        <f t="shared" si="38"/>
        <v>#N/A</v>
      </c>
      <c r="AF59" t="e">
        <f t="shared" si="39"/>
        <v>#N/A</v>
      </c>
      <c r="AG59" t="e">
        <f t="shared" si="40"/>
        <v>#N/A</v>
      </c>
      <c r="AH59" t="e">
        <f t="shared" si="41"/>
        <v>#N/A</v>
      </c>
      <c r="AI59" t="e">
        <f t="shared" si="42"/>
        <v>#N/A</v>
      </c>
      <c r="AJ59" t="e">
        <f t="shared" si="43"/>
        <v>#N/A</v>
      </c>
      <c r="AK59" t="e">
        <f t="shared" si="44"/>
        <v>#N/A</v>
      </c>
      <c r="AL59" t="e">
        <f t="shared" si="45"/>
        <v>#N/A</v>
      </c>
      <c r="AM59" t="e">
        <f t="shared" si="46"/>
        <v>#N/A</v>
      </c>
      <c r="AN59" t="e">
        <f t="shared" si="47"/>
        <v>#N/A</v>
      </c>
      <c r="AO59" t="e">
        <f t="shared" si="48"/>
        <v>#N/A</v>
      </c>
      <c r="AP59" t="e">
        <f t="shared" si="49"/>
        <v>#N/A</v>
      </c>
      <c r="AQ59" t="e">
        <f t="shared" si="50"/>
        <v>#N/A</v>
      </c>
      <c r="AR59" t="e">
        <f t="shared" si="51"/>
        <v>#N/A</v>
      </c>
      <c r="AS59" t="e">
        <f t="shared" si="52"/>
        <v>#N/A</v>
      </c>
      <c r="AU59">
        <f t="shared" si="6"/>
        <v>1.5</v>
      </c>
      <c r="AV59">
        <f t="shared" si="7"/>
        <v>1.5</v>
      </c>
      <c r="AW59" t="str">
        <f t="shared" si="8"/>
        <v/>
      </c>
      <c r="AX59" t="str">
        <f t="shared" si="9"/>
        <v/>
      </c>
      <c r="AY59" t="str">
        <f t="shared" si="10"/>
        <v/>
      </c>
      <c r="AZ59" t="str">
        <f t="shared" si="11"/>
        <v/>
      </c>
      <c r="BA59" t="str">
        <f t="shared" si="12"/>
        <v/>
      </c>
      <c r="BB59" t="str">
        <f t="shared" si="13"/>
        <v/>
      </c>
      <c r="BC59" t="str">
        <f t="shared" si="14"/>
        <v/>
      </c>
      <c r="BD59" t="str">
        <f t="shared" si="15"/>
        <v/>
      </c>
      <c r="BE59" t="str">
        <f t="shared" si="16"/>
        <v/>
      </c>
      <c r="BF59" t="str">
        <f t="shared" si="17"/>
        <v/>
      </c>
      <c r="BG59" t="str">
        <f t="shared" si="18"/>
        <v/>
      </c>
      <c r="BH59" t="str">
        <f t="shared" si="19"/>
        <v/>
      </c>
      <c r="BI59" t="str">
        <f t="shared" si="20"/>
        <v/>
      </c>
      <c r="BJ59" t="str">
        <f t="shared" si="21"/>
        <v/>
      </c>
      <c r="BK59" t="str">
        <f t="shared" si="22"/>
        <v/>
      </c>
      <c r="BL59" t="str">
        <f t="shared" si="23"/>
        <v/>
      </c>
      <c r="BM59" t="str">
        <f t="shared" si="24"/>
        <v/>
      </c>
      <c r="BP59"/>
      <c r="BR59"/>
    </row>
    <row r="60" spans="1:70" x14ac:dyDescent="0.25">
      <c r="A60" s="1">
        <v>41255</v>
      </c>
      <c r="B60" s="2">
        <v>1.75</v>
      </c>
      <c r="C60" s="4">
        <v>42004</v>
      </c>
      <c r="D60">
        <v>1</v>
      </c>
      <c r="E60">
        <f t="shared" si="0"/>
        <v>9.2105263157894732E-2</v>
      </c>
      <c r="F60" s="4"/>
      <c r="G60">
        <v>1</v>
      </c>
      <c r="H60" t="str">
        <f t="shared" ref="H60:Y60" si="99">IF($D60&gt;G60,G60+1,"")</f>
        <v/>
      </c>
      <c r="I60" t="str">
        <f t="shared" si="99"/>
        <v/>
      </c>
      <c r="J60" t="str">
        <f t="shared" si="99"/>
        <v/>
      </c>
      <c r="K60" t="str">
        <f t="shared" si="99"/>
        <v/>
      </c>
      <c r="L60" t="str">
        <f t="shared" si="99"/>
        <v/>
      </c>
      <c r="M60" t="str">
        <f t="shared" si="99"/>
        <v/>
      </c>
      <c r="N60" t="str">
        <f t="shared" si="99"/>
        <v/>
      </c>
      <c r="O60" t="str">
        <f t="shared" si="99"/>
        <v/>
      </c>
      <c r="P60" t="str">
        <f t="shared" si="99"/>
        <v/>
      </c>
      <c r="Q60" t="str">
        <f t="shared" si="99"/>
        <v/>
      </c>
      <c r="R60" t="str">
        <f t="shared" si="99"/>
        <v/>
      </c>
      <c r="S60" t="str">
        <f t="shared" si="99"/>
        <v/>
      </c>
      <c r="T60" t="str">
        <f t="shared" si="99"/>
        <v/>
      </c>
      <c r="U60" t="str">
        <f t="shared" si="99"/>
        <v/>
      </c>
      <c r="V60" t="str">
        <f t="shared" si="99"/>
        <v/>
      </c>
      <c r="W60" t="str">
        <f t="shared" si="99"/>
        <v/>
      </c>
      <c r="X60" t="str">
        <f t="shared" si="99"/>
        <v/>
      </c>
      <c r="Y60" t="str">
        <f t="shared" si="99"/>
        <v/>
      </c>
      <c r="AA60">
        <f t="shared" si="5"/>
        <v>42004</v>
      </c>
      <c r="AB60" t="e">
        <f t="shared" si="54"/>
        <v>#N/A</v>
      </c>
      <c r="AC60" t="e">
        <f t="shared" si="55"/>
        <v>#N/A</v>
      </c>
      <c r="AD60" t="e">
        <f t="shared" si="56"/>
        <v>#N/A</v>
      </c>
      <c r="AE60" t="e">
        <f t="shared" si="38"/>
        <v>#N/A</v>
      </c>
      <c r="AF60" t="e">
        <f t="shared" si="39"/>
        <v>#N/A</v>
      </c>
      <c r="AG60" t="e">
        <f t="shared" si="40"/>
        <v>#N/A</v>
      </c>
      <c r="AH60" t="e">
        <f t="shared" si="41"/>
        <v>#N/A</v>
      </c>
      <c r="AI60" t="e">
        <f t="shared" si="42"/>
        <v>#N/A</v>
      </c>
      <c r="AJ60" t="e">
        <f t="shared" si="43"/>
        <v>#N/A</v>
      </c>
      <c r="AK60" t="e">
        <f t="shared" si="44"/>
        <v>#N/A</v>
      </c>
      <c r="AL60" t="e">
        <f t="shared" si="45"/>
        <v>#N/A</v>
      </c>
      <c r="AM60" t="e">
        <f t="shared" si="46"/>
        <v>#N/A</v>
      </c>
      <c r="AN60" t="e">
        <f t="shared" si="47"/>
        <v>#N/A</v>
      </c>
      <c r="AO60" t="e">
        <f t="shared" si="48"/>
        <v>#N/A</v>
      </c>
      <c r="AP60" t="e">
        <f t="shared" si="49"/>
        <v>#N/A</v>
      </c>
      <c r="AQ60" t="e">
        <f t="shared" si="50"/>
        <v>#N/A</v>
      </c>
      <c r="AR60" t="e">
        <f t="shared" si="51"/>
        <v>#N/A</v>
      </c>
      <c r="AS60" t="e">
        <f t="shared" si="52"/>
        <v>#N/A</v>
      </c>
      <c r="AU60">
        <f t="shared" si="6"/>
        <v>1.75</v>
      </c>
      <c r="AV60" t="str">
        <f t="shared" si="7"/>
        <v/>
      </c>
      <c r="AW60" t="str">
        <f t="shared" si="8"/>
        <v/>
      </c>
      <c r="AX60" t="str">
        <f t="shared" si="9"/>
        <v/>
      </c>
      <c r="AY60" t="str">
        <f t="shared" si="10"/>
        <v/>
      </c>
      <c r="AZ60" t="str">
        <f t="shared" si="11"/>
        <v/>
      </c>
      <c r="BA60" t="str">
        <f t="shared" si="12"/>
        <v/>
      </c>
      <c r="BB60" t="str">
        <f t="shared" si="13"/>
        <v/>
      </c>
      <c r="BC60" t="str">
        <f t="shared" si="14"/>
        <v/>
      </c>
      <c r="BD60" t="str">
        <f t="shared" si="15"/>
        <v/>
      </c>
      <c r="BE60" t="str">
        <f t="shared" si="16"/>
        <v/>
      </c>
      <c r="BF60" t="str">
        <f t="shared" si="17"/>
        <v/>
      </c>
      <c r="BG60" t="str">
        <f t="shared" si="18"/>
        <v/>
      </c>
      <c r="BH60" t="str">
        <f t="shared" si="19"/>
        <v/>
      </c>
      <c r="BI60" t="str">
        <f t="shared" si="20"/>
        <v/>
      </c>
      <c r="BJ60" t="str">
        <f t="shared" si="21"/>
        <v/>
      </c>
      <c r="BK60" t="str">
        <f t="shared" si="22"/>
        <v/>
      </c>
      <c r="BL60" t="str">
        <f t="shared" si="23"/>
        <v/>
      </c>
      <c r="BM60" t="str">
        <f t="shared" si="24"/>
        <v/>
      </c>
      <c r="BP60"/>
      <c r="BR60"/>
    </row>
    <row r="61" spans="1:70" x14ac:dyDescent="0.25">
      <c r="A61" s="1">
        <v>41255</v>
      </c>
      <c r="B61">
        <v>2.75</v>
      </c>
      <c r="C61" s="4">
        <v>42004</v>
      </c>
      <c r="D61">
        <v>1</v>
      </c>
      <c r="E61">
        <f t="shared" si="0"/>
        <v>0.14473684210526316</v>
      </c>
      <c r="F61" s="4"/>
      <c r="G61">
        <v>1</v>
      </c>
      <c r="H61" t="str">
        <f t="shared" ref="H61:Y61" si="100">IF($D61&gt;G61,G61+1,"")</f>
        <v/>
      </c>
      <c r="I61" t="str">
        <f t="shared" si="100"/>
        <v/>
      </c>
      <c r="J61" t="str">
        <f t="shared" si="100"/>
        <v/>
      </c>
      <c r="K61" t="str">
        <f t="shared" si="100"/>
        <v/>
      </c>
      <c r="L61" t="str">
        <f t="shared" si="100"/>
        <v/>
      </c>
      <c r="M61" t="str">
        <f t="shared" si="100"/>
        <v/>
      </c>
      <c r="N61" t="str">
        <f t="shared" si="100"/>
        <v/>
      </c>
      <c r="O61" t="str">
        <f t="shared" si="100"/>
        <v/>
      </c>
      <c r="P61" t="str">
        <f t="shared" si="100"/>
        <v/>
      </c>
      <c r="Q61" t="str">
        <f t="shared" si="100"/>
        <v/>
      </c>
      <c r="R61" t="str">
        <f t="shared" si="100"/>
        <v/>
      </c>
      <c r="S61" t="str">
        <f t="shared" si="100"/>
        <v/>
      </c>
      <c r="T61" t="str">
        <f t="shared" si="100"/>
        <v/>
      </c>
      <c r="U61" t="str">
        <f t="shared" si="100"/>
        <v/>
      </c>
      <c r="V61" t="str">
        <f t="shared" si="100"/>
        <v/>
      </c>
      <c r="W61" t="str">
        <f t="shared" si="100"/>
        <v/>
      </c>
      <c r="X61" t="str">
        <f t="shared" si="100"/>
        <v/>
      </c>
      <c r="Y61" t="str">
        <f t="shared" si="100"/>
        <v/>
      </c>
      <c r="AA61">
        <f t="shared" si="5"/>
        <v>42004</v>
      </c>
      <c r="AB61" t="e">
        <f t="shared" si="54"/>
        <v>#N/A</v>
      </c>
      <c r="AC61" t="e">
        <f t="shared" si="55"/>
        <v>#N/A</v>
      </c>
      <c r="AD61" t="e">
        <f t="shared" si="56"/>
        <v>#N/A</v>
      </c>
      <c r="AE61" t="e">
        <f t="shared" si="38"/>
        <v>#N/A</v>
      </c>
      <c r="AF61" t="e">
        <f t="shared" si="39"/>
        <v>#N/A</v>
      </c>
      <c r="AG61" t="e">
        <f t="shared" si="40"/>
        <v>#N/A</v>
      </c>
      <c r="AH61" t="e">
        <f t="shared" si="41"/>
        <v>#N/A</v>
      </c>
      <c r="AI61" t="e">
        <f t="shared" si="42"/>
        <v>#N/A</v>
      </c>
      <c r="AJ61" t="e">
        <f t="shared" si="43"/>
        <v>#N/A</v>
      </c>
      <c r="AK61" t="e">
        <f t="shared" si="44"/>
        <v>#N/A</v>
      </c>
      <c r="AL61" t="e">
        <f t="shared" si="45"/>
        <v>#N/A</v>
      </c>
      <c r="AM61" t="e">
        <f t="shared" si="46"/>
        <v>#N/A</v>
      </c>
      <c r="AN61" t="e">
        <f t="shared" si="47"/>
        <v>#N/A</v>
      </c>
      <c r="AO61" t="e">
        <f t="shared" si="48"/>
        <v>#N/A</v>
      </c>
      <c r="AP61" t="e">
        <f t="shared" si="49"/>
        <v>#N/A</v>
      </c>
      <c r="AQ61" t="e">
        <f t="shared" si="50"/>
        <v>#N/A</v>
      </c>
      <c r="AR61" t="e">
        <f t="shared" si="51"/>
        <v>#N/A</v>
      </c>
      <c r="AS61" t="e">
        <f t="shared" si="52"/>
        <v>#N/A</v>
      </c>
      <c r="AU61">
        <f t="shared" si="6"/>
        <v>2.75</v>
      </c>
      <c r="AV61" t="str">
        <f t="shared" si="7"/>
        <v/>
      </c>
      <c r="AW61" t="str">
        <f t="shared" si="8"/>
        <v/>
      </c>
      <c r="AX61" t="str">
        <f t="shared" si="9"/>
        <v/>
      </c>
      <c r="AY61" t="str">
        <f t="shared" si="10"/>
        <v/>
      </c>
      <c r="AZ61" t="str">
        <f t="shared" si="11"/>
        <v/>
      </c>
      <c r="BA61" t="str">
        <f t="shared" si="12"/>
        <v/>
      </c>
      <c r="BB61" t="str">
        <f t="shared" si="13"/>
        <v/>
      </c>
      <c r="BC61" t="str">
        <f t="shared" si="14"/>
        <v/>
      </c>
      <c r="BD61" t="str">
        <f t="shared" si="15"/>
        <v/>
      </c>
      <c r="BE61" t="str">
        <f t="shared" si="16"/>
        <v/>
      </c>
      <c r="BF61" t="str">
        <f t="shared" si="17"/>
        <v/>
      </c>
      <c r="BG61" t="str">
        <f t="shared" si="18"/>
        <v/>
      </c>
      <c r="BH61" t="str">
        <f t="shared" si="19"/>
        <v/>
      </c>
      <c r="BI61" t="str">
        <f t="shared" si="20"/>
        <v/>
      </c>
      <c r="BJ61" t="str">
        <f t="shared" si="21"/>
        <v/>
      </c>
      <c r="BK61" t="str">
        <f t="shared" si="22"/>
        <v/>
      </c>
      <c r="BL61" t="str">
        <f t="shared" si="23"/>
        <v/>
      </c>
      <c r="BM61" t="str">
        <f t="shared" si="24"/>
        <v/>
      </c>
      <c r="BP61"/>
      <c r="BR61"/>
    </row>
    <row r="62" spans="1:70" x14ac:dyDescent="0.25">
      <c r="A62" s="1">
        <v>41255</v>
      </c>
      <c r="B62" s="2">
        <v>0.25</v>
      </c>
      <c r="C62" s="4">
        <v>42369</v>
      </c>
      <c r="D62">
        <v>1</v>
      </c>
      <c r="E62">
        <f t="shared" si="0"/>
        <v>1.3888888888888888E-2</v>
      </c>
      <c r="F62" s="4"/>
      <c r="G62">
        <v>1</v>
      </c>
      <c r="H62" t="str">
        <f t="shared" ref="H62:Y62" si="101">IF($D62&gt;G62,G62+1,"")</f>
        <v/>
      </c>
      <c r="I62" t="str">
        <f t="shared" si="101"/>
        <v/>
      </c>
      <c r="J62" t="str">
        <f t="shared" si="101"/>
        <v/>
      </c>
      <c r="K62" t="str">
        <f t="shared" si="101"/>
        <v/>
      </c>
      <c r="L62" t="str">
        <f t="shared" si="101"/>
        <v/>
      </c>
      <c r="M62" t="str">
        <f t="shared" si="101"/>
        <v/>
      </c>
      <c r="N62" t="str">
        <f t="shared" si="101"/>
        <v/>
      </c>
      <c r="O62" t="str">
        <f t="shared" si="101"/>
        <v/>
      </c>
      <c r="P62" t="str">
        <f t="shared" si="101"/>
        <v/>
      </c>
      <c r="Q62" t="str">
        <f t="shared" si="101"/>
        <v/>
      </c>
      <c r="R62" t="str">
        <f t="shared" si="101"/>
        <v/>
      </c>
      <c r="S62" t="str">
        <f t="shared" si="101"/>
        <v/>
      </c>
      <c r="T62" t="str">
        <f t="shared" si="101"/>
        <v/>
      </c>
      <c r="U62" t="str">
        <f t="shared" si="101"/>
        <v/>
      </c>
      <c r="V62" t="str">
        <f t="shared" si="101"/>
        <v/>
      </c>
      <c r="W62" t="str">
        <f t="shared" si="101"/>
        <v/>
      </c>
      <c r="X62" t="str">
        <f t="shared" si="101"/>
        <v/>
      </c>
      <c r="Y62" t="str">
        <f t="shared" si="101"/>
        <v/>
      </c>
      <c r="AA62">
        <f t="shared" si="5"/>
        <v>42369</v>
      </c>
      <c r="AB62" t="e">
        <f t="shared" si="54"/>
        <v>#N/A</v>
      </c>
      <c r="AC62" t="e">
        <f t="shared" si="55"/>
        <v>#N/A</v>
      </c>
      <c r="AD62" t="e">
        <f t="shared" si="56"/>
        <v>#N/A</v>
      </c>
      <c r="AE62" t="e">
        <f t="shared" si="38"/>
        <v>#N/A</v>
      </c>
      <c r="AF62" t="e">
        <f t="shared" si="39"/>
        <v>#N/A</v>
      </c>
      <c r="AG62" t="e">
        <f t="shared" si="40"/>
        <v>#N/A</v>
      </c>
      <c r="AH62" t="e">
        <f t="shared" si="41"/>
        <v>#N/A</v>
      </c>
      <c r="AI62" t="e">
        <f t="shared" si="42"/>
        <v>#N/A</v>
      </c>
      <c r="AJ62" t="e">
        <f t="shared" si="43"/>
        <v>#N/A</v>
      </c>
      <c r="AK62" t="e">
        <f t="shared" si="44"/>
        <v>#N/A</v>
      </c>
      <c r="AL62" t="e">
        <f t="shared" si="45"/>
        <v>#N/A</v>
      </c>
      <c r="AM62" t="e">
        <f t="shared" si="46"/>
        <v>#N/A</v>
      </c>
      <c r="AN62" t="e">
        <f t="shared" si="47"/>
        <v>#N/A</v>
      </c>
      <c r="AO62" t="e">
        <f t="shared" si="48"/>
        <v>#N/A</v>
      </c>
      <c r="AP62" t="e">
        <f t="shared" si="49"/>
        <v>#N/A</v>
      </c>
      <c r="AQ62" t="e">
        <f t="shared" si="50"/>
        <v>#N/A</v>
      </c>
      <c r="AR62" t="e">
        <f t="shared" si="51"/>
        <v>#N/A</v>
      </c>
      <c r="AS62" t="e">
        <f t="shared" si="52"/>
        <v>#N/A</v>
      </c>
      <c r="AU62">
        <f t="shared" si="6"/>
        <v>0.25</v>
      </c>
      <c r="AV62" t="str">
        <f t="shared" si="7"/>
        <v/>
      </c>
      <c r="AW62" t="str">
        <f t="shared" si="8"/>
        <v/>
      </c>
      <c r="AX62" t="str">
        <f t="shared" si="9"/>
        <v/>
      </c>
      <c r="AY62" t="str">
        <f t="shared" si="10"/>
        <v/>
      </c>
      <c r="AZ62" t="str">
        <f t="shared" si="11"/>
        <v/>
      </c>
      <c r="BA62" t="str">
        <f t="shared" si="12"/>
        <v/>
      </c>
      <c r="BB62" t="str">
        <f t="shared" si="13"/>
        <v/>
      </c>
      <c r="BC62" t="str">
        <f t="shared" si="14"/>
        <v/>
      </c>
      <c r="BD62" t="str">
        <f t="shared" si="15"/>
        <v/>
      </c>
      <c r="BE62" t="str">
        <f t="shared" si="16"/>
        <v/>
      </c>
      <c r="BF62" t="str">
        <f t="shared" si="17"/>
        <v/>
      </c>
      <c r="BG62" t="str">
        <f t="shared" si="18"/>
        <v/>
      </c>
      <c r="BH62" t="str">
        <f t="shared" si="19"/>
        <v/>
      </c>
      <c r="BI62" t="str">
        <f t="shared" si="20"/>
        <v/>
      </c>
      <c r="BJ62" t="str">
        <f t="shared" si="21"/>
        <v/>
      </c>
      <c r="BK62" t="str">
        <f t="shared" si="22"/>
        <v/>
      </c>
      <c r="BL62" t="str">
        <f t="shared" si="23"/>
        <v/>
      </c>
      <c r="BM62" t="str">
        <f t="shared" si="24"/>
        <v/>
      </c>
      <c r="BP62"/>
      <c r="BR62"/>
    </row>
    <row r="63" spans="1:70" x14ac:dyDescent="0.25">
      <c r="A63" s="1">
        <v>41255</v>
      </c>
      <c r="B63">
        <v>0.5</v>
      </c>
      <c r="C63" s="4">
        <v>42369</v>
      </c>
      <c r="D63">
        <v>4</v>
      </c>
      <c r="E63">
        <f t="shared" si="0"/>
        <v>0.1111111111111111</v>
      </c>
      <c r="F63" s="4"/>
      <c r="G63">
        <v>1</v>
      </c>
      <c r="H63">
        <f t="shared" ref="H63:Y63" si="102">IF($D63&gt;G63,G63+1,"")</f>
        <v>2</v>
      </c>
      <c r="I63">
        <f t="shared" si="102"/>
        <v>3</v>
      </c>
      <c r="J63">
        <f t="shared" si="102"/>
        <v>4</v>
      </c>
      <c r="K63" t="str">
        <f t="shared" si="102"/>
        <v/>
      </c>
      <c r="L63" t="str">
        <f t="shared" si="102"/>
        <v/>
      </c>
      <c r="M63" t="str">
        <f t="shared" si="102"/>
        <v/>
      </c>
      <c r="N63" t="str">
        <f t="shared" si="102"/>
        <v/>
      </c>
      <c r="O63" t="str">
        <f t="shared" si="102"/>
        <v/>
      </c>
      <c r="P63" t="str">
        <f t="shared" si="102"/>
        <v/>
      </c>
      <c r="Q63" t="str">
        <f t="shared" si="102"/>
        <v/>
      </c>
      <c r="R63" t="str">
        <f t="shared" si="102"/>
        <v/>
      </c>
      <c r="S63" t="str">
        <f t="shared" si="102"/>
        <v/>
      </c>
      <c r="T63" t="str">
        <f t="shared" si="102"/>
        <v/>
      </c>
      <c r="U63" t="str">
        <f t="shared" si="102"/>
        <v/>
      </c>
      <c r="V63" t="str">
        <f t="shared" si="102"/>
        <v/>
      </c>
      <c r="W63" t="str">
        <f t="shared" si="102"/>
        <v/>
      </c>
      <c r="X63" t="str">
        <f t="shared" si="102"/>
        <v/>
      </c>
      <c r="Y63" t="str">
        <f t="shared" si="102"/>
        <v/>
      </c>
      <c r="AA63">
        <f t="shared" si="5"/>
        <v>42338.887499999997</v>
      </c>
      <c r="AB63">
        <f t="shared" si="54"/>
        <v>42358.962500000001</v>
      </c>
      <c r="AC63">
        <f t="shared" si="55"/>
        <v>42379.037499999999</v>
      </c>
      <c r="AD63">
        <f t="shared" si="56"/>
        <v>42399.112500000003</v>
      </c>
      <c r="AE63" t="e">
        <f t="shared" si="38"/>
        <v>#N/A</v>
      </c>
      <c r="AF63" t="e">
        <f t="shared" si="39"/>
        <v>#N/A</v>
      </c>
      <c r="AG63" t="e">
        <f t="shared" si="40"/>
        <v>#N/A</v>
      </c>
      <c r="AH63" t="e">
        <f t="shared" si="41"/>
        <v>#N/A</v>
      </c>
      <c r="AI63" t="e">
        <f t="shared" si="42"/>
        <v>#N/A</v>
      </c>
      <c r="AJ63" t="e">
        <f t="shared" si="43"/>
        <v>#N/A</v>
      </c>
      <c r="AK63" t="e">
        <f t="shared" si="44"/>
        <v>#N/A</v>
      </c>
      <c r="AL63" t="e">
        <f t="shared" si="45"/>
        <v>#N/A</v>
      </c>
      <c r="AM63" t="e">
        <f t="shared" si="46"/>
        <v>#N/A</v>
      </c>
      <c r="AN63" t="e">
        <f t="shared" si="47"/>
        <v>#N/A</v>
      </c>
      <c r="AO63" t="e">
        <f t="shared" si="48"/>
        <v>#N/A</v>
      </c>
      <c r="AP63" t="e">
        <f t="shared" si="49"/>
        <v>#N/A</v>
      </c>
      <c r="AQ63" t="e">
        <f t="shared" si="50"/>
        <v>#N/A</v>
      </c>
      <c r="AR63" t="e">
        <f t="shared" si="51"/>
        <v>#N/A</v>
      </c>
      <c r="AS63" t="e">
        <f t="shared" si="52"/>
        <v>#N/A</v>
      </c>
      <c r="AU63">
        <f t="shared" si="6"/>
        <v>0.5</v>
      </c>
      <c r="AV63">
        <f t="shared" si="7"/>
        <v>0.5</v>
      </c>
      <c r="AW63">
        <f t="shared" si="8"/>
        <v>0.5</v>
      </c>
      <c r="AX63">
        <f t="shared" si="9"/>
        <v>0.5</v>
      </c>
      <c r="AY63" t="str">
        <f t="shared" si="10"/>
        <v/>
      </c>
      <c r="AZ63" t="str">
        <f t="shared" si="11"/>
        <v/>
      </c>
      <c r="BA63" t="str">
        <f t="shared" si="12"/>
        <v/>
      </c>
      <c r="BB63" t="str">
        <f t="shared" si="13"/>
        <v/>
      </c>
      <c r="BC63" t="str">
        <f t="shared" si="14"/>
        <v/>
      </c>
      <c r="BD63" t="str">
        <f t="shared" si="15"/>
        <v/>
      </c>
      <c r="BE63" t="str">
        <f t="shared" si="16"/>
        <v/>
      </c>
      <c r="BF63" t="str">
        <f t="shared" si="17"/>
        <v/>
      </c>
      <c r="BG63" t="str">
        <f t="shared" si="18"/>
        <v/>
      </c>
      <c r="BH63" t="str">
        <f t="shared" si="19"/>
        <v/>
      </c>
      <c r="BI63" t="str">
        <f t="shared" si="20"/>
        <v/>
      </c>
      <c r="BJ63" t="str">
        <f t="shared" si="21"/>
        <v/>
      </c>
      <c r="BK63" t="str">
        <f t="shared" si="22"/>
        <v/>
      </c>
      <c r="BL63" t="str">
        <f t="shared" si="23"/>
        <v/>
      </c>
      <c r="BM63" t="str">
        <f t="shared" si="24"/>
        <v/>
      </c>
      <c r="BP63"/>
      <c r="BR63"/>
    </row>
    <row r="64" spans="1:70" x14ac:dyDescent="0.25">
      <c r="A64" s="1">
        <v>41255</v>
      </c>
      <c r="B64">
        <v>0.75</v>
      </c>
      <c r="C64" s="4">
        <v>42369</v>
      </c>
      <c r="D64">
        <v>3</v>
      </c>
      <c r="E64">
        <f t="shared" si="0"/>
        <v>0.125</v>
      </c>
      <c r="F64" s="4"/>
      <c r="G64">
        <v>1</v>
      </c>
      <c r="H64">
        <f t="shared" ref="H64:Y64" si="103">IF($D64&gt;G64,G64+1,"")</f>
        <v>2</v>
      </c>
      <c r="I64">
        <f t="shared" si="103"/>
        <v>3</v>
      </c>
      <c r="J64" t="str">
        <f t="shared" si="103"/>
        <v/>
      </c>
      <c r="K64" t="str">
        <f t="shared" si="103"/>
        <v/>
      </c>
      <c r="L64" t="str">
        <f t="shared" si="103"/>
        <v/>
      </c>
      <c r="M64" t="str">
        <f t="shared" si="103"/>
        <v/>
      </c>
      <c r="N64" t="str">
        <f t="shared" si="103"/>
        <v/>
      </c>
      <c r="O64" t="str">
        <f t="shared" si="103"/>
        <v/>
      </c>
      <c r="P64" t="str">
        <f t="shared" si="103"/>
        <v/>
      </c>
      <c r="Q64" t="str">
        <f t="shared" si="103"/>
        <v/>
      </c>
      <c r="R64" t="str">
        <f t="shared" si="103"/>
        <v/>
      </c>
      <c r="S64" t="str">
        <f t="shared" si="103"/>
        <v/>
      </c>
      <c r="T64" t="str">
        <f t="shared" si="103"/>
        <v/>
      </c>
      <c r="U64" t="str">
        <f t="shared" si="103"/>
        <v/>
      </c>
      <c r="V64" t="str">
        <f t="shared" si="103"/>
        <v/>
      </c>
      <c r="W64" t="str">
        <f t="shared" si="103"/>
        <v/>
      </c>
      <c r="X64" t="str">
        <f t="shared" si="103"/>
        <v/>
      </c>
      <c r="Y64" t="str">
        <f t="shared" si="103"/>
        <v/>
      </c>
      <c r="AA64">
        <f t="shared" si="5"/>
        <v>42348.924999999996</v>
      </c>
      <c r="AB64">
        <f t="shared" si="54"/>
        <v>42369</v>
      </c>
      <c r="AC64">
        <f t="shared" si="55"/>
        <v>42389.074999999997</v>
      </c>
      <c r="AD64" t="e">
        <f t="shared" si="56"/>
        <v>#N/A</v>
      </c>
      <c r="AE64" t="e">
        <f t="shared" si="38"/>
        <v>#N/A</v>
      </c>
      <c r="AF64" t="e">
        <f t="shared" si="39"/>
        <v>#N/A</v>
      </c>
      <c r="AG64" t="e">
        <f t="shared" si="40"/>
        <v>#N/A</v>
      </c>
      <c r="AH64" t="e">
        <f t="shared" si="41"/>
        <v>#N/A</v>
      </c>
      <c r="AI64" t="e">
        <f t="shared" si="42"/>
        <v>#N/A</v>
      </c>
      <c r="AJ64" t="e">
        <f t="shared" si="43"/>
        <v>#N/A</v>
      </c>
      <c r="AK64" t="e">
        <f t="shared" si="44"/>
        <v>#N/A</v>
      </c>
      <c r="AL64" t="e">
        <f t="shared" si="45"/>
        <v>#N/A</v>
      </c>
      <c r="AM64" t="e">
        <f t="shared" si="46"/>
        <v>#N/A</v>
      </c>
      <c r="AN64" t="e">
        <f t="shared" si="47"/>
        <v>#N/A</v>
      </c>
      <c r="AO64" t="e">
        <f t="shared" si="48"/>
        <v>#N/A</v>
      </c>
      <c r="AP64" t="e">
        <f t="shared" si="49"/>
        <v>#N/A</v>
      </c>
      <c r="AQ64" t="e">
        <f t="shared" si="50"/>
        <v>#N/A</v>
      </c>
      <c r="AR64" t="e">
        <f t="shared" si="51"/>
        <v>#N/A</v>
      </c>
      <c r="AS64" t="e">
        <f t="shared" si="52"/>
        <v>#N/A</v>
      </c>
      <c r="AU64">
        <f t="shared" si="6"/>
        <v>0.75</v>
      </c>
      <c r="AV64">
        <f t="shared" si="7"/>
        <v>0.75</v>
      </c>
      <c r="AW64">
        <f t="shared" si="8"/>
        <v>0.75</v>
      </c>
      <c r="AX64" t="str">
        <f t="shared" si="9"/>
        <v/>
      </c>
      <c r="AY64" t="str">
        <f t="shared" si="10"/>
        <v/>
      </c>
      <c r="AZ64" t="str">
        <f t="shared" si="11"/>
        <v/>
      </c>
      <c r="BA64" t="str">
        <f t="shared" si="12"/>
        <v/>
      </c>
      <c r="BB64" t="str">
        <f t="shared" si="13"/>
        <v/>
      </c>
      <c r="BC64" t="str">
        <f t="shared" si="14"/>
        <v/>
      </c>
      <c r="BD64" t="str">
        <f t="shared" si="15"/>
        <v/>
      </c>
      <c r="BE64" t="str">
        <f t="shared" si="16"/>
        <v/>
      </c>
      <c r="BF64" t="str">
        <f t="shared" si="17"/>
        <v/>
      </c>
      <c r="BG64" t="str">
        <f t="shared" si="18"/>
        <v/>
      </c>
      <c r="BH64" t="str">
        <f t="shared" si="19"/>
        <v/>
      </c>
      <c r="BI64" t="str">
        <f t="shared" si="20"/>
        <v/>
      </c>
      <c r="BJ64" t="str">
        <f t="shared" si="21"/>
        <v/>
      </c>
      <c r="BK64" t="str">
        <f t="shared" si="22"/>
        <v/>
      </c>
      <c r="BL64" t="str">
        <f t="shared" si="23"/>
        <v/>
      </c>
      <c r="BM64" t="str">
        <f t="shared" si="24"/>
        <v/>
      </c>
      <c r="BP64"/>
      <c r="BR64"/>
    </row>
    <row r="65" spans="1:70" x14ac:dyDescent="0.25">
      <c r="A65" s="1">
        <v>41255</v>
      </c>
      <c r="B65">
        <v>1</v>
      </c>
      <c r="C65" s="4">
        <v>42369</v>
      </c>
      <c r="D65">
        <v>3</v>
      </c>
      <c r="E65">
        <f t="shared" si="0"/>
        <v>0.16666666666666666</v>
      </c>
      <c r="F65" s="4"/>
      <c r="G65">
        <v>1</v>
      </c>
      <c r="H65">
        <f t="shared" ref="H65:Y65" si="104">IF($D65&gt;G65,G65+1,"")</f>
        <v>2</v>
      </c>
      <c r="I65">
        <f t="shared" si="104"/>
        <v>3</v>
      </c>
      <c r="J65" t="str">
        <f t="shared" si="104"/>
        <v/>
      </c>
      <c r="K65" t="str">
        <f t="shared" si="104"/>
        <v/>
      </c>
      <c r="L65" t="str">
        <f t="shared" si="104"/>
        <v/>
      </c>
      <c r="M65" t="str">
        <f t="shared" si="104"/>
        <v/>
      </c>
      <c r="N65" t="str">
        <f t="shared" si="104"/>
        <v/>
      </c>
      <c r="O65" t="str">
        <f t="shared" si="104"/>
        <v/>
      </c>
      <c r="P65" t="str">
        <f t="shared" si="104"/>
        <v/>
      </c>
      <c r="Q65" t="str">
        <f t="shared" si="104"/>
        <v/>
      </c>
      <c r="R65" t="str">
        <f t="shared" si="104"/>
        <v/>
      </c>
      <c r="S65" t="str">
        <f t="shared" si="104"/>
        <v/>
      </c>
      <c r="T65" t="str">
        <f t="shared" si="104"/>
        <v/>
      </c>
      <c r="U65" t="str">
        <f t="shared" si="104"/>
        <v/>
      </c>
      <c r="V65" t="str">
        <f t="shared" si="104"/>
        <v/>
      </c>
      <c r="W65" t="str">
        <f t="shared" si="104"/>
        <v/>
      </c>
      <c r="X65" t="str">
        <f t="shared" si="104"/>
        <v/>
      </c>
      <c r="Y65" t="str">
        <f t="shared" si="104"/>
        <v/>
      </c>
      <c r="AA65">
        <f t="shared" si="5"/>
        <v>42348.924999999996</v>
      </c>
      <c r="AB65">
        <f t="shared" si="54"/>
        <v>42369</v>
      </c>
      <c r="AC65">
        <f t="shared" si="55"/>
        <v>42389.074999999997</v>
      </c>
      <c r="AD65" t="e">
        <f t="shared" si="56"/>
        <v>#N/A</v>
      </c>
      <c r="AE65" t="e">
        <f t="shared" si="38"/>
        <v>#N/A</v>
      </c>
      <c r="AF65" t="e">
        <f t="shared" si="39"/>
        <v>#N/A</v>
      </c>
      <c r="AG65" t="e">
        <f t="shared" si="40"/>
        <v>#N/A</v>
      </c>
      <c r="AH65" t="e">
        <f t="shared" si="41"/>
        <v>#N/A</v>
      </c>
      <c r="AI65" t="e">
        <f t="shared" si="42"/>
        <v>#N/A</v>
      </c>
      <c r="AJ65" t="e">
        <f t="shared" si="43"/>
        <v>#N/A</v>
      </c>
      <c r="AK65" t="e">
        <f t="shared" si="44"/>
        <v>#N/A</v>
      </c>
      <c r="AL65" t="e">
        <f t="shared" si="45"/>
        <v>#N/A</v>
      </c>
      <c r="AM65" t="e">
        <f t="shared" si="46"/>
        <v>#N/A</v>
      </c>
      <c r="AN65" t="e">
        <f t="shared" si="47"/>
        <v>#N/A</v>
      </c>
      <c r="AO65" t="e">
        <f t="shared" si="48"/>
        <v>#N/A</v>
      </c>
      <c r="AP65" t="e">
        <f t="shared" si="49"/>
        <v>#N/A</v>
      </c>
      <c r="AQ65" t="e">
        <f t="shared" si="50"/>
        <v>#N/A</v>
      </c>
      <c r="AR65" t="e">
        <f t="shared" si="51"/>
        <v>#N/A</v>
      </c>
      <c r="AS65" t="e">
        <f t="shared" si="52"/>
        <v>#N/A</v>
      </c>
      <c r="AU65">
        <f t="shared" si="6"/>
        <v>1</v>
      </c>
      <c r="AV65">
        <f t="shared" si="7"/>
        <v>1</v>
      </c>
      <c r="AW65">
        <f t="shared" si="8"/>
        <v>1</v>
      </c>
      <c r="AX65" t="str">
        <f t="shared" si="9"/>
        <v/>
      </c>
      <c r="AY65" t="str">
        <f t="shared" si="10"/>
        <v/>
      </c>
      <c r="AZ65" t="str">
        <f t="shared" si="11"/>
        <v/>
      </c>
      <c r="BA65" t="str">
        <f t="shared" si="12"/>
        <v/>
      </c>
      <c r="BB65" t="str">
        <f t="shared" si="13"/>
        <v/>
      </c>
      <c r="BC65" t="str">
        <f t="shared" si="14"/>
        <v/>
      </c>
      <c r="BD65" t="str">
        <f t="shared" si="15"/>
        <v/>
      </c>
      <c r="BE65" t="str">
        <f t="shared" si="16"/>
        <v/>
      </c>
      <c r="BF65" t="str">
        <f t="shared" si="17"/>
        <v/>
      </c>
      <c r="BG65" t="str">
        <f t="shared" si="18"/>
        <v/>
      </c>
      <c r="BH65" t="str">
        <f t="shared" si="19"/>
        <v/>
      </c>
      <c r="BI65" t="str">
        <f t="shared" si="20"/>
        <v/>
      </c>
      <c r="BJ65" t="str">
        <f t="shared" si="21"/>
        <v/>
      </c>
      <c r="BK65" t="str">
        <f t="shared" si="22"/>
        <v/>
      </c>
      <c r="BL65" t="str">
        <f t="shared" si="23"/>
        <v/>
      </c>
      <c r="BM65" t="str">
        <f t="shared" si="24"/>
        <v/>
      </c>
      <c r="BP65"/>
      <c r="BR65"/>
    </row>
    <row r="66" spans="1:70" x14ac:dyDescent="0.25">
      <c r="A66" s="1">
        <v>41255</v>
      </c>
      <c r="B66">
        <v>1.25</v>
      </c>
      <c r="C66" s="4">
        <v>42369</v>
      </c>
      <c r="D66">
        <v>2</v>
      </c>
      <c r="E66">
        <f t="shared" ref="E66:E129" si="105">D66/SUMIFS(D:D,A:A,A66,C:C,C66)*B66</f>
        <v>0.1388888888888889</v>
      </c>
      <c r="F66" s="4"/>
      <c r="G66">
        <v>1</v>
      </c>
      <c r="H66">
        <f t="shared" ref="H66:Y66" si="106">IF($D66&gt;G66,G66+1,"")</f>
        <v>2</v>
      </c>
      <c r="I66" t="str">
        <f t="shared" si="106"/>
        <v/>
      </c>
      <c r="J66" t="str">
        <f t="shared" si="106"/>
        <v/>
      </c>
      <c r="K66" t="str">
        <f t="shared" si="106"/>
        <v/>
      </c>
      <c r="L66" t="str">
        <f t="shared" si="106"/>
        <v/>
      </c>
      <c r="M66" t="str">
        <f t="shared" si="106"/>
        <v/>
      </c>
      <c r="N66" t="str">
        <f t="shared" si="106"/>
        <v/>
      </c>
      <c r="O66" t="str">
        <f t="shared" si="106"/>
        <v/>
      </c>
      <c r="P66" t="str">
        <f t="shared" si="106"/>
        <v/>
      </c>
      <c r="Q66" t="str">
        <f t="shared" si="106"/>
        <v/>
      </c>
      <c r="R66" t="str">
        <f t="shared" si="106"/>
        <v/>
      </c>
      <c r="S66" t="str">
        <f t="shared" si="106"/>
        <v/>
      </c>
      <c r="T66" t="str">
        <f t="shared" si="106"/>
        <v/>
      </c>
      <c r="U66" t="str">
        <f t="shared" si="106"/>
        <v/>
      </c>
      <c r="V66" t="str">
        <f t="shared" si="106"/>
        <v/>
      </c>
      <c r="W66" t="str">
        <f t="shared" si="106"/>
        <v/>
      </c>
      <c r="X66" t="str">
        <f t="shared" si="106"/>
        <v/>
      </c>
      <c r="Y66" t="str">
        <f t="shared" si="106"/>
        <v/>
      </c>
      <c r="AA66">
        <f t="shared" si="5"/>
        <v>42358.962500000001</v>
      </c>
      <c r="AB66">
        <f t="shared" si="54"/>
        <v>42379.037500000006</v>
      </c>
      <c r="AC66" t="e">
        <f t="shared" si="55"/>
        <v>#N/A</v>
      </c>
      <c r="AD66" t="e">
        <f t="shared" si="56"/>
        <v>#N/A</v>
      </c>
      <c r="AE66" t="e">
        <f t="shared" si="38"/>
        <v>#N/A</v>
      </c>
      <c r="AF66" t="e">
        <f t="shared" si="39"/>
        <v>#N/A</v>
      </c>
      <c r="AG66" t="e">
        <f t="shared" si="40"/>
        <v>#N/A</v>
      </c>
      <c r="AH66" t="e">
        <f t="shared" si="41"/>
        <v>#N/A</v>
      </c>
      <c r="AI66" t="e">
        <f t="shared" si="42"/>
        <v>#N/A</v>
      </c>
      <c r="AJ66" t="e">
        <f t="shared" si="43"/>
        <v>#N/A</v>
      </c>
      <c r="AK66" t="e">
        <f t="shared" si="44"/>
        <v>#N/A</v>
      </c>
      <c r="AL66" t="e">
        <f t="shared" si="45"/>
        <v>#N/A</v>
      </c>
      <c r="AM66" t="e">
        <f t="shared" si="46"/>
        <v>#N/A</v>
      </c>
      <c r="AN66" t="e">
        <f t="shared" si="47"/>
        <v>#N/A</v>
      </c>
      <c r="AO66" t="e">
        <f t="shared" si="48"/>
        <v>#N/A</v>
      </c>
      <c r="AP66" t="e">
        <f t="shared" si="49"/>
        <v>#N/A</v>
      </c>
      <c r="AQ66" t="e">
        <f t="shared" si="50"/>
        <v>#N/A</v>
      </c>
      <c r="AR66" t="e">
        <f t="shared" si="51"/>
        <v>#N/A</v>
      </c>
      <c r="AS66" t="e">
        <f t="shared" si="52"/>
        <v>#N/A</v>
      </c>
      <c r="AU66">
        <f t="shared" si="6"/>
        <v>1.25</v>
      </c>
      <c r="AV66">
        <f t="shared" si="7"/>
        <v>1.25</v>
      </c>
      <c r="AW66" t="str">
        <f t="shared" si="8"/>
        <v/>
      </c>
      <c r="AX66" t="str">
        <f t="shared" si="9"/>
        <v/>
      </c>
      <c r="AY66" t="str">
        <f t="shared" si="10"/>
        <v/>
      </c>
      <c r="AZ66" t="str">
        <f t="shared" si="11"/>
        <v/>
      </c>
      <c r="BA66" t="str">
        <f t="shared" si="12"/>
        <v/>
      </c>
      <c r="BB66" t="str">
        <f t="shared" si="13"/>
        <v/>
      </c>
      <c r="BC66" t="str">
        <f t="shared" si="14"/>
        <v/>
      </c>
      <c r="BD66" t="str">
        <f t="shared" si="15"/>
        <v/>
      </c>
      <c r="BE66" t="str">
        <f t="shared" si="16"/>
        <v/>
      </c>
      <c r="BF66" t="str">
        <f t="shared" si="17"/>
        <v/>
      </c>
      <c r="BG66" t="str">
        <f t="shared" si="18"/>
        <v/>
      </c>
      <c r="BH66" t="str">
        <f t="shared" si="19"/>
        <v/>
      </c>
      <c r="BI66" t="str">
        <f t="shared" si="20"/>
        <v/>
      </c>
      <c r="BJ66" t="str">
        <f t="shared" si="21"/>
        <v/>
      </c>
      <c r="BK66" t="str">
        <f t="shared" si="22"/>
        <v/>
      </c>
      <c r="BL66" t="str">
        <f t="shared" si="23"/>
        <v/>
      </c>
      <c r="BM66" t="str">
        <f t="shared" si="24"/>
        <v/>
      </c>
      <c r="BP66"/>
      <c r="BR66"/>
    </row>
    <row r="67" spans="1:70" x14ac:dyDescent="0.25">
      <c r="A67" s="1">
        <v>41255</v>
      </c>
      <c r="B67">
        <v>2</v>
      </c>
      <c r="C67" s="4">
        <v>42369</v>
      </c>
      <c r="D67">
        <v>1</v>
      </c>
      <c r="E67">
        <f t="shared" si="105"/>
        <v>0.1111111111111111</v>
      </c>
      <c r="F67" s="4"/>
      <c r="G67">
        <v>1</v>
      </c>
      <c r="H67" t="str">
        <f t="shared" ref="H67:Y67" si="107">IF($D67&gt;G67,G67+1,"")</f>
        <v/>
      </c>
      <c r="I67" t="str">
        <f t="shared" si="107"/>
        <v/>
      </c>
      <c r="J67" t="str">
        <f t="shared" si="107"/>
        <v/>
      </c>
      <c r="K67" t="str">
        <f t="shared" si="107"/>
        <v/>
      </c>
      <c r="L67" t="str">
        <f t="shared" si="107"/>
        <v/>
      </c>
      <c r="M67" t="str">
        <f t="shared" si="107"/>
        <v/>
      </c>
      <c r="N67" t="str">
        <f t="shared" si="107"/>
        <v/>
      </c>
      <c r="O67" t="str">
        <f t="shared" si="107"/>
        <v/>
      </c>
      <c r="P67" t="str">
        <f t="shared" si="107"/>
        <v/>
      </c>
      <c r="Q67" t="str">
        <f t="shared" si="107"/>
        <v/>
      </c>
      <c r="R67" t="str">
        <f t="shared" si="107"/>
        <v/>
      </c>
      <c r="S67" t="str">
        <f t="shared" si="107"/>
        <v/>
      </c>
      <c r="T67" t="str">
        <f t="shared" si="107"/>
        <v/>
      </c>
      <c r="U67" t="str">
        <f t="shared" si="107"/>
        <v/>
      </c>
      <c r="V67" t="str">
        <f t="shared" si="107"/>
        <v/>
      </c>
      <c r="W67" t="str">
        <f t="shared" si="107"/>
        <v/>
      </c>
      <c r="X67" t="str">
        <f t="shared" si="107"/>
        <v/>
      </c>
      <c r="Y67" t="str">
        <f t="shared" si="107"/>
        <v/>
      </c>
      <c r="AA67">
        <f t="shared" ref="AA67:AA130" si="108">IF(G67="",NA(),$C67-$Z$1*$D67/2+G67*$Z$1-$Z$1/2)</f>
        <v>42369</v>
      </c>
      <c r="AB67" t="e">
        <f t="shared" si="54"/>
        <v>#N/A</v>
      </c>
      <c r="AC67" t="e">
        <f t="shared" si="55"/>
        <v>#N/A</v>
      </c>
      <c r="AD67" t="e">
        <f t="shared" si="56"/>
        <v>#N/A</v>
      </c>
      <c r="AE67" t="e">
        <f t="shared" si="38"/>
        <v>#N/A</v>
      </c>
      <c r="AF67" t="e">
        <f t="shared" si="39"/>
        <v>#N/A</v>
      </c>
      <c r="AG67" t="e">
        <f t="shared" si="40"/>
        <v>#N/A</v>
      </c>
      <c r="AH67" t="e">
        <f t="shared" si="41"/>
        <v>#N/A</v>
      </c>
      <c r="AI67" t="e">
        <f t="shared" si="42"/>
        <v>#N/A</v>
      </c>
      <c r="AJ67" t="e">
        <f t="shared" si="43"/>
        <v>#N/A</v>
      </c>
      <c r="AK67" t="e">
        <f t="shared" si="44"/>
        <v>#N/A</v>
      </c>
      <c r="AL67" t="e">
        <f t="shared" si="45"/>
        <v>#N/A</v>
      </c>
      <c r="AM67" t="e">
        <f t="shared" si="46"/>
        <v>#N/A</v>
      </c>
      <c r="AN67" t="e">
        <f t="shared" si="47"/>
        <v>#N/A</v>
      </c>
      <c r="AO67" t="e">
        <f t="shared" si="48"/>
        <v>#N/A</v>
      </c>
      <c r="AP67" t="e">
        <f t="shared" si="49"/>
        <v>#N/A</v>
      </c>
      <c r="AQ67" t="e">
        <f t="shared" si="50"/>
        <v>#N/A</v>
      </c>
      <c r="AR67" t="e">
        <f t="shared" si="51"/>
        <v>#N/A</v>
      </c>
      <c r="AS67" t="e">
        <f t="shared" si="52"/>
        <v>#N/A</v>
      </c>
      <c r="AU67">
        <f t="shared" ref="AU67:AU130" si="109">IFERROR(IF(AA67,$B67,0),"")</f>
        <v>2</v>
      </c>
      <c r="AV67" t="str">
        <f t="shared" ref="AV67:AV130" si="110">IFERROR(IF(AB67,$B67,0),"")</f>
        <v/>
      </c>
      <c r="AW67" t="str">
        <f t="shared" ref="AW67:AW130" si="111">IFERROR(IF(AC67,$B67,0),"")</f>
        <v/>
      </c>
      <c r="AX67" t="str">
        <f t="shared" ref="AX67:AX130" si="112">IFERROR(IF(AD67,$B67,0),"")</f>
        <v/>
      </c>
      <c r="AY67" t="str">
        <f t="shared" ref="AY67:AY130" si="113">IFERROR(IF(AE67,$B67,0),"")</f>
        <v/>
      </c>
      <c r="AZ67" t="str">
        <f t="shared" ref="AZ67:AZ130" si="114">IFERROR(IF(AF67,$B67,0),"")</f>
        <v/>
      </c>
      <c r="BA67" t="str">
        <f t="shared" ref="BA67:BA130" si="115">IFERROR(IF(AG67,$B67,0),"")</f>
        <v/>
      </c>
      <c r="BB67" t="str">
        <f t="shared" ref="BB67:BB130" si="116">IFERROR(IF(AH67,$B67,0),"")</f>
        <v/>
      </c>
      <c r="BC67" t="str">
        <f t="shared" ref="BC67:BC130" si="117">IFERROR(IF(AI67,$B67,0),"")</f>
        <v/>
      </c>
      <c r="BD67" t="str">
        <f t="shared" ref="BD67:BD130" si="118">IFERROR(IF(AJ67,$B67,0),"")</f>
        <v/>
      </c>
      <c r="BE67" t="str">
        <f t="shared" ref="BE67:BE130" si="119">IFERROR(IF(AK67,$B67,0),"")</f>
        <v/>
      </c>
      <c r="BF67" t="str">
        <f t="shared" ref="BF67:BF130" si="120">IFERROR(IF(AL67,$B67,0),"")</f>
        <v/>
      </c>
      <c r="BG67" t="str">
        <f t="shared" ref="BG67:BG130" si="121">IFERROR(IF(AM67,$B67,0),"")</f>
        <v/>
      </c>
      <c r="BH67" t="str">
        <f t="shared" ref="BH67:BH130" si="122">IFERROR(IF(AN67,$B67,0),"")</f>
        <v/>
      </c>
      <c r="BI67" t="str">
        <f t="shared" ref="BI67:BI130" si="123">IFERROR(IF(AO67,$B67,0),"")</f>
        <v/>
      </c>
      <c r="BJ67" t="str">
        <f t="shared" ref="BJ67:BJ130" si="124">IFERROR(IF(AP67,$B67,0),"")</f>
        <v/>
      </c>
      <c r="BK67" t="str">
        <f t="shared" ref="BK67:BK130" si="125">IFERROR(IF(AQ67,$B67,0),"")</f>
        <v/>
      </c>
      <c r="BL67" t="str">
        <f t="shared" ref="BL67:BL130" si="126">IFERROR(IF(AR67,$B67,0),"")</f>
        <v/>
      </c>
      <c r="BM67" t="str">
        <f t="shared" ref="BM67:BM130" si="127">IFERROR(IF(AS67,$B67,0),"")</f>
        <v/>
      </c>
      <c r="BP67"/>
      <c r="BR67"/>
    </row>
    <row r="68" spans="1:70" x14ac:dyDescent="0.25">
      <c r="A68" s="1">
        <v>41255</v>
      </c>
      <c r="B68">
        <v>2.5</v>
      </c>
      <c r="C68" s="4">
        <v>42369</v>
      </c>
      <c r="D68">
        <v>1</v>
      </c>
      <c r="E68">
        <f t="shared" si="105"/>
        <v>0.1388888888888889</v>
      </c>
      <c r="F68" s="4"/>
      <c r="G68">
        <v>1</v>
      </c>
      <c r="H68" t="str">
        <f t="shared" ref="H68:Y68" si="128">IF($D68&gt;G68,G68+1,"")</f>
        <v/>
      </c>
      <c r="I68" t="str">
        <f t="shared" si="128"/>
        <v/>
      </c>
      <c r="J68" t="str">
        <f t="shared" si="128"/>
        <v/>
      </c>
      <c r="K68" t="str">
        <f t="shared" si="128"/>
        <v/>
      </c>
      <c r="L68" t="str">
        <f t="shared" si="128"/>
        <v/>
      </c>
      <c r="M68" t="str">
        <f t="shared" si="128"/>
        <v/>
      </c>
      <c r="N68" t="str">
        <f t="shared" si="128"/>
        <v/>
      </c>
      <c r="O68" t="str">
        <f t="shared" si="128"/>
        <v/>
      </c>
      <c r="P68" t="str">
        <f t="shared" si="128"/>
        <v/>
      </c>
      <c r="Q68" t="str">
        <f t="shared" si="128"/>
        <v/>
      </c>
      <c r="R68" t="str">
        <f t="shared" si="128"/>
        <v/>
      </c>
      <c r="S68" t="str">
        <f t="shared" si="128"/>
        <v/>
      </c>
      <c r="T68" t="str">
        <f t="shared" si="128"/>
        <v/>
      </c>
      <c r="U68" t="str">
        <f t="shared" si="128"/>
        <v/>
      </c>
      <c r="V68" t="str">
        <f t="shared" si="128"/>
        <v/>
      </c>
      <c r="W68" t="str">
        <f t="shared" si="128"/>
        <v/>
      </c>
      <c r="X68" t="str">
        <f t="shared" si="128"/>
        <v/>
      </c>
      <c r="Y68" t="str">
        <f t="shared" si="128"/>
        <v/>
      </c>
      <c r="AA68">
        <f t="shared" si="108"/>
        <v>42369</v>
      </c>
      <c r="AB68" t="e">
        <f t="shared" si="54"/>
        <v>#N/A</v>
      </c>
      <c r="AC68" t="e">
        <f t="shared" si="55"/>
        <v>#N/A</v>
      </c>
      <c r="AD68" t="e">
        <f t="shared" si="56"/>
        <v>#N/A</v>
      </c>
      <c r="AE68" t="e">
        <f t="shared" si="38"/>
        <v>#N/A</v>
      </c>
      <c r="AF68" t="e">
        <f t="shared" si="39"/>
        <v>#N/A</v>
      </c>
      <c r="AG68" t="e">
        <f t="shared" si="40"/>
        <v>#N/A</v>
      </c>
      <c r="AH68" t="e">
        <f t="shared" si="41"/>
        <v>#N/A</v>
      </c>
      <c r="AI68" t="e">
        <f t="shared" si="42"/>
        <v>#N/A</v>
      </c>
      <c r="AJ68" t="e">
        <f t="shared" si="43"/>
        <v>#N/A</v>
      </c>
      <c r="AK68" t="e">
        <f t="shared" si="44"/>
        <v>#N/A</v>
      </c>
      <c r="AL68" t="e">
        <f t="shared" si="45"/>
        <v>#N/A</v>
      </c>
      <c r="AM68" t="e">
        <f t="shared" si="46"/>
        <v>#N/A</v>
      </c>
      <c r="AN68" t="e">
        <f t="shared" si="47"/>
        <v>#N/A</v>
      </c>
      <c r="AO68" t="e">
        <f t="shared" si="48"/>
        <v>#N/A</v>
      </c>
      <c r="AP68" t="e">
        <f t="shared" si="49"/>
        <v>#N/A</v>
      </c>
      <c r="AQ68" t="e">
        <f t="shared" si="50"/>
        <v>#N/A</v>
      </c>
      <c r="AR68" t="e">
        <f t="shared" si="51"/>
        <v>#N/A</v>
      </c>
      <c r="AS68" t="e">
        <f t="shared" si="52"/>
        <v>#N/A</v>
      </c>
      <c r="AU68">
        <f t="shared" si="109"/>
        <v>2.5</v>
      </c>
      <c r="AV68" t="str">
        <f t="shared" si="110"/>
        <v/>
      </c>
      <c r="AW68" t="str">
        <f t="shared" si="111"/>
        <v/>
      </c>
      <c r="AX68" t="str">
        <f t="shared" si="112"/>
        <v/>
      </c>
      <c r="AY68" t="str">
        <f t="shared" si="113"/>
        <v/>
      </c>
      <c r="AZ68" t="str">
        <f t="shared" si="114"/>
        <v/>
      </c>
      <c r="BA68" t="str">
        <f t="shared" si="115"/>
        <v/>
      </c>
      <c r="BB68" t="str">
        <f t="shared" si="116"/>
        <v/>
      </c>
      <c r="BC68" t="str">
        <f t="shared" si="117"/>
        <v/>
      </c>
      <c r="BD68" t="str">
        <f t="shared" si="118"/>
        <v/>
      </c>
      <c r="BE68" t="str">
        <f t="shared" si="119"/>
        <v/>
      </c>
      <c r="BF68" t="str">
        <f t="shared" si="120"/>
        <v/>
      </c>
      <c r="BG68" t="str">
        <f t="shared" si="121"/>
        <v/>
      </c>
      <c r="BH68" t="str">
        <f t="shared" si="122"/>
        <v/>
      </c>
      <c r="BI68" t="str">
        <f t="shared" si="123"/>
        <v/>
      </c>
      <c r="BJ68" t="str">
        <f t="shared" si="124"/>
        <v/>
      </c>
      <c r="BK68" t="str">
        <f t="shared" si="125"/>
        <v/>
      </c>
      <c r="BL68" t="str">
        <f t="shared" si="126"/>
        <v/>
      </c>
      <c r="BM68" t="str">
        <f t="shared" si="127"/>
        <v/>
      </c>
      <c r="BP68"/>
      <c r="BR68"/>
    </row>
    <row r="69" spans="1:70" x14ac:dyDescent="0.25">
      <c r="A69" s="1">
        <v>41255</v>
      </c>
      <c r="B69">
        <v>3.5</v>
      </c>
      <c r="C69" s="4">
        <v>42369</v>
      </c>
      <c r="D69">
        <v>1</v>
      </c>
      <c r="E69">
        <f t="shared" si="105"/>
        <v>0.19444444444444442</v>
      </c>
      <c r="F69" s="4"/>
      <c r="G69">
        <v>1</v>
      </c>
      <c r="H69" t="str">
        <f t="shared" ref="H69:Y69" si="129">IF($D69&gt;G69,G69+1,"")</f>
        <v/>
      </c>
      <c r="I69" t="str">
        <f t="shared" si="129"/>
        <v/>
      </c>
      <c r="J69" t="str">
        <f t="shared" si="129"/>
        <v/>
      </c>
      <c r="K69" t="str">
        <f t="shared" si="129"/>
        <v/>
      </c>
      <c r="L69" t="str">
        <f t="shared" si="129"/>
        <v/>
      </c>
      <c r="M69" t="str">
        <f t="shared" si="129"/>
        <v/>
      </c>
      <c r="N69" t="str">
        <f t="shared" si="129"/>
        <v/>
      </c>
      <c r="O69" t="str">
        <f t="shared" si="129"/>
        <v/>
      </c>
      <c r="P69" t="str">
        <f t="shared" si="129"/>
        <v/>
      </c>
      <c r="Q69" t="str">
        <f t="shared" si="129"/>
        <v/>
      </c>
      <c r="R69" t="str">
        <f t="shared" si="129"/>
        <v/>
      </c>
      <c r="S69" t="str">
        <f t="shared" si="129"/>
        <v/>
      </c>
      <c r="T69" t="str">
        <f t="shared" si="129"/>
        <v/>
      </c>
      <c r="U69" t="str">
        <f t="shared" si="129"/>
        <v/>
      </c>
      <c r="V69" t="str">
        <f t="shared" si="129"/>
        <v/>
      </c>
      <c r="W69" t="str">
        <f t="shared" si="129"/>
        <v/>
      </c>
      <c r="X69" t="str">
        <f t="shared" si="129"/>
        <v/>
      </c>
      <c r="Y69" t="str">
        <f t="shared" si="129"/>
        <v/>
      </c>
      <c r="AA69">
        <f t="shared" si="108"/>
        <v>42369</v>
      </c>
      <c r="AB69" t="e">
        <f t="shared" si="54"/>
        <v>#N/A</v>
      </c>
      <c r="AC69" t="e">
        <f t="shared" si="55"/>
        <v>#N/A</v>
      </c>
      <c r="AD69" t="e">
        <f t="shared" si="56"/>
        <v>#N/A</v>
      </c>
      <c r="AE69" t="e">
        <f t="shared" si="38"/>
        <v>#N/A</v>
      </c>
      <c r="AF69" t="e">
        <f t="shared" si="39"/>
        <v>#N/A</v>
      </c>
      <c r="AG69" t="e">
        <f t="shared" si="40"/>
        <v>#N/A</v>
      </c>
      <c r="AH69" t="e">
        <f t="shared" si="41"/>
        <v>#N/A</v>
      </c>
      <c r="AI69" t="e">
        <f t="shared" si="42"/>
        <v>#N/A</v>
      </c>
      <c r="AJ69" t="e">
        <f t="shared" si="43"/>
        <v>#N/A</v>
      </c>
      <c r="AK69" t="e">
        <f t="shared" si="44"/>
        <v>#N/A</v>
      </c>
      <c r="AL69" t="e">
        <f t="shared" si="45"/>
        <v>#N/A</v>
      </c>
      <c r="AM69" t="e">
        <f t="shared" si="46"/>
        <v>#N/A</v>
      </c>
      <c r="AN69" t="e">
        <f t="shared" si="47"/>
        <v>#N/A</v>
      </c>
      <c r="AO69" t="e">
        <f t="shared" si="48"/>
        <v>#N/A</v>
      </c>
      <c r="AP69" t="e">
        <f t="shared" si="49"/>
        <v>#N/A</v>
      </c>
      <c r="AQ69" t="e">
        <f t="shared" si="50"/>
        <v>#N/A</v>
      </c>
      <c r="AR69" t="e">
        <f t="shared" si="51"/>
        <v>#N/A</v>
      </c>
      <c r="AS69" t="e">
        <f t="shared" si="52"/>
        <v>#N/A</v>
      </c>
      <c r="AU69">
        <f t="shared" si="109"/>
        <v>3.5</v>
      </c>
      <c r="AV69" t="str">
        <f t="shared" si="110"/>
        <v/>
      </c>
      <c r="AW69" t="str">
        <f t="shared" si="111"/>
        <v/>
      </c>
      <c r="AX69" t="str">
        <f t="shared" si="112"/>
        <v/>
      </c>
      <c r="AY69" t="str">
        <f t="shared" si="113"/>
        <v/>
      </c>
      <c r="AZ69" t="str">
        <f t="shared" si="114"/>
        <v/>
      </c>
      <c r="BA69" t="str">
        <f t="shared" si="115"/>
        <v/>
      </c>
      <c r="BB69" t="str">
        <f t="shared" si="116"/>
        <v/>
      </c>
      <c r="BC69" t="str">
        <f t="shared" si="117"/>
        <v/>
      </c>
      <c r="BD69" t="str">
        <f t="shared" si="118"/>
        <v/>
      </c>
      <c r="BE69" t="str">
        <f t="shared" si="119"/>
        <v/>
      </c>
      <c r="BF69" t="str">
        <f t="shared" si="120"/>
        <v/>
      </c>
      <c r="BG69" t="str">
        <f t="shared" si="121"/>
        <v/>
      </c>
      <c r="BH69" t="str">
        <f t="shared" si="122"/>
        <v/>
      </c>
      <c r="BI69" t="str">
        <f t="shared" si="123"/>
        <v/>
      </c>
      <c r="BJ69" t="str">
        <f t="shared" si="124"/>
        <v/>
      </c>
      <c r="BK69" t="str">
        <f t="shared" si="125"/>
        <v/>
      </c>
      <c r="BL69" t="str">
        <f t="shared" si="126"/>
        <v/>
      </c>
      <c r="BM69" t="str">
        <f t="shared" si="127"/>
        <v/>
      </c>
      <c r="BP69"/>
      <c r="BR69"/>
    </row>
    <row r="70" spans="1:70" x14ac:dyDescent="0.25">
      <c r="A70" s="1">
        <v>41255</v>
      </c>
      <c r="B70">
        <v>3.75</v>
      </c>
      <c r="C70" s="4">
        <v>42369</v>
      </c>
      <c r="D70">
        <v>1</v>
      </c>
      <c r="E70">
        <f t="shared" si="105"/>
        <v>0.20833333333333331</v>
      </c>
      <c r="F70" s="4"/>
      <c r="G70">
        <v>1</v>
      </c>
      <c r="H70" t="str">
        <f t="shared" ref="H70:Y70" si="130">IF($D70&gt;G70,G70+1,"")</f>
        <v/>
      </c>
      <c r="I70" t="str">
        <f t="shared" si="130"/>
        <v/>
      </c>
      <c r="J70" t="str">
        <f t="shared" si="130"/>
        <v/>
      </c>
      <c r="K70" t="str">
        <f t="shared" si="130"/>
        <v/>
      </c>
      <c r="L70" t="str">
        <f t="shared" si="130"/>
        <v/>
      </c>
      <c r="M70" t="str">
        <f t="shared" si="130"/>
        <v/>
      </c>
      <c r="N70" t="str">
        <f t="shared" si="130"/>
        <v/>
      </c>
      <c r="O70" t="str">
        <f t="shared" si="130"/>
        <v/>
      </c>
      <c r="P70" t="str">
        <f t="shared" si="130"/>
        <v/>
      </c>
      <c r="Q70" t="str">
        <f t="shared" si="130"/>
        <v/>
      </c>
      <c r="R70" t="str">
        <f t="shared" si="130"/>
        <v/>
      </c>
      <c r="S70" t="str">
        <f t="shared" si="130"/>
        <v/>
      </c>
      <c r="T70" t="str">
        <f t="shared" si="130"/>
        <v/>
      </c>
      <c r="U70" t="str">
        <f t="shared" si="130"/>
        <v/>
      </c>
      <c r="V70" t="str">
        <f t="shared" si="130"/>
        <v/>
      </c>
      <c r="W70" t="str">
        <f t="shared" si="130"/>
        <v/>
      </c>
      <c r="X70" t="str">
        <f t="shared" si="130"/>
        <v/>
      </c>
      <c r="Y70" t="str">
        <f t="shared" si="130"/>
        <v/>
      </c>
      <c r="AA70">
        <f t="shared" si="108"/>
        <v>42369</v>
      </c>
      <c r="AB70" t="e">
        <f t="shared" si="54"/>
        <v>#N/A</v>
      </c>
      <c r="AC70" t="e">
        <f t="shared" si="55"/>
        <v>#N/A</v>
      </c>
      <c r="AD70" t="e">
        <f t="shared" si="56"/>
        <v>#N/A</v>
      </c>
      <c r="AE70" t="e">
        <f t="shared" si="38"/>
        <v>#N/A</v>
      </c>
      <c r="AF70" t="e">
        <f t="shared" si="39"/>
        <v>#N/A</v>
      </c>
      <c r="AG70" t="e">
        <f t="shared" si="40"/>
        <v>#N/A</v>
      </c>
      <c r="AH70" t="e">
        <f t="shared" si="41"/>
        <v>#N/A</v>
      </c>
      <c r="AI70" t="e">
        <f t="shared" si="42"/>
        <v>#N/A</v>
      </c>
      <c r="AJ70" t="e">
        <f t="shared" si="43"/>
        <v>#N/A</v>
      </c>
      <c r="AK70" t="e">
        <f t="shared" si="44"/>
        <v>#N/A</v>
      </c>
      <c r="AL70" t="e">
        <f t="shared" si="45"/>
        <v>#N/A</v>
      </c>
      <c r="AM70" t="e">
        <f t="shared" si="46"/>
        <v>#N/A</v>
      </c>
      <c r="AN70" t="e">
        <f t="shared" si="47"/>
        <v>#N/A</v>
      </c>
      <c r="AO70" t="e">
        <f t="shared" si="48"/>
        <v>#N/A</v>
      </c>
      <c r="AP70" t="e">
        <f t="shared" si="49"/>
        <v>#N/A</v>
      </c>
      <c r="AQ70" t="e">
        <f t="shared" si="50"/>
        <v>#N/A</v>
      </c>
      <c r="AR70" t="e">
        <f t="shared" si="51"/>
        <v>#N/A</v>
      </c>
      <c r="AS70" t="e">
        <f t="shared" si="52"/>
        <v>#N/A</v>
      </c>
      <c r="AU70">
        <f t="shared" si="109"/>
        <v>3.75</v>
      </c>
      <c r="AV70" t="str">
        <f t="shared" si="110"/>
        <v/>
      </c>
      <c r="AW70" t="str">
        <f t="shared" si="111"/>
        <v/>
      </c>
      <c r="AX70" t="str">
        <f t="shared" si="112"/>
        <v/>
      </c>
      <c r="AY70" t="str">
        <f t="shared" si="113"/>
        <v/>
      </c>
      <c r="AZ70" t="str">
        <f t="shared" si="114"/>
        <v/>
      </c>
      <c r="BA70" t="str">
        <f t="shared" si="115"/>
        <v/>
      </c>
      <c r="BB70" t="str">
        <f t="shared" si="116"/>
        <v/>
      </c>
      <c r="BC70" t="str">
        <f t="shared" si="117"/>
        <v/>
      </c>
      <c r="BD70" t="str">
        <f t="shared" si="118"/>
        <v/>
      </c>
      <c r="BE70" t="str">
        <f t="shared" si="119"/>
        <v/>
      </c>
      <c r="BF70" t="str">
        <f t="shared" si="120"/>
        <v/>
      </c>
      <c r="BG70" t="str">
        <f t="shared" si="121"/>
        <v/>
      </c>
      <c r="BH70" t="str">
        <f t="shared" si="122"/>
        <v/>
      </c>
      <c r="BI70" t="str">
        <f t="shared" si="123"/>
        <v/>
      </c>
      <c r="BJ70" t="str">
        <f t="shared" si="124"/>
        <v/>
      </c>
      <c r="BK70" t="str">
        <f t="shared" si="125"/>
        <v/>
      </c>
      <c r="BL70" t="str">
        <f t="shared" si="126"/>
        <v/>
      </c>
      <c r="BM70" t="str">
        <f t="shared" si="127"/>
        <v/>
      </c>
      <c r="BP70"/>
      <c r="BR70"/>
    </row>
    <row r="71" spans="1:70" x14ac:dyDescent="0.25">
      <c r="A71" s="1">
        <v>41255</v>
      </c>
      <c r="B71">
        <v>4.5</v>
      </c>
      <c r="C71" s="4">
        <v>42369</v>
      </c>
      <c r="D71">
        <v>1</v>
      </c>
      <c r="E71">
        <f t="shared" si="105"/>
        <v>0.25</v>
      </c>
      <c r="F71" s="4"/>
      <c r="G71">
        <v>1</v>
      </c>
      <c r="H71" t="str">
        <f t="shared" ref="H71:Y71" si="131">IF($D71&gt;G71,G71+1,"")</f>
        <v/>
      </c>
      <c r="I71" t="str">
        <f t="shared" si="131"/>
        <v/>
      </c>
      <c r="J71" t="str">
        <f t="shared" si="131"/>
        <v/>
      </c>
      <c r="K71" t="str">
        <f t="shared" si="131"/>
        <v/>
      </c>
      <c r="L71" t="str">
        <f t="shared" si="131"/>
        <v/>
      </c>
      <c r="M71" t="str">
        <f t="shared" si="131"/>
        <v/>
      </c>
      <c r="N71" t="str">
        <f t="shared" si="131"/>
        <v/>
      </c>
      <c r="O71" t="str">
        <f t="shared" si="131"/>
        <v/>
      </c>
      <c r="P71" t="str">
        <f t="shared" si="131"/>
        <v/>
      </c>
      <c r="Q71" t="str">
        <f t="shared" si="131"/>
        <v/>
      </c>
      <c r="R71" t="str">
        <f t="shared" si="131"/>
        <v/>
      </c>
      <c r="S71" t="str">
        <f t="shared" si="131"/>
        <v/>
      </c>
      <c r="T71" t="str">
        <f t="shared" si="131"/>
        <v/>
      </c>
      <c r="U71" t="str">
        <f t="shared" si="131"/>
        <v/>
      </c>
      <c r="V71" t="str">
        <f t="shared" si="131"/>
        <v/>
      </c>
      <c r="W71" t="str">
        <f t="shared" si="131"/>
        <v/>
      </c>
      <c r="X71" t="str">
        <f t="shared" si="131"/>
        <v/>
      </c>
      <c r="Y71" t="str">
        <f t="shared" si="131"/>
        <v/>
      </c>
      <c r="AA71">
        <f t="shared" si="108"/>
        <v>42369</v>
      </c>
      <c r="AB71" t="e">
        <f t="shared" si="54"/>
        <v>#N/A</v>
      </c>
      <c r="AC71" t="e">
        <f t="shared" si="55"/>
        <v>#N/A</v>
      </c>
      <c r="AD71" t="e">
        <f t="shared" si="56"/>
        <v>#N/A</v>
      </c>
      <c r="AE71" t="e">
        <f t="shared" si="38"/>
        <v>#N/A</v>
      </c>
      <c r="AF71" t="e">
        <f t="shared" si="39"/>
        <v>#N/A</v>
      </c>
      <c r="AG71" t="e">
        <f t="shared" si="40"/>
        <v>#N/A</v>
      </c>
      <c r="AH71" t="e">
        <f t="shared" si="41"/>
        <v>#N/A</v>
      </c>
      <c r="AI71" t="e">
        <f t="shared" si="42"/>
        <v>#N/A</v>
      </c>
      <c r="AJ71" t="e">
        <f t="shared" si="43"/>
        <v>#N/A</v>
      </c>
      <c r="AK71" t="e">
        <f t="shared" si="44"/>
        <v>#N/A</v>
      </c>
      <c r="AL71" t="e">
        <f t="shared" si="45"/>
        <v>#N/A</v>
      </c>
      <c r="AM71" t="e">
        <f t="shared" si="46"/>
        <v>#N/A</v>
      </c>
      <c r="AN71" t="e">
        <f t="shared" si="47"/>
        <v>#N/A</v>
      </c>
      <c r="AO71" t="e">
        <f t="shared" si="48"/>
        <v>#N/A</v>
      </c>
      <c r="AP71" t="e">
        <f t="shared" si="49"/>
        <v>#N/A</v>
      </c>
      <c r="AQ71" t="e">
        <f t="shared" si="50"/>
        <v>#N/A</v>
      </c>
      <c r="AR71" t="e">
        <f t="shared" si="51"/>
        <v>#N/A</v>
      </c>
      <c r="AS71" t="e">
        <f t="shared" si="52"/>
        <v>#N/A</v>
      </c>
      <c r="AU71">
        <f t="shared" si="109"/>
        <v>4.5</v>
      </c>
      <c r="AV71" t="str">
        <f t="shared" si="110"/>
        <v/>
      </c>
      <c r="AW71" t="str">
        <f t="shared" si="111"/>
        <v/>
      </c>
      <c r="AX71" t="str">
        <f t="shared" si="112"/>
        <v/>
      </c>
      <c r="AY71" t="str">
        <f t="shared" si="113"/>
        <v/>
      </c>
      <c r="AZ71" t="str">
        <f t="shared" si="114"/>
        <v/>
      </c>
      <c r="BA71" t="str">
        <f t="shared" si="115"/>
        <v/>
      </c>
      <c r="BB71" t="str">
        <f t="shared" si="116"/>
        <v/>
      </c>
      <c r="BC71" t="str">
        <f t="shared" si="117"/>
        <v/>
      </c>
      <c r="BD71" t="str">
        <f t="shared" si="118"/>
        <v/>
      </c>
      <c r="BE71" t="str">
        <f t="shared" si="119"/>
        <v/>
      </c>
      <c r="BF71" t="str">
        <f t="shared" si="120"/>
        <v/>
      </c>
      <c r="BG71" t="str">
        <f t="shared" si="121"/>
        <v/>
      </c>
      <c r="BH71" t="str">
        <f t="shared" si="122"/>
        <v/>
      </c>
      <c r="BI71" t="str">
        <f t="shared" si="123"/>
        <v/>
      </c>
      <c r="BJ71" t="str">
        <f t="shared" si="124"/>
        <v/>
      </c>
      <c r="BK71" t="str">
        <f t="shared" si="125"/>
        <v/>
      </c>
      <c r="BL71" t="str">
        <f t="shared" si="126"/>
        <v/>
      </c>
      <c r="BM71" t="str">
        <f t="shared" si="127"/>
        <v/>
      </c>
      <c r="BP71"/>
      <c r="BR71"/>
    </row>
    <row r="72" spans="1:70" x14ac:dyDescent="0.25">
      <c r="A72" s="1">
        <v>41255</v>
      </c>
      <c r="B72">
        <v>3</v>
      </c>
      <c r="C72" s="4">
        <v>43100</v>
      </c>
      <c r="D72">
        <v>1</v>
      </c>
      <c r="E72">
        <f t="shared" si="105"/>
        <v>0.15789473684210525</v>
      </c>
      <c r="F72" s="4"/>
      <c r="G72">
        <v>1</v>
      </c>
      <c r="H72" t="str">
        <f t="shared" ref="H72:Y72" si="132">IF($D72&gt;G72,G72+1,"")</f>
        <v/>
      </c>
      <c r="I72" t="str">
        <f t="shared" si="132"/>
        <v/>
      </c>
      <c r="J72" t="str">
        <f t="shared" si="132"/>
        <v/>
      </c>
      <c r="K72" t="str">
        <f t="shared" si="132"/>
        <v/>
      </c>
      <c r="L72" t="str">
        <f t="shared" si="132"/>
        <v/>
      </c>
      <c r="M72" t="str">
        <f t="shared" si="132"/>
        <v/>
      </c>
      <c r="N72" t="str">
        <f t="shared" si="132"/>
        <v/>
      </c>
      <c r="O72" t="str">
        <f t="shared" si="132"/>
        <v/>
      </c>
      <c r="P72" t="str">
        <f t="shared" si="132"/>
        <v/>
      </c>
      <c r="Q72" t="str">
        <f t="shared" si="132"/>
        <v/>
      </c>
      <c r="R72" t="str">
        <f t="shared" si="132"/>
        <v/>
      </c>
      <c r="S72" t="str">
        <f t="shared" si="132"/>
        <v/>
      </c>
      <c r="T72" t="str">
        <f t="shared" si="132"/>
        <v/>
      </c>
      <c r="U72" t="str">
        <f t="shared" si="132"/>
        <v/>
      </c>
      <c r="V72" t="str">
        <f t="shared" si="132"/>
        <v/>
      </c>
      <c r="W72" t="str">
        <f t="shared" si="132"/>
        <v/>
      </c>
      <c r="X72" t="str">
        <f t="shared" si="132"/>
        <v/>
      </c>
      <c r="Y72" t="str">
        <f t="shared" si="132"/>
        <v/>
      </c>
      <c r="AA72">
        <f t="shared" si="108"/>
        <v>43100</v>
      </c>
      <c r="AB72" t="e">
        <f t="shared" si="54"/>
        <v>#N/A</v>
      </c>
      <c r="AC72" t="e">
        <f t="shared" si="55"/>
        <v>#N/A</v>
      </c>
      <c r="AD72" t="e">
        <f t="shared" si="56"/>
        <v>#N/A</v>
      </c>
      <c r="AE72" t="e">
        <f t="shared" si="38"/>
        <v>#N/A</v>
      </c>
      <c r="AF72" t="e">
        <f t="shared" si="39"/>
        <v>#N/A</v>
      </c>
      <c r="AG72" t="e">
        <f t="shared" si="40"/>
        <v>#N/A</v>
      </c>
      <c r="AH72" t="e">
        <f t="shared" si="41"/>
        <v>#N/A</v>
      </c>
      <c r="AI72" t="e">
        <f t="shared" si="42"/>
        <v>#N/A</v>
      </c>
      <c r="AJ72" t="e">
        <f t="shared" si="43"/>
        <v>#N/A</v>
      </c>
      <c r="AK72" t="e">
        <f t="shared" si="44"/>
        <v>#N/A</v>
      </c>
      <c r="AL72" t="e">
        <f t="shared" si="45"/>
        <v>#N/A</v>
      </c>
      <c r="AM72" t="e">
        <f t="shared" si="46"/>
        <v>#N/A</v>
      </c>
      <c r="AN72" t="e">
        <f t="shared" si="47"/>
        <v>#N/A</v>
      </c>
      <c r="AO72" t="e">
        <f t="shared" si="48"/>
        <v>#N/A</v>
      </c>
      <c r="AP72" t="e">
        <f t="shared" si="49"/>
        <v>#N/A</v>
      </c>
      <c r="AQ72" t="e">
        <f t="shared" si="50"/>
        <v>#N/A</v>
      </c>
      <c r="AR72" t="e">
        <f t="shared" si="51"/>
        <v>#N/A</v>
      </c>
      <c r="AS72" t="e">
        <f t="shared" si="52"/>
        <v>#N/A</v>
      </c>
      <c r="AU72">
        <f t="shared" si="109"/>
        <v>3</v>
      </c>
      <c r="AV72" t="str">
        <f t="shared" si="110"/>
        <v/>
      </c>
      <c r="AW72" t="str">
        <f t="shared" si="111"/>
        <v/>
      </c>
      <c r="AX72" t="str">
        <f t="shared" si="112"/>
        <v/>
      </c>
      <c r="AY72" t="str">
        <f t="shared" si="113"/>
        <v/>
      </c>
      <c r="AZ72" t="str">
        <f t="shared" si="114"/>
        <v/>
      </c>
      <c r="BA72" t="str">
        <f t="shared" si="115"/>
        <v/>
      </c>
      <c r="BB72" t="str">
        <f t="shared" si="116"/>
        <v/>
      </c>
      <c r="BC72" t="str">
        <f t="shared" si="117"/>
        <v/>
      </c>
      <c r="BD72" t="str">
        <f t="shared" si="118"/>
        <v/>
      </c>
      <c r="BE72" t="str">
        <f t="shared" si="119"/>
        <v/>
      </c>
      <c r="BF72" t="str">
        <f t="shared" si="120"/>
        <v/>
      </c>
      <c r="BG72" t="str">
        <f t="shared" si="121"/>
        <v/>
      </c>
      <c r="BH72" t="str">
        <f t="shared" si="122"/>
        <v/>
      </c>
      <c r="BI72" t="str">
        <f t="shared" si="123"/>
        <v/>
      </c>
      <c r="BJ72" t="str">
        <f t="shared" si="124"/>
        <v/>
      </c>
      <c r="BK72" t="str">
        <f t="shared" si="125"/>
        <v/>
      </c>
      <c r="BL72" t="str">
        <f t="shared" si="126"/>
        <v/>
      </c>
      <c r="BM72" t="str">
        <f t="shared" si="127"/>
        <v/>
      </c>
      <c r="BP72"/>
      <c r="BR72"/>
    </row>
    <row r="73" spans="1:70" x14ac:dyDescent="0.25">
      <c r="A73" s="1">
        <v>41255</v>
      </c>
      <c r="B73">
        <v>3.5</v>
      </c>
      <c r="C73" s="4">
        <v>43100</v>
      </c>
      <c r="D73">
        <v>1</v>
      </c>
      <c r="E73">
        <f t="shared" si="105"/>
        <v>0.18421052631578946</v>
      </c>
      <c r="F73" s="4"/>
      <c r="G73">
        <v>1</v>
      </c>
      <c r="H73" t="str">
        <f t="shared" ref="H73:Y73" si="133">IF($D73&gt;G73,G73+1,"")</f>
        <v/>
      </c>
      <c r="I73" t="str">
        <f t="shared" si="133"/>
        <v/>
      </c>
      <c r="J73" t="str">
        <f t="shared" si="133"/>
        <v/>
      </c>
      <c r="K73" t="str">
        <f t="shared" si="133"/>
        <v/>
      </c>
      <c r="L73" t="str">
        <f t="shared" si="133"/>
        <v/>
      </c>
      <c r="M73" t="str">
        <f t="shared" si="133"/>
        <v/>
      </c>
      <c r="N73" t="str">
        <f t="shared" si="133"/>
        <v/>
      </c>
      <c r="O73" t="str">
        <f t="shared" si="133"/>
        <v/>
      </c>
      <c r="P73" t="str">
        <f t="shared" si="133"/>
        <v/>
      </c>
      <c r="Q73" t="str">
        <f t="shared" si="133"/>
        <v/>
      </c>
      <c r="R73" t="str">
        <f t="shared" si="133"/>
        <v/>
      </c>
      <c r="S73" t="str">
        <f t="shared" si="133"/>
        <v/>
      </c>
      <c r="T73" t="str">
        <f t="shared" si="133"/>
        <v/>
      </c>
      <c r="U73" t="str">
        <f t="shared" si="133"/>
        <v/>
      </c>
      <c r="V73" t="str">
        <f t="shared" si="133"/>
        <v/>
      </c>
      <c r="W73" t="str">
        <f t="shared" si="133"/>
        <v/>
      </c>
      <c r="X73" t="str">
        <f t="shared" si="133"/>
        <v/>
      </c>
      <c r="Y73" t="str">
        <f t="shared" si="133"/>
        <v/>
      </c>
      <c r="AA73">
        <f t="shared" si="108"/>
        <v>43100</v>
      </c>
      <c r="AB73" t="e">
        <f t="shared" si="54"/>
        <v>#N/A</v>
      </c>
      <c r="AC73" t="e">
        <f t="shared" si="55"/>
        <v>#N/A</v>
      </c>
      <c r="AD73" t="e">
        <f t="shared" si="56"/>
        <v>#N/A</v>
      </c>
      <c r="AE73" t="e">
        <f t="shared" si="38"/>
        <v>#N/A</v>
      </c>
      <c r="AF73" t="e">
        <f t="shared" si="39"/>
        <v>#N/A</v>
      </c>
      <c r="AG73" t="e">
        <f t="shared" si="40"/>
        <v>#N/A</v>
      </c>
      <c r="AH73" t="e">
        <f t="shared" si="41"/>
        <v>#N/A</v>
      </c>
      <c r="AI73" t="e">
        <f t="shared" si="42"/>
        <v>#N/A</v>
      </c>
      <c r="AJ73" t="e">
        <f t="shared" si="43"/>
        <v>#N/A</v>
      </c>
      <c r="AK73" t="e">
        <f t="shared" si="44"/>
        <v>#N/A</v>
      </c>
      <c r="AL73" t="e">
        <f t="shared" si="45"/>
        <v>#N/A</v>
      </c>
      <c r="AM73" t="e">
        <f t="shared" si="46"/>
        <v>#N/A</v>
      </c>
      <c r="AN73" t="e">
        <f t="shared" si="47"/>
        <v>#N/A</v>
      </c>
      <c r="AO73" t="e">
        <f t="shared" si="48"/>
        <v>#N/A</v>
      </c>
      <c r="AP73" t="e">
        <f t="shared" si="49"/>
        <v>#N/A</v>
      </c>
      <c r="AQ73" t="e">
        <f t="shared" si="50"/>
        <v>#N/A</v>
      </c>
      <c r="AR73" t="e">
        <f t="shared" si="51"/>
        <v>#N/A</v>
      </c>
      <c r="AS73" t="e">
        <f t="shared" si="52"/>
        <v>#N/A</v>
      </c>
      <c r="AU73">
        <f t="shared" si="109"/>
        <v>3.5</v>
      </c>
      <c r="AV73" t="str">
        <f t="shared" si="110"/>
        <v/>
      </c>
      <c r="AW73" t="str">
        <f t="shared" si="111"/>
        <v/>
      </c>
      <c r="AX73" t="str">
        <f t="shared" si="112"/>
        <v/>
      </c>
      <c r="AY73" t="str">
        <f t="shared" si="113"/>
        <v/>
      </c>
      <c r="AZ73" t="str">
        <f t="shared" si="114"/>
        <v/>
      </c>
      <c r="BA73" t="str">
        <f t="shared" si="115"/>
        <v/>
      </c>
      <c r="BB73" t="str">
        <f t="shared" si="116"/>
        <v/>
      </c>
      <c r="BC73" t="str">
        <f t="shared" si="117"/>
        <v/>
      </c>
      <c r="BD73" t="str">
        <f t="shared" si="118"/>
        <v/>
      </c>
      <c r="BE73" t="str">
        <f t="shared" si="119"/>
        <v/>
      </c>
      <c r="BF73" t="str">
        <f t="shared" si="120"/>
        <v/>
      </c>
      <c r="BG73" t="str">
        <f t="shared" si="121"/>
        <v/>
      </c>
      <c r="BH73" t="str">
        <f t="shared" si="122"/>
        <v/>
      </c>
      <c r="BI73" t="str">
        <f t="shared" si="123"/>
        <v/>
      </c>
      <c r="BJ73" t="str">
        <f t="shared" si="124"/>
        <v/>
      </c>
      <c r="BK73" t="str">
        <f t="shared" si="125"/>
        <v/>
      </c>
      <c r="BL73" t="str">
        <f t="shared" si="126"/>
        <v/>
      </c>
      <c r="BM73" t="str">
        <f t="shared" si="127"/>
        <v/>
      </c>
      <c r="BP73"/>
      <c r="BR73"/>
    </row>
    <row r="74" spans="1:70" x14ac:dyDescent="0.25">
      <c r="A74" s="1">
        <v>41255</v>
      </c>
      <c r="B74">
        <v>3.75</v>
      </c>
      <c r="C74" s="4">
        <v>43100</v>
      </c>
      <c r="D74">
        <v>3</v>
      </c>
      <c r="E74">
        <f t="shared" si="105"/>
        <v>0.59210526315789469</v>
      </c>
      <c r="F74" s="4"/>
      <c r="G74">
        <v>1</v>
      </c>
      <c r="H74">
        <f t="shared" ref="H74:Y74" si="134">IF($D74&gt;G74,G74+1,"")</f>
        <v>2</v>
      </c>
      <c r="I74">
        <f t="shared" si="134"/>
        <v>3</v>
      </c>
      <c r="J74" t="str">
        <f t="shared" si="134"/>
        <v/>
      </c>
      <c r="K74" t="str">
        <f t="shared" si="134"/>
        <v/>
      </c>
      <c r="L74" t="str">
        <f t="shared" si="134"/>
        <v/>
      </c>
      <c r="M74" t="str">
        <f t="shared" si="134"/>
        <v/>
      </c>
      <c r="N74" t="str">
        <f t="shared" si="134"/>
        <v/>
      </c>
      <c r="O74" t="str">
        <f t="shared" si="134"/>
        <v/>
      </c>
      <c r="P74" t="str">
        <f t="shared" si="134"/>
        <v/>
      </c>
      <c r="Q74" t="str">
        <f t="shared" si="134"/>
        <v/>
      </c>
      <c r="R74" t="str">
        <f t="shared" si="134"/>
        <v/>
      </c>
      <c r="S74" t="str">
        <f t="shared" si="134"/>
        <v/>
      </c>
      <c r="T74" t="str">
        <f t="shared" si="134"/>
        <v/>
      </c>
      <c r="U74" t="str">
        <f t="shared" si="134"/>
        <v/>
      </c>
      <c r="V74" t="str">
        <f t="shared" si="134"/>
        <v/>
      </c>
      <c r="W74" t="str">
        <f t="shared" si="134"/>
        <v/>
      </c>
      <c r="X74" t="str">
        <f t="shared" si="134"/>
        <v/>
      </c>
      <c r="Y74" t="str">
        <f t="shared" si="134"/>
        <v/>
      </c>
      <c r="AA74">
        <f t="shared" si="108"/>
        <v>43079.924999999996</v>
      </c>
      <c r="AB74">
        <f t="shared" si="54"/>
        <v>43100</v>
      </c>
      <c r="AC74">
        <f t="shared" si="55"/>
        <v>43120.074999999997</v>
      </c>
      <c r="AD74" t="e">
        <f t="shared" si="56"/>
        <v>#N/A</v>
      </c>
      <c r="AE74" t="e">
        <f t="shared" si="38"/>
        <v>#N/A</v>
      </c>
      <c r="AF74" t="e">
        <f t="shared" si="39"/>
        <v>#N/A</v>
      </c>
      <c r="AG74" t="e">
        <f t="shared" si="40"/>
        <v>#N/A</v>
      </c>
      <c r="AH74" t="e">
        <f t="shared" si="41"/>
        <v>#N/A</v>
      </c>
      <c r="AI74" t="e">
        <f t="shared" si="42"/>
        <v>#N/A</v>
      </c>
      <c r="AJ74" t="e">
        <f t="shared" si="43"/>
        <v>#N/A</v>
      </c>
      <c r="AK74" t="e">
        <f t="shared" si="44"/>
        <v>#N/A</v>
      </c>
      <c r="AL74" t="e">
        <f t="shared" si="45"/>
        <v>#N/A</v>
      </c>
      <c r="AM74" t="e">
        <f t="shared" si="46"/>
        <v>#N/A</v>
      </c>
      <c r="AN74" t="e">
        <f t="shared" si="47"/>
        <v>#N/A</v>
      </c>
      <c r="AO74" t="e">
        <f t="shared" si="48"/>
        <v>#N/A</v>
      </c>
      <c r="AP74" t="e">
        <f t="shared" si="49"/>
        <v>#N/A</v>
      </c>
      <c r="AQ74" t="e">
        <f t="shared" si="50"/>
        <v>#N/A</v>
      </c>
      <c r="AR74" t="e">
        <f t="shared" si="51"/>
        <v>#N/A</v>
      </c>
      <c r="AS74" t="e">
        <f t="shared" si="52"/>
        <v>#N/A</v>
      </c>
      <c r="AU74">
        <f t="shared" si="109"/>
        <v>3.75</v>
      </c>
      <c r="AV74">
        <f t="shared" si="110"/>
        <v>3.75</v>
      </c>
      <c r="AW74">
        <f t="shared" si="111"/>
        <v>3.75</v>
      </c>
      <c r="AX74" t="str">
        <f t="shared" si="112"/>
        <v/>
      </c>
      <c r="AY74" t="str">
        <f t="shared" si="113"/>
        <v/>
      </c>
      <c r="AZ74" t="str">
        <f t="shared" si="114"/>
        <v/>
      </c>
      <c r="BA74" t="str">
        <f t="shared" si="115"/>
        <v/>
      </c>
      <c r="BB74" t="str">
        <f t="shared" si="116"/>
        <v/>
      </c>
      <c r="BC74" t="str">
        <f t="shared" si="117"/>
        <v/>
      </c>
      <c r="BD74" t="str">
        <f t="shared" si="118"/>
        <v/>
      </c>
      <c r="BE74" t="str">
        <f t="shared" si="119"/>
        <v/>
      </c>
      <c r="BF74" t="str">
        <f t="shared" si="120"/>
        <v/>
      </c>
      <c r="BG74" t="str">
        <f t="shared" si="121"/>
        <v/>
      </c>
      <c r="BH74" t="str">
        <f t="shared" si="122"/>
        <v/>
      </c>
      <c r="BI74" t="str">
        <f t="shared" si="123"/>
        <v/>
      </c>
      <c r="BJ74" t="str">
        <f t="shared" si="124"/>
        <v/>
      </c>
      <c r="BK74" t="str">
        <f t="shared" si="125"/>
        <v/>
      </c>
      <c r="BL74" t="str">
        <f t="shared" si="126"/>
        <v/>
      </c>
      <c r="BM74" t="str">
        <f t="shared" si="127"/>
        <v/>
      </c>
      <c r="BP74"/>
      <c r="BR74"/>
    </row>
    <row r="75" spans="1:70" x14ac:dyDescent="0.25">
      <c r="A75" s="1">
        <v>41255</v>
      </c>
      <c r="B75">
        <v>4</v>
      </c>
      <c r="C75" s="4">
        <v>43100</v>
      </c>
      <c r="D75">
        <v>5</v>
      </c>
      <c r="E75">
        <f t="shared" si="105"/>
        <v>1.0526315789473684</v>
      </c>
      <c r="F75" s="4"/>
      <c r="G75">
        <v>1</v>
      </c>
      <c r="H75">
        <f t="shared" ref="H75:Y75" si="135">IF($D75&gt;G75,G75+1,"")</f>
        <v>2</v>
      </c>
      <c r="I75">
        <f t="shared" si="135"/>
        <v>3</v>
      </c>
      <c r="J75">
        <f t="shared" si="135"/>
        <v>4</v>
      </c>
      <c r="K75">
        <f t="shared" si="135"/>
        <v>5</v>
      </c>
      <c r="L75" t="str">
        <f t="shared" si="135"/>
        <v/>
      </c>
      <c r="M75" t="str">
        <f t="shared" si="135"/>
        <v/>
      </c>
      <c r="N75" t="str">
        <f t="shared" si="135"/>
        <v/>
      </c>
      <c r="O75" t="str">
        <f t="shared" si="135"/>
        <v/>
      </c>
      <c r="P75" t="str">
        <f t="shared" si="135"/>
        <v/>
      </c>
      <c r="Q75" t="str">
        <f t="shared" si="135"/>
        <v/>
      </c>
      <c r="R75" t="str">
        <f t="shared" si="135"/>
        <v/>
      </c>
      <c r="S75" t="str">
        <f t="shared" si="135"/>
        <v/>
      </c>
      <c r="T75" t="str">
        <f t="shared" si="135"/>
        <v/>
      </c>
      <c r="U75" t="str">
        <f t="shared" si="135"/>
        <v/>
      </c>
      <c r="V75" t="str">
        <f t="shared" si="135"/>
        <v/>
      </c>
      <c r="W75" t="str">
        <f t="shared" si="135"/>
        <v/>
      </c>
      <c r="X75" t="str">
        <f t="shared" si="135"/>
        <v/>
      </c>
      <c r="Y75" t="str">
        <f t="shared" si="135"/>
        <v/>
      </c>
      <c r="AA75">
        <f t="shared" si="108"/>
        <v>43059.85</v>
      </c>
      <c r="AB75">
        <f t="shared" si="54"/>
        <v>43079.925000000003</v>
      </c>
      <c r="AC75">
        <f t="shared" si="55"/>
        <v>43100</v>
      </c>
      <c r="AD75">
        <f t="shared" si="56"/>
        <v>43120.075000000004</v>
      </c>
      <c r="AE75">
        <f t="shared" si="38"/>
        <v>43140.15</v>
      </c>
      <c r="AF75" t="e">
        <f t="shared" si="39"/>
        <v>#N/A</v>
      </c>
      <c r="AG75" t="e">
        <f t="shared" si="40"/>
        <v>#N/A</v>
      </c>
      <c r="AH75" t="e">
        <f t="shared" si="41"/>
        <v>#N/A</v>
      </c>
      <c r="AI75" t="e">
        <f t="shared" si="42"/>
        <v>#N/A</v>
      </c>
      <c r="AJ75" t="e">
        <f t="shared" si="43"/>
        <v>#N/A</v>
      </c>
      <c r="AK75" t="e">
        <f t="shared" si="44"/>
        <v>#N/A</v>
      </c>
      <c r="AL75" t="e">
        <f t="shared" si="45"/>
        <v>#N/A</v>
      </c>
      <c r="AM75" t="e">
        <f t="shared" si="46"/>
        <v>#N/A</v>
      </c>
      <c r="AN75" t="e">
        <f t="shared" si="47"/>
        <v>#N/A</v>
      </c>
      <c r="AO75" t="e">
        <f t="shared" si="48"/>
        <v>#N/A</v>
      </c>
      <c r="AP75" t="e">
        <f t="shared" si="49"/>
        <v>#N/A</v>
      </c>
      <c r="AQ75" t="e">
        <f t="shared" si="50"/>
        <v>#N/A</v>
      </c>
      <c r="AR75" t="e">
        <f t="shared" si="51"/>
        <v>#N/A</v>
      </c>
      <c r="AS75" t="e">
        <f t="shared" si="52"/>
        <v>#N/A</v>
      </c>
      <c r="AU75">
        <f t="shared" si="109"/>
        <v>4</v>
      </c>
      <c r="AV75">
        <f t="shared" si="110"/>
        <v>4</v>
      </c>
      <c r="AW75">
        <f t="shared" si="111"/>
        <v>4</v>
      </c>
      <c r="AX75">
        <f t="shared" si="112"/>
        <v>4</v>
      </c>
      <c r="AY75">
        <f t="shared" si="113"/>
        <v>4</v>
      </c>
      <c r="AZ75" t="str">
        <f t="shared" si="114"/>
        <v/>
      </c>
      <c r="BA75" t="str">
        <f t="shared" si="115"/>
        <v/>
      </c>
      <c r="BB75" t="str">
        <f t="shared" si="116"/>
        <v/>
      </c>
      <c r="BC75" t="str">
        <f t="shared" si="117"/>
        <v/>
      </c>
      <c r="BD75" t="str">
        <f t="shared" si="118"/>
        <v/>
      </c>
      <c r="BE75" t="str">
        <f t="shared" si="119"/>
        <v/>
      </c>
      <c r="BF75" t="str">
        <f t="shared" si="120"/>
        <v/>
      </c>
      <c r="BG75" t="str">
        <f t="shared" si="121"/>
        <v/>
      </c>
      <c r="BH75" t="str">
        <f t="shared" si="122"/>
        <v/>
      </c>
      <c r="BI75" t="str">
        <f t="shared" si="123"/>
        <v/>
      </c>
      <c r="BJ75" t="str">
        <f t="shared" si="124"/>
        <v/>
      </c>
      <c r="BK75" t="str">
        <f t="shared" si="125"/>
        <v/>
      </c>
      <c r="BL75" t="str">
        <f t="shared" si="126"/>
        <v/>
      </c>
      <c r="BM75" t="str">
        <f t="shared" si="127"/>
        <v/>
      </c>
      <c r="BP75"/>
      <c r="BR75"/>
    </row>
    <row r="76" spans="1:70" x14ac:dyDescent="0.25">
      <c r="A76" s="1">
        <v>41255</v>
      </c>
      <c r="B76">
        <v>4.25</v>
      </c>
      <c r="C76" s="4">
        <v>43100</v>
      </c>
      <c r="D76">
        <v>6</v>
      </c>
      <c r="E76">
        <f t="shared" si="105"/>
        <v>1.3421052631578947</v>
      </c>
      <c r="F76" s="4"/>
      <c r="G76">
        <v>1</v>
      </c>
      <c r="H76">
        <f t="shared" ref="H76:Y76" si="136">IF($D76&gt;G76,G76+1,"")</f>
        <v>2</v>
      </c>
      <c r="I76">
        <f t="shared" si="136"/>
        <v>3</v>
      </c>
      <c r="J76">
        <f t="shared" si="136"/>
        <v>4</v>
      </c>
      <c r="K76">
        <f t="shared" si="136"/>
        <v>5</v>
      </c>
      <c r="L76">
        <f t="shared" si="136"/>
        <v>6</v>
      </c>
      <c r="M76" t="str">
        <f t="shared" si="136"/>
        <v/>
      </c>
      <c r="N76" t="str">
        <f t="shared" si="136"/>
        <v/>
      </c>
      <c r="O76" t="str">
        <f t="shared" si="136"/>
        <v/>
      </c>
      <c r="P76" t="str">
        <f t="shared" si="136"/>
        <v/>
      </c>
      <c r="Q76" t="str">
        <f t="shared" si="136"/>
        <v/>
      </c>
      <c r="R76" t="str">
        <f t="shared" si="136"/>
        <v/>
      </c>
      <c r="S76" t="str">
        <f t="shared" si="136"/>
        <v/>
      </c>
      <c r="T76" t="str">
        <f t="shared" si="136"/>
        <v/>
      </c>
      <c r="U76" t="str">
        <f t="shared" si="136"/>
        <v/>
      </c>
      <c r="V76" t="str">
        <f t="shared" si="136"/>
        <v/>
      </c>
      <c r="W76" t="str">
        <f t="shared" si="136"/>
        <v/>
      </c>
      <c r="X76" t="str">
        <f t="shared" si="136"/>
        <v/>
      </c>
      <c r="Y76" t="str">
        <f t="shared" si="136"/>
        <v/>
      </c>
      <c r="AA76">
        <f t="shared" si="108"/>
        <v>43049.8125</v>
      </c>
      <c r="AB76">
        <f t="shared" si="54"/>
        <v>43069.887500000004</v>
      </c>
      <c r="AC76">
        <f t="shared" si="55"/>
        <v>43089.962500000001</v>
      </c>
      <c r="AD76">
        <f t="shared" si="56"/>
        <v>43110.037500000006</v>
      </c>
      <c r="AE76">
        <f t="shared" si="38"/>
        <v>43130.112500000003</v>
      </c>
      <c r="AF76">
        <f t="shared" si="39"/>
        <v>43150.1875</v>
      </c>
      <c r="AG76" t="e">
        <f t="shared" si="40"/>
        <v>#N/A</v>
      </c>
      <c r="AH76" t="e">
        <f t="shared" si="41"/>
        <v>#N/A</v>
      </c>
      <c r="AI76" t="e">
        <f t="shared" si="42"/>
        <v>#N/A</v>
      </c>
      <c r="AJ76" t="e">
        <f t="shared" si="43"/>
        <v>#N/A</v>
      </c>
      <c r="AK76" t="e">
        <f t="shared" si="44"/>
        <v>#N/A</v>
      </c>
      <c r="AL76" t="e">
        <f t="shared" si="45"/>
        <v>#N/A</v>
      </c>
      <c r="AM76" t="e">
        <f t="shared" si="46"/>
        <v>#N/A</v>
      </c>
      <c r="AN76" t="e">
        <f t="shared" si="47"/>
        <v>#N/A</v>
      </c>
      <c r="AO76" t="e">
        <f t="shared" si="48"/>
        <v>#N/A</v>
      </c>
      <c r="AP76" t="e">
        <f t="shared" si="49"/>
        <v>#N/A</v>
      </c>
      <c r="AQ76" t="e">
        <f t="shared" si="50"/>
        <v>#N/A</v>
      </c>
      <c r="AR76" t="e">
        <f t="shared" si="51"/>
        <v>#N/A</v>
      </c>
      <c r="AS76" t="e">
        <f t="shared" si="52"/>
        <v>#N/A</v>
      </c>
      <c r="AU76">
        <f t="shared" si="109"/>
        <v>4.25</v>
      </c>
      <c r="AV76">
        <f t="shared" si="110"/>
        <v>4.25</v>
      </c>
      <c r="AW76">
        <f t="shared" si="111"/>
        <v>4.25</v>
      </c>
      <c r="AX76">
        <f t="shared" si="112"/>
        <v>4.25</v>
      </c>
      <c r="AY76">
        <f t="shared" si="113"/>
        <v>4.25</v>
      </c>
      <c r="AZ76">
        <f t="shared" si="114"/>
        <v>4.25</v>
      </c>
      <c r="BA76" t="str">
        <f t="shared" si="115"/>
        <v/>
      </c>
      <c r="BB76" t="str">
        <f t="shared" si="116"/>
        <v/>
      </c>
      <c r="BC76" t="str">
        <f t="shared" si="117"/>
        <v/>
      </c>
      <c r="BD76" t="str">
        <f t="shared" si="118"/>
        <v/>
      </c>
      <c r="BE76" t="str">
        <f t="shared" si="119"/>
        <v/>
      </c>
      <c r="BF76" t="str">
        <f t="shared" si="120"/>
        <v/>
      </c>
      <c r="BG76" t="str">
        <f t="shared" si="121"/>
        <v/>
      </c>
      <c r="BH76" t="str">
        <f t="shared" si="122"/>
        <v/>
      </c>
      <c r="BI76" t="str">
        <f t="shared" si="123"/>
        <v/>
      </c>
      <c r="BJ76" t="str">
        <f t="shared" si="124"/>
        <v/>
      </c>
      <c r="BK76" t="str">
        <f t="shared" si="125"/>
        <v/>
      </c>
      <c r="BL76" t="str">
        <f t="shared" si="126"/>
        <v/>
      </c>
      <c r="BM76" t="str">
        <f t="shared" si="127"/>
        <v/>
      </c>
      <c r="BP76"/>
      <c r="BR76"/>
    </row>
    <row r="77" spans="1:70" x14ac:dyDescent="0.25">
      <c r="A77" s="1">
        <v>41255</v>
      </c>
      <c r="B77">
        <v>4.5</v>
      </c>
      <c r="C77" s="4">
        <v>43100</v>
      </c>
      <c r="D77">
        <v>3</v>
      </c>
      <c r="E77">
        <f t="shared" si="105"/>
        <v>0.71052631578947367</v>
      </c>
      <c r="F77" s="4"/>
      <c r="G77">
        <v>1</v>
      </c>
      <c r="H77">
        <f t="shared" ref="H77:Y77" si="137">IF($D77&gt;G77,G77+1,"")</f>
        <v>2</v>
      </c>
      <c r="I77">
        <f t="shared" si="137"/>
        <v>3</v>
      </c>
      <c r="J77" t="str">
        <f t="shared" si="137"/>
        <v/>
      </c>
      <c r="K77" t="str">
        <f t="shared" si="137"/>
        <v/>
      </c>
      <c r="L77" t="str">
        <f t="shared" si="137"/>
        <v/>
      </c>
      <c r="M77" t="str">
        <f t="shared" si="137"/>
        <v/>
      </c>
      <c r="N77" t="str">
        <f t="shared" si="137"/>
        <v/>
      </c>
      <c r="O77" t="str">
        <f t="shared" si="137"/>
        <v/>
      </c>
      <c r="P77" t="str">
        <f t="shared" si="137"/>
        <v/>
      </c>
      <c r="Q77" t="str">
        <f t="shared" si="137"/>
        <v/>
      </c>
      <c r="R77" t="str">
        <f t="shared" si="137"/>
        <v/>
      </c>
      <c r="S77" t="str">
        <f t="shared" si="137"/>
        <v/>
      </c>
      <c r="T77" t="str">
        <f t="shared" si="137"/>
        <v/>
      </c>
      <c r="U77" t="str">
        <f t="shared" si="137"/>
        <v/>
      </c>
      <c r="V77" t="str">
        <f t="shared" si="137"/>
        <v/>
      </c>
      <c r="W77" t="str">
        <f t="shared" si="137"/>
        <v/>
      </c>
      <c r="X77" t="str">
        <f t="shared" si="137"/>
        <v/>
      </c>
      <c r="Y77" t="str">
        <f t="shared" si="137"/>
        <v/>
      </c>
      <c r="AA77">
        <f t="shared" si="108"/>
        <v>43079.924999999996</v>
      </c>
      <c r="AB77">
        <f t="shared" si="54"/>
        <v>43100</v>
      </c>
      <c r="AC77">
        <f t="shared" si="55"/>
        <v>43120.074999999997</v>
      </c>
      <c r="AD77" t="e">
        <f t="shared" si="56"/>
        <v>#N/A</v>
      </c>
      <c r="AE77" t="e">
        <f t="shared" si="38"/>
        <v>#N/A</v>
      </c>
      <c r="AF77" t="e">
        <f t="shared" si="39"/>
        <v>#N/A</v>
      </c>
      <c r="AG77" t="e">
        <f t="shared" si="40"/>
        <v>#N/A</v>
      </c>
      <c r="AH77" t="e">
        <f t="shared" si="41"/>
        <v>#N/A</v>
      </c>
      <c r="AI77" t="e">
        <f t="shared" si="42"/>
        <v>#N/A</v>
      </c>
      <c r="AJ77" t="e">
        <f t="shared" si="43"/>
        <v>#N/A</v>
      </c>
      <c r="AK77" t="e">
        <f t="shared" si="44"/>
        <v>#N/A</v>
      </c>
      <c r="AL77" t="e">
        <f t="shared" si="45"/>
        <v>#N/A</v>
      </c>
      <c r="AM77" t="e">
        <f t="shared" si="46"/>
        <v>#N/A</v>
      </c>
      <c r="AN77" t="e">
        <f t="shared" si="47"/>
        <v>#N/A</v>
      </c>
      <c r="AO77" t="e">
        <f t="shared" si="48"/>
        <v>#N/A</v>
      </c>
      <c r="AP77" t="e">
        <f t="shared" si="49"/>
        <v>#N/A</v>
      </c>
      <c r="AQ77" t="e">
        <f t="shared" si="50"/>
        <v>#N/A</v>
      </c>
      <c r="AR77" t="e">
        <f t="shared" si="51"/>
        <v>#N/A</v>
      </c>
      <c r="AS77" t="e">
        <f t="shared" si="52"/>
        <v>#N/A</v>
      </c>
      <c r="AU77">
        <f t="shared" si="109"/>
        <v>4.5</v>
      </c>
      <c r="AV77">
        <f t="shared" si="110"/>
        <v>4.5</v>
      </c>
      <c r="AW77">
        <f t="shared" si="111"/>
        <v>4.5</v>
      </c>
      <c r="AX77" t="str">
        <f t="shared" si="112"/>
        <v/>
      </c>
      <c r="AY77" t="str">
        <f t="shared" si="113"/>
        <v/>
      </c>
      <c r="AZ77" t="str">
        <f t="shared" si="114"/>
        <v/>
      </c>
      <c r="BA77" t="str">
        <f t="shared" si="115"/>
        <v/>
      </c>
      <c r="BB77" t="str">
        <f t="shared" si="116"/>
        <v/>
      </c>
      <c r="BC77" t="str">
        <f t="shared" si="117"/>
        <v/>
      </c>
      <c r="BD77" t="str">
        <f t="shared" si="118"/>
        <v/>
      </c>
      <c r="BE77" t="str">
        <f t="shared" si="119"/>
        <v/>
      </c>
      <c r="BF77" t="str">
        <f t="shared" si="120"/>
        <v/>
      </c>
      <c r="BG77" t="str">
        <f t="shared" si="121"/>
        <v/>
      </c>
      <c r="BH77" t="str">
        <f t="shared" si="122"/>
        <v/>
      </c>
      <c r="BI77" t="str">
        <f t="shared" si="123"/>
        <v/>
      </c>
      <c r="BJ77" t="str">
        <f t="shared" si="124"/>
        <v/>
      </c>
      <c r="BK77" t="str">
        <f t="shared" si="125"/>
        <v/>
      </c>
      <c r="BL77" t="str">
        <f t="shared" si="126"/>
        <v/>
      </c>
      <c r="BM77" t="str">
        <f t="shared" si="127"/>
        <v/>
      </c>
      <c r="BP77"/>
      <c r="BR77"/>
    </row>
    <row r="78" spans="1:70" x14ac:dyDescent="0.25">
      <c r="A78" s="1">
        <v>41353</v>
      </c>
      <c r="B78" s="2">
        <v>0.25</v>
      </c>
      <c r="C78" s="4">
        <v>41639</v>
      </c>
      <c r="D78">
        <v>18</v>
      </c>
      <c r="E78">
        <f t="shared" si="105"/>
        <v>0.23684210526315788</v>
      </c>
      <c r="F78" s="4"/>
      <c r="G78">
        <v>1</v>
      </c>
      <c r="H78">
        <f t="shared" ref="H78:Y78" si="138">IF($D78&gt;G78,G78+1,"")</f>
        <v>2</v>
      </c>
      <c r="I78">
        <f t="shared" si="138"/>
        <v>3</v>
      </c>
      <c r="J78">
        <f t="shared" si="138"/>
        <v>4</v>
      </c>
      <c r="K78">
        <f t="shared" si="138"/>
        <v>5</v>
      </c>
      <c r="L78">
        <f t="shared" si="138"/>
        <v>6</v>
      </c>
      <c r="M78">
        <f t="shared" si="138"/>
        <v>7</v>
      </c>
      <c r="N78">
        <f t="shared" si="138"/>
        <v>8</v>
      </c>
      <c r="O78">
        <f t="shared" si="138"/>
        <v>9</v>
      </c>
      <c r="P78">
        <f t="shared" si="138"/>
        <v>10</v>
      </c>
      <c r="Q78">
        <f t="shared" si="138"/>
        <v>11</v>
      </c>
      <c r="R78">
        <f t="shared" si="138"/>
        <v>12</v>
      </c>
      <c r="S78">
        <f t="shared" si="138"/>
        <v>13</v>
      </c>
      <c r="T78">
        <f t="shared" si="138"/>
        <v>14</v>
      </c>
      <c r="U78">
        <f t="shared" si="138"/>
        <v>15</v>
      </c>
      <c r="V78">
        <f t="shared" si="138"/>
        <v>16</v>
      </c>
      <c r="W78">
        <f t="shared" si="138"/>
        <v>17</v>
      </c>
      <c r="X78">
        <f t="shared" si="138"/>
        <v>18</v>
      </c>
      <c r="Y78" t="str">
        <f t="shared" si="138"/>
        <v/>
      </c>
      <c r="AA78">
        <f t="shared" si="108"/>
        <v>41468.362499999996</v>
      </c>
      <c r="AB78">
        <f t="shared" si="54"/>
        <v>41488.4375</v>
      </c>
      <c r="AC78">
        <f t="shared" si="55"/>
        <v>41508.512499999997</v>
      </c>
      <c r="AD78">
        <f t="shared" si="56"/>
        <v>41528.587500000001</v>
      </c>
      <c r="AE78">
        <f t="shared" si="38"/>
        <v>41548.662499999999</v>
      </c>
      <c r="AF78">
        <f t="shared" si="39"/>
        <v>41568.737499999996</v>
      </c>
      <c r="AG78">
        <f t="shared" si="40"/>
        <v>41588.8125</v>
      </c>
      <c r="AH78">
        <f t="shared" si="41"/>
        <v>41608.887499999997</v>
      </c>
      <c r="AI78">
        <f t="shared" si="42"/>
        <v>41628.962500000001</v>
      </c>
      <c r="AJ78">
        <f t="shared" si="43"/>
        <v>41649.037499999999</v>
      </c>
      <c r="AK78">
        <f t="shared" si="44"/>
        <v>41669.112499999996</v>
      </c>
      <c r="AL78">
        <f t="shared" si="45"/>
        <v>41689.1875</v>
      </c>
      <c r="AM78">
        <f t="shared" si="46"/>
        <v>41709.262499999997</v>
      </c>
      <c r="AN78">
        <f t="shared" si="47"/>
        <v>41729.337500000001</v>
      </c>
      <c r="AO78">
        <f t="shared" si="48"/>
        <v>41749.412499999999</v>
      </c>
      <c r="AP78">
        <f t="shared" si="49"/>
        <v>41769.487499999996</v>
      </c>
      <c r="AQ78">
        <f t="shared" si="50"/>
        <v>41789.5625</v>
      </c>
      <c r="AR78">
        <f t="shared" si="51"/>
        <v>41809.637499999997</v>
      </c>
      <c r="AS78" t="e">
        <f t="shared" si="52"/>
        <v>#N/A</v>
      </c>
      <c r="AU78">
        <f t="shared" si="109"/>
        <v>0.25</v>
      </c>
      <c r="AV78">
        <f t="shared" si="110"/>
        <v>0.25</v>
      </c>
      <c r="AW78">
        <f t="shared" si="111"/>
        <v>0.25</v>
      </c>
      <c r="AX78">
        <f t="shared" si="112"/>
        <v>0.25</v>
      </c>
      <c r="AY78">
        <f t="shared" si="113"/>
        <v>0.25</v>
      </c>
      <c r="AZ78">
        <f t="shared" si="114"/>
        <v>0.25</v>
      </c>
      <c r="BA78">
        <f t="shared" si="115"/>
        <v>0.25</v>
      </c>
      <c r="BB78">
        <f t="shared" si="116"/>
        <v>0.25</v>
      </c>
      <c r="BC78">
        <f t="shared" si="117"/>
        <v>0.25</v>
      </c>
      <c r="BD78">
        <f t="shared" si="118"/>
        <v>0.25</v>
      </c>
      <c r="BE78">
        <f t="shared" si="119"/>
        <v>0.25</v>
      </c>
      <c r="BF78">
        <f t="shared" si="120"/>
        <v>0.25</v>
      </c>
      <c r="BG78">
        <f t="shared" si="121"/>
        <v>0.25</v>
      </c>
      <c r="BH78">
        <f t="shared" si="122"/>
        <v>0.25</v>
      </c>
      <c r="BI78">
        <f t="shared" si="123"/>
        <v>0.25</v>
      </c>
      <c r="BJ78">
        <f t="shared" si="124"/>
        <v>0.25</v>
      </c>
      <c r="BK78">
        <f t="shared" si="125"/>
        <v>0.25</v>
      </c>
      <c r="BL78">
        <f t="shared" si="126"/>
        <v>0.25</v>
      </c>
      <c r="BM78" t="str">
        <f t="shared" si="127"/>
        <v/>
      </c>
      <c r="BP78"/>
      <c r="BR78"/>
    </row>
    <row r="79" spans="1:70" x14ac:dyDescent="0.25">
      <c r="A79" s="1">
        <v>41353</v>
      </c>
      <c r="B79">
        <v>1</v>
      </c>
      <c r="C79" s="4">
        <v>41639</v>
      </c>
      <c r="D79">
        <v>1</v>
      </c>
      <c r="E79">
        <f t="shared" si="105"/>
        <v>5.2631578947368418E-2</v>
      </c>
      <c r="F79" s="4"/>
      <c r="G79">
        <v>1</v>
      </c>
      <c r="H79" t="str">
        <f t="shared" ref="H79:Y79" si="139">IF($D79&gt;G79,G79+1,"")</f>
        <v/>
      </c>
      <c r="I79" t="str">
        <f t="shared" si="139"/>
        <v/>
      </c>
      <c r="J79" t="str">
        <f t="shared" si="139"/>
        <v/>
      </c>
      <c r="K79" t="str">
        <f t="shared" si="139"/>
        <v/>
      </c>
      <c r="L79" t="str">
        <f t="shared" si="139"/>
        <v/>
      </c>
      <c r="M79" t="str">
        <f t="shared" si="139"/>
        <v/>
      </c>
      <c r="N79" t="str">
        <f t="shared" si="139"/>
        <v/>
      </c>
      <c r="O79" t="str">
        <f t="shared" si="139"/>
        <v/>
      </c>
      <c r="P79" t="str">
        <f t="shared" si="139"/>
        <v/>
      </c>
      <c r="Q79" t="str">
        <f t="shared" si="139"/>
        <v/>
      </c>
      <c r="R79" t="str">
        <f t="shared" si="139"/>
        <v/>
      </c>
      <c r="S79" t="str">
        <f t="shared" si="139"/>
        <v/>
      </c>
      <c r="T79" t="str">
        <f t="shared" si="139"/>
        <v/>
      </c>
      <c r="U79" t="str">
        <f t="shared" si="139"/>
        <v/>
      </c>
      <c r="V79" t="str">
        <f t="shared" si="139"/>
        <v/>
      </c>
      <c r="W79" t="str">
        <f t="shared" si="139"/>
        <v/>
      </c>
      <c r="X79" t="str">
        <f t="shared" si="139"/>
        <v/>
      </c>
      <c r="Y79" t="str">
        <f t="shared" si="139"/>
        <v/>
      </c>
      <c r="AA79">
        <f t="shared" si="108"/>
        <v>41639</v>
      </c>
      <c r="AB79" t="e">
        <f t="shared" si="54"/>
        <v>#N/A</v>
      </c>
      <c r="AC79" t="e">
        <f t="shared" si="55"/>
        <v>#N/A</v>
      </c>
      <c r="AD79" t="e">
        <f t="shared" si="56"/>
        <v>#N/A</v>
      </c>
      <c r="AE79" t="e">
        <f t="shared" si="38"/>
        <v>#N/A</v>
      </c>
      <c r="AF79" t="e">
        <f t="shared" si="39"/>
        <v>#N/A</v>
      </c>
      <c r="AG79" t="e">
        <f t="shared" si="40"/>
        <v>#N/A</v>
      </c>
      <c r="AH79" t="e">
        <f t="shared" si="41"/>
        <v>#N/A</v>
      </c>
      <c r="AI79" t="e">
        <f t="shared" si="42"/>
        <v>#N/A</v>
      </c>
      <c r="AJ79" t="e">
        <f t="shared" si="43"/>
        <v>#N/A</v>
      </c>
      <c r="AK79" t="e">
        <f t="shared" si="44"/>
        <v>#N/A</v>
      </c>
      <c r="AL79" t="e">
        <f t="shared" si="45"/>
        <v>#N/A</v>
      </c>
      <c r="AM79" t="e">
        <f t="shared" si="46"/>
        <v>#N/A</v>
      </c>
      <c r="AN79" t="e">
        <f t="shared" si="47"/>
        <v>#N/A</v>
      </c>
      <c r="AO79" t="e">
        <f t="shared" si="48"/>
        <v>#N/A</v>
      </c>
      <c r="AP79" t="e">
        <f t="shared" si="49"/>
        <v>#N/A</v>
      </c>
      <c r="AQ79" t="e">
        <f t="shared" si="50"/>
        <v>#N/A</v>
      </c>
      <c r="AR79" t="e">
        <f t="shared" si="51"/>
        <v>#N/A</v>
      </c>
      <c r="AS79" t="e">
        <f t="shared" si="52"/>
        <v>#N/A</v>
      </c>
      <c r="AU79">
        <f t="shared" si="109"/>
        <v>1</v>
      </c>
      <c r="AV79" t="str">
        <f t="shared" si="110"/>
        <v/>
      </c>
      <c r="AW79" t="str">
        <f t="shared" si="111"/>
        <v/>
      </c>
      <c r="AX79" t="str">
        <f t="shared" si="112"/>
        <v/>
      </c>
      <c r="AY79" t="str">
        <f t="shared" si="113"/>
        <v/>
      </c>
      <c r="AZ79" t="str">
        <f t="shared" si="114"/>
        <v/>
      </c>
      <c r="BA79" t="str">
        <f t="shared" si="115"/>
        <v/>
      </c>
      <c r="BB79" t="str">
        <f t="shared" si="116"/>
        <v/>
      </c>
      <c r="BC79" t="str">
        <f t="shared" si="117"/>
        <v/>
      </c>
      <c r="BD79" t="str">
        <f t="shared" si="118"/>
        <v/>
      </c>
      <c r="BE79" t="str">
        <f t="shared" si="119"/>
        <v/>
      </c>
      <c r="BF79" t="str">
        <f t="shared" si="120"/>
        <v/>
      </c>
      <c r="BG79" t="str">
        <f t="shared" si="121"/>
        <v/>
      </c>
      <c r="BH79" t="str">
        <f t="shared" si="122"/>
        <v/>
      </c>
      <c r="BI79" t="str">
        <f t="shared" si="123"/>
        <v/>
      </c>
      <c r="BJ79" t="str">
        <f t="shared" si="124"/>
        <v/>
      </c>
      <c r="BK79" t="str">
        <f t="shared" si="125"/>
        <v/>
      </c>
      <c r="BL79" t="str">
        <f t="shared" si="126"/>
        <v/>
      </c>
      <c r="BM79" t="str">
        <f t="shared" si="127"/>
        <v/>
      </c>
      <c r="BP79"/>
      <c r="BR79"/>
    </row>
    <row r="80" spans="1:70" x14ac:dyDescent="0.25">
      <c r="A80" s="1">
        <v>41353</v>
      </c>
      <c r="B80" s="2">
        <v>0.25</v>
      </c>
      <c r="C80" s="4">
        <v>42004</v>
      </c>
      <c r="D80">
        <v>14</v>
      </c>
      <c r="E80">
        <f t="shared" si="105"/>
        <v>0.18421052631578946</v>
      </c>
      <c r="F80" s="4"/>
      <c r="G80">
        <v>1</v>
      </c>
      <c r="H80">
        <f t="shared" ref="H80:Y80" si="140">IF($D80&gt;G80,G80+1,"")</f>
        <v>2</v>
      </c>
      <c r="I80">
        <f t="shared" si="140"/>
        <v>3</v>
      </c>
      <c r="J80">
        <f t="shared" si="140"/>
        <v>4</v>
      </c>
      <c r="K80">
        <f t="shared" si="140"/>
        <v>5</v>
      </c>
      <c r="L80">
        <f t="shared" si="140"/>
        <v>6</v>
      </c>
      <c r="M80">
        <f t="shared" si="140"/>
        <v>7</v>
      </c>
      <c r="N80">
        <f t="shared" si="140"/>
        <v>8</v>
      </c>
      <c r="O80">
        <f t="shared" si="140"/>
        <v>9</v>
      </c>
      <c r="P80">
        <f t="shared" si="140"/>
        <v>10</v>
      </c>
      <c r="Q80">
        <f t="shared" si="140"/>
        <v>11</v>
      </c>
      <c r="R80">
        <f t="shared" si="140"/>
        <v>12</v>
      </c>
      <c r="S80">
        <f t="shared" si="140"/>
        <v>13</v>
      </c>
      <c r="T80">
        <f t="shared" si="140"/>
        <v>14</v>
      </c>
      <c r="U80" t="str">
        <f t="shared" si="140"/>
        <v/>
      </c>
      <c r="V80" t="str">
        <f t="shared" si="140"/>
        <v/>
      </c>
      <c r="W80" t="str">
        <f t="shared" si="140"/>
        <v/>
      </c>
      <c r="X80" t="str">
        <f t="shared" si="140"/>
        <v/>
      </c>
      <c r="Y80" t="str">
        <f t="shared" si="140"/>
        <v/>
      </c>
      <c r="AA80">
        <f t="shared" si="108"/>
        <v>41873.512499999997</v>
      </c>
      <c r="AB80">
        <f t="shared" si="54"/>
        <v>41893.587500000001</v>
      </c>
      <c r="AC80">
        <f t="shared" si="55"/>
        <v>41913.662499999999</v>
      </c>
      <c r="AD80">
        <f t="shared" si="56"/>
        <v>41933.737500000003</v>
      </c>
      <c r="AE80">
        <f t="shared" ref="AE80:AE143" si="141">IF(K80="",NA(),$C80-$Z$1*$D80/2+K80*$Z$1-$Z$1/2)</f>
        <v>41953.8125</v>
      </c>
      <c r="AF80">
        <f t="shared" ref="AF80:AF143" si="142">IF(L80="",NA(),$C80-$Z$1*$D80/2+L80*$Z$1-$Z$1/2)</f>
        <v>41973.887499999997</v>
      </c>
      <c r="AG80">
        <f t="shared" ref="AG80:AG143" si="143">IF(M80="",NA(),$C80-$Z$1*$D80/2+M80*$Z$1-$Z$1/2)</f>
        <v>41993.962500000001</v>
      </c>
      <c r="AH80">
        <f t="shared" ref="AH80:AH143" si="144">IF(N80="",NA(),$C80-$Z$1*$D80/2+N80*$Z$1-$Z$1/2)</f>
        <v>42014.037499999999</v>
      </c>
      <c r="AI80">
        <f t="shared" ref="AI80:AI143" si="145">IF(O80="",NA(),$C80-$Z$1*$D80/2+O80*$Z$1-$Z$1/2)</f>
        <v>42034.112500000003</v>
      </c>
      <c r="AJ80">
        <f t="shared" ref="AJ80:AJ143" si="146">IF(P80="",NA(),$C80-$Z$1*$D80/2+P80*$Z$1-$Z$1/2)</f>
        <v>42054.1875</v>
      </c>
      <c r="AK80">
        <f t="shared" ref="AK80:AK143" si="147">IF(Q80="",NA(),$C80-$Z$1*$D80/2+Q80*$Z$1-$Z$1/2)</f>
        <v>42074.262499999997</v>
      </c>
      <c r="AL80">
        <f t="shared" ref="AL80:AL143" si="148">IF(R80="",NA(),$C80-$Z$1*$D80/2+R80*$Z$1-$Z$1/2)</f>
        <v>42094.337500000001</v>
      </c>
      <c r="AM80">
        <f t="shared" ref="AM80:AM143" si="149">IF(S80="",NA(),$C80-$Z$1*$D80/2+S80*$Z$1-$Z$1/2)</f>
        <v>42114.412499999999</v>
      </c>
      <c r="AN80">
        <f t="shared" ref="AN80:AN143" si="150">IF(T80="",NA(),$C80-$Z$1*$D80/2+T80*$Z$1-$Z$1/2)</f>
        <v>42134.487500000003</v>
      </c>
      <c r="AO80" t="e">
        <f t="shared" ref="AO80:AO143" si="151">IF(U80="",NA(),$C80-$Z$1*$D80/2+U80*$Z$1-$Z$1/2)</f>
        <v>#N/A</v>
      </c>
      <c r="AP80" t="e">
        <f t="shared" ref="AP80:AP143" si="152">IF(V80="",NA(),$C80-$Z$1*$D80/2+V80*$Z$1-$Z$1/2)</f>
        <v>#N/A</v>
      </c>
      <c r="AQ80" t="e">
        <f t="shared" ref="AQ80:AQ143" si="153">IF(W80="",NA(),$C80-$Z$1*$D80/2+W80*$Z$1-$Z$1/2)</f>
        <v>#N/A</v>
      </c>
      <c r="AR80" t="e">
        <f t="shared" ref="AR80:AR143" si="154">IF(X80="",NA(),$C80-$Z$1*$D80/2+X80*$Z$1-$Z$1/2)</f>
        <v>#N/A</v>
      </c>
      <c r="AS80" t="e">
        <f t="shared" ref="AS80:AS143" si="155">IF(Y80="",NA(),$C80-$Z$1*$D80/2+Y80*$Z$1-$Z$1/2)</f>
        <v>#N/A</v>
      </c>
      <c r="AU80">
        <f t="shared" si="109"/>
        <v>0.25</v>
      </c>
      <c r="AV80">
        <f t="shared" si="110"/>
        <v>0.25</v>
      </c>
      <c r="AW80">
        <f t="shared" si="111"/>
        <v>0.25</v>
      </c>
      <c r="AX80">
        <f t="shared" si="112"/>
        <v>0.25</v>
      </c>
      <c r="AY80">
        <f t="shared" si="113"/>
        <v>0.25</v>
      </c>
      <c r="AZ80">
        <f t="shared" si="114"/>
        <v>0.25</v>
      </c>
      <c r="BA80">
        <f t="shared" si="115"/>
        <v>0.25</v>
      </c>
      <c r="BB80">
        <f t="shared" si="116"/>
        <v>0.25</v>
      </c>
      <c r="BC80">
        <f t="shared" si="117"/>
        <v>0.25</v>
      </c>
      <c r="BD80">
        <f t="shared" si="118"/>
        <v>0.25</v>
      </c>
      <c r="BE80">
        <f t="shared" si="119"/>
        <v>0.25</v>
      </c>
      <c r="BF80">
        <f t="shared" si="120"/>
        <v>0.25</v>
      </c>
      <c r="BG80">
        <f t="shared" si="121"/>
        <v>0.25</v>
      </c>
      <c r="BH80">
        <f t="shared" si="122"/>
        <v>0.25</v>
      </c>
      <c r="BI80" t="str">
        <f t="shared" si="123"/>
        <v/>
      </c>
      <c r="BJ80" t="str">
        <f t="shared" si="124"/>
        <v/>
      </c>
      <c r="BK80" t="str">
        <f t="shared" si="125"/>
        <v/>
      </c>
      <c r="BL80" t="str">
        <f t="shared" si="126"/>
        <v/>
      </c>
      <c r="BM80" t="str">
        <f t="shared" si="127"/>
        <v/>
      </c>
      <c r="BP80"/>
      <c r="BR80"/>
    </row>
    <row r="81" spans="1:70" x14ac:dyDescent="0.25">
      <c r="A81" s="1">
        <v>41353</v>
      </c>
      <c r="B81">
        <v>0.5</v>
      </c>
      <c r="C81" s="4">
        <v>42004</v>
      </c>
      <c r="D81">
        <v>1</v>
      </c>
      <c r="E81">
        <f t="shared" si="105"/>
        <v>2.6315789473684209E-2</v>
      </c>
      <c r="F81" s="4"/>
      <c r="G81">
        <v>1</v>
      </c>
      <c r="H81" t="str">
        <f t="shared" ref="H81:Y81" si="156">IF($D81&gt;G81,G81+1,"")</f>
        <v/>
      </c>
      <c r="I81" t="str">
        <f t="shared" si="156"/>
        <v/>
      </c>
      <c r="J81" t="str">
        <f t="shared" si="156"/>
        <v/>
      </c>
      <c r="K81" t="str">
        <f t="shared" si="156"/>
        <v/>
      </c>
      <c r="L81" t="str">
        <f t="shared" si="156"/>
        <v/>
      </c>
      <c r="M81" t="str">
        <f t="shared" si="156"/>
        <v/>
      </c>
      <c r="N81" t="str">
        <f t="shared" si="156"/>
        <v/>
      </c>
      <c r="O81" t="str">
        <f t="shared" si="156"/>
        <v/>
      </c>
      <c r="P81" t="str">
        <f t="shared" si="156"/>
        <v/>
      </c>
      <c r="Q81" t="str">
        <f t="shared" si="156"/>
        <v/>
      </c>
      <c r="R81" t="str">
        <f t="shared" si="156"/>
        <v/>
      </c>
      <c r="S81" t="str">
        <f t="shared" si="156"/>
        <v/>
      </c>
      <c r="T81" t="str">
        <f t="shared" si="156"/>
        <v/>
      </c>
      <c r="U81" t="str">
        <f t="shared" si="156"/>
        <v/>
      </c>
      <c r="V81" t="str">
        <f t="shared" si="156"/>
        <v/>
      </c>
      <c r="W81" t="str">
        <f t="shared" si="156"/>
        <v/>
      </c>
      <c r="X81" t="str">
        <f t="shared" si="156"/>
        <v/>
      </c>
      <c r="Y81" t="str">
        <f t="shared" si="156"/>
        <v/>
      </c>
      <c r="AA81">
        <f t="shared" si="108"/>
        <v>42004</v>
      </c>
      <c r="AB81" t="e">
        <f t="shared" ref="AB81:AB144" si="157">IF(H81="",NA(),$C81-$Z$1*$D81/2+H81*$Z$1-$Z$1/2)</f>
        <v>#N/A</v>
      </c>
      <c r="AC81" t="e">
        <f t="shared" ref="AC81:AC144" si="158">IF(I81="",NA(),$C81-$Z$1*$D81/2+I81*$Z$1-$Z$1/2)</f>
        <v>#N/A</v>
      </c>
      <c r="AD81" t="e">
        <f t="shared" ref="AD81:AD144" si="159">IF(J81="",NA(),$C81-$Z$1*$D81/2+J81*$Z$1-$Z$1/2)</f>
        <v>#N/A</v>
      </c>
      <c r="AE81" t="e">
        <f t="shared" si="141"/>
        <v>#N/A</v>
      </c>
      <c r="AF81" t="e">
        <f t="shared" si="142"/>
        <v>#N/A</v>
      </c>
      <c r="AG81" t="e">
        <f t="shared" si="143"/>
        <v>#N/A</v>
      </c>
      <c r="AH81" t="e">
        <f t="shared" si="144"/>
        <v>#N/A</v>
      </c>
      <c r="AI81" t="e">
        <f t="shared" si="145"/>
        <v>#N/A</v>
      </c>
      <c r="AJ81" t="e">
        <f t="shared" si="146"/>
        <v>#N/A</v>
      </c>
      <c r="AK81" t="e">
        <f t="shared" si="147"/>
        <v>#N/A</v>
      </c>
      <c r="AL81" t="e">
        <f t="shared" si="148"/>
        <v>#N/A</v>
      </c>
      <c r="AM81" t="e">
        <f t="shared" si="149"/>
        <v>#N/A</v>
      </c>
      <c r="AN81" t="e">
        <f t="shared" si="150"/>
        <v>#N/A</v>
      </c>
      <c r="AO81" t="e">
        <f t="shared" si="151"/>
        <v>#N/A</v>
      </c>
      <c r="AP81" t="e">
        <f t="shared" si="152"/>
        <v>#N/A</v>
      </c>
      <c r="AQ81" t="e">
        <f t="shared" si="153"/>
        <v>#N/A</v>
      </c>
      <c r="AR81" t="e">
        <f t="shared" si="154"/>
        <v>#N/A</v>
      </c>
      <c r="AS81" t="e">
        <f t="shared" si="155"/>
        <v>#N/A</v>
      </c>
      <c r="AU81">
        <f t="shared" si="109"/>
        <v>0.5</v>
      </c>
      <c r="AV81" t="str">
        <f t="shared" si="110"/>
        <v/>
      </c>
      <c r="AW81" t="str">
        <f t="shared" si="111"/>
        <v/>
      </c>
      <c r="AX81" t="str">
        <f t="shared" si="112"/>
        <v/>
      </c>
      <c r="AY81" t="str">
        <f t="shared" si="113"/>
        <v/>
      </c>
      <c r="AZ81" t="str">
        <f t="shared" si="114"/>
        <v/>
      </c>
      <c r="BA81" t="str">
        <f t="shared" si="115"/>
        <v/>
      </c>
      <c r="BB81" t="str">
        <f t="shared" si="116"/>
        <v/>
      </c>
      <c r="BC81" t="str">
        <f t="shared" si="117"/>
        <v/>
      </c>
      <c r="BD81" t="str">
        <f t="shared" si="118"/>
        <v/>
      </c>
      <c r="BE81" t="str">
        <f t="shared" si="119"/>
        <v/>
      </c>
      <c r="BF81" t="str">
        <f t="shared" si="120"/>
        <v/>
      </c>
      <c r="BG81" t="str">
        <f t="shared" si="121"/>
        <v/>
      </c>
      <c r="BH81" t="str">
        <f t="shared" si="122"/>
        <v/>
      </c>
      <c r="BI81" t="str">
        <f t="shared" si="123"/>
        <v/>
      </c>
      <c r="BJ81" t="str">
        <f t="shared" si="124"/>
        <v/>
      </c>
      <c r="BK81" t="str">
        <f t="shared" si="125"/>
        <v/>
      </c>
      <c r="BL81" t="str">
        <f t="shared" si="126"/>
        <v/>
      </c>
      <c r="BM81" t="str">
        <f t="shared" si="127"/>
        <v/>
      </c>
      <c r="BP81"/>
      <c r="BR81"/>
    </row>
    <row r="82" spans="1:70" x14ac:dyDescent="0.25">
      <c r="A82" s="1">
        <v>41353</v>
      </c>
      <c r="B82">
        <v>1</v>
      </c>
      <c r="C82" s="4">
        <v>42004</v>
      </c>
      <c r="D82">
        <v>2</v>
      </c>
      <c r="E82">
        <f t="shared" si="105"/>
        <v>0.10526315789473684</v>
      </c>
      <c r="F82" s="4"/>
      <c r="G82">
        <v>1</v>
      </c>
      <c r="H82">
        <f t="shared" ref="H82:Y82" si="160">IF($D82&gt;G82,G82+1,"")</f>
        <v>2</v>
      </c>
      <c r="I82" t="str">
        <f t="shared" si="160"/>
        <v/>
      </c>
      <c r="J82" t="str">
        <f t="shared" si="160"/>
        <v/>
      </c>
      <c r="K82" t="str">
        <f t="shared" si="160"/>
        <v/>
      </c>
      <c r="L82" t="str">
        <f t="shared" si="160"/>
        <v/>
      </c>
      <c r="M82" t="str">
        <f t="shared" si="160"/>
        <v/>
      </c>
      <c r="N82" t="str">
        <f t="shared" si="160"/>
        <v/>
      </c>
      <c r="O82" t="str">
        <f t="shared" si="160"/>
        <v/>
      </c>
      <c r="P82" t="str">
        <f t="shared" si="160"/>
        <v/>
      </c>
      <c r="Q82" t="str">
        <f t="shared" si="160"/>
        <v/>
      </c>
      <c r="R82" t="str">
        <f t="shared" si="160"/>
        <v/>
      </c>
      <c r="S82" t="str">
        <f t="shared" si="160"/>
        <v/>
      </c>
      <c r="T82" t="str">
        <f t="shared" si="160"/>
        <v/>
      </c>
      <c r="U82" t="str">
        <f t="shared" si="160"/>
        <v/>
      </c>
      <c r="V82" t="str">
        <f t="shared" si="160"/>
        <v/>
      </c>
      <c r="W82" t="str">
        <f t="shared" si="160"/>
        <v/>
      </c>
      <c r="X82" t="str">
        <f t="shared" si="160"/>
        <v/>
      </c>
      <c r="Y82" t="str">
        <f t="shared" si="160"/>
        <v/>
      </c>
      <c r="AA82">
        <f t="shared" si="108"/>
        <v>41993.962500000001</v>
      </c>
      <c r="AB82">
        <f t="shared" si="157"/>
        <v>42014.037500000006</v>
      </c>
      <c r="AC82" t="e">
        <f t="shared" si="158"/>
        <v>#N/A</v>
      </c>
      <c r="AD82" t="e">
        <f t="shared" si="159"/>
        <v>#N/A</v>
      </c>
      <c r="AE82" t="e">
        <f t="shared" si="141"/>
        <v>#N/A</v>
      </c>
      <c r="AF82" t="e">
        <f t="shared" si="142"/>
        <v>#N/A</v>
      </c>
      <c r="AG82" t="e">
        <f t="shared" si="143"/>
        <v>#N/A</v>
      </c>
      <c r="AH82" t="e">
        <f t="shared" si="144"/>
        <v>#N/A</v>
      </c>
      <c r="AI82" t="e">
        <f t="shared" si="145"/>
        <v>#N/A</v>
      </c>
      <c r="AJ82" t="e">
        <f t="shared" si="146"/>
        <v>#N/A</v>
      </c>
      <c r="AK82" t="e">
        <f t="shared" si="147"/>
        <v>#N/A</v>
      </c>
      <c r="AL82" t="e">
        <f t="shared" si="148"/>
        <v>#N/A</v>
      </c>
      <c r="AM82" t="e">
        <f t="shared" si="149"/>
        <v>#N/A</v>
      </c>
      <c r="AN82" t="e">
        <f t="shared" si="150"/>
        <v>#N/A</v>
      </c>
      <c r="AO82" t="e">
        <f t="shared" si="151"/>
        <v>#N/A</v>
      </c>
      <c r="AP82" t="e">
        <f t="shared" si="152"/>
        <v>#N/A</v>
      </c>
      <c r="AQ82" t="e">
        <f t="shared" si="153"/>
        <v>#N/A</v>
      </c>
      <c r="AR82" t="e">
        <f t="shared" si="154"/>
        <v>#N/A</v>
      </c>
      <c r="AS82" t="e">
        <f t="shared" si="155"/>
        <v>#N/A</v>
      </c>
      <c r="AU82">
        <f t="shared" si="109"/>
        <v>1</v>
      </c>
      <c r="AV82">
        <f t="shared" si="110"/>
        <v>1</v>
      </c>
      <c r="AW82" t="str">
        <f t="shared" si="111"/>
        <v/>
      </c>
      <c r="AX82" t="str">
        <f t="shared" si="112"/>
        <v/>
      </c>
      <c r="AY82" t="str">
        <f t="shared" si="113"/>
        <v/>
      </c>
      <c r="AZ82" t="str">
        <f t="shared" si="114"/>
        <v/>
      </c>
      <c r="BA82" t="str">
        <f t="shared" si="115"/>
        <v/>
      </c>
      <c r="BB82" t="str">
        <f t="shared" si="116"/>
        <v/>
      </c>
      <c r="BC82" t="str">
        <f t="shared" si="117"/>
        <v/>
      </c>
      <c r="BD82" t="str">
        <f t="shared" si="118"/>
        <v/>
      </c>
      <c r="BE82" t="str">
        <f t="shared" si="119"/>
        <v/>
      </c>
      <c r="BF82" t="str">
        <f t="shared" si="120"/>
        <v/>
      </c>
      <c r="BG82" t="str">
        <f t="shared" si="121"/>
        <v/>
      </c>
      <c r="BH82" t="str">
        <f t="shared" si="122"/>
        <v/>
      </c>
      <c r="BI82" t="str">
        <f t="shared" si="123"/>
        <v/>
      </c>
      <c r="BJ82" t="str">
        <f t="shared" si="124"/>
        <v/>
      </c>
      <c r="BK82" t="str">
        <f t="shared" si="125"/>
        <v/>
      </c>
      <c r="BL82" t="str">
        <f t="shared" si="126"/>
        <v/>
      </c>
      <c r="BM82" t="str">
        <f t="shared" si="127"/>
        <v/>
      </c>
      <c r="BP82"/>
      <c r="BR82"/>
    </row>
    <row r="83" spans="1:70" x14ac:dyDescent="0.25">
      <c r="A83" s="1">
        <v>41353</v>
      </c>
      <c r="B83" s="2">
        <v>1.75</v>
      </c>
      <c r="C83" s="4">
        <v>42004</v>
      </c>
      <c r="D83">
        <v>1</v>
      </c>
      <c r="E83">
        <f t="shared" si="105"/>
        <v>9.2105263157894732E-2</v>
      </c>
      <c r="F83" s="4"/>
      <c r="G83">
        <v>1</v>
      </c>
      <c r="H83" t="str">
        <f t="shared" ref="H83:Y83" si="161">IF($D83&gt;G83,G83+1,"")</f>
        <v/>
      </c>
      <c r="I83" t="str">
        <f t="shared" si="161"/>
        <v/>
      </c>
      <c r="J83" t="str">
        <f t="shared" si="161"/>
        <v/>
      </c>
      <c r="K83" t="str">
        <f t="shared" si="161"/>
        <v/>
      </c>
      <c r="L83" t="str">
        <f t="shared" si="161"/>
        <v/>
      </c>
      <c r="M83" t="str">
        <f t="shared" si="161"/>
        <v/>
      </c>
      <c r="N83" t="str">
        <f t="shared" si="161"/>
        <v/>
      </c>
      <c r="O83" t="str">
        <f t="shared" si="161"/>
        <v/>
      </c>
      <c r="P83" t="str">
        <f t="shared" si="161"/>
        <v/>
      </c>
      <c r="Q83" t="str">
        <f t="shared" si="161"/>
        <v/>
      </c>
      <c r="R83" t="str">
        <f t="shared" si="161"/>
        <v/>
      </c>
      <c r="S83" t="str">
        <f t="shared" si="161"/>
        <v/>
      </c>
      <c r="T83" t="str">
        <f t="shared" si="161"/>
        <v/>
      </c>
      <c r="U83" t="str">
        <f t="shared" si="161"/>
        <v/>
      </c>
      <c r="V83" t="str">
        <f t="shared" si="161"/>
        <v/>
      </c>
      <c r="W83" t="str">
        <f t="shared" si="161"/>
        <v/>
      </c>
      <c r="X83" t="str">
        <f t="shared" si="161"/>
        <v/>
      </c>
      <c r="Y83" t="str">
        <f t="shared" si="161"/>
        <v/>
      </c>
      <c r="AA83">
        <f t="shared" si="108"/>
        <v>42004</v>
      </c>
      <c r="AB83" t="e">
        <f t="shared" si="157"/>
        <v>#N/A</v>
      </c>
      <c r="AC83" t="e">
        <f t="shared" si="158"/>
        <v>#N/A</v>
      </c>
      <c r="AD83" t="e">
        <f t="shared" si="159"/>
        <v>#N/A</v>
      </c>
      <c r="AE83" t="e">
        <f t="shared" si="141"/>
        <v>#N/A</v>
      </c>
      <c r="AF83" t="e">
        <f t="shared" si="142"/>
        <v>#N/A</v>
      </c>
      <c r="AG83" t="e">
        <f t="shared" si="143"/>
        <v>#N/A</v>
      </c>
      <c r="AH83" t="e">
        <f t="shared" si="144"/>
        <v>#N/A</v>
      </c>
      <c r="AI83" t="e">
        <f t="shared" si="145"/>
        <v>#N/A</v>
      </c>
      <c r="AJ83" t="e">
        <f t="shared" si="146"/>
        <v>#N/A</v>
      </c>
      <c r="AK83" t="e">
        <f t="shared" si="147"/>
        <v>#N/A</v>
      </c>
      <c r="AL83" t="e">
        <f t="shared" si="148"/>
        <v>#N/A</v>
      </c>
      <c r="AM83" t="e">
        <f t="shared" si="149"/>
        <v>#N/A</v>
      </c>
      <c r="AN83" t="e">
        <f t="shared" si="150"/>
        <v>#N/A</v>
      </c>
      <c r="AO83" t="e">
        <f t="shared" si="151"/>
        <v>#N/A</v>
      </c>
      <c r="AP83" t="e">
        <f t="shared" si="152"/>
        <v>#N/A</v>
      </c>
      <c r="AQ83" t="e">
        <f t="shared" si="153"/>
        <v>#N/A</v>
      </c>
      <c r="AR83" t="e">
        <f t="shared" si="154"/>
        <v>#N/A</v>
      </c>
      <c r="AS83" t="e">
        <f t="shared" si="155"/>
        <v>#N/A</v>
      </c>
      <c r="AU83">
        <f t="shared" si="109"/>
        <v>1.75</v>
      </c>
      <c r="AV83" t="str">
        <f t="shared" si="110"/>
        <v/>
      </c>
      <c r="AW83" t="str">
        <f t="shared" si="111"/>
        <v/>
      </c>
      <c r="AX83" t="str">
        <f t="shared" si="112"/>
        <v/>
      </c>
      <c r="AY83" t="str">
        <f t="shared" si="113"/>
        <v/>
      </c>
      <c r="AZ83" t="str">
        <f t="shared" si="114"/>
        <v/>
      </c>
      <c r="BA83" t="str">
        <f t="shared" si="115"/>
        <v/>
      </c>
      <c r="BB83" t="str">
        <f t="shared" si="116"/>
        <v/>
      </c>
      <c r="BC83" t="str">
        <f t="shared" si="117"/>
        <v/>
      </c>
      <c r="BD83" t="str">
        <f t="shared" si="118"/>
        <v/>
      </c>
      <c r="BE83" t="str">
        <f t="shared" si="119"/>
        <v/>
      </c>
      <c r="BF83" t="str">
        <f t="shared" si="120"/>
        <v/>
      </c>
      <c r="BG83" t="str">
        <f t="shared" si="121"/>
        <v/>
      </c>
      <c r="BH83" t="str">
        <f t="shared" si="122"/>
        <v/>
      </c>
      <c r="BI83" t="str">
        <f t="shared" si="123"/>
        <v/>
      </c>
      <c r="BJ83" t="str">
        <f t="shared" si="124"/>
        <v/>
      </c>
      <c r="BK83" t="str">
        <f t="shared" si="125"/>
        <v/>
      </c>
      <c r="BL83" t="str">
        <f t="shared" si="126"/>
        <v/>
      </c>
      <c r="BM83" t="str">
        <f t="shared" si="127"/>
        <v/>
      </c>
      <c r="BP83"/>
      <c r="BR83"/>
    </row>
    <row r="84" spans="1:70" x14ac:dyDescent="0.25">
      <c r="A84" s="1">
        <v>41353</v>
      </c>
      <c r="B84">
        <v>2.75</v>
      </c>
      <c r="C84" s="4">
        <v>42004</v>
      </c>
      <c r="D84">
        <v>1</v>
      </c>
      <c r="E84">
        <f t="shared" si="105"/>
        <v>0.14473684210526316</v>
      </c>
      <c r="F84" s="4"/>
      <c r="G84">
        <v>1</v>
      </c>
      <c r="H84" t="str">
        <f t="shared" ref="H84:Y84" si="162">IF($D84&gt;G84,G84+1,"")</f>
        <v/>
      </c>
      <c r="I84" t="str">
        <f t="shared" si="162"/>
        <v/>
      </c>
      <c r="J84" t="str">
        <f t="shared" si="162"/>
        <v/>
      </c>
      <c r="K84" t="str">
        <f t="shared" si="162"/>
        <v/>
      </c>
      <c r="L84" t="str">
        <f t="shared" si="162"/>
        <v/>
      </c>
      <c r="M84" t="str">
        <f t="shared" si="162"/>
        <v/>
      </c>
      <c r="N84" t="str">
        <f t="shared" si="162"/>
        <v/>
      </c>
      <c r="O84" t="str">
        <f t="shared" si="162"/>
        <v/>
      </c>
      <c r="P84" t="str">
        <f t="shared" si="162"/>
        <v/>
      </c>
      <c r="Q84" t="str">
        <f t="shared" si="162"/>
        <v/>
      </c>
      <c r="R84" t="str">
        <f t="shared" si="162"/>
        <v/>
      </c>
      <c r="S84" t="str">
        <f t="shared" si="162"/>
        <v/>
      </c>
      <c r="T84" t="str">
        <f t="shared" si="162"/>
        <v/>
      </c>
      <c r="U84" t="str">
        <f t="shared" si="162"/>
        <v/>
      </c>
      <c r="V84" t="str">
        <f t="shared" si="162"/>
        <v/>
      </c>
      <c r="W84" t="str">
        <f t="shared" si="162"/>
        <v/>
      </c>
      <c r="X84" t="str">
        <f t="shared" si="162"/>
        <v/>
      </c>
      <c r="Y84" t="str">
        <f t="shared" si="162"/>
        <v/>
      </c>
      <c r="AA84">
        <f t="shared" si="108"/>
        <v>42004</v>
      </c>
      <c r="AB84" t="e">
        <f t="shared" si="157"/>
        <v>#N/A</v>
      </c>
      <c r="AC84" t="e">
        <f t="shared" si="158"/>
        <v>#N/A</v>
      </c>
      <c r="AD84" t="e">
        <f t="shared" si="159"/>
        <v>#N/A</v>
      </c>
      <c r="AE84" t="e">
        <f t="shared" si="141"/>
        <v>#N/A</v>
      </c>
      <c r="AF84" t="e">
        <f t="shared" si="142"/>
        <v>#N/A</v>
      </c>
      <c r="AG84" t="e">
        <f t="shared" si="143"/>
        <v>#N/A</v>
      </c>
      <c r="AH84" t="e">
        <f t="shared" si="144"/>
        <v>#N/A</v>
      </c>
      <c r="AI84" t="e">
        <f t="shared" si="145"/>
        <v>#N/A</v>
      </c>
      <c r="AJ84" t="e">
        <f t="shared" si="146"/>
        <v>#N/A</v>
      </c>
      <c r="AK84" t="e">
        <f t="shared" si="147"/>
        <v>#N/A</v>
      </c>
      <c r="AL84" t="e">
        <f t="shared" si="148"/>
        <v>#N/A</v>
      </c>
      <c r="AM84" t="e">
        <f t="shared" si="149"/>
        <v>#N/A</v>
      </c>
      <c r="AN84" t="e">
        <f t="shared" si="150"/>
        <v>#N/A</v>
      </c>
      <c r="AO84" t="e">
        <f t="shared" si="151"/>
        <v>#N/A</v>
      </c>
      <c r="AP84" t="e">
        <f t="shared" si="152"/>
        <v>#N/A</v>
      </c>
      <c r="AQ84" t="e">
        <f t="shared" si="153"/>
        <v>#N/A</v>
      </c>
      <c r="AR84" t="e">
        <f t="shared" si="154"/>
        <v>#N/A</v>
      </c>
      <c r="AS84" t="e">
        <f t="shared" si="155"/>
        <v>#N/A</v>
      </c>
      <c r="AU84">
        <f t="shared" si="109"/>
        <v>2.75</v>
      </c>
      <c r="AV84" t="str">
        <f t="shared" si="110"/>
        <v/>
      </c>
      <c r="AW84" t="str">
        <f t="shared" si="111"/>
        <v/>
      </c>
      <c r="AX84" t="str">
        <f t="shared" si="112"/>
        <v/>
      </c>
      <c r="AY84" t="str">
        <f t="shared" si="113"/>
        <v/>
      </c>
      <c r="AZ84" t="str">
        <f t="shared" si="114"/>
        <v/>
      </c>
      <c r="BA84" t="str">
        <f t="shared" si="115"/>
        <v/>
      </c>
      <c r="BB84" t="str">
        <f t="shared" si="116"/>
        <v/>
      </c>
      <c r="BC84" t="str">
        <f t="shared" si="117"/>
        <v/>
      </c>
      <c r="BD84" t="str">
        <f t="shared" si="118"/>
        <v/>
      </c>
      <c r="BE84" t="str">
        <f t="shared" si="119"/>
        <v/>
      </c>
      <c r="BF84" t="str">
        <f t="shared" si="120"/>
        <v/>
      </c>
      <c r="BG84" t="str">
        <f t="shared" si="121"/>
        <v/>
      </c>
      <c r="BH84" t="str">
        <f t="shared" si="122"/>
        <v/>
      </c>
      <c r="BI84" t="str">
        <f t="shared" si="123"/>
        <v/>
      </c>
      <c r="BJ84" t="str">
        <f t="shared" si="124"/>
        <v/>
      </c>
      <c r="BK84" t="str">
        <f t="shared" si="125"/>
        <v/>
      </c>
      <c r="BL84" t="str">
        <f t="shared" si="126"/>
        <v/>
      </c>
      <c r="BM84" t="str">
        <f t="shared" si="127"/>
        <v/>
      </c>
      <c r="BP84"/>
      <c r="BR84"/>
    </row>
    <row r="85" spans="1:70" x14ac:dyDescent="0.25">
      <c r="A85" s="1">
        <v>41353</v>
      </c>
      <c r="B85" s="2">
        <v>0.25</v>
      </c>
      <c r="C85" s="4">
        <v>42369</v>
      </c>
      <c r="D85">
        <v>1</v>
      </c>
      <c r="E85">
        <f t="shared" si="105"/>
        <v>1.3157894736842105E-2</v>
      </c>
      <c r="F85" s="4"/>
      <c r="G85">
        <v>1</v>
      </c>
      <c r="H85" t="str">
        <f t="shared" ref="H85:Y85" si="163">IF($D85&gt;G85,G85+1,"")</f>
        <v/>
      </c>
      <c r="I85" t="str">
        <f t="shared" si="163"/>
        <v/>
      </c>
      <c r="J85" t="str">
        <f t="shared" si="163"/>
        <v/>
      </c>
      <c r="K85" t="str">
        <f t="shared" si="163"/>
        <v/>
      </c>
      <c r="L85" t="str">
        <f t="shared" si="163"/>
        <v/>
      </c>
      <c r="M85" t="str">
        <f t="shared" si="163"/>
        <v/>
      </c>
      <c r="N85" t="str">
        <f t="shared" si="163"/>
        <v/>
      </c>
      <c r="O85" t="str">
        <f t="shared" si="163"/>
        <v/>
      </c>
      <c r="P85" t="str">
        <f t="shared" si="163"/>
        <v/>
      </c>
      <c r="Q85" t="str">
        <f t="shared" si="163"/>
        <v/>
      </c>
      <c r="R85" t="str">
        <f t="shared" si="163"/>
        <v/>
      </c>
      <c r="S85" t="str">
        <f t="shared" si="163"/>
        <v/>
      </c>
      <c r="T85" t="str">
        <f t="shared" si="163"/>
        <v/>
      </c>
      <c r="U85" t="str">
        <f t="shared" si="163"/>
        <v/>
      </c>
      <c r="V85" t="str">
        <f t="shared" si="163"/>
        <v/>
      </c>
      <c r="W85" t="str">
        <f t="shared" si="163"/>
        <v/>
      </c>
      <c r="X85" t="str">
        <f t="shared" si="163"/>
        <v/>
      </c>
      <c r="Y85" t="str">
        <f t="shared" si="163"/>
        <v/>
      </c>
      <c r="AA85">
        <f t="shared" si="108"/>
        <v>42369</v>
      </c>
      <c r="AB85" t="e">
        <f t="shared" si="157"/>
        <v>#N/A</v>
      </c>
      <c r="AC85" t="e">
        <f t="shared" si="158"/>
        <v>#N/A</v>
      </c>
      <c r="AD85" t="e">
        <f t="shared" si="159"/>
        <v>#N/A</v>
      </c>
      <c r="AE85" t="e">
        <f t="shared" si="141"/>
        <v>#N/A</v>
      </c>
      <c r="AF85" t="e">
        <f t="shared" si="142"/>
        <v>#N/A</v>
      </c>
      <c r="AG85" t="e">
        <f t="shared" si="143"/>
        <v>#N/A</v>
      </c>
      <c r="AH85" t="e">
        <f t="shared" si="144"/>
        <v>#N/A</v>
      </c>
      <c r="AI85" t="e">
        <f t="shared" si="145"/>
        <v>#N/A</v>
      </c>
      <c r="AJ85" t="e">
        <f t="shared" si="146"/>
        <v>#N/A</v>
      </c>
      <c r="AK85" t="e">
        <f t="shared" si="147"/>
        <v>#N/A</v>
      </c>
      <c r="AL85" t="e">
        <f t="shared" si="148"/>
        <v>#N/A</v>
      </c>
      <c r="AM85" t="e">
        <f t="shared" si="149"/>
        <v>#N/A</v>
      </c>
      <c r="AN85" t="e">
        <f t="shared" si="150"/>
        <v>#N/A</v>
      </c>
      <c r="AO85" t="e">
        <f t="shared" si="151"/>
        <v>#N/A</v>
      </c>
      <c r="AP85" t="e">
        <f t="shared" si="152"/>
        <v>#N/A</v>
      </c>
      <c r="AQ85" t="e">
        <f t="shared" si="153"/>
        <v>#N/A</v>
      </c>
      <c r="AR85" t="e">
        <f t="shared" si="154"/>
        <v>#N/A</v>
      </c>
      <c r="AS85" t="e">
        <f t="shared" si="155"/>
        <v>#N/A</v>
      </c>
      <c r="AU85">
        <f t="shared" si="109"/>
        <v>0.25</v>
      </c>
      <c r="AV85" t="str">
        <f t="shared" si="110"/>
        <v/>
      </c>
      <c r="AW85" t="str">
        <f t="shared" si="111"/>
        <v/>
      </c>
      <c r="AX85" t="str">
        <f t="shared" si="112"/>
        <v/>
      </c>
      <c r="AY85" t="str">
        <f t="shared" si="113"/>
        <v/>
      </c>
      <c r="AZ85" t="str">
        <f t="shared" si="114"/>
        <v/>
      </c>
      <c r="BA85" t="str">
        <f t="shared" si="115"/>
        <v/>
      </c>
      <c r="BB85" t="str">
        <f t="shared" si="116"/>
        <v/>
      </c>
      <c r="BC85" t="str">
        <f t="shared" si="117"/>
        <v/>
      </c>
      <c r="BD85" t="str">
        <f t="shared" si="118"/>
        <v/>
      </c>
      <c r="BE85" t="str">
        <f t="shared" si="119"/>
        <v/>
      </c>
      <c r="BF85" t="str">
        <f t="shared" si="120"/>
        <v/>
      </c>
      <c r="BG85" t="str">
        <f t="shared" si="121"/>
        <v/>
      </c>
      <c r="BH85" t="str">
        <f t="shared" si="122"/>
        <v/>
      </c>
      <c r="BI85" t="str">
        <f t="shared" si="123"/>
        <v/>
      </c>
      <c r="BJ85" t="str">
        <f t="shared" si="124"/>
        <v/>
      </c>
      <c r="BK85" t="str">
        <f t="shared" si="125"/>
        <v/>
      </c>
      <c r="BL85" t="str">
        <f t="shared" si="126"/>
        <v/>
      </c>
      <c r="BM85" t="str">
        <f t="shared" si="127"/>
        <v/>
      </c>
      <c r="BP85"/>
      <c r="BR85"/>
    </row>
    <row r="86" spans="1:70" x14ac:dyDescent="0.25">
      <c r="A86" s="1">
        <v>41353</v>
      </c>
      <c r="B86">
        <v>0.5</v>
      </c>
      <c r="C86" s="4">
        <v>42369</v>
      </c>
      <c r="D86">
        <v>7</v>
      </c>
      <c r="E86">
        <f t="shared" si="105"/>
        <v>0.18421052631578946</v>
      </c>
      <c r="F86" s="4"/>
      <c r="G86">
        <v>1</v>
      </c>
      <c r="H86">
        <f t="shared" ref="H86:Y86" si="164">IF($D86&gt;G86,G86+1,"")</f>
        <v>2</v>
      </c>
      <c r="I86">
        <f t="shared" si="164"/>
        <v>3</v>
      </c>
      <c r="J86">
        <f t="shared" si="164"/>
        <v>4</v>
      </c>
      <c r="K86">
        <f t="shared" si="164"/>
        <v>5</v>
      </c>
      <c r="L86">
        <f t="shared" si="164"/>
        <v>6</v>
      </c>
      <c r="M86">
        <f t="shared" si="164"/>
        <v>7</v>
      </c>
      <c r="N86" t="str">
        <f t="shared" si="164"/>
        <v/>
      </c>
      <c r="O86" t="str">
        <f t="shared" si="164"/>
        <v/>
      </c>
      <c r="P86" t="str">
        <f t="shared" si="164"/>
        <v/>
      </c>
      <c r="Q86" t="str">
        <f t="shared" si="164"/>
        <v/>
      </c>
      <c r="R86" t="str">
        <f t="shared" si="164"/>
        <v/>
      </c>
      <c r="S86" t="str">
        <f t="shared" si="164"/>
        <v/>
      </c>
      <c r="T86" t="str">
        <f t="shared" si="164"/>
        <v/>
      </c>
      <c r="U86" t="str">
        <f t="shared" si="164"/>
        <v/>
      </c>
      <c r="V86" t="str">
        <f t="shared" si="164"/>
        <v/>
      </c>
      <c r="W86" t="str">
        <f t="shared" si="164"/>
        <v/>
      </c>
      <c r="X86" t="str">
        <f t="shared" si="164"/>
        <v/>
      </c>
      <c r="Y86" t="str">
        <f t="shared" si="164"/>
        <v/>
      </c>
      <c r="AA86">
        <f t="shared" si="108"/>
        <v>42308.775000000001</v>
      </c>
      <c r="AB86">
        <f t="shared" si="157"/>
        <v>42328.850000000006</v>
      </c>
      <c r="AC86">
        <f t="shared" si="158"/>
        <v>42348.925000000003</v>
      </c>
      <c r="AD86">
        <f t="shared" si="159"/>
        <v>42369.000000000007</v>
      </c>
      <c r="AE86">
        <f t="shared" si="141"/>
        <v>42389.075000000004</v>
      </c>
      <c r="AF86">
        <f t="shared" si="142"/>
        <v>42409.15</v>
      </c>
      <c r="AG86">
        <f t="shared" si="143"/>
        <v>42429.225000000006</v>
      </c>
      <c r="AH86" t="e">
        <f t="shared" si="144"/>
        <v>#N/A</v>
      </c>
      <c r="AI86" t="e">
        <f t="shared" si="145"/>
        <v>#N/A</v>
      </c>
      <c r="AJ86" t="e">
        <f t="shared" si="146"/>
        <v>#N/A</v>
      </c>
      <c r="AK86" t="e">
        <f t="shared" si="147"/>
        <v>#N/A</v>
      </c>
      <c r="AL86" t="e">
        <f t="shared" si="148"/>
        <v>#N/A</v>
      </c>
      <c r="AM86" t="e">
        <f t="shared" si="149"/>
        <v>#N/A</v>
      </c>
      <c r="AN86" t="e">
        <f t="shared" si="150"/>
        <v>#N/A</v>
      </c>
      <c r="AO86" t="e">
        <f t="shared" si="151"/>
        <v>#N/A</v>
      </c>
      <c r="AP86" t="e">
        <f t="shared" si="152"/>
        <v>#N/A</v>
      </c>
      <c r="AQ86" t="e">
        <f t="shared" si="153"/>
        <v>#N/A</v>
      </c>
      <c r="AR86" t="e">
        <f t="shared" si="154"/>
        <v>#N/A</v>
      </c>
      <c r="AS86" t="e">
        <f t="shared" si="155"/>
        <v>#N/A</v>
      </c>
      <c r="AU86">
        <f t="shared" si="109"/>
        <v>0.5</v>
      </c>
      <c r="AV86">
        <f t="shared" si="110"/>
        <v>0.5</v>
      </c>
      <c r="AW86">
        <f t="shared" si="111"/>
        <v>0.5</v>
      </c>
      <c r="AX86">
        <f t="shared" si="112"/>
        <v>0.5</v>
      </c>
      <c r="AY86">
        <f t="shared" si="113"/>
        <v>0.5</v>
      </c>
      <c r="AZ86">
        <f t="shared" si="114"/>
        <v>0.5</v>
      </c>
      <c r="BA86">
        <f t="shared" si="115"/>
        <v>0.5</v>
      </c>
      <c r="BB86" t="str">
        <f t="shared" si="116"/>
        <v/>
      </c>
      <c r="BC86" t="str">
        <f t="shared" si="117"/>
        <v/>
      </c>
      <c r="BD86" t="str">
        <f t="shared" si="118"/>
        <v/>
      </c>
      <c r="BE86" t="str">
        <f t="shared" si="119"/>
        <v/>
      </c>
      <c r="BF86" t="str">
        <f t="shared" si="120"/>
        <v/>
      </c>
      <c r="BG86" t="str">
        <f t="shared" si="121"/>
        <v/>
      </c>
      <c r="BH86" t="str">
        <f t="shared" si="122"/>
        <v/>
      </c>
      <c r="BI86" t="str">
        <f t="shared" si="123"/>
        <v/>
      </c>
      <c r="BJ86" t="str">
        <f t="shared" si="124"/>
        <v/>
      </c>
      <c r="BK86" t="str">
        <f t="shared" si="125"/>
        <v/>
      </c>
      <c r="BL86" t="str">
        <f t="shared" si="126"/>
        <v/>
      </c>
      <c r="BM86" t="str">
        <f t="shared" si="127"/>
        <v/>
      </c>
      <c r="BP86"/>
      <c r="BR86"/>
    </row>
    <row r="87" spans="1:70" x14ac:dyDescent="0.25">
      <c r="A87" s="1">
        <v>41353</v>
      </c>
      <c r="B87">
        <v>0.75</v>
      </c>
      <c r="C87" s="4">
        <v>42369</v>
      </c>
      <c r="D87">
        <v>1</v>
      </c>
      <c r="E87">
        <f t="shared" si="105"/>
        <v>3.9473684210526314E-2</v>
      </c>
      <c r="F87" s="4"/>
      <c r="G87">
        <v>1</v>
      </c>
      <c r="H87" t="str">
        <f t="shared" ref="H87:Y87" si="165">IF($D87&gt;G87,G87+1,"")</f>
        <v/>
      </c>
      <c r="I87" t="str">
        <f t="shared" si="165"/>
        <v/>
      </c>
      <c r="J87" t="str">
        <f t="shared" si="165"/>
        <v/>
      </c>
      <c r="K87" t="str">
        <f t="shared" si="165"/>
        <v/>
      </c>
      <c r="L87" t="str">
        <f t="shared" si="165"/>
        <v/>
      </c>
      <c r="M87" t="str">
        <f t="shared" si="165"/>
        <v/>
      </c>
      <c r="N87" t="str">
        <f t="shared" si="165"/>
        <v/>
      </c>
      <c r="O87" t="str">
        <f t="shared" si="165"/>
        <v/>
      </c>
      <c r="P87" t="str">
        <f t="shared" si="165"/>
        <v/>
      </c>
      <c r="Q87" t="str">
        <f t="shared" si="165"/>
        <v/>
      </c>
      <c r="R87" t="str">
        <f t="shared" si="165"/>
        <v/>
      </c>
      <c r="S87" t="str">
        <f t="shared" si="165"/>
        <v/>
      </c>
      <c r="T87" t="str">
        <f t="shared" si="165"/>
        <v/>
      </c>
      <c r="U87" t="str">
        <f t="shared" si="165"/>
        <v/>
      </c>
      <c r="V87" t="str">
        <f t="shared" si="165"/>
        <v/>
      </c>
      <c r="W87" t="str">
        <f t="shared" si="165"/>
        <v/>
      </c>
      <c r="X87" t="str">
        <f t="shared" si="165"/>
        <v/>
      </c>
      <c r="Y87" t="str">
        <f t="shared" si="165"/>
        <v/>
      </c>
      <c r="AA87">
        <f t="shared" si="108"/>
        <v>42369</v>
      </c>
      <c r="AB87" t="e">
        <f t="shared" si="157"/>
        <v>#N/A</v>
      </c>
      <c r="AC87" t="e">
        <f t="shared" si="158"/>
        <v>#N/A</v>
      </c>
      <c r="AD87" t="e">
        <f t="shared" si="159"/>
        <v>#N/A</v>
      </c>
      <c r="AE87" t="e">
        <f t="shared" si="141"/>
        <v>#N/A</v>
      </c>
      <c r="AF87" t="e">
        <f t="shared" si="142"/>
        <v>#N/A</v>
      </c>
      <c r="AG87" t="e">
        <f t="shared" si="143"/>
        <v>#N/A</v>
      </c>
      <c r="AH87" t="e">
        <f t="shared" si="144"/>
        <v>#N/A</v>
      </c>
      <c r="AI87" t="e">
        <f t="shared" si="145"/>
        <v>#N/A</v>
      </c>
      <c r="AJ87" t="e">
        <f t="shared" si="146"/>
        <v>#N/A</v>
      </c>
      <c r="AK87" t="e">
        <f t="shared" si="147"/>
        <v>#N/A</v>
      </c>
      <c r="AL87" t="e">
        <f t="shared" si="148"/>
        <v>#N/A</v>
      </c>
      <c r="AM87" t="e">
        <f t="shared" si="149"/>
        <v>#N/A</v>
      </c>
      <c r="AN87" t="e">
        <f t="shared" si="150"/>
        <v>#N/A</v>
      </c>
      <c r="AO87" t="e">
        <f t="shared" si="151"/>
        <v>#N/A</v>
      </c>
      <c r="AP87" t="e">
        <f t="shared" si="152"/>
        <v>#N/A</v>
      </c>
      <c r="AQ87" t="e">
        <f t="shared" si="153"/>
        <v>#N/A</v>
      </c>
      <c r="AR87" t="e">
        <f t="shared" si="154"/>
        <v>#N/A</v>
      </c>
      <c r="AS87" t="e">
        <f t="shared" si="155"/>
        <v>#N/A</v>
      </c>
      <c r="AU87">
        <f t="shared" si="109"/>
        <v>0.75</v>
      </c>
      <c r="AV87" t="str">
        <f t="shared" si="110"/>
        <v/>
      </c>
      <c r="AW87" t="str">
        <f t="shared" si="111"/>
        <v/>
      </c>
      <c r="AX87" t="str">
        <f t="shared" si="112"/>
        <v/>
      </c>
      <c r="AY87" t="str">
        <f t="shared" si="113"/>
        <v/>
      </c>
      <c r="AZ87" t="str">
        <f t="shared" si="114"/>
        <v/>
      </c>
      <c r="BA87" t="str">
        <f t="shared" si="115"/>
        <v/>
      </c>
      <c r="BB87" t="str">
        <f t="shared" si="116"/>
        <v/>
      </c>
      <c r="BC87" t="str">
        <f t="shared" si="117"/>
        <v/>
      </c>
      <c r="BD87" t="str">
        <f t="shared" si="118"/>
        <v/>
      </c>
      <c r="BE87" t="str">
        <f t="shared" si="119"/>
        <v/>
      </c>
      <c r="BF87" t="str">
        <f t="shared" si="120"/>
        <v/>
      </c>
      <c r="BG87" t="str">
        <f t="shared" si="121"/>
        <v/>
      </c>
      <c r="BH87" t="str">
        <f t="shared" si="122"/>
        <v/>
      </c>
      <c r="BI87" t="str">
        <f t="shared" si="123"/>
        <v/>
      </c>
      <c r="BJ87" t="str">
        <f t="shared" si="124"/>
        <v/>
      </c>
      <c r="BK87" t="str">
        <f t="shared" si="125"/>
        <v/>
      </c>
      <c r="BL87" t="str">
        <f t="shared" si="126"/>
        <v/>
      </c>
      <c r="BM87" t="str">
        <f t="shared" si="127"/>
        <v/>
      </c>
      <c r="BP87"/>
      <c r="BR87"/>
    </row>
    <row r="88" spans="1:70" x14ac:dyDescent="0.25">
      <c r="A88" s="1">
        <v>41353</v>
      </c>
      <c r="B88">
        <v>1</v>
      </c>
      <c r="C88" s="4">
        <v>42369</v>
      </c>
      <c r="D88">
        <v>2</v>
      </c>
      <c r="E88">
        <f t="shared" si="105"/>
        <v>0.10526315789473684</v>
      </c>
      <c r="F88" s="4"/>
      <c r="G88">
        <v>1</v>
      </c>
      <c r="H88">
        <f t="shared" ref="H88:Y88" si="166">IF($D88&gt;G88,G88+1,"")</f>
        <v>2</v>
      </c>
      <c r="I88" t="str">
        <f t="shared" si="166"/>
        <v/>
      </c>
      <c r="J88" t="str">
        <f t="shared" si="166"/>
        <v/>
      </c>
      <c r="K88" t="str">
        <f t="shared" si="166"/>
        <v/>
      </c>
      <c r="L88" t="str">
        <f t="shared" si="166"/>
        <v/>
      </c>
      <c r="M88" t="str">
        <f t="shared" si="166"/>
        <v/>
      </c>
      <c r="N88" t="str">
        <f t="shared" si="166"/>
        <v/>
      </c>
      <c r="O88" t="str">
        <f t="shared" si="166"/>
        <v/>
      </c>
      <c r="P88" t="str">
        <f t="shared" si="166"/>
        <v/>
      </c>
      <c r="Q88" t="str">
        <f t="shared" si="166"/>
        <v/>
      </c>
      <c r="R88" t="str">
        <f t="shared" si="166"/>
        <v/>
      </c>
      <c r="S88" t="str">
        <f t="shared" si="166"/>
        <v/>
      </c>
      <c r="T88" t="str">
        <f t="shared" si="166"/>
        <v/>
      </c>
      <c r="U88" t="str">
        <f t="shared" si="166"/>
        <v/>
      </c>
      <c r="V88" t="str">
        <f t="shared" si="166"/>
        <v/>
      </c>
      <c r="W88" t="str">
        <f t="shared" si="166"/>
        <v/>
      </c>
      <c r="X88" t="str">
        <f t="shared" si="166"/>
        <v/>
      </c>
      <c r="Y88" t="str">
        <f t="shared" si="166"/>
        <v/>
      </c>
      <c r="AA88">
        <f t="shared" si="108"/>
        <v>42358.962500000001</v>
      </c>
      <c r="AB88">
        <f t="shared" si="157"/>
        <v>42379.037500000006</v>
      </c>
      <c r="AC88" t="e">
        <f t="shared" si="158"/>
        <v>#N/A</v>
      </c>
      <c r="AD88" t="e">
        <f t="shared" si="159"/>
        <v>#N/A</v>
      </c>
      <c r="AE88" t="e">
        <f t="shared" si="141"/>
        <v>#N/A</v>
      </c>
      <c r="AF88" t="e">
        <f t="shared" si="142"/>
        <v>#N/A</v>
      </c>
      <c r="AG88" t="e">
        <f t="shared" si="143"/>
        <v>#N/A</v>
      </c>
      <c r="AH88" t="e">
        <f t="shared" si="144"/>
        <v>#N/A</v>
      </c>
      <c r="AI88" t="e">
        <f t="shared" si="145"/>
        <v>#N/A</v>
      </c>
      <c r="AJ88" t="e">
        <f t="shared" si="146"/>
        <v>#N/A</v>
      </c>
      <c r="AK88" t="e">
        <f t="shared" si="147"/>
        <v>#N/A</v>
      </c>
      <c r="AL88" t="e">
        <f t="shared" si="148"/>
        <v>#N/A</v>
      </c>
      <c r="AM88" t="e">
        <f t="shared" si="149"/>
        <v>#N/A</v>
      </c>
      <c r="AN88" t="e">
        <f t="shared" si="150"/>
        <v>#N/A</v>
      </c>
      <c r="AO88" t="e">
        <f t="shared" si="151"/>
        <v>#N/A</v>
      </c>
      <c r="AP88" t="e">
        <f t="shared" si="152"/>
        <v>#N/A</v>
      </c>
      <c r="AQ88" t="e">
        <f t="shared" si="153"/>
        <v>#N/A</v>
      </c>
      <c r="AR88" t="e">
        <f t="shared" si="154"/>
        <v>#N/A</v>
      </c>
      <c r="AS88" t="e">
        <f t="shared" si="155"/>
        <v>#N/A</v>
      </c>
      <c r="AU88">
        <f t="shared" si="109"/>
        <v>1</v>
      </c>
      <c r="AV88">
        <f t="shared" si="110"/>
        <v>1</v>
      </c>
      <c r="AW88" t="str">
        <f t="shared" si="111"/>
        <v/>
      </c>
      <c r="AX88" t="str">
        <f t="shared" si="112"/>
        <v/>
      </c>
      <c r="AY88" t="str">
        <f t="shared" si="113"/>
        <v/>
      </c>
      <c r="AZ88" t="str">
        <f t="shared" si="114"/>
        <v/>
      </c>
      <c r="BA88" t="str">
        <f t="shared" si="115"/>
        <v/>
      </c>
      <c r="BB88" t="str">
        <f t="shared" si="116"/>
        <v/>
      </c>
      <c r="BC88" t="str">
        <f t="shared" si="117"/>
        <v/>
      </c>
      <c r="BD88" t="str">
        <f t="shared" si="118"/>
        <v/>
      </c>
      <c r="BE88" t="str">
        <f t="shared" si="119"/>
        <v/>
      </c>
      <c r="BF88" t="str">
        <f t="shared" si="120"/>
        <v/>
      </c>
      <c r="BG88" t="str">
        <f t="shared" si="121"/>
        <v/>
      </c>
      <c r="BH88" t="str">
        <f t="shared" si="122"/>
        <v/>
      </c>
      <c r="BI88" t="str">
        <f t="shared" si="123"/>
        <v/>
      </c>
      <c r="BJ88" t="str">
        <f t="shared" si="124"/>
        <v/>
      </c>
      <c r="BK88" t="str">
        <f t="shared" si="125"/>
        <v/>
      </c>
      <c r="BL88" t="str">
        <f t="shared" si="126"/>
        <v/>
      </c>
      <c r="BM88" t="str">
        <f t="shared" si="127"/>
        <v/>
      </c>
      <c r="BP88"/>
      <c r="BR88"/>
    </row>
    <row r="89" spans="1:70" x14ac:dyDescent="0.25">
      <c r="A89" s="1">
        <v>41353</v>
      </c>
      <c r="B89">
        <v>1.25</v>
      </c>
      <c r="C89" s="4">
        <v>42369</v>
      </c>
      <c r="D89">
        <v>4</v>
      </c>
      <c r="E89">
        <f t="shared" si="105"/>
        <v>0.26315789473684209</v>
      </c>
      <c r="F89" s="4"/>
      <c r="G89">
        <v>1</v>
      </c>
      <c r="H89">
        <f t="shared" ref="H89:Y89" si="167">IF($D89&gt;G89,G89+1,"")</f>
        <v>2</v>
      </c>
      <c r="I89">
        <f t="shared" si="167"/>
        <v>3</v>
      </c>
      <c r="J89">
        <f t="shared" si="167"/>
        <v>4</v>
      </c>
      <c r="K89" t="str">
        <f t="shared" si="167"/>
        <v/>
      </c>
      <c r="L89" t="str">
        <f t="shared" si="167"/>
        <v/>
      </c>
      <c r="M89" t="str">
        <f t="shared" si="167"/>
        <v/>
      </c>
      <c r="N89" t="str">
        <f t="shared" si="167"/>
        <v/>
      </c>
      <c r="O89" t="str">
        <f t="shared" si="167"/>
        <v/>
      </c>
      <c r="P89" t="str">
        <f t="shared" si="167"/>
        <v/>
      </c>
      <c r="Q89" t="str">
        <f t="shared" si="167"/>
        <v/>
      </c>
      <c r="R89" t="str">
        <f t="shared" si="167"/>
        <v/>
      </c>
      <c r="S89" t="str">
        <f t="shared" si="167"/>
        <v/>
      </c>
      <c r="T89" t="str">
        <f t="shared" si="167"/>
        <v/>
      </c>
      <c r="U89" t="str">
        <f t="shared" si="167"/>
        <v/>
      </c>
      <c r="V89" t="str">
        <f t="shared" si="167"/>
        <v/>
      </c>
      <c r="W89" t="str">
        <f t="shared" si="167"/>
        <v/>
      </c>
      <c r="X89" t="str">
        <f t="shared" si="167"/>
        <v/>
      </c>
      <c r="Y89" t="str">
        <f t="shared" si="167"/>
        <v/>
      </c>
      <c r="AA89">
        <f t="shared" si="108"/>
        <v>42338.887499999997</v>
      </c>
      <c r="AB89">
        <f t="shared" si="157"/>
        <v>42358.962500000001</v>
      </c>
      <c r="AC89">
        <f t="shared" si="158"/>
        <v>42379.037499999999</v>
      </c>
      <c r="AD89">
        <f t="shared" si="159"/>
        <v>42399.112500000003</v>
      </c>
      <c r="AE89" t="e">
        <f t="shared" si="141"/>
        <v>#N/A</v>
      </c>
      <c r="AF89" t="e">
        <f t="shared" si="142"/>
        <v>#N/A</v>
      </c>
      <c r="AG89" t="e">
        <f t="shared" si="143"/>
        <v>#N/A</v>
      </c>
      <c r="AH89" t="e">
        <f t="shared" si="144"/>
        <v>#N/A</v>
      </c>
      <c r="AI89" t="e">
        <f t="shared" si="145"/>
        <v>#N/A</v>
      </c>
      <c r="AJ89" t="e">
        <f t="shared" si="146"/>
        <v>#N/A</v>
      </c>
      <c r="AK89" t="e">
        <f t="shared" si="147"/>
        <v>#N/A</v>
      </c>
      <c r="AL89" t="e">
        <f t="shared" si="148"/>
        <v>#N/A</v>
      </c>
      <c r="AM89" t="e">
        <f t="shared" si="149"/>
        <v>#N/A</v>
      </c>
      <c r="AN89" t="e">
        <f t="shared" si="150"/>
        <v>#N/A</v>
      </c>
      <c r="AO89" t="e">
        <f t="shared" si="151"/>
        <v>#N/A</v>
      </c>
      <c r="AP89" t="e">
        <f t="shared" si="152"/>
        <v>#N/A</v>
      </c>
      <c r="AQ89" t="e">
        <f t="shared" si="153"/>
        <v>#N/A</v>
      </c>
      <c r="AR89" t="e">
        <f t="shared" si="154"/>
        <v>#N/A</v>
      </c>
      <c r="AS89" t="e">
        <f t="shared" si="155"/>
        <v>#N/A</v>
      </c>
      <c r="AU89">
        <f t="shared" si="109"/>
        <v>1.25</v>
      </c>
      <c r="AV89">
        <f t="shared" si="110"/>
        <v>1.25</v>
      </c>
      <c r="AW89">
        <f t="shared" si="111"/>
        <v>1.25</v>
      </c>
      <c r="AX89">
        <f t="shared" si="112"/>
        <v>1.25</v>
      </c>
      <c r="AY89" t="str">
        <f t="shared" si="113"/>
        <v/>
      </c>
      <c r="AZ89" t="str">
        <f t="shared" si="114"/>
        <v/>
      </c>
      <c r="BA89" t="str">
        <f t="shared" si="115"/>
        <v/>
      </c>
      <c r="BB89" t="str">
        <f t="shared" si="116"/>
        <v/>
      </c>
      <c r="BC89" t="str">
        <f t="shared" si="117"/>
        <v/>
      </c>
      <c r="BD89" t="str">
        <f t="shared" si="118"/>
        <v/>
      </c>
      <c r="BE89" t="str">
        <f t="shared" si="119"/>
        <v/>
      </c>
      <c r="BF89" t="str">
        <f t="shared" si="120"/>
        <v/>
      </c>
      <c r="BG89" t="str">
        <f t="shared" si="121"/>
        <v/>
      </c>
      <c r="BH89" t="str">
        <f t="shared" si="122"/>
        <v/>
      </c>
      <c r="BI89" t="str">
        <f t="shared" si="123"/>
        <v/>
      </c>
      <c r="BJ89" t="str">
        <f t="shared" si="124"/>
        <v/>
      </c>
      <c r="BK89" t="str">
        <f t="shared" si="125"/>
        <v/>
      </c>
      <c r="BL89" t="str">
        <f t="shared" si="126"/>
        <v/>
      </c>
      <c r="BM89" t="str">
        <f t="shared" si="127"/>
        <v/>
      </c>
      <c r="BP89"/>
      <c r="BR89"/>
    </row>
    <row r="90" spans="1:70" x14ac:dyDescent="0.25">
      <c r="A90" s="1">
        <v>41353</v>
      </c>
      <c r="B90">
        <v>2</v>
      </c>
      <c r="C90" s="4">
        <v>42369</v>
      </c>
      <c r="D90">
        <v>1</v>
      </c>
      <c r="E90">
        <f t="shared" si="105"/>
        <v>0.10526315789473684</v>
      </c>
      <c r="F90" s="4"/>
      <c r="G90">
        <v>1</v>
      </c>
      <c r="H90" t="str">
        <f t="shared" ref="H90:Y90" si="168">IF($D90&gt;G90,G90+1,"")</f>
        <v/>
      </c>
      <c r="I90" t="str">
        <f t="shared" si="168"/>
        <v/>
      </c>
      <c r="J90" t="str">
        <f t="shared" si="168"/>
        <v/>
      </c>
      <c r="K90" t="str">
        <f t="shared" si="168"/>
        <v/>
      </c>
      <c r="L90" t="str">
        <f t="shared" si="168"/>
        <v/>
      </c>
      <c r="M90" t="str">
        <f t="shared" si="168"/>
        <v/>
      </c>
      <c r="N90" t="str">
        <f t="shared" si="168"/>
        <v/>
      </c>
      <c r="O90" t="str">
        <f t="shared" si="168"/>
        <v/>
      </c>
      <c r="P90" t="str">
        <f t="shared" si="168"/>
        <v/>
      </c>
      <c r="Q90" t="str">
        <f t="shared" si="168"/>
        <v/>
      </c>
      <c r="R90" t="str">
        <f t="shared" si="168"/>
        <v/>
      </c>
      <c r="S90" t="str">
        <f t="shared" si="168"/>
        <v/>
      </c>
      <c r="T90" t="str">
        <f t="shared" si="168"/>
        <v/>
      </c>
      <c r="U90" t="str">
        <f t="shared" si="168"/>
        <v/>
      </c>
      <c r="V90" t="str">
        <f t="shared" si="168"/>
        <v/>
      </c>
      <c r="W90" t="str">
        <f t="shared" si="168"/>
        <v/>
      </c>
      <c r="X90" t="str">
        <f t="shared" si="168"/>
        <v/>
      </c>
      <c r="Y90" t="str">
        <f t="shared" si="168"/>
        <v/>
      </c>
      <c r="AA90">
        <f t="shared" si="108"/>
        <v>42369</v>
      </c>
      <c r="AB90" t="e">
        <f t="shared" si="157"/>
        <v>#N/A</v>
      </c>
      <c r="AC90" t="e">
        <f t="shared" si="158"/>
        <v>#N/A</v>
      </c>
      <c r="AD90" t="e">
        <f t="shared" si="159"/>
        <v>#N/A</v>
      </c>
      <c r="AE90" t="e">
        <f t="shared" si="141"/>
        <v>#N/A</v>
      </c>
      <c r="AF90" t="e">
        <f t="shared" si="142"/>
        <v>#N/A</v>
      </c>
      <c r="AG90" t="e">
        <f t="shared" si="143"/>
        <v>#N/A</v>
      </c>
      <c r="AH90" t="e">
        <f t="shared" si="144"/>
        <v>#N/A</v>
      </c>
      <c r="AI90" t="e">
        <f t="shared" si="145"/>
        <v>#N/A</v>
      </c>
      <c r="AJ90" t="e">
        <f t="shared" si="146"/>
        <v>#N/A</v>
      </c>
      <c r="AK90" t="e">
        <f t="shared" si="147"/>
        <v>#N/A</v>
      </c>
      <c r="AL90" t="e">
        <f t="shared" si="148"/>
        <v>#N/A</v>
      </c>
      <c r="AM90" t="e">
        <f t="shared" si="149"/>
        <v>#N/A</v>
      </c>
      <c r="AN90" t="e">
        <f t="shared" si="150"/>
        <v>#N/A</v>
      </c>
      <c r="AO90" t="e">
        <f t="shared" si="151"/>
        <v>#N/A</v>
      </c>
      <c r="AP90" t="e">
        <f t="shared" si="152"/>
        <v>#N/A</v>
      </c>
      <c r="AQ90" t="e">
        <f t="shared" si="153"/>
        <v>#N/A</v>
      </c>
      <c r="AR90" t="e">
        <f t="shared" si="154"/>
        <v>#N/A</v>
      </c>
      <c r="AS90" t="e">
        <f t="shared" si="155"/>
        <v>#N/A</v>
      </c>
      <c r="AU90">
        <f t="shared" si="109"/>
        <v>2</v>
      </c>
      <c r="AV90" t="str">
        <f t="shared" si="110"/>
        <v/>
      </c>
      <c r="AW90" t="str">
        <f t="shared" si="111"/>
        <v/>
      </c>
      <c r="AX90" t="str">
        <f t="shared" si="112"/>
        <v/>
      </c>
      <c r="AY90" t="str">
        <f t="shared" si="113"/>
        <v/>
      </c>
      <c r="AZ90" t="str">
        <f t="shared" si="114"/>
        <v/>
      </c>
      <c r="BA90" t="str">
        <f t="shared" si="115"/>
        <v/>
      </c>
      <c r="BB90" t="str">
        <f t="shared" si="116"/>
        <v/>
      </c>
      <c r="BC90" t="str">
        <f t="shared" si="117"/>
        <v/>
      </c>
      <c r="BD90" t="str">
        <f t="shared" si="118"/>
        <v/>
      </c>
      <c r="BE90" t="str">
        <f t="shared" si="119"/>
        <v/>
      </c>
      <c r="BF90" t="str">
        <f t="shared" si="120"/>
        <v/>
      </c>
      <c r="BG90" t="str">
        <f t="shared" si="121"/>
        <v/>
      </c>
      <c r="BH90" t="str">
        <f t="shared" si="122"/>
        <v/>
      </c>
      <c r="BI90" t="str">
        <f t="shared" si="123"/>
        <v/>
      </c>
      <c r="BJ90" t="str">
        <f t="shared" si="124"/>
        <v/>
      </c>
      <c r="BK90" t="str">
        <f t="shared" si="125"/>
        <v/>
      </c>
      <c r="BL90" t="str">
        <f t="shared" si="126"/>
        <v/>
      </c>
      <c r="BM90" t="str">
        <f t="shared" si="127"/>
        <v/>
      </c>
      <c r="BP90"/>
      <c r="BR90"/>
    </row>
    <row r="91" spans="1:70" x14ac:dyDescent="0.25">
      <c r="A91" s="1">
        <v>41353</v>
      </c>
      <c r="B91">
        <v>3</v>
      </c>
      <c r="C91" s="4">
        <v>42369</v>
      </c>
      <c r="D91">
        <v>1</v>
      </c>
      <c r="E91">
        <f t="shared" si="105"/>
        <v>0.15789473684210525</v>
      </c>
      <c r="F91" s="4"/>
      <c r="G91">
        <v>1</v>
      </c>
      <c r="H91" t="str">
        <f t="shared" ref="H91:Y91" si="169">IF($D91&gt;G91,G91+1,"")</f>
        <v/>
      </c>
      <c r="I91" t="str">
        <f t="shared" si="169"/>
        <v/>
      </c>
      <c r="J91" t="str">
        <f t="shared" si="169"/>
        <v/>
      </c>
      <c r="K91" t="str">
        <f t="shared" si="169"/>
        <v/>
      </c>
      <c r="L91" t="str">
        <f t="shared" si="169"/>
        <v/>
      </c>
      <c r="M91" t="str">
        <f t="shared" si="169"/>
        <v/>
      </c>
      <c r="N91" t="str">
        <f t="shared" si="169"/>
        <v/>
      </c>
      <c r="O91" t="str">
        <f t="shared" si="169"/>
        <v/>
      </c>
      <c r="P91" t="str">
        <f t="shared" si="169"/>
        <v/>
      </c>
      <c r="Q91" t="str">
        <f t="shared" si="169"/>
        <v/>
      </c>
      <c r="R91" t="str">
        <f t="shared" si="169"/>
        <v/>
      </c>
      <c r="S91" t="str">
        <f t="shared" si="169"/>
        <v/>
      </c>
      <c r="T91" t="str">
        <f t="shared" si="169"/>
        <v/>
      </c>
      <c r="U91" t="str">
        <f t="shared" si="169"/>
        <v/>
      </c>
      <c r="V91" t="str">
        <f t="shared" si="169"/>
        <v/>
      </c>
      <c r="W91" t="str">
        <f t="shared" si="169"/>
        <v/>
      </c>
      <c r="X91" t="str">
        <f t="shared" si="169"/>
        <v/>
      </c>
      <c r="Y91" t="str">
        <f t="shared" si="169"/>
        <v/>
      </c>
      <c r="AA91">
        <f t="shared" si="108"/>
        <v>42369</v>
      </c>
      <c r="AB91" t="e">
        <f t="shared" si="157"/>
        <v>#N/A</v>
      </c>
      <c r="AC91" t="e">
        <f t="shared" si="158"/>
        <v>#N/A</v>
      </c>
      <c r="AD91" t="e">
        <f t="shared" si="159"/>
        <v>#N/A</v>
      </c>
      <c r="AE91" t="e">
        <f t="shared" si="141"/>
        <v>#N/A</v>
      </c>
      <c r="AF91" t="e">
        <f t="shared" si="142"/>
        <v>#N/A</v>
      </c>
      <c r="AG91" t="e">
        <f t="shared" si="143"/>
        <v>#N/A</v>
      </c>
      <c r="AH91" t="e">
        <f t="shared" si="144"/>
        <v>#N/A</v>
      </c>
      <c r="AI91" t="e">
        <f t="shared" si="145"/>
        <v>#N/A</v>
      </c>
      <c r="AJ91" t="e">
        <f t="shared" si="146"/>
        <v>#N/A</v>
      </c>
      <c r="AK91" t="e">
        <f t="shared" si="147"/>
        <v>#N/A</v>
      </c>
      <c r="AL91" t="e">
        <f t="shared" si="148"/>
        <v>#N/A</v>
      </c>
      <c r="AM91" t="e">
        <f t="shared" si="149"/>
        <v>#N/A</v>
      </c>
      <c r="AN91" t="e">
        <f t="shared" si="150"/>
        <v>#N/A</v>
      </c>
      <c r="AO91" t="e">
        <f t="shared" si="151"/>
        <v>#N/A</v>
      </c>
      <c r="AP91" t="e">
        <f t="shared" si="152"/>
        <v>#N/A</v>
      </c>
      <c r="AQ91" t="e">
        <f t="shared" si="153"/>
        <v>#N/A</v>
      </c>
      <c r="AR91" t="e">
        <f t="shared" si="154"/>
        <v>#N/A</v>
      </c>
      <c r="AS91" t="e">
        <f t="shared" si="155"/>
        <v>#N/A</v>
      </c>
      <c r="AU91">
        <f t="shared" si="109"/>
        <v>3</v>
      </c>
      <c r="AV91" t="str">
        <f t="shared" si="110"/>
        <v/>
      </c>
      <c r="AW91" t="str">
        <f t="shared" si="111"/>
        <v/>
      </c>
      <c r="AX91" t="str">
        <f t="shared" si="112"/>
        <v/>
      </c>
      <c r="AY91" t="str">
        <f t="shared" si="113"/>
        <v/>
      </c>
      <c r="AZ91" t="str">
        <f t="shared" si="114"/>
        <v/>
      </c>
      <c r="BA91" t="str">
        <f t="shared" si="115"/>
        <v/>
      </c>
      <c r="BB91" t="str">
        <f t="shared" si="116"/>
        <v/>
      </c>
      <c r="BC91" t="str">
        <f t="shared" si="117"/>
        <v/>
      </c>
      <c r="BD91" t="str">
        <f t="shared" si="118"/>
        <v/>
      </c>
      <c r="BE91" t="str">
        <f t="shared" si="119"/>
        <v/>
      </c>
      <c r="BF91" t="str">
        <f t="shared" si="120"/>
        <v/>
      </c>
      <c r="BG91" t="str">
        <f t="shared" si="121"/>
        <v/>
      </c>
      <c r="BH91" t="str">
        <f t="shared" si="122"/>
        <v/>
      </c>
      <c r="BI91" t="str">
        <f t="shared" si="123"/>
        <v/>
      </c>
      <c r="BJ91" t="str">
        <f t="shared" si="124"/>
        <v/>
      </c>
      <c r="BK91" t="str">
        <f t="shared" si="125"/>
        <v/>
      </c>
      <c r="BL91" t="str">
        <f t="shared" si="126"/>
        <v/>
      </c>
      <c r="BM91" t="str">
        <f t="shared" si="127"/>
        <v/>
      </c>
      <c r="BP91"/>
      <c r="BR91"/>
    </row>
    <row r="92" spans="1:70" x14ac:dyDescent="0.25">
      <c r="A92" s="1">
        <v>41353</v>
      </c>
      <c r="B92">
        <v>3.75</v>
      </c>
      <c r="C92" s="4">
        <v>42369</v>
      </c>
      <c r="D92">
        <v>1</v>
      </c>
      <c r="E92">
        <f t="shared" si="105"/>
        <v>0.19736842105263158</v>
      </c>
      <c r="F92" s="4"/>
      <c r="G92">
        <v>1</v>
      </c>
      <c r="H92" t="str">
        <f t="shared" ref="H92:Y92" si="170">IF($D92&gt;G92,G92+1,"")</f>
        <v/>
      </c>
      <c r="I92" t="str">
        <f t="shared" si="170"/>
        <v/>
      </c>
      <c r="J92" t="str">
        <f t="shared" si="170"/>
        <v/>
      </c>
      <c r="K92" t="str">
        <f t="shared" si="170"/>
        <v/>
      </c>
      <c r="L92" t="str">
        <f t="shared" si="170"/>
        <v/>
      </c>
      <c r="M92" t="str">
        <f t="shared" si="170"/>
        <v/>
      </c>
      <c r="N92" t="str">
        <f t="shared" si="170"/>
        <v/>
      </c>
      <c r="O92" t="str">
        <f t="shared" si="170"/>
        <v/>
      </c>
      <c r="P92" t="str">
        <f t="shared" si="170"/>
        <v/>
      </c>
      <c r="Q92" t="str">
        <f t="shared" si="170"/>
        <v/>
      </c>
      <c r="R92" t="str">
        <f t="shared" si="170"/>
        <v/>
      </c>
      <c r="S92" t="str">
        <f t="shared" si="170"/>
        <v/>
      </c>
      <c r="T92" t="str">
        <f t="shared" si="170"/>
        <v/>
      </c>
      <c r="U92" t="str">
        <f t="shared" si="170"/>
        <v/>
      </c>
      <c r="V92" t="str">
        <f t="shared" si="170"/>
        <v/>
      </c>
      <c r="W92" t="str">
        <f t="shared" si="170"/>
        <v/>
      </c>
      <c r="X92" t="str">
        <f t="shared" si="170"/>
        <v/>
      </c>
      <c r="Y92" t="str">
        <f t="shared" si="170"/>
        <v/>
      </c>
      <c r="AA92">
        <f t="shared" si="108"/>
        <v>42369</v>
      </c>
      <c r="AB92" t="e">
        <f t="shared" si="157"/>
        <v>#N/A</v>
      </c>
      <c r="AC92" t="e">
        <f t="shared" si="158"/>
        <v>#N/A</v>
      </c>
      <c r="AD92" t="e">
        <f t="shared" si="159"/>
        <v>#N/A</v>
      </c>
      <c r="AE92" t="e">
        <f t="shared" si="141"/>
        <v>#N/A</v>
      </c>
      <c r="AF92" t="e">
        <f t="shared" si="142"/>
        <v>#N/A</v>
      </c>
      <c r="AG92" t="e">
        <f t="shared" si="143"/>
        <v>#N/A</v>
      </c>
      <c r="AH92" t="e">
        <f t="shared" si="144"/>
        <v>#N/A</v>
      </c>
      <c r="AI92" t="e">
        <f t="shared" si="145"/>
        <v>#N/A</v>
      </c>
      <c r="AJ92" t="e">
        <f t="shared" si="146"/>
        <v>#N/A</v>
      </c>
      <c r="AK92" t="e">
        <f t="shared" si="147"/>
        <v>#N/A</v>
      </c>
      <c r="AL92" t="e">
        <f t="shared" si="148"/>
        <v>#N/A</v>
      </c>
      <c r="AM92" t="e">
        <f t="shared" si="149"/>
        <v>#N/A</v>
      </c>
      <c r="AN92" t="e">
        <f t="shared" si="150"/>
        <v>#N/A</v>
      </c>
      <c r="AO92" t="e">
        <f t="shared" si="151"/>
        <v>#N/A</v>
      </c>
      <c r="AP92" t="e">
        <f t="shared" si="152"/>
        <v>#N/A</v>
      </c>
      <c r="AQ92" t="e">
        <f t="shared" si="153"/>
        <v>#N/A</v>
      </c>
      <c r="AR92" t="e">
        <f t="shared" si="154"/>
        <v>#N/A</v>
      </c>
      <c r="AS92" t="e">
        <f t="shared" si="155"/>
        <v>#N/A</v>
      </c>
      <c r="AU92">
        <f t="shared" si="109"/>
        <v>3.75</v>
      </c>
      <c r="AV92" t="str">
        <f t="shared" si="110"/>
        <v/>
      </c>
      <c r="AW92" t="str">
        <f t="shared" si="111"/>
        <v/>
      </c>
      <c r="AX92" t="str">
        <f t="shared" si="112"/>
        <v/>
      </c>
      <c r="AY92" t="str">
        <f t="shared" si="113"/>
        <v/>
      </c>
      <c r="AZ92" t="str">
        <f t="shared" si="114"/>
        <v/>
      </c>
      <c r="BA92" t="str">
        <f t="shared" si="115"/>
        <v/>
      </c>
      <c r="BB92" t="str">
        <f t="shared" si="116"/>
        <v/>
      </c>
      <c r="BC92" t="str">
        <f t="shared" si="117"/>
        <v/>
      </c>
      <c r="BD92" t="str">
        <f t="shared" si="118"/>
        <v/>
      </c>
      <c r="BE92" t="str">
        <f t="shared" si="119"/>
        <v/>
      </c>
      <c r="BF92" t="str">
        <f t="shared" si="120"/>
        <v/>
      </c>
      <c r="BG92" t="str">
        <f t="shared" si="121"/>
        <v/>
      </c>
      <c r="BH92" t="str">
        <f t="shared" si="122"/>
        <v/>
      </c>
      <c r="BI92" t="str">
        <f t="shared" si="123"/>
        <v/>
      </c>
      <c r="BJ92" t="str">
        <f t="shared" si="124"/>
        <v/>
      </c>
      <c r="BK92" t="str">
        <f t="shared" si="125"/>
        <v/>
      </c>
      <c r="BL92" t="str">
        <f t="shared" si="126"/>
        <v/>
      </c>
      <c r="BM92" t="str">
        <f t="shared" si="127"/>
        <v/>
      </c>
      <c r="BP92"/>
      <c r="BR92"/>
    </row>
    <row r="93" spans="1:70" x14ac:dyDescent="0.25">
      <c r="A93" s="1">
        <v>41353</v>
      </c>
      <c r="B93">
        <v>4.5</v>
      </c>
      <c r="C93" s="4">
        <v>42369</v>
      </c>
      <c r="D93">
        <v>1</v>
      </c>
      <c r="E93">
        <f t="shared" si="105"/>
        <v>0.23684210526315788</v>
      </c>
      <c r="F93" s="4"/>
      <c r="G93">
        <v>1</v>
      </c>
      <c r="H93" t="str">
        <f t="shared" ref="H93:Y93" si="171">IF($D93&gt;G93,G93+1,"")</f>
        <v/>
      </c>
      <c r="I93" t="str">
        <f t="shared" si="171"/>
        <v/>
      </c>
      <c r="J93" t="str">
        <f t="shared" si="171"/>
        <v/>
      </c>
      <c r="K93" t="str">
        <f t="shared" si="171"/>
        <v/>
      </c>
      <c r="L93" t="str">
        <f t="shared" si="171"/>
        <v/>
      </c>
      <c r="M93" t="str">
        <f t="shared" si="171"/>
        <v/>
      </c>
      <c r="N93" t="str">
        <f t="shared" si="171"/>
        <v/>
      </c>
      <c r="O93" t="str">
        <f t="shared" si="171"/>
        <v/>
      </c>
      <c r="P93" t="str">
        <f t="shared" si="171"/>
        <v/>
      </c>
      <c r="Q93" t="str">
        <f t="shared" si="171"/>
        <v/>
      </c>
      <c r="R93" t="str">
        <f t="shared" si="171"/>
        <v/>
      </c>
      <c r="S93" t="str">
        <f t="shared" si="171"/>
        <v/>
      </c>
      <c r="T93" t="str">
        <f t="shared" si="171"/>
        <v/>
      </c>
      <c r="U93" t="str">
        <f t="shared" si="171"/>
        <v/>
      </c>
      <c r="V93" t="str">
        <f t="shared" si="171"/>
        <v/>
      </c>
      <c r="W93" t="str">
        <f t="shared" si="171"/>
        <v/>
      </c>
      <c r="X93" t="str">
        <f t="shared" si="171"/>
        <v/>
      </c>
      <c r="Y93" t="str">
        <f t="shared" si="171"/>
        <v/>
      </c>
      <c r="AA93">
        <f t="shared" si="108"/>
        <v>42369</v>
      </c>
      <c r="AB93" t="e">
        <f t="shared" si="157"/>
        <v>#N/A</v>
      </c>
      <c r="AC93" t="e">
        <f t="shared" si="158"/>
        <v>#N/A</v>
      </c>
      <c r="AD93" t="e">
        <f t="shared" si="159"/>
        <v>#N/A</v>
      </c>
      <c r="AE93" t="e">
        <f t="shared" si="141"/>
        <v>#N/A</v>
      </c>
      <c r="AF93" t="e">
        <f t="shared" si="142"/>
        <v>#N/A</v>
      </c>
      <c r="AG93" t="e">
        <f t="shared" si="143"/>
        <v>#N/A</v>
      </c>
      <c r="AH93" t="e">
        <f t="shared" si="144"/>
        <v>#N/A</v>
      </c>
      <c r="AI93" t="e">
        <f t="shared" si="145"/>
        <v>#N/A</v>
      </c>
      <c r="AJ93" t="e">
        <f t="shared" si="146"/>
        <v>#N/A</v>
      </c>
      <c r="AK93" t="e">
        <f t="shared" si="147"/>
        <v>#N/A</v>
      </c>
      <c r="AL93" t="e">
        <f t="shared" si="148"/>
        <v>#N/A</v>
      </c>
      <c r="AM93" t="e">
        <f t="shared" si="149"/>
        <v>#N/A</v>
      </c>
      <c r="AN93" t="e">
        <f t="shared" si="150"/>
        <v>#N/A</v>
      </c>
      <c r="AO93" t="e">
        <f t="shared" si="151"/>
        <v>#N/A</v>
      </c>
      <c r="AP93" t="e">
        <f t="shared" si="152"/>
        <v>#N/A</v>
      </c>
      <c r="AQ93" t="e">
        <f t="shared" si="153"/>
        <v>#N/A</v>
      </c>
      <c r="AR93" t="e">
        <f t="shared" si="154"/>
        <v>#N/A</v>
      </c>
      <c r="AS93" t="e">
        <f t="shared" si="155"/>
        <v>#N/A</v>
      </c>
      <c r="AU93">
        <f t="shared" si="109"/>
        <v>4.5</v>
      </c>
      <c r="AV93" t="str">
        <f t="shared" si="110"/>
        <v/>
      </c>
      <c r="AW93" t="str">
        <f t="shared" si="111"/>
        <v/>
      </c>
      <c r="AX93" t="str">
        <f t="shared" si="112"/>
        <v/>
      </c>
      <c r="AY93" t="str">
        <f t="shared" si="113"/>
        <v/>
      </c>
      <c r="AZ93" t="str">
        <f t="shared" si="114"/>
        <v/>
      </c>
      <c r="BA93" t="str">
        <f t="shared" si="115"/>
        <v/>
      </c>
      <c r="BB93" t="str">
        <f t="shared" si="116"/>
        <v/>
      </c>
      <c r="BC93" t="str">
        <f t="shared" si="117"/>
        <v/>
      </c>
      <c r="BD93" t="str">
        <f t="shared" si="118"/>
        <v/>
      </c>
      <c r="BE93" t="str">
        <f t="shared" si="119"/>
        <v/>
      </c>
      <c r="BF93" t="str">
        <f t="shared" si="120"/>
        <v/>
      </c>
      <c r="BG93" t="str">
        <f t="shared" si="121"/>
        <v/>
      </c>
      <c r="BH93" t="str">
        <f t="shared" si="122"/>
        <v/>
      </c>
      <c r="BI93" t="str">
        <f t="shared" si="123"/>
        <v/>
      </c>
      <c r="BJ93" t="str">
        <f t="shared" si="124"/>
        <v/>
      </c>
      <c r="BK93" t="str">
        <f t="shared" si="125"/>
        <v/>
      </c>
      <c r="BL93" t="str">
        <f t="shared" si="126"/>
        <v/>
      </c>
      <c r="BM93" t="str">
        <f t="shared" si="127"/>
        <v/>
      </c>
      <c r="BP93"/>
      <c r="BR93"/>
    </row>
    <row r="94" spans="1:70" x14ac:dyDescent="0.25">
      <c r="A94" s="1">
        <v>41353</v>
      </c>
      <c r="B94" s="2">
        <v>3.25</v>
      </c>
      <c r="C94" s="4">
        <v>43100</v>
      </c>
      <c r="D94">
        <v>1</v>
      </c>
      <c r="E94">
        <f t="shared" si="105"/>
        <v>0.17105263157894735</v>
      </c>
      <c r="F94" s="4"/>
      <c r="G94">
        <v>1</v>
      </c>
      <c r="H94" t="str">
        <f t="shared" ref="H94:Y94" si="172">IF($D94&gt;G94,G94+1,"")</f>
        <v/>
      </c>
      <c r="I94" t="str">
        <f t="shared" si="172"/>
        <v/>
      </c>
      <c r="J94" t="str">
        <f t="shared" si="172"/>
        <v/>
      </c>
      <c r="K94" t="str">
        <f t="shared" si="172"/>
        <v/>
      </c>
      <c r="L94" t="str">
        <f t="shared" si="172"/>
        <v/>
      </c>
      <c r="M94" t="str">
        <f t="shared" si="172"/>
        <v/>
      </c>
      <c r="N94" t="str">
        <f t="shared" si="172"/>
        <v/>
      </c>
      <c r="O94" t="str">
        <f t="shared" si="172"/>
        <v/>
      </c>
      <c r="P94" t="str">
        <f t="shared" si="172"/>
        <v/>
      </c>
      <c r="Q94" t="str">
        <f t="shared" si="172"/>
        <v/>
      </c>
      <c r="R94" t="str">
        <f t="shared" si="172"/>
        <v/>
      </c>
      <c r="S94" t="str">
        <f t="shared" si="172"/>
        <v/>
      </c>
      <c r="T94" t="str">
        <f t="shared" si="172"/>
        <v/>
      </c>
      <c r="U94" t="str">
        <f t="shared" si="172"/>
        <v/>
      </c>
      <c r="V94" t="str">
        <f t="shared" si="172"/>
        <v/>
      </c>
      <c r="W94" t="str">
        <f t="shared" si="172"/>
        <v/>
      </c>
      <c r="X94" t="str">
        <f t="shared" si="172"/>
        <v/>
      </c>
      <c r="Y94" t="str">
        <f t="shared" si="172"/>
        <v/>
      </c>
      <c r="AA94">
        <f t="shared" si="108"/>
        <v>43100</v>
      </c>
      <c r="AB94" t="e">
        <f t="shared" si="157"/>
        <v>#N/A</v>
      </c>
      <c r="AC94" t="e">
        <f t="shared" si="158"/>
        <v>#N/A</v>
      </c>
      <c r="AD94" t="e">
        <f t="shared" si="159"/>
        <v>#N/A</v>
      </c>
      <c r="AE94" t="e">
        <f t="shared" si="141"/>
        <v>#N/A</v>
      </c>
      <c r="AF94" t="e">
        <f t="shared" si="142"/>
        <v>#N/A</v>
      </c>
      <c r="AG94" t="e">
        <f t="shared" si="143"/>
        <v>#N/A</v>
      </c>
      <c r="AH94" t="e">
        <f t="shared" si="144"/>
        <v>#N/A</v>
      </c>
      <c r="AI94" t="e">
        <f t="shared" si="145"/>
        <v>#N/A</v>
      </c>
      <c r="AJ94" t="e">
        <f t="shared" si="146"/>
        <v>#N/A</v>
      </c>
      <c r="AK94" t="e">
        <f t="shared" si="147"/>
        <v>#N/A</v>
      </c>
      <c r="AL94" t="e">
        <f t="shared" si="148"/>
        <v>#N/A</v>
      </c>
      <c r="AM94" t="e">
        <f t="shared" si="149"/>
        <v>#N/A</v>
      </c>
      <c r="AN94" t="e">
        <f t="shared" si="150"/>
        <v>#N/A</v>
      </c>
      <c r="AO94" t="e">
        <f t="shared" si="151"/>
        <v>#N/A</v>
      </c>
      <c r="AP94" t="e">
        <f t="shared" si="152"/>
        <v>#N/A</v>
      </c>
      <c r="AQ94" t="e">
        <f t="shared" si="153"/>
        <v>#N/A</v>
      </c>
      <c r="AR94" t="e">
        <f t="shared" si="154"/>
        <v>#N/A</v>
      </c>
      <c r="AS94" t="e">
        <f t="shared" si="155"/>
        <v>#N/A</v>
      </c>
      <c r="AU94">
        <f t="shared" si="109"/>
        <v>3.25</v>
      </c>
      <c r="AV94" t="str">
        <f t="shared" si="110"/>
        <v/>
      </c>
      <c r="AW94" t="str">
        <f t="shared" si="111"/>
        <v/>
      </c>
      <c r="AX94" t="str">
        <f t="shared" si="112"/>
        <v/>
      </c>
      <c r="AY94" t="str">
        <f t="shared" si="113"/>
        <v/>
      </c>
      <c r="AZ94" t="str">
        <f t="shared" si="114"/>
        <v/>
      </c>
      <c r="BA94" t="str">
        <f t="shared" si="115"/>
        <v/>
      </c>
      <c r="BB94" t="str">
        <f t="shared" si="116"/>
        <v/>
      </c>
      <c r="BC94" t="str">
        <f t="shared" si="117"/>
        <v/>
      </c>
      <c r="BD94" t="str">
        <f t="shared" si="118"/>
        <v/>
      </c>
      <c r="BE94" t="str">
        <f t="shared" si="119"/>
        <v/>
      </c>
      <c r="BF94" t="str">
        <f t="shared" si="120"/>
        <v/>
      </c>
      <c r="BG94" t="str">
        <f t="shared" si="121"/>
        <v/>
      </c>
      <c r="BH94" t="str">
        <f t="shared" si="122"/>
        <v/>
      </c>
      <c r="BI94" t="str">
        <f t="shared" si="123"/>
        <v/>
      </c>
      <c r="BJ94" t="str">
        <f t="shared" si="124"/>
        <v/>
      </c>
      <c r="BK94" t="str">
        <f t="shared" si="125"/>
        <v/>
      </c>
      <c r="BL94" t="str">
        <f t="shared" si="126"/>
        <v/>
      </c>
      <c r="BM94" t="str">
        <f t="shared" si="127"/>
        <v/>
      </c>
      <c r="BP94"/>
      <c r="BR94"/>
    </row>
    <row r="95" spans="1:70" x14ac:dyDescent="0.25">
      <c r="A95" s="1">
        <v>41353</v>
      </c>
      <c r="B95">
        <v>3.5</v>
      </c>
      <c r="C95" s="4">
        <v>43100</v>
      </c>
      <c r="D95">
        <v>2</v>
      </c>
      <c r="E95">
        <f t="shared" si="105"/>
        <v>0.36842105263157893</v>
      </c>
      <c r="F95" s="4"/>
      <c r="G95">
        <v>1</v>
      </c>
      <c r="H95">
        <f t="shared" ref="H95:Y95" si="173">IF($D95&gt;G95,G95+1,"")</f>
        <v>2</v>
      </c>
      <c r="I95" t="str">
        <f t="shared" si="173"/>
        <v/>
      </c>
      <c r="J95" t="str">
        <f t="shared" si="173"/>
        <v/>
      </c>
      <c r="K95" t="str">
        <f t="shared" si="173"/>
        <v/>
      </c>
      <c r="L95" t="str">
        <f t="shared" si="173"/>
        <v/>
      </c>
      <c r="M95" t="str">
        <f t="shared" si="173"/>
        <v/>
      </c>
      <c r="N95" t="str">
        <f t="shared" si="173"/>
        <v/>
      </c>
      <c r="O95" t="str">
        <f t="shared" si="173"/>
        <v/>
      </c>
      <c r="P95" t="str">
        <f t="shared" si="173"/>
        <v/>
      </c>
      <c r="Q95" t="str">
        <f t="shared" si="173"/>
        <v/>
      </c>
      <c r="R95" t="str">
        <f t="shared" si="173"/>
        <v/>
      </c>
      <c r="S95" t="str">
        <f t="shared" si="173"/>
        <v/>
      </c>
      <c r="T95" t="str">
        <f t="shared" si="173"/>
        <v/>
      </c>
      <c r="U95" t="str">
        <f t="shared" si="173"/>
        <v/>
      </c>
      <c r="V95" t="str">
        <f t="shared" si="173"/>
        <v/>
      </c>
      <c r="W95" t="str">
        <f t="shared" si="173"/>
        <v/>
      </c>
      <c r="X95" t="str">
        <f t="shared" si="173"/>
        <v/>
      </c>
      <c r="Y95" t="str">
        <f t="shared" si="173"/>
        <v/>
      </c>
      <c r="AA95">
        <f t="shared" si="108"/>
        <v>43089.962500000001</v>
      </c>
      <c r="AB95">
        <f t="shared" si="157"/>
        <v>43110.037500000006</v>
      </c>
      <c r="AC95" t="e">
        <f t="shared" si="158"/>
        <v>#N/A</v>
      </c>
      <c r="AD95" t="e">
        <f t="shared" si="159"/>
        <v>#N/A</v>
      </c>
      <c r="AE95" t="e">
        <f t="shared" si="141"/>
        <v>#N/A</v>
      </c>
      <c r="AF95" t="e">
        <f t="shared" si="142"/>
        <v>#N/A</v>
      </c>
      <c r="AG95" t="e">
        <f t="shared" si="143"/>
        <v>#N/A</v>
      </c>
      <c r="AH95" t="e">
        <f t="shared" si="144"/>
        <v>#N/A</v>
      </c>
      <c r="AI95" t="e">
        <f t="shared" si="145"/>
        <v>#N/A</v>
      </c>
      <c r="AJ95" t="e">
        <f t="shared" si="146"/>
        <v>#N/A</v>
      </c>
      <c r="AK95" t="e">
        <f t="shared" si="147"/>
        <v>#N/A</v>
      </c>
      <c r="AL95" t="e">
        <f t="shared" si="148"/>
        <v>#N/A</v>
      </c>
      <c r="AM95" t="e">
        <f t="shared" si="149"/>
        <v>#N/A</v>
      </c>
      <c r="AN95" t="e">
        <f t="shared" si="150"/>
        <v>#N/A</v>
      </c>
      <c r="AO95" t="e">
        <f t="shared" si="151"/>
        <v>#N/A</v>
      </c>
      <c r="AP95" t="e">
        <f t="shared" si="152"/>
        <v>#N/A</v>
      </c>
      <c r="AQ95" t="e">
        <f t="shared" si="153"/>
        <v>#N/A</v>
      </c>
      <c r="AR95" t="e">
        <f t="shared" si="154"/>
        <v>#N/A</v>
      </c>
      <c r="AS95" t="e">
        <f t="shared" si="155"/>
        <v>#N/A</v>
      </c>
      <c r="AU95">
        <f t="shared" si="109"/>
        <v>3.5</v>
      </c>
      <c r="AV95">
        <f t="shared" si="110"/>
        <v>3.5</v>
      </c>
      <c r="AW95" t="str">
        <f t="shared" si="111"/>
        <v/>
      </c>
      <c r="AX95" t="str">
        <f t="shared" si="112"/>
        <v/>
      </c>
      <c r="AY95" t="str">
        <f t="shared" si="113"/>
        <v/>
      </c>
      <c r="AZ95" t="str">
        <f t="shared" si="114"/>
        <v/>
      </c>
      <c r="BA95" t="str">
        <f t="shared" si="115"/>
        <v/>
      </c>
      <c r="BB95" t="str">
        <f t="shared" si="116"/>
        <v/>
      </c>
      <c r="BC95" t="str">
        <f t="shared" si="117"/>
        <v/>
      </c>
      <c r="BD95" t="str">
        <f t="shared" si="118"/>
        <v/>
      </c>
      <c r="BE95" t="str">
        <f t="shared" si="119"/>
        <v/>
      </c>
      <c r="BF95" t="str">
        <f t="shared" si="120"/>
        <v/>
      </c>
      <c r="BG95" t="str">
        <f t="shared" si="121"/>
        <v/>
      </c>
      <c r="BH95" t="str">
        <f t="shared" si="122"/>
        <v/>
      </c>
      <c r="BI95" t="str">
        <f t="shared" si="123"/>
        <v/>
      </c>
      <c r="BJ95" t="str">
        <f t="shared" si="124"/>
        <v/>
      </c>
      <c r="BK95" t="str">
        <f t="shared" si="125"/>
        <v/>
      </c>
      <c r="BL95" t="str">
        <f t="shared" si="126"/>
        <v/>
      </c>
      <c r="BM95" t="str">
        <f t="shared" si="127"/>
        <v/>
      </c>
      <c r="BP95"/>
      <c r="BR95"/>
    </row>
    <row r="96" spans="1:70" x14ac:dyDescent="0.25">
      <c r="A96" s="1">
        <v>41353</v>
      </c>
      <c r="B96">
        <v>3.75</v>
      </c>
      <c r="C96" s="4">
        <v>43100</v>
      </c>
      <c r="D96">
        <v>1</v>
      </c>
      <c r="E96">
        <f t="shared" si="105"/>
        <v>0.19736842105263158</v>
      </c>
      <c r="F96" s="4"/>
      <c r="G96">
        <v>1</v>
      </c>
      <c r="H96" t="str">
        <f t="shared" ref="H96:Y96" si="174">IF($D96&gt;G96,G96+1,"")</f>
        <v/>
      </c>
      <c r="I96" t="str">
        <f t="shared" si="174"/>
        <v/>
      </c>
      <c r="J96" t="str">
        <f t="shared" si="174"/>
        <v/>
      </c>
      <c r="K96" t="str">
        <f t="shared" si="174"/>
        <v/>
      </c>
      <c r="L96" t="str">
        <f t="shared" si="174"/>
        <v/>
      </c>
      <c r="M96" t="str">
        <f t="shared" si="174"/>
        <v/>
      </c>
      <c r="N96" t="str">
        <f t="shared" si="174"/>
        <v/>
      </c>
      <c r="O96" t="str">
        <f t="shared" si="174"/>
        <v/>
      </c>
      <c r="P96" t="str">
        <f t="shared" si="174"/>
        <v/>
      </c>
      <c r="Q96" t="str">
        <f t="shared" si="174"/>
        <v/>
      </c>
      <c r="R96" t="str">
        <f t="shared" si="174"/>
        <v/>
      </c>
      <c r="S96" t="str">
        <f t="shared" si="174"/>
        <v/>
      </c>
      <c r="T96" t="str">
        <f t="shared" si="174"/>
        <v/>
      </c>
      <c r="U96" t="str">
        <f t="shared" si="174"/>
        <v/>
      </c>
      <c r="V96" t="str">
        <f t="shared" si="174"/>
        <v/>
      </c>
      <c r="W96" t="str">
        <f t="shared" si="174"/>
        <v/>
      </c>
      <c r="X96" t="str">
        <f t="shared" si="174"/>
        <v/>
      </c>
      <c r="Y96" t="str">
        <f t="shared" si="174"/>
        <v/>
      </c>
      <c r="AA96">
        <f t="shared" si="108"/>
        <v>43100</v>
      </c>
      <c r="AB96" t="e">
        <f t="shared" si="157"/>
        <v>#N/A</v>
      </c>
      <c r="AC96" t="e">
        <f t="shared" si="158"/>
        <v>#N/A</v>
      </c>
      <c r="AD96" t="e">
        <f t="shared" si="159"/>
        <v>#N/A</v>
      </c>
      <c r="AE96" t="e">
        <f t="shared" si="141"/>
        <v>#N/A</v>
      </c>
      <c r="AF96" t="e">
        <f t="shared" si="142"/>
        <v>#N/A</v>
      </c>
      <c r="AG96" t="e">
        <f t="shared" si="143"/>
        <v>#N/A</v>
      </c>
      <c r="AH96" t="e">
        <f t="shared" si="144"/>
        <v>#N/A</v>
      </c>
      <c r="AI96" t="e">
        <f t="shared" si="145"/>
        <v>#N/A</v>
      </c>
      <c r="AJ96" t="e">
        <f t="shared" si="146"/>
        <v>#N/A</v>
      </c>
      <c r="AK96" t="e">
        <f t="shared" si="147"/>
        <v>#N/A</v>
      </c>
      <c r="AL96" t="e">
        <f t="shared" si="148"/>
        <v>#N/A</v>
      </c>
      <c r="AM96" t="e">
        <f t="shared" si="149"/>
        <v>#N/A</v>
      </c>
      <c r="AN96" t="e">
        <f t="shared" si="150"/>
        <v>#N/A</v>
      </c>
      <c r="AO96" t="e">
        <f t="shared" si="151"/>
        <v>#N/A</v>
      </c>
      <c r="AP96" t="e">
        <f t="shared" si="152"/>
        <v>#N/A</v>
      </c>
      <c r="AQ96" t="e">
        <f t="shared" si="153"/>
        <v>#N/A</v>
      </c>
      <c r="AR96" t="e">
        <f t="shared" si="154"/>
        <v>#N/A</v>
      </c>
      <c r="AS96" t="e">
        <f t="shared" si="155"/>
        <v>#N/A</v>
      </c>
      <c r="AU96">
        <f t="shared" si="109"/>
        <v>3.75</v>
      </c>
      <c r="AV96" t="str">
        <f t="shared" si="110"/>
        <v/>
      </c>
      <c r="AW96" t="str">
        <f t="shared" si="111"/>
        <v/>
      </c>
      <c r="AX96" t="str">
        <f t="shared" si="112"/>
        <v/>
      </c>
      <c r="AY96" t="str">
        <f t="shared" si="113"/>
        <v/>
      </c>
      <c r="AZ96" t="str">
        <f t="shared" si="114"/>
        <v/>
      </c>
      <c r="BA96" t="str">
        <f t="shared" si="115"/>
        <v/>
      </c>
      <c r="BB96" t="str">
        <f t="shared" si="116"/>
        <v/>
      </c>
      <c r="BC96" t="str">
        <f t="shared" si="117"/>
        <v/>
      </c>
      <c r="BD96" t="str">
        <f t="shared" si="118"/>
        <v/>
      </c>
      <c r="BE96" t="str">
        <f t="shared" si="119"/>
        <v/>
      </c>
      <c r="BF96" t="str">
        <f t="shared" si="120"/>
        <v/>
      </c>
      <c r="BG96" t="str">
        <f t="shared" si="121"/>
        <v/>
      </c>
      <c r="BH96" t="str">
        <f t="shared" si="122"/>
        <v/>
      </c>
      <c r="BI96" t="str">
        <f t="shared" si="123"/>
        <v/>
      </c>
      <c r="BJ96" t="str">
        <f t="shared" si="124"/>
        <v/>
      </c>
      <c r="BK96" t="str">
        <f t="shared" si="125"/>
        <v/>
      </c>
      <c r="BL96" t="str">
        <f t="shared" si="126"/>
        <v/>
      </c>
      <c r="BM96" t="str">
        <f t="shared" si="127"/>
        <v/>
      </c>
      <c r="BP96"/>
      <c r="BR96"/>
    </row>
    <row r="97" spans="1:70" x14ac:dyDescent="0.25">
      <c r="A97" s="1">
        <v>41353</v>
      </c>
      <c r="B97">
        <v>4</v>
      </c>
      <c r="C97" s="4">
        <v>43100</v>
      </c>
      <c r="D97">
        <v>9</v>
      </c>
      <c r="E97">
        <f t="shared" si="105"/>
        <v>1.8947368421052631</v>
      </c>
      <c r="F97" s="4"/>
      <c r="G97">
        <v>1</v>
      </c>
      <c r="H97">
        <f t="shared" ref="H97:Y97" si="175">IF($D97&gt;G97,G97+1,"")</f>
        <v>2</v>
      </c>
      <c r="I97">
        <f t="shared" si="175"/>
        <v>3</v>
      </c>
      <c r="J97">
        <f t="shared" si="175"/>
        <v>4</v>
      </c>
      <c r="K97">
        <f t="shared" si="175"/>
        <v>5</v>
      </c>
      <c r="L97">
        <f t="shared" si="175"/>
        <v>6</v>
      </c>
      <c r="M97">
        <f t="shared" si="175"/>
        <v>7</v>
      </c>
      <c r="N97">
        <f t="shared" si="175"/>
        <v>8</v>
      </c>
      <c r="O97">
        <f t="shared" si="175"/>
        <v>9</v>
      </c>
      <c r="P97" t="str">
        <f t="shared" si="175"/>
        <v/>
      </c>
      <c r="Q97" t="str">
        <f t="shared" si="175"/>
        <v/>
      </c>
      <c r="R97" t="str">
        <f t="shared" si="175"/>
        <v/>
      </c>
      <c r="S97" t="str">
        <f t="shared" si="175"/>
        <v/>
      </c>
      <c r="T97" t="str">
        <f t="shared" si="175"/>
        <v/>
      </c>
      <c r="U97" t="str">
        <f t="shared" si="175"/>
        <v/>
      </c>
      <c r="V97" t="str">
        <f t="shared" si="175"/>
        <v/>
      </c>
      <c r="W97" t="str">
        <f t="shared" si="175"/>
        <v/>
      </c>
      <c r="X97" t="str">
        <f t="shared" si="175"/>
        <v/>
      </c>
      <c r="Y97" t="str">
        <f t="shared" si="175"/>
        <v/>
      </c>
      <c r="AA97">
        <f t="shared" si="108"/>
        <v>43019.7</v>
      </c>
      <c r="AB97">
        <f t="shared" si="157"/>
        <v>43039.775000000001</v>
      </c>
      <c r="AC97">
        <f t="shared" si="158"/>
        <v>43059.85</v>
      </c>
      <c r="AD97">
        <f t="shared" si="159"/>
        <v>43079.925000000003</v>
      </c>
      <c r="AE97">
        <f t="shared" si="141"/>
        <v>43100</v>
      </c>
      <c r="AF97">
        <f t="shared" si="142"/>
        <v>43120.074999999997</v>
      </c>
      <c r="AG97">
        <f t="shared" si="143"/>
        <v>43140.15</v>
      </c>
      <c r="AH97">
        <f t="shared" si="144"/>
        <v>43160.224999999999</v>
      </c>
      <c r="AI97">
        <f t="shared" si="145"/>
        <v>43180.3</v>
      </c>
      <c r="AJ97" t="e">
        <f t="shared" si="146"/>
        <v>#N/A</v>
      </c>
      <c r="AK97" t="e">
        <f t="shared" si="147"/>
        <v>#N/A</v>
      </c>
      <c r="AL97" t="e">
        <f t="shared" si="148"/>
        <v>#N/A</v>
      </c>
      <c r="AM97" t="e">
        <f t="shared" si="149"/>
        <v>#N/A</v>
      </c>
      <c r="AN97" t="e">
        <f t="shared" si="150"/>
        <v>#N/A</v>
      </c>
      <c r="AO97" t="e">
        <f t="shared" si="151"/>
        <v>#N/A</v>
      </c>
      <c r="AP97" t="e">
        <f t="shared" si="152"/>
        <v>#N/A</v>
      </c>
      <c r="AQ97" t="e">
        <f t="shared" si="153"/>
        <v>#N/A</v>
      </c>
      <c r="AR97" t="e">
        <f t="shared" si="154"/>
        <v>#N/A</v>
      </c>
      <c r="AS97" t="e">
        <f t="shared" si="155"/>
        <v>#N/A</v>
      </c>
      <c r="AU97">
        <f t="shared" si="109"/>
        <v>4</v>
      </c>
      <c r="AV97">
        <f t="shared" si="110"/>
        <v>4</v>
      </c>
      <c r="AW97">
        <f t="shared" si="111"/>
        <v>4</v>
      </c>
      <c r="AX97">
        <f t="shared" si="112"/>
        <v>4</v>
      </c>
      <c r="AY97">
        <f t="shared" si="113"/>
        <v>4</v>
      </c>
      <c r="AZ97">
        <f t="shared" si="114"/>
        <v>4</v>
      </c>
      <c r="BA97">
        <f t="shared" si="115"/>
        <v>4</v>
      </c>
      <c r="BB97">
        <f t="shared" si="116"/>
        <v>4</v>
      </c>
      <c r="BC97">
        <f t="shared" si="117"/>
        <v>4</v>
      </c>
      <c r="BD97" t="str">
        <f t="shared" si="118"/>
        <v/>
      </c>
      <c r="BE97" t="str">
        <f t="shared" si="119"/>
        <v/>
      </c>
      <c r="BF97" t="str">
        <f t="shared" si="120"/>
        <v/>
      </c>
      <c r="BG97" t="str">
        <f t="shared" si="121"/>
        <v/>
      </c>
      <c r="BH97" t="str">
        <f t="shared" si="122"/>
        <v/>
      </c>
      <c r="BI97" t="str">
        <f t="shared" si="123"/>
        <v/>
      </c>
      <c r="BJ97" t="str">
        <f t="shared" si="124"/>
        <v/>
      </c>
      <c r="BK97" t="str">
        <f t="shared" si="125"/>
        <v/>
      </c>
      <c r="BL97" t="str">
        <f t="shared" si="126"/>
        <v/>
      </c>
      <c r="BM97" t="str">
        <f t="shared" si="127"/>
        <v/>
      </c>
      <c r="BP97"/>
      <c r="BR97"/>
    </row>
    <row r="98" spans="1:70" x14ac:dyDescent="0.25">
      <c r="A98" s="1">
        <v>41353</v>
      </c>
      <c r="B98">
        <v>4.25</v>
      </c>
      <c r="C98" s="4">
        <v>43100</v>
      </c>
      <c r="D98">
        <v>3</v>
      </c>
      <c r="E98">
        <f t="shared" si="105"/>
        <v>0.67105263157894735</v>
      </c>
      <c r="F98" s="4"/>
      <c r="G98">
        <v>1</v>
      </c>
      <c r="H98">
        <f t="shared" ref="H98:Y98" si="176">IF($D98&gt;G98,G98+1,"")</f>
        <v>2</v>
      </c>
      <c r="I98">
        <f t="shared" si="176"/>
        <v>3</v>
      </c>
      <c r="J98" t="str">
        <f t="shared" si="176"/>
        <v/>
      </c>
      <c r="K98" t="str">
        <f t="shared" si="176"/>
        <v/>
      </c>
      <c r="L98" t="str">
        <f t="shared" si="176"/>
        <v/>
      </c>
      <c r="M98" t="str">
        <f t="shared" si="176"/>
        <v/>
      </c>
      <c r="N98" t="str">
        <f t="shared" si="176"/>
        <v/>
      </c>
      <c r="O98" t="str">
        <f t="shared" si="176"/>
        <v/>
      </c>
      <c r="P98" t="str">
        <f t="shared" si="176"/>
        <v/>
      </c>
      <c r="Q98" t="str">
        <f t="shared" si="176"/>
        <v/>
      </c>
      <c r="R98" t="str">
        <f t="shared" si="176"/>
        <v/>
      </c>
      <c r="S98" t="str">
        <f t="shared" si="176"/>
        <v/>
      </c>
      <c r="T98" t="str">
        <f t="shared" si="176"/>
        <v/>
      </c>
      <c r="U98" t="str">
        <f t="shared" si="176"/>
        <v/>
      </c>
      <c r="V98" t="str">
        <f t="shared" si="176"/>
        <v/>
      </c>
      <c r="W98" t="str">
        <f t="shared" si="176"/>
        <v/>
      </c>
      <c r="X98" t="str">
        <f t="shared" si="176"/>
        <v/>
      </c>
      <c r="Y98" t="str">
        <f t="shared" si="176"/>
        <v/>
      </c>
      <c r="AA98">
        <f t="shared" si="108"/>
        <v>43079.924999999996</v>
      </c>
      <c r="AB98">
        <f t="shared" si="157"/>
        <v>43100</v>
      </c>
      <c r="AC98">
        <f t="shared" si="158"/>
        <v>43120.074999999997</v>
      </c>
      <c r="AD98" t="e">
        <f t="shared" si="159"/>
        <v>#N/A</v>
      </c>
      <c r="AE98" t="e">
        <f t="shared" si="141"/>
        <v>#N/A</v>
      </c>
      <c r="AF98" t="e">
        <f t="shared" si="142"/>
        <v>#N/A</v>
      </c>
      <c r="AG98" t="e">
        <f t="shared" si="143"/>
        <v>#N/A</v>
      </c>
      <c r="AH98" t="e">
        <f t="shared" si="144"/>
        <v>#N/A</v>
      </c>
      <c r="AI98" t="e">
        <f t="shared" si="145"/>
        <v>#N/A</v>
      </c>
      <c r="AJ98" t="e">
        <f t="shared" si="146"/>
        <v>#N/A</v>
      </c>
      <c r="AK98" t="e">
        <f t="shared" si="147"/>
        <v>#N/A</v>
      </c>
      <c r="AL98" t="e">
        <f t="shared" si="148"/>
        <v>#N/A</v>
      </c>
      <c r="AM98" t="e">
        <f t="shared" si="149"/>
        <v>#N/A</v>
      </c>
      <c r="AN98" t="e">
        <f t="shared" si="150"/>
        <v>#N/A</v>
      </c>
      <c r="AO98" t="e">
        <f t="shared" si="151"/>
        <v>#N/A</v>
      </c>
      <c r="AP98" t="e">
        <f t="shared" si="152"/>
        <v>#N/A</v>
      </c>
      <c r="AQ98" t="e">
        <f t="shared" si="153"/>
        <v>#N/A</v>
      </c>
      <c r="AR98" t="e">
        <f t="shared" si="154"/>
        <v>#N/A</v>
      </c>
      <c r="AS98" t="e">
        <f t="shared" si="155"/>
        <v>#N/A</v>
      </c>
      <c r="AU98">
        <f t="shared" si="109"/>
        <v>4.25</v>
      </c>
      <c r="AV98">
        <f t="shared" si="110"/>
        <v>4.25</v>
      </c>
      <c r="AW98">
        <f t="shared" si="111"/>
        <v>4.25</v>
      </c>
      <c r="AX98" t="str">
        <f t="shared" si="112"/>
        <v/>
      </c>
      <c r="AY98" t="str">
        <f t="shared" si="113"/>
        <v/>
      </c>
      <c r="AZ98" t="str">
        <f t="shared" si="114"/>
        <v/>
      </c>
      <c r="BA98" t="str">
        <f t="shared" si="115"/>
        <v/>
      </c>
      <c r="BB98" t="str">
        <f t="shared" si="116"/>
        <v/>
      </c>
      <c r="BC98" t="str">
        <f t="shared" si="117"/>
        <v/>
      </c>
      <c r="BD98" t="str">
        <f t="shared" si="118"/>
        <v/>
      </c>
      <c r="BE98" t="str">
        <f t="shared" si="119"/>
        <v/>
      </c>
      <c r="BF98" t="str">
        <f t="shared" si="120"/>
        <v/>
      </c>
      <c r="BG98" t="str">
        <f t="shared" si="121"/>
        <v/>
      </c>
      <c r="BH98" t="str">
        <f t="shared" si="122"/>
        <v/>
      </c>
      <c r="BI98" t="str">
        <f t="shared" si="123"/>
        <v/>
      </c>
      <c r="BJ98" t="str">
        <f t="shared" si="124"/>
        <v/>
      </c>
      <c r="BK98" t="str">
        <f t="shared" si="125"/>
        <v/>
      </c>
      <c r="BL98" t="str">
        <f t="shared" si="126"/>
        <v/>
      </c>
      <c r="BM98" t="str">
        <f t="shared" si="127"/>
        <v/>
      </c>
      <c r="BP98"/>
      <c r="BR98"/>
    </row>
    <row r="99" spans="1:70" x14ac:dyDescent="0.25">
      <c r="A99" s="1">
        <v>41353</v>
      </c>
      <c r="B99">
        <v>4.5</v>
      </c>
      <c r="C99" s="4">
        <v>43100</v>
      </c>
      <c r="D99">
        <v>3</v>
      </c>
      <c r="E99">
        <f t="shared" si="105"/>
        <v>0.71052631578947367</v>
      </c>
      <c r="F99" s="4"/>
      <c r="G99">
        <v>1</v>
      </c>
      <c r="H99">
        <f t="shared" ref="H99:Y99" si="177">IF($D99&gt;G99,G99+1,"")</f>
        <v>2</v>
      </c>
      <c r="I99">
        <f t="shared" si="177"/>
        <v>3</v>
      </c>
      <c r="J99" t="str">
        <f t="shared" si="177"/>
        <v/>
      </c>
      <c r="K99" t="str">
        <f t="shared" si="177"/>
        <v/>
      </c>
      <c r="L99" t="str">
        <f t="shared" si="177"/>
        <v/>
      </c>
      <c r="M99" t="str">
        <f t="shared" si="177"/>
        <v/>
      </c>
      <c r="N99" t="str">
        <f t="shared" si="177"/>
        <v/>
      </c>
      <c r="O99" t="str">
        <f t="shared" si="177"/>
        <v/>
      </c>
      <c r="P99" t="str">
        <f t="shared" si="177"/>
        <v/>
      </c>
      <c r="Q99" t="str">
        <f t="shared" si="177"/>
        <v/>
      </c>
      <c r="R99" t="str">
        <f t="shared" si="177"/>
        <v/>
      </c>
      <c r="S99" t="str">
        <f t="shared" si="177"/>
        <v/>
      </c>
      <c r="T99" t="str">
        <f t="shared" si="177"/>
        <v/>
      </c>
      <c r="U99" t="str">
        <f t="shared" si="177"/>
        <v/>
      </c>
      <c r="V99" t="str">
        <f t="shared" si="177"/>
        <v/>
      </c>
      <c r="W99" t="str">
        <f t="shared" si="177"/>
        <v/>
      </c>
      <c r="X99" t="str">
        <f t="shared" si="177"/>
        <v/>
      </c>
      <c r="Y99" t="str">
        <f t="shared" si="177"/>
        <v/>
      </c>
      <c r="AA99">
        <f t="shared" si="108"/>
        <v>43079.924999999996</v>
      </c>
      <c r="AB99">
        <f t="shared" si="157"/>
        <v>43100</v>
      </c>
      <c r="AC99">
        <f t="shared" si="158"/>
        <v>43120.074999999997</v>
      </c>
      <c r="AD99" t="e">
        <f t="shared" si="159"/>
        <v>#N/A</v>
      </c>
      <c r="AE99" t="e">
        <f t="shared" si="141"/>
        <v>#N/A</v>
      </c>
      <c r="AF99" t="e">
        <f t="shared" si="142"/>
        <v>#N/A</v>
      </c>
      <c r="AG99" t="e">
        <f t="shared" si="143"/>
        <v>#N/A</v>
      </c>
      <c r="AH99" t="e">
        <f t="shared" si="144"/>
        <v>#N/A</v>
      </c>
      <c r="AI99" t="e">
        <f t="shared" si="145"/>
        <v>#N/A</v>
      </c>
      <c r="AJ99" t="e">
        <f t="shared" si="146"/>
        <v>#N/A</v>
      </c>
      <c r="AK99" t="e">
        <f t="shared" si="147"/>
        <v>#N/A</v>
      </c>
      <c r="AL99" t="e">
        <f t="shared" si="148"/>
        <v>#N/A</v>
      </c>
      <c r="AM99" t="e">
        <f t="shared" si="149"/>
        <v>#N/A</v>
      </c>
      <c r="AN99" t="e">
        <f t="shared" si="150"/>
        <v>#N/A</v>
      </c>
      <c r="AO99" t="e">
        <f t="shared" si="151"/>
        <v>#N/A</v>
      </c>
      <c r="AP99" t="e">
        <f t="shared" si="152"/>
        <v>#N/A</v>
      </c>
      <c r="AQ99" t="e">
        <f t="shared" si="153"/>
        <v>#N/A</v>
      </c>
      <c r="AR99" t="e">
        <f t="shared" si="154"/>
        <v>#N/A</v>
      </c>
      <c r="AS99" t="e">
        <f t="shared" si="155"/>
        <v>#N/A</v>
      </c>
      <c r="AU99">
        <f t="shared" si="109"/>
        <v>4.5</v>
      </c>
      <c r="AV99">
        <f t="shared" si="110"/>
        <v>4.5</v>
      </c>
      <c r="AW99">
        <f t="shared" si="111"/>
        <v>4.5</v>
      </c>
      <c r="AX99" t="str">
        <f t="shared" si="112"/>
        <v/>
      </c>
      <c r="AY99" t="str">
        <f t="shared" si="113"/>
        <v/>
      </c>
      <c r="AZ99" t="str">
        <f t="shared" si="114"/>
        <v/>
      </c>
      <c r="BA99" t="str">
        <f t="shared" si="115"/>
        <v/>
      </c>
      <c r="BB99" t="str">
        <f t="shared" si="116"/>
        <v/>
      </c>
      <c r="BC99" t="str">
        <f t="shared" si="117"/>
        <v/>
      </c>
      <c r="BD99" t="str">
        <f t="shared" si="118"/>
        <v/>
      </c>
      <c r="BE99" t="str">
        <f t="shared" si="119"/>
        <v/>
      </c>
      <c r="BF99" t="str">
        <f t="shared" si="120"/>
        <v/>
      </c>
      <c r="BG99" t="str">
        <f t="shared" si="121"/>
        <v/>
      </c>
      <c r="BH99" t="str">
        <f t="shared" si="122"/>
        <v/>
      </c>
      <c r="BI99" t="str">
        <f t="shared" si="123"/>
        <v/>
      </c>
      <c r="BJ99" t="str">
        <f t="shared" si="124"/>
        <v/>
      </c>
      <c r="BK99" t="str">
        <f t="shared" si="125"/>
        <v/>
      </c>
      <c r="BL99" t="str">
        <f t="shared" si="126"/>
        <v/>
      </c>
      <c r="BM99" t="str">
        <f t="shared" si="127"/>
        <v/>
      </c>
      <c r="BP99"/>
      <c r="BR99"/>
    </row>
    <row r="100" spans="1:70" x14ac:dyDescent="0.25">
      <c r="A100" s="1">
        <v>41444</v>
      </c>
      <c r="B100" s="2">
        <v>0.25</v>
      </c>
      <c r="C100" s="4">
        <v>41639</v>
      </c>
      <c r="D100">
        <v>18</v>
      </c>
      <c r="E100">
        <f t="shared" si="105"/>
        <v>0.23684210526315788</v>
      </c>
      <c r="F100" s="4"/>
      <c r="G100">
        <v>1</v>
      </c>
      <c r="H100">
        <f t="shared" ref="H100:Y100" si="178">IF($D100&gt;G100,G100+1,"")</f>
        <v>2</v>
      </c>
      <c r="I100">
        <f t="shared" si="178"/>
        <v>3</v>
      </c>
      <c r="J100">
        <f t="shared" si="178"/>
        <v>4</v>
      </c>
      <c r="K100">
        <f t="shared" si="178"/>
        <v>5</v>
      </c>
      <c r="L100">
        <f t="shared" si="178"/>
        <v>6</v>
      </c>
      <c r="M100">
        <f t="shared" si="178"/>
        <v>7</v>
      </c>
      <c r="N100">
        <f t="shared" si="178"/>
        <v>8</v>
      </c>
      <c r="O100">
        <f t="shared" si="178"/>
        <v>9</v>
      </c>
      <c r="P100">
        <f t="shared" si="178"/>
        <v>10</v>
      </c>
      <c r="Q100">
        <f t="shared" si="178"/>
        <v>11</v>
      </c>
      <c r="R100">
        <f t="shared" si="178"/>
        <v>12</v>
      </c>
      <c r="S100">
        <f t="shared" si="178"/>
        <v>13</v>
      </c>
      <c r="T100">
        <f t="shared" si="178"/>
        <v>14</v>
      </c>
      <c r="U100">
        <f t="shared" si="178"/>
        <v>15</v>
      </c>
      <c r="V100">
        <f t="shared" si="178"/>
        <v>16</v>
      </c>
      <c r="W100">
        <f t="shared" si="178"/>
        <v>17</v>
      </c>
      <c r="X100">
        <f t="shared" si="178"/>
        <v>18</v>
      </c>
      <c r="Y100" t="str">
        <f t="shared" si="178"/>
        <v/>
      </c>
      <c r="AA100">
        <f t="shared" si="108"/>
        <v>41468.362499999996</v>
      </c>
      <c r="AB100">
        <f t="shared" si="157"/>
        <v>41488.4375</v>
      </c>
      <c r="AC100">
        <f t="shared" si="158"/>
        <v>41508.512499999997</v>
      </c>
      <c r="AD100">
        <f t="shared" si="159"/>
        <v>41528.587500000001</v>
      </c>
      <c r="AE100">
        <f t="shared" si="141"/>
        <v>41548.662499999999</v>
      </c>
      <c r="AF100">
        <f t="shared" si="142"/>
        <v>41568.737499999996</v>
      </c>
      <c r="AG100">
        <f t="shared" si="143"/>
        <v>41588.8125</v>
      </c>
      <c r="AH100">
        <f t="shared" si="144"/>
        <v>41608.887499999997</v>
      </c>
      <c r="AI100">
        <f t="shared" si="145"/>
        <v>41628.962500000001</v>
      </c>
      <c r="AJ100">
        <f t="shared" si="146"/>
        <v>41649.037499999999</v>
      </c>
      <c r="AK100">
        <f t="shared" si="147"/>
        <v>41669.112499999996</v>
      </c>
      <c r="AL100">
        <f t="shared" si="148"/>
        <v>41689.1875</v>
      </c>
      <c r="AM100">
        <f t="shared" si="149"/>
        <v>41709.262499999997</v>
      </c>
      <c r="AN100">
        <f t="shared" si="150"/>
        <v>41729.337500000001</v>
      </c>
      <c r="AO100">
        <f t="shared" si="151"/>
        <v>41749.412499999999</v>
      </c>
      <c r="AP100">
        <f t="shared" si="152"/>
        <v>41769.487499999996</v>
      </c>
      <c r="AQ100">
        <f t="shared" si="153"/>
        <v>41789.5625</v>
      </c>
      <c r="AR100">
        <f t="shared" si="154"/>
        <v>41809.637499999997</v>
      </c>
      <c r="AS100" t="e">
        <f t="shared" si="155"/>
        <v>#N/A</v>
      </c>
      <c r="AU100">
        <f t="shared" si="109"/>
        <v>0.25</v>
      </c>
      <c r="AV100">
        <f t="shared" si="110"/>
        <v>0.25</v>
      </c>
      <c r="AW100">
        <f t="shared" si="111"/>
        <v>0.25</v>
      </c>
      <c r="AX100">
        <f t="shared" si="112"/>
        <v>0.25</v>
      </c>
      <c r="AY100">
        <f t="shared" si="113"/>
        <v>0.25</v>
      </c>
      <c r="AZ100">
        <f t="shared" si="114"/>
        <v>0.25</v>
      </c>
      <c r="BA100">
        <f t="shared" si="115"/>
        <v>0.25</v>
      </c>
      <c r="BB100">
        <f t="shared" si="116"/>
        <v>0.25</v>
      </c>
      <c r="BC100">
        <f t="shared" si="117"/>
        <v>0.25</v>
      </c>
      <c r="BD100">
        <f t="shared" si="118"/>
        <v>0.25</v>
      </c>
      <c r="BE100">
        <f t="shared" si="119"/>
        <v>0.25</v>
      </c>
      <c r="BF100">
        <f t="shared" si="120"/>
        <v>0.25</v>
      </c>
      <c r="BG100">
        <f t="shared" si="121"/>
        <v>0.25</v>
      </c>
      <c r="BH100">
        <f t="shared" si="122"/>
        <v>0.25</v>
      </c>
      <c r="BI100">
        <f t="shared" si="123"/>
        <v>0.25</v>
      </c>
      <c r="BJ100">
        <f t="shared" si="124"/>
        <v>0.25</v>
      </c>
      <c r="BK100">
        <f t="shared" si="125"/>
        <v>0.25</v>
      </c>
      <c r="BL100">
        <f t="shared" si="126"/>
        <v>0.25</v>
      </c>
      <c r="BM100" t="str">
        <f t="shared" si="127"/>
        <v/>
      </c>
      <c r="BP100"/>
      <c r="BR100"/>
    </row>
    <row r="101" spans="1:70" x14ac:dyDescent="0.25">
      <c r="A101" s="1">
        <v>41444</v>
      </c>
      <c r="B101">
        <v>0.5</v>
      </c>
      <c r="C101" s="4">
        <v>41639</v>
      </c>
      <c r="D101">
        <v>1</v>
      </c>
      <c r="E101">
        <f t="shared" si="105"/>
        <v>2.6315789473684209E-2</v>
      </c>
      <c r="F101" s="4"/>
      <c r="G101">
        <v>1</v>
      </c>
      <c r="H101" t="str">
        <f t="shared" ref="H101:Y101" si="179">IF($D101&gt;G101,G101+1,"")</f>
        <v/>
      </c>
      <c r="I101" t="str">
        <f t="shared" si="179"/>
        <v/>
      </c>
      <c r="J101" t="str">
        <f t="shared" si="179"/>
        <v/>
      </c>
      <c r="K101" t="str">
        <f t="shared" si="179"/>
        <v/>
      </c>
      <c r="L101" t="str">
        <f t="shared" si="179"/>
        <v/>
      </c>
      <c r="M101" t="str">
        <f t="shared" si="179"/>
        <v/>
      </c>
      <c r="N101" t="str">
        <f t="shared" si="179"/>
        <v/>
      </c>
      <c r="O101" t="str">
        <f t="shared" si="179"/>
        <v/>
      </c>
      <c r="P101" t="str">
        <f t="shared" si="179"/>
        <v/>
      </c>
      <c r="Q101" t="str">
        <f t="shared" si="179"/>
        <v/>
      </c>
      <c r="R101" t="str">
        <f t="shared" si="179"/>
        <v/>
      </c>
      <c r="S101" t="str">
        <f t="shared" si="179"/>
        <v/>
      </c>
      <c r="T101" t="str">
        <f t="shared" si="179"/>
        <v/>
      </c>
      <c r="U101" t="str">
        <f t="shared" si="179"/>
        <v/>
      </c>
      <c r="V101" t="str">
        <f t="shared" si="179"/>
        <v/>
      </c>
      <c r="W101" t="str">
        <f t="shared" si="179"/>
        <v/>
      </c>
      <c r="X101" t="str">
        <f t="shared" si="179"/>
        <v/>
      </c>
      <c r="Y101" t="str">
        <f t="shared" si="179"/>
        <v/>
      </c>
      <c r="AA101">
        <f t="shared" si="108"/>
        <v>41639</v>
      </c>
      <c r="AB101" t="e">
        <f t="shared" si="157"/>
        <v>#N/A</v>
      </c>
      <c r="AC101" t="e">
        <f t="shared" si="158"/>
        <v>#N/A</v>
      </c>
      <c r="AD101" t="e">
        <f t="shared" si="159"/>
        <v>#N/A</v>
      </c>
      <c r="AE101" t="e">
        <f t="shared" si="141"/>
        <v>#N/A</v>
      </c>
      <c r="AF101" t="e">
        <f t="shared" si="142"/>
        <v>#N/A</v>
      </c>
      <c r="AG101" t="e">
        <f t="shared" si="143"/>
        <v>#N/A</v>
      </c>
      <c r="AH101" t="e">
        <f t="shared" si="144"/>
        <v>#N/A</v>
      </c>
      <c r="AI101" t="e">
        <f t="shared" si="145"/>
        <v>#N/A</v>
      </c>
      <c r="AJ101" t="e">
        <f t="shared" si="146"/>
        <v>#N/A</v>
      </c>
      <c r="AK101" t="e">
        <f t="shared" si="147"/>
        <v>#N/A</v>
      </c>
      <c r="AL101" t="e">
        <f t="shared" si="148"/>
        <v>#N/A</v>
      </c>
      <c r="AM101" t="e">
        <f t="shared" si="149"/>
        <v>#N/A</v>
      </c>
      <c r="AN101" t="e">
        <f t="shared" si="150"/>
        <v>#N/A</v>
      </c>
      <c r="AO101" t="e">
        <f t="shared" si="151"/>
        <v>#N/A</v>
      </c>
      <c r="AP101" t="e">
        <f t="shared" si="152"/>
        <v>#N/A</v>
      </c>
      <c r="AQ101" t="e">
        <f t="shared" si="153"/>
        <v>#N/A</v>
      </c>
      <c r="AR101" t="e">
        <f t="shared" si="154"/>
        <v>#N/A</v>
      </c>
      <c r="AS101" t="e">
        <f t="shared" si="155"/>
        <v>#N/A</v>
      </c>
      <c r="AU101">
        <f t="shared" si="109"/>
        <v>0.5</v>
      </c>
      <c r="AV101" t="str">
        <f t="shared" si="110"/>
        <v/>
      </c>
      <c r="AW101" t="str">
        <f t="shared" si="111"/>
        <v/>
      </c>
      <c r="AX101" t="str">
        <f t="shared" si="112"/>
        <v/>
      </c>
      <c r="AY101" t="str">
        <f t="shared" si="113"/>
        <v/>
      </c>
      <c r="AZ101" t="str">
        <f t="shared" si="114"/>
        <v/>
      </c>
      <c r="BA101" t="str">
        <f t="shared" si="115"/>
        <v/>
      </c>
      <c r="BB101" t="str">
        <f t="shared" si="116"/>
        <v/>
      </c>
      <c r="BC101" t="str">
        <f t="shared" si="117"/>
        <v/>
      </c>
      <c r="BD101" t="str">
        <f t="shared" si="118"/>
        <v/>
      </c>
      <c r="BE101" t="str">
        <f t="shared" si="119"/>
        <v/>
      </c>
      <c r="BF101" t="str">
        <f t="shared" si="120"/>
        <v/>
      </c>
      <c r="BG101" t="str">
        <f t="shared" si="121"/>
        <v/>
      </c>
      <c r="BH101" t="str">
        <f t="shared" si="122"/>
        <v/>
      </c>
      <c r="BI101" t="str">
        <f t="shared" si="123"/>
        <v/>
      </c>
      <c r="BJ101" t="str">
        <f t="shared" si="124"/>
        <v/>
      </c>
      <c r="BK101" t="str">
        <f t="shared" si="125"/>
        <v/>
      </c>
      <c r="BL101" t="str">
        <f t="shared" si="126"/>
        <v/>
      </c>
      <c r="BM101" t="str">
        <f t="shared" si="127"/>
        <v/>
      </c>
      <c r="BP101"/>
      <c r="BR101"/>
    </row>
    <row r="102" spans="1:70" x14ac:dyDescent="0.25">
      <c r="A102" s="1">
        <v>41444</v>
      </c>
      <c r="B102" s="2">
        <v>0.25</v>
      </c>
      <c r="C102" s="4">
        <v>42004</v>
      </c>
      <c r="D102">
        <v>15</v>
      </c>
      <c r="E102">
        <f t="shared" si="105"/>
        <v>0.19736842105263158</v>
      </c>
      <c r="F102" s="4"/>
      <c r="G102">
        <v>1</v>
      </c>
      <c r="H102">
        <f t="shared" ref="H102:Y102" si="180">IF($D102&gt;G102,G102+1,"")</f>
        <v>2</v>
      </c>
      <c r="I102">
        <f t="shared" si="180"/>
        <v>3</v>
      </c>
      <c r="J102">
        <f t="shared" si="180"/>
        <v>4</v>
      </c>
      <c r="K102">
        <f t="shared" si="180"/>
        <v>5</v>
      </c>
      <c r="L102">
        <f t="shared" si="180"/>
        <v>6</v>
      </c>
      <c r="M102">
        <f t="shared" si="180"/>
        <v>7</v>
      </c>
      <c r="N102">
        <f t="shared" si="180"/>
        <v>8</v>
      </c>
      <c r="O102">
        <f t="shared" si="180"/>
        <v>9</v>
      </c>
      <c r="P102">
        <f t="shared" si="180"/>
        <v>10</v>
      </c>
      <c r="Q102">
        <f t="shared" si="180"/>
        <v>11</v>
      </c>
      <c r="R102">
        <f t="shared" si="180"/>
        <v>12</v>
      </c>
      <c r="S102">
        <f t="shared" si="180"/>
        <v>13</v>
      </c>
      <c r="T102">
        <f t="shared" si="180"/>
        <v>14</v>
      </c>
      <c r="U102">
        <f t="shared" si="180"/>
        <v>15</v>
      </c>
      <c r="V102" t="str">
        <f t="shared" si="180"/>
        <v/>
      </c>
      <c r="W102" t="str">
        <f t="shared" si="180"/>
        <v/>
      </c>
      <c r="X102" t="str">
        <f t="shared" si="180"/>
        <v/>
      </c>
      <c r="Y102" t="str">
        <f t="shared" si="180"/>
        <v/>
      </c>
      <c r="AA102">
        <f t="shared" si="108"/>
        <v>41863.474999999999</v>
      </c>
      <c r="AB102">
        <f t="shared" si="157"/>
        <v>41883.550000000003</v>
      </c>
      <c r="AC102">
        <f t="shared" si="158"/>
        <v>41903.625</v>
      </c>
      <c r="AD102">
        <f t="shared" si="159"/>
        <v>41923.700000000004</v>
      </c>
      <c r="AE102">
        <f t="shared" si="141"/>
        <v>41943.775000000001</v>
      </c>
      <c r="AF102">
        <f t="shared" si="142"/>
        <v>41963.85</v>
      </c>
      <c r="AG102">
        <f t="shared" si="143"/>
        <v>41983.925000000003</v>
      </c>
      <c r="AH102">
        <f t="shared" si="144"/>
        <v>42004</v>
      </c>
      <c r="AI102">
        <f t="shared" si="145"/>
        <v>42024.075000000004</v>
      </c>
      <c r="AJ102">
        <f t="shared" si="146"/>
        <v>42044.15</v>
      </c>
      <c r="AK102">
        <f t="shared" si="147"/>
        <v>42064.224999999999</v>
      </c>
      <c r="AL102">
        <f t="shared" si="148"/>
        <v>42084.3</v>
      </c>
      <c r="AM102">
        <f t="shared" si="149"/>
        <v>42104.375</v>
      </c>
      <c r="AN102">
        <f t="shared" si="150"/>
        <v>42124.450000000004</v>
      </c>
      <c r="AO102">
        <f t="shared" si="151"/>
        <v>42144.525000000001</v>
      </c>
      <c r="AP102" t="e">
        <f t="shared" si="152"/>
        <v>#N/A</v>
      </c>
      <c r="AQ102" t="e">
        <f t="shared" si="153"/>
        <v>#N/A</v>
      </c>
      <c r="AR102" t="e">
        <f t="shared" si="154"/>
        <v>#N/A</v>
      </c>
      <c r="AS102" t="e">
        <f t="shared" si="155"/>
        <v>#N/A</v>
      </c>
      <c r="AU102">
        <f t="shared" si="109"/>
        <v>0.25</v>
      </c>
      <c r="AV102">
        <f t="shared" si="110"/>
        <v>0.25</v>
      </c>
      <c r="AW102">
        <f t="shared" si="111"/>
        <v>0.25</v>
      </c>
      <c r="AX102">
        <f t="shared" si="112"/>
        <v>0.25</v>
      </c>
      <c r="AY102">
        <f t="shared" si="113"/>
        <v>0.25</v>
      </c>
      <c r="AZ102">
        <f t="shared" si="114"/>
        <v>0.25</v>
      </c>
      <c r="BA102">
        <f t="shared" si="115"/>
        <v>0.25</v>
      </c>
      <c r="BB102">
        <f t="shared" si="116"/>
        <v>0.25</v>
      </c>
      <c r="BC102">
        <f t="shared" si="117"/>
        <v>0.25</v>
      </c>
      <c r="BD102">
        <f t="shared" si="118"/>
        <v>0.25</v>
      </c>
      <c r="BE102">
        <f t="shared" si="119"/>
        <v>0.25</v>
      </c>
      <c r="BF102">
        <f t="shared" si="120"/>
        <v>0.25</v>
      </c>
      <c r="BG102">
        <f t="shared" si="121"/>
        <v>0.25</v>
      </c>
      <c r="BH102">
        <f t="shared" si="122"/>
        <v>0.25</v>
      </c>
      <c r="BI102">
        <f t="shared" si="123"/>
        <v>0.25</v>
      </c>
      <c r="BJ102" t="str">
        <f t="shared" si="124"/>
        <v/>
      </c>
      <c r="BK102" t="str">
        <f t="shared" si="125"/>
        <v/>
      </c>
      <c r="BL102" t="str">
        <f t="shared" si="126"/>
        <v/>
      </c>
      <c r="BM102" t="str">
        <f t="shared" si="127"/>
        <v/>
      </c>
      <c r="BP102"/>
      <c r="BR102"/>
    </row>
    <row r="103" spans="1:70" x14ac:dyDescent="0.25">
      <c r="A103" s="1">
        <v>41444</v>
      </c>
      <c r="B103">
        <v>1</v>
      </c>
      <c r="C103" s="4">
        <v>42004</v>
      </c>
      <c r="D103">
        <v>3</v>
      </c>
      <c r="E103">
        <f t="shared" si="105"/>
        <v>0.15789473684210525</v>
      </c>
      <c r="F103" s="4"/>
      <c r="G103">
        <v>1</v>
      </c>
      <c r="H103">
        <f t="shared" ref="H103:Y103" si="181">IF($D103&gt;G103,G103+1,"")</f>
        <v>2</v>
      </c>
      <c r="I103">
        <f t="shared" si="181"/>
        <v>3</v>
      </c>
      <c r="J103" t="str">
        <f t="shared" si="181"/>
        <v/>
      </c>
      <c r="K103" t="str">
        <f t="shared" si="181"/>
        <v/>
      </c>
      <c r="L103" t="str">
        <f t="shared" si="181"/>
        <v/>
      </c>
      <c r="M103" t="str">
        <f t="shared" si="181"/>
        <v/>
      </c>
      <c r="N103" t="str">
        <f t="shared" si="181"/>
        <v/>
      </c>
      <c r="O103" t="str">
        <f t="shared" si="181"/>
        <v/>
      </c>
      <c r="P103" t="str">
        <f t="shared" si="181"/>
        <v/>
      </c>
      <c r="Q103" t="str">
        <f t="shared" si="181"/>
        <v/>
      </c>
      <c r="R103" t="str">
        <f t="shared" si="181"/>
        <v/>
      </c>
      <c r="S103" t="str">
        <f t="shared" si="181"/>
        <v/>
      </c>
      <c r="T103" t="str">
        <f t="shared" si="181"/>
        <v/>
      </c>
      <c r="U103" t="str">
        <f t="shared" si="181"/>
        <v/>
      </c>
      <c r="V103" t="str">
        <f t="shared" si="181"/>
        <v/>
      </c>
      <c r="W103" t="str">
        <f t="shared" si="181"/>
        <v/>
      </c>
      <c r="X103" t="str">
        <f t="shared" si="181"/>
        <v/>
      </c>
      <c r="Y103" t="str">
        <f t="shared" si="181"/>
        <v/>
      </c>
      <c r="AA103">
        <f t="shared" si="108"/>
        <v>41983.924999999996</v>
      </c>
      <c r="AB103">
        <f t="shared" si="157"/>
        <v>42004</v>
      </c>
      <c r="AC103">
        <f t="shared" si="158"/>
        <v>42024.074999999997</v>
      </c>
      <c r="AD103" t="e">
        <f t="shared" si="159"/>
        <v>#N/A</v>
      </c>
      <c r="AE103" t="e">
        <f t="shared" si="141"/>
        <v>#N/A</v>
      </c>
      <c r="AF103" t="e">
        <f t="shared" si="142"/>
        <v>#N/A</v>
      </c>
      <c r="AG103" t="e">
        <f t="shared" si="143"/>
        <v>#N/A</v>
      </c>
      <c r="AH103" t="e">
        <f t="shared" si="144"/>
        <v>#N/A</v>
      </c>
      <c r="AI103" t="e">
        <f t="shared" si="145"/>
        <v>#N/A</v>
      </c>
      <c r="AJ103" t="e">
        <f t="shared" si="146"/>
        <v>#N/A</v>
      </c>
      <c r="AK103" t="e">
        <f t="shared" si="147"/>
        <v>#N/A</v>
      </c>
      <c r="AL103" t="e">
        <f t="shared" si="148"/>
        <v>#N/A</v>
      </c>
      <c r="AM103" t="e">
        <f t="shared" si="149"/>
        <v>#N/A</v>
      </c>
      <c r="AN103" t="e">
        <f t="shared" si="150"/>
        <v>#N/A</v>
      </c>
      <c r="AO103" t="e">
        <f t="shared" si="151"/>
        <v>#N/A</v>
      </c>
      <c r="AP103" t="e">
        <f t="shared" si="152"/>
        <v>#N/A</v>
      </c>
      <c r="AQ103" t="e">
        <f t="shared" si="153"/>
        <v>#N/A</v>
      </c>
      <c r="AR103" t="e">
        <f t="shared" si="154"/>
        <v>#N/A</v>
      </c>
      <c r="AS103" t="e">
        <f t="shared" si="155"/>
        <v>#N/A</v>
      </c>
      <c r="AU103">
        <f t="shared" si="109"/>
        <v>1</v>
      </c>
      <c r="AV103">
        <f t="shared" si="110"/>
        <v>1</v>
      </c>
      <c r="AW103">
        <f t="shared" si="111"/>
        <v>1</v>
      </c>
      <c r="AX103" t="str">
        <f t="shared" si="112"/>
        <v/>
      </c>
      <c r="AY103" t="str">
        <f t="shared" si="113"/>
        <v/>
      </c>
      <c r="AZ103" t="str">
        <f t="shared" si="114"/>
        <v/>
      </c>
      <c r="BA103" t="str">
        <f t="shared" si="115"/>
        <v/>
      </c>
      <c r="BB103" t="str">
        <f t="shared" si="116"/>
        <v/>
      </c>
      <c r="BC103" t="str">
        <f t="shared" si="117"/>
        <v/>
      </c>
      <c r="BD103" t="str">
        <f t="shared" si="118"/>
        <v/>
      </c>
      <c r="BE103" t="str">
        <f t="shared" si="119"/>
        <v/>
      </c>
      <c r="BF103" t="str">
        <f t="shared" si="120"/>
        <v/>
      </c>
      <c r="BG103" t="str">
        <f t="shared" si="121"/>
        <v/>
      </c>
      <c r="BH103" t="str">
        <f t="shared" si="122"/>
        <v/>
      </c>
      <c r="BI103" t="str">
        <f t="shared" si="123"/>
        <v/>
      </c>
      <c r="BJ103" t="str">
        <f t="shared" si="124"/>
        <v/>
      </c>
      <c r="BK103" t="str">
        <f t="shared" si="125"/>
        <v/>
      </c>
      <c r="BL103" t="str">
        <f t="shared" si="126"/>
        <v/>
      </c>
      <c r="BM103" t="str">
        <f t="shared" si="127"/>
        <v/>
      </c>
      <c r="BP103"/>
      <c r="BR103"/>
    </row>
    <row r="104" spans="1:70" x14ac:dyDescent="0.25">
      <c r="A104" s="1">
        <v>41444</v>
      </c>
      <c r="B104">
        <v>1.5</v>
      </c>
      <c r="C104" s="4">
        <v>42004</v>
      </c>
      <c r="D104">
        <v>1</v>
      </c>
      <c r="E104">
        <f t="shared" si="105"/>
        <v>7.8947368421052627E-2</v>
      </c>
      <c r="F104" s="4"/>
      <c r="G104">
        <v>1</v>
      </c>
      <c r="H104" t="str">
        <f t="shared" ref="H104:Y104" si="182">IF($D104&gt;G104,G104+1,"")</f>
        <v/>
      </c>
      <c r="I104" t="str">
        <f t="shared" si="182"/>
        <v/>
      </c>
      <c r="J104" t="str">
        <f t="shared" si="182"/>
        <v/>
      </c>
      <c r="K104" t="str">
        <f t="shared" si="182"/>
        <v/>
      </c>
      <c r="L104" t="str">
        <f t="shared" si="182"/>
        <v/>
      </c>
      <c r="M104" t="str">
        <f t="shared" si="182"/>
        <v/>
      </c>
      <c r="N104" t="str">
        <f t="shared" si="182"/>
        <v/>
      </c>
      <c r="O104" t="str">
        <f t="shared" si="182"/>
        <v/>
      </c>
      <c r="P104" t="str">
        <f t="shared" si="182"/>
        <v/>
      </c>
      <c r="Q104" t="str">
        <f t="shared" si="182"/>
        <v/>
      </c>
      <c r="R104" t="str">
        <f t="shared" si="182"/>
        <v/>
      </c>
      <c r="S104" t="str">
        <f t="shared" si="182"/>
        <v/>
      </c>
      <c r="T104" t="str">
        <f t="shared" si="182"/>
        <v/>
      </c>
      <c r="U104" t="str">
        <f t="shared" si="182"/>
        <v/>
      </c>
      <c r="V104" t="str">
        <f t="shared" si="182"/>
        <v/>
      </c>
      <c r="W104" t="str">
        <f t="shared" si="182"/>
        <v/>
      </c>
      <c r="X104" t="str">
        <f t="shared" si="182"/>
        <v/>
      </c>
      <c r="Y104" t="str">
        <f t="shared" si="182"/>
        <v/>
      </c>
      <c r="AA104">
        <f t="shared" si="108"/>
        <v>42004</v>
      </c>
      <c r="AB104" t="e">
        <f t="shared" si="157"/>
        <v>#N/A</v>
      </c>
      <c r="AC104" t="e">
        <f t="shared" si="158"/>
        <v>#N/A</v>
      </c>
      <c r="AD104" t="e">
        <f t="shared" si="159"/>
        <v>#N/A</v>
      </c>
      <c r="AE104" t="e">
        <f t="shared" si="141"/>
        <v>#N/A</v>
      </c>
      <c r="AF104" t="e">
        <f t="shared" si="142"/>
        <v>#N/A</v>
      </c>
      <c r="AG104" t="e">
        <f t="shared" si="143"/>
        <v>#N/A</v>
      </c>
      <c r="AH104" t="e">
        <f t="shared" si="144"/>
        <v>#N/A</v>
      </c>
      <c r="AI104" t="e">
        <f t="shared" si="145"/>
        <v>#N/A</v>
      </c>
      <c r="AJ104" t="e">
        <f t="shared" si="146"/>
        <v>#N/A</v>
      </c>
      <c r="AK104" t="e">
        <f t="shared" si="147"/>
        <v>#N/A</v>
      </c>
      <c r="AL104" t="e">
        <f t="shared" si="148"/>
        <v>#N/A</v>
      </c>
      <c r="AM104" t="e">
        <f t="shared" si="149"/>
        <v>#N/A</v>
      </c>
      <c r="AN104" t="e">
        <f t="shared" si="150"/>
        <v>#N/A</v>
      </c>
      <c r="AO104" t="e">
        <f t="shared" si="151"/>
        <v>#N/A</v>
      </c>
      <c r="AP104" t="e">
        <f t="shared" si="152"/>
        <v>#N/A</v>
      </c>
      <c r="AQ104" t="e">
        <f t="shared" si="153"/>
        <v>#N/A</v>
      </c>
      <c r="AR104" t="e">
        <f t="shared" si="154"/>
        <v>#N/A</v>
      </c>
      <c r="AS104" t="e">
        <f t="shared" si="155"/>
        <v>#N/A</v>
      </c>
      <c r="AU104">
        <f t="shared" si="109"/>
        <v>1.5</v>
      </c>
      <c r="AV104" t="str">
        <f t="shared" si="110"/>
        <v/>
      </c>
      <c r="AW104" t="str">
        <f t="shared" si="111"/>
        <v/>
      </c>
      <c r="AX104" t="str">
        <f t="shared" si="112"/>
        <v/>
      </c>
      <c r="AY104" t="str">
        <f t="shared" si="113"/>
        <v/>
      </c>
      <c r="AZ104" t="str">
        <f t="shared" si="114"/>
        <v/>
      </c>
      <c r="BA104" t="str">
        <f t="shared" si="115"/>
        <v/>
      </c>
      <c r="BB104" t="str">
        <f t="shared" si="116"/>
        <v/>
      </c>
      <c r="BC104" t="str">
        <f t="shared" si="117"/>
        <v/>
      </c>
      <c r="BD104" t="str">
        <f t="shared" si="118"/>
        <v/>
      </c>
      <c r="BE104" t="str">
        <f t="shared" si="119"/>
        <v/>
      </c>
      <c r="BF104" t="str">
        <f t="shared" si="120"/>
        <v/>
      </c>
      <c r="BG104" t="str">
        <f t="shared" si="121"/>
        <v/>
      </c>
      <c r="BH104" t="str">
        <f t="shared" si="122"/>
        <v/>
      </c>
      <c r="BI104" t="str">
        <f t="shared" si="123"/>
        <v/>
      </c>
      <c r="BJ104" t="str">
        <f t="shared" si="124"/>
        <v/>
      </c>
      <c r="BK104" t="str">
        <f t="shared" si="125"/>
        <v/>
      </c>
      <c r="BL104" t="str">
        <f t="shared" si="126"/>
        <v/>
      </c>
      <c r="BM104" t="str">
        <f t="shared" si="127"/>
        <v/>
      </c>
      <c r="BP104"/>
      <c r="BR104"/>
    </row>
    <row r="105" spans="1:70" x14ac:dyDescent="0.25">
      <c r="A105" s="1">
        <v>41444</v>
      </c>
      <c r="B105" s="2">
        <v>0.25</v>
      </c>
      <c r="C105" s="4">
        <v>42369</v>
      </c>
      <c r="D105">
        <v>1</v>
      </c>
      <c r="E105">
        <f t="shared" si="105"/>
        <v>1.3157894736842105E-2</v>
      </c>
      <c r="F105" s="4"/>
      <c r="G105">
        <v>1</v>
      </c>
      <c r="H105" t="str">
        <f t="shared" ref="H105:Y105" si="183">IF($D105&gt;G105,G105+1,"")</f>
        <v/>
      </c>
      <c r="I105" t="str">
        <f t="shared" si="183"/>
        <v/>
      </c>
      <c r="J105" t="str">
        <f t="shared" si="183"/>
        <v/>
      </c>
      <c r="K105" t="str">
        <f t="shared" si="183"/>
        <v/>
      </c>
      <c r="L105" t="str">
        <f t="shared" si="183"/>
        <v/>
      </c>
      <c r="M105" t="str">
        <f t="shared" si="183"/>
        <v/>
      </c>
      <c r="N105" t="str">
        <f t="shared" si="183"/>
        <v/>
      </c>
      <c r="O105" t="str">
        <f t="shared" si="183"/>
        <v/>
      </c>
      <c r="P105" t="str">
        <f t="shared" si="183"/>
        <v/>
      </c>
      <c r="Q105" t="str">
        <f t="shared" si="183"/>
        <v/>
      </c>
      <c r="R105" t="str">
        <f t="shared" si="183"/>
        <v/>
      </c>
      <c r="S105" t="str">
        <f t="shared" si="183"/>
        <v/>
      </c>
      <c r="T105" t="str">
        <f t="shared" si="183"/>
        <v/>
      </c>
      <c r="U105" t="str">
        <f t="shared" si="183"/>
        <v/>
      </c>
      <c r="V105" t="str">
        <f t="shared" si="183"/>
        <v/>
      </c>
      <c r="W105" t="str">
        <f t="shared" si="183"/>
        <v/>
      </c>
      <c r="X105" t="str">
        <f t="shared" si="183"/>
        <v/>
      </c>
      <c r="Y105" t="str">
        <f t="shared" si="183"/>
        <v/>
      </c>
      <c r="AA105">
        <f t="shared" si="108"/>
        <v>42369</v>
      </c>
      <c r="AB105" t="e">
        <f t="shared" si="157"/>
        <v>#N/A</v>
      </c>
      <c r="AC105" t="e">
        <f t="shared" si="158"/>
        <v>#N/A</v>
      </c>
      <c r="AD105" t="e">
        <f t="shared" si="159"/>
        <v>#N/A</v>
      </c>
      <c r="AE105" t="e">
        <f t="shared" si="141"/>
        <v>#N/A</v>
      </c>
      <c r="AF105" t="e">
        <f t="shared" si="142"/>
        <v>#N/A</v>
      </c>
      <c r="AG105" t="e">
        <f t="shared" si="143"/>
        <v>#N/A</v>
      </c>
      <c r="AH105" t="e">
        <f t="shared" si="144"/>
        <v>#N/A</v>
      </c>
      <c r="AI105" t="e">
        <f t="shared" si="145"/>
        <v>#N/A</v>
      </c>
      <c r="AJ105" t="e">
        <f t="shared" si="146"/>
        <v>#N/A</v>
      </c>
      <c r="AK105" t="e">
        <f t="shared" si="147"/>
        <v>#N/A</v>
      </c>
      <c r="AL105" t="e">
        <f t="shared" si="148"/>
        <v>#N/A</v>
      </c>
      <c r="AM105" t="e">
        <f t="shared" si="149"/>
        <v>#N/A</v>
      </c>
      <c r="AN105" t="e">
        <f t="shared" si="150"/>
        <v>#N/A</v>
      </c>
      <c r="AO105" t="e">
        <f t="shared" si="151"/>
        <v>#N/A</v>
      </c>
      <c r="AP105" t="e">
        <f t="shared" si="152"/>
        <v>#N/A</v>
      </c>
      <c r="AQ105" t="e">
        <f t="shared" si="153"/>
        <v>#N/A</v>
      </c>
      <c r="AR105" t="e">
        <f t="shared" si="154"/>
        <v>#N/A</v>
      </c>
      <c r="AS105" t="e">
        <f t="shared" si="155"/>
        <v>#N/A</v>
      </c>
      <c r="AU105">
        <f t="shared" si="109"/>
        <v>0.25</v>
      </c>
      <c r="AV105" t="str">
        <f t="shared" si="110"/>
        <v/>
      </c>
      <c r="AW105" t="str">
        <f t="shared" si="111"/>
        <v/>
      </c>
      <c r="AX105" t="str">
        <f t="shared" si="112"/>
        <v/>
      </c>
      <c r="AY105" t="str">
        <f t="shared" si="113"/>
        <v/>
      </c>
      <c r="AZ105" t="str">
        <f t="shared" si="114"/>
        <v/>
      </c>
      <c r="BA105" t="str">
        <f t="shared" si="115"/>
        <v/>
      </c>
      <c r="BB105" t="str">
        <f t="shared" si="116"/>
        <v/>
      </c>
      <c r="BC105" t="str">
        <f t="shared" si="117"/>
        <v/>
      </c>
      <c r="BD105" t="str">
        <f t="shared" si="118"/>
        <v/>
      </c>
      <c r="BE105" t="str">
        <f t="shared" si="119"/>
        <v/>
      </c>
      <c r="BF105" t="str">
        <f t="shared" si="120"/>
        <v/>
      </c>
      <c r="BG105" t="str">
        <f t="shared" si="121"/>
        <v/>
      </c>
      <c r="BH105" t="str">
        <f t="shared" si="122"/>
        <v/>
      </c>
      <c r="BI105" t="str">
        <f t="shared" si="123"/>
        <v/>
      </c>
      <c r="BJ105" t="str">
        <f t="shared" si="124"/>
        <v/>
      </c>
      <c r="BK105" t="str">
        <f t="shared" si="125"/>
        <v/>
      </c>
      <c r="BL105" t="str">
        <f t="shared" si="126"/>
        <v/>
      </c>
      <c r="BM105" t="str">
        <f t="shared" si="127"/>
        <v/>
      </c>
      <c r="BP105"/>
      <c r="BR105"/>
    </row>
    <row r="106" spans="1:70" x14ac:dyDescent="0.25">
      <c r="A106" s="1">
        <v>41444</v>
      </c>
      <c r="B106">
        <v>0.5</v>
      </c>
      <c r="C106" s="4">
        <v>42369</v>
      </c>
      <c r="D106">
        <v>2</v>
      </c>
      <c r="E106">
        <f t="shared" si="105"/>
        <v>5.2631578947368418E-2</v>
      </c>
      <c r="F106" s="4"/>
      <c r="G106">
        <v>1</v>
      </c>
      <c r="H106">
        <f t="shared" ref="H106:Y106" si="184">IF($D106&gt;G106,G106+1,"")</f>
        <v>2</v>
      </c>
      <c r="I106" t="str">
        <f t="shared" si="184"/>
        <v/>
      </c>
      <c r="J106" t="str">
        <f t="shared" si="184"/>
        <v/>
      </c>
      <c r="K106" t="str">
        <f t="shared" si="184"/>
        <v/>
      </c>
      <c r="L106" t="str">
        <f t="shared" si="184"/>
        <v/>
      </c>
      <c r="M106" t="str">
        <f t="shared" si="184"/>
        <v/>
      </c>
      <c r="N106" t="str">
        <f t="shared" si="184"/>
        <v/>
      </c>
      <c r="O106" t="str">
        <f t="shared" si="184"/>
        <v/>
      </c>
      <c r="P106" t="str">
        <f t="shared" si="184"/>
        <v/>
      </c>
      <c r="Q106" t="str">
        <f t="shared" si="184"/>
        <v/>
      </c>
      <c r="R106" t="str">
        <f t="shared" si="184"/>
        <v/>
      </c>
      <c r="S106" t="str">
        <f t="shared" si="184"/>
        <v/>
      </c>
      <c r="T106" t="str">
        <f t="shared" si="184"/>
        <v/>
      </c>
      <c r="U106" t="str">
        <f t="shared" si="184"/>
        <v/>
      </c>
      <c r="V106" t="str">
        <f t="shared" si="184"/>
        <v/>
      </c>
      <c r="W106" t="str">
        <f t="shared" si="184"/>
        <v/>
      </c>
      <c r="X106" t="str">
        <f t="shared" si="184"/>
        <v/>
      </c>
      <c r="Y106" t="str">
        <f t="shared" si="184"/>
        <v/>
      </c>
      <c r="AA106">
        <f t="shared" si="108"/>
        <v>42358.962500000001</v>
      </c>
      <c r="AB106">
        <f t="shared" si="157"/>
        <v>42379.037500000006</v>
      </c>
      <c r="AC106" t="e">
        <f t="shared" si="158"/>
        <v>#N/A</v>
      </c>
      <c r="AD106" t="e">
        <f t="shared" si="159"/>
        <v>#N/A</v>
      </c>
      <c r="AE106" t="e">
        <f t="shared" si="141"/>
        <v>#N/A</v>
      </c>
      <c r="AF106" t="e">
        <f t="shared" si="142"/>
        <v>#N/A</v>
      </c>
      <c r="AG106" t="e">
        <f t="shared" si="143"/>
        <v>#N/A</v>
      </c>
      <c r="AH106" t="e">
        <f t="shared" si="144"/>
        <v>#N/A</v>
      </c>
      <c r="AI106" t="e">
        <f t="shared" si="145"/>
        <v>#N/A</v>
      </c>
      <c r="AJ106" t="e">
        <f t="shared" si="146"/>
        <v>#N/A</v>
      </c>
      <c r="AK106" t="e">
        <f t="shared" si="147"/>
        <v>#N/A</v>
      </c>
      <c r="AL106" t="e">
        <f t="shared" si="148"/>
        <v>#N/A</v>
      </c>
      <c r="AM106" t="e">
        <f t="shared" si="149"/>
        <v>#N/A</v>
      </c>
      <c r="AN106" t="e">
        <f t="shared" si="150"/>
        <v>#N/A</v>
      </c>
      <c r="AO106" t="e">
        <f t="shared" si="151"/>
        <v>#N/A</v>
      </c>
      <c r="AP106" t="e">
        <f t="shared" si="152"/>
        <v>#N/A</v>
      </c>
      <c r="AQ106" t="e">
        <f t="shared" si="153"/>
        <v>#N/A</v>
      </c>
      <c r="AR106" t="e">
        <f t="shared" si="154"/>
        <v>#N/A</v>
      </c>
      <c r="AS106" t="e">
        <f t="shared" si="155"/>
        <v>#N/A</v>
      </c>
      <c r="AU106">
        <f t="shared" si="109"/>
        <v>0.5</v>
      </c>
      <c r="AV106">
        <f t="shared" si="110"/>
        <v>0.5</v>
      </c>
      <c r="AW106" t="str">
        <f t="shared" si="111"/>
        <v/>
      </c>
      <c r="AX106" t="str">
        <f t="shared" si="112"/>
        <v/>
      </c>
      <c r="AY106" t="str">
        <f t="shared" si="113"/>
        <v/>
      </c>
      <c r="AZ106" t="str">
        <f t="shared" si="114"/>
        <v/>
      </c>
      <c r="BA106" t="str">
        <f t="shared" si="115"/>
        <v/>
      </c>
      <c r="BB106" t="str">
        <f t="shared" si="116"/>
        <v/>
      </c>
      <c r="BC106" t="str">
        <f t="shared" si="117"/>
        <v/>
      </c>
      <c r="BD106" t="str">
        <f t="shared" si="118"/>
        <v/>
      </c>
      <c r="BE106" t="str">
        <f t="shared" si="119"/>
        <v/>
      </c>
      <c r="BF106" t="str">
        <f t="shared" si="120"/>
        <v/>
      </c>
      <c r="BG106" t="str">
        <f t="shared" si="121"/>
        <v/>
      </c>
      <c r="BH106" t="str">
        <f t="shared" si="122"/>
        <v/>
      </c>
      <c r="BI106" t="str">
        <f t="shared" si="123"/>
        <v/>
      </c>
      <c r="BJ106" t="str">
        <f t="shared" si="124"/>
        <v/>
      </c>
      <c r="BK106" t="str">
        <f t="shared" si="125"/>
        <v/>
      </c>
      <c r="BL106" t="str">
        <f t="shared" si="126"/>
        <v/>
      </c>
      <c r="BM106" t="str">
        <f t="shared" si="127"/>
        <v/>
      </c>
      <c r="BP106"/>
      <c r="BR106"/>
    </row>
    <row r="107" spans="1:70" x14ac:dyDescent="0.25">
      <c r="A107" s="1">
        <v>41444</v>
      </c>
      <c r="B107">
        <v>0.75</v>
      </c>
      <c r="C107" s="4">
        <v>42369</v>
      </c>
      <c r="D107">
        <v>3</v>
      </c>
      <c r="E107">
        <f t="shared" si="105"/>
        <v>0.11842105263157894</v>
      </c>
      <c r="F107" s="4"/>
      <c r="G107">
        <v>1</v>
      </c>
      <c r="H107">
        <f t="shared" ref="H107:Y107" si="185">IF($D107&gt;G107,G107+1,"")</f>
        <v>2</v>
      </c>
      <c r="I107">
        <f t="shared" si="185"/>
        <v>3</v>
      </c>
      <c r="J107" t="str">
        <f t="shared" si="185"/>
        <v/>
      </c>
      <c r="K107" t="str">
        <f t="shared" si="185"/>
        <v/>
      </c>
      <c r="L107" t="str">
        <f t="shared" si="185"/>
        <v/>
      </c>
      <c r="M107" t="str">
        <f t="shared" si="185"/>
        <v/>
      </c>
      <c r="N107" t="str">
        <f t="shared" si="185"/>
        <v/>
      </c>
      <c r="O107" t="str">
        <f t="shared" si="185"/>
        <v/>
      </c>
      <c r="P107" t="str">
        <f t="shared" si="185"/>
        <v/>
      </c>
      <c r="Q107" t="str">
        <f t="shared" si="185"/>
        <v/>
      </c>
      <c r="R107" t="str">
        <f t="shared" si="185"/>
        <v/>
      </c>
      <c r="S107" t="str">
        <f t="shared" si="185"/>
        <v/>
      </c>
      <c r="T107" t="str">
        <f t="shared" si="185"/>
        <v/>
      </c>
      <c r="U107" t="str">
        <f t="shared" si="185"/>
        <v/>
      </c>
      <c r="V107" t="str">
        <f t="shared" si="185"/>
        <v/>
      </c>
      <c r="W107" t="str">
        <f t="shared" si="185"/>
        <v/>
      </c>
      <c r="X107" t="str">
        <f t="shared" si="185"/>
        <v/>
      </c>
      <c r="Y107" t="str">
        <f t="shared" si="185"/>
        <v/>
      </c>
      <c r="AA107">
        <f t="shared" si="108"/>
        <v>42348.924999999996</v>
      </c>
      <c r="AB107">
        <f t="shared" si="157"/>
        <v>42369</v>
      </c>
      <c r="AC107">
        <f t="shared" si="158"/>
        <v>42389.074999999997</v>
      </c>
      <c r="AD107" t="e">
        <f t="shared" si="159"/>
        <v>#N/A</v>
      </c>
      <c r="AE107" t="e">
        <f t="shared" si="141"/>
        <v>#N/A</v>
      </c>
      <c r="AF107" t="e">
        <f t="shared" si="142"/>
        <v>#N/A</v>
      </c>
      <c r="AG107" t="e">
        <f t="shared" si="143"/>
        <v>#N/A</v>
      </c>
      <c r="AH107" t="e">
        <f t="shared" si="144"/>
        <v>#N/A</v>
      </c>
      <c r="AI107" t="e">
        <f t="shared" si="145"/>
        <v>#N/A</v>
      </c>
      <c r="AJ107" t="e">
        <f t="shared" si="146"/>
        <v>#N/A</v>
      </c>
      <c r="AK107" t="e">
        <f t="shared" si="147"/>
        <v>#N/A</v>
      </c>
      <c r="AL107" t="e">
        <f t="shared" si="148"/>
        <v>#N/A</v>
      </c>
      <c r="AM107" t="e">
        <f t="shared" si="149"/>
        <v>#N/A</v>
      </c>
      <c r="AN107" t="e">
        <f t="shared" si="150"/>
        <v>#N/A</v>
      </c>
      <c r="AO107" t="e">
        <f t="shared" si="151"/>
        <v>#N/A</v>
      </c>
      <c r="AP107" t="e">
        <f t="shared" si="152"/>
        <v>#N/A</v>
      </c>
      <c r="AQ107" t="e">
        <f t="shared" si="153"/>
        <v>#N/A</v>
      </c>
      <c r="AR107" t="e">
        <f t="shared" si="154"/>
        <v>#N/A</v>
      </c>
      <c r="AS107" t="e">
        <f t="shared" si="155"/>
        <v>#N/A</v>
      </c>
      <c r="AU107">
        <f t="shared" si="109"/>
        <v>0.75</v>
      </c>
      <c r="AV107">
        <f t="shared" si="110"/>
        <v>0.75</v>
      </c>
      <c r="AW107">
        <f t="shared" si="111"/>
        <v>0.75</v>
      </c>
      <c r="AX107" t="str">
        <f t="shared" si="112"/>
        <v/>
      </c>
      <c r="AY107" t="str">
        <f t="shared" si="113"/>
        <v/>
      </c>
      <c r="AZ107" t="str">
        <f t="shared" si="114"/>
        <v/>
      </c>
      <c r="BA107" t="str">
        <f t="shared" si="115"/>
        <v/>
      </c>
      <c r="BB107" t="str">
        <f t="shared" si="116"/>
        <v/>
      </c>
      <c r="BC107" t="str">
        <f t="shared" si="117"/>
        <v/>
      </c>
      <c r="BD107" t="str">
        <f t="shared" si="118"/>
        <v/>
      </c>
      <c r="BE107" t="str">
        <f t="shared" si="119"/>
        <v/>
      </c>
      <c r="BF107" t="str">
        <f t="shared" si="120"/>
        <v/>
      </c>
      <c r="BG107" t="str">
        <f t="shared" si="121"/>
        <v/>
      </c>
      <c r="BH107" t="str">
        <f t="shared" si="122"/>
        <v/>
      </c>
      <c r="BI107" t="str">
        <f t="shared" si="123"/>
        <v/>
      </c>
      <c r="BJ107" t="str">
        <f t="shared" si="124"/>
        <v/>
      </c>
      <c r="BK107" t="str">
        <f t="shared" si="125"/>
        <v/>
      </c>
      <c r="BL107" t="str">
        <f t="shared" si="126"/>
        <v/>
      </c>
      <c r="BM107" t="str">
        <f t="shared" si="127"/>
        <v/>
      </c>
      <c r="BP107"/>
      <c r="BR107"/>
    </row>
    <row r="108" spans="1:70" x14ac:dyDescent="0.25">
      <c r="A108" s="1">
        <v>41444</v>
      </c>
      <c r="B108">
        <v>1</v>
      </c>
      <c r="C108" s="4">
        <v>42369</v>
      </c>
      <c r="D108">
        <v>4</v>
      </c>
      <c r="E108">
        <f t="shared" si="105"/>
        <v>0.21052631578947367</v>
      </c>
      <c r="F108" s="4"/>
      <c r="G108">
        <v>1</v>
      </c>
      <c r="H108">
        <f t="shared" ref="H108:Y108" si="186">IF($D108&gt;G108,G108+1,"")</f>
        <v>2</v>
      </c>
      <c r="I108">
        <f t="shared" si="186"/>
        <v>3</v>
      </c>
      <c r="J108">
        <f t="shared" si="186"/>
        <v>4</v>
      </c>
      <c r="K108" t="str">
        <f t="shared" si="186"/>
        <v/>
      </c>
      <c r="L108" t="str">
        <f t="shared" si="186"/>
        <v/>
      </c>
      <c r="M108" t="str">
        <f t="shared" si="186"/>
        <v/>
      </c>
      <c r="N108" t="str">
        <f t="shared" si="186"/>
        <v/>
      </c>
      <c r="O108" t="str">
        <f t="shared" si="186"/>
        <v/>
      </c>
      <c r="P108" t="str">
        <f t="shared" si="186"/>
        <v/>
      </c>
      <c r="Q108" t="str">
        <f t="shared" si="186"/>
        <v/>
      </c>
      <c r="R108" t="str">
        <f t="shared" si="186"/>
        <v/>
      </c>
      <c r="S108" t="str">
        <f t="shared" si="186"/>
        <v/>
      </c>
      <c r="T108" t="str">
        <f t="shared" si="186"/>
        <v/>
      </c>
      <c r="U108" t="str">
        <f t="shared" si="186"/>
        <v/>
      </c>
      <c r="V108" t="str">
        <f t="shared" si="186"/>
        <v/>
      </c>
      <c r="W108" t="str">
        <f t="shared" si="186"/>
        <v/>
      </c>
      <c r="X108" t="str">
        <f t="shared" si="186"/>
        <v/>
      </c>
      <c r="Y108" t="str">
        <f t="shared" si="186"/>
        <v/>
      </c>
      <c r="AA108">
        <f t="shared" si="108"/>
        <v>42338.887499999997</v>
      </c>
      <c r="AB108">
        <f t="shared" si="157"/>
        <v>42358.962500000001</v>
      </c>
      <c r="AC108">
        <f t="shared" si="158"/>
        <v>42379.037499999999</v>
      </c>
      <c r="AD108">
        <f t="shared" si="159"/>
        <v>42399.112500000003</v>
      </c>
      <c r="AE108" t="e">
        <f t="shared" si="141"/>
        <v>#N/A</v>
      </c>
      <c r="AF108" t="e">
        <f t="shared" si="142"/>
        <v>#N/A</v>
      </c>
      <c r="AG108" t="e">
        <f t="shared" si="143"/>
        <v>#N/A</v>
      </c>
      <c r="AH108" t="e">
        <f t="shared" si="144"/>
        <v>#N/A</v>
      </c>
      <c r="AI108" t="e">
        <f t="shared" si="145"/>
        <v>#N/A</v>
      </c>
      <c r="AJ108" t="e">
        <f t="shared" si="146"/>
        <v>#N/A</v>
      </c>
      <c r="AK108" t="e">
        <f t="shared" si="147"/>
        <v>#N/A</v>
      </c>
      <c r="AL108" t="e">
        <f t="shared" si="148"/>
        <v>#N/A</v>
      </c>
      <c r="AM108" t="e">
        <f t="shared" si="149"/>
        <v>#N/A</v>
      </c>
      <c r="AN108" t="e">
        <f t="shared" si="150"/>
        <v>#N/A</v>
      </c>
      <c r="AO108" t="e">
        <f t="shared" si="151"/>
        <v>#N/A</v>
      </c>
      <c r="AP108" t="e">
        <f t="shared" si="152"/>
        <v>#N/A</v>
      </c>
      <c r="AQ108" t="e">
        <f t="shared" si="153"/>
        <v>#N/A</v>
      </c>
      <c r="AR108" t="e">
        <f t="shared" si="154"/>
        <v>#N/A</v>
      </c>
      <c r="AS108" t="e">
        <f t="shared" si="155"/>
        <v>#N/A</v>
      </c>
      <c r="AU108">
        <f t="shared" si="109"/>
        <v>1</v>
      </c>
      <c r="AV108">
        <f t="shared" si="110"/>
        <v>1</v>
      </c>
      <c r="AW108">
        <f t="shared" si="111"/>
        <v>1</v>
      </c>
      <c r="AX108">
        <f t="shared" si="112"/>
        <v>1</v>
      </c>
      <c r="AY108" t="str">
        <f t="shared" si="113"/>
        <v/>
      </c>
      <c r="AZ108" t="str">
        <f t="shared" si="114"/>
        <v/>
      </c>
      <c r="BA108" t="str">
        <f t="shared" si="115"/>
        <v/>
      </c>
      <c r="BB108" t="str">
        <f t="shared" si="116"/>
        <v/>
      </c>
      <c r="BC108" t="str">
        <f t="shared" si="117"/>
        <v/>
      </c>
      <c r="BD108" t="str">
        <f t="shared" si="118"/>
        <v/>
      </c>
      <c r="BE108" t="str">
        <f t="shared" si="119"/>
        <v/>
      </c>
      <c r="BF108" t="str">
        <f t="shared" si="120"/>
        <v/>
      </c>
      <c r="BG108" t="str">
        <f t="shared" si="121"/>
        <v/>
      </c>
      <c r="BH108" t="str">
        <f t="shared" si="122"/>
        <v/>
      </c>
      <c r="BI108" t="str">
        <f t="shared" si="123"/>
        <v/>
      </c>
      <c r="BJ108" t="str">
        <f t="shared" si="124"/>
        <v/>
      </c>
      <c r="BK108" t="str">
        <f t="shared" si="125"/>
        <v/>
      </c>
      <c r="BL108" t="str">
        <f t="shared" si="126"/>
        <v/>
      </c>
      <c r="BM108" t="str">
        <f t="shared" si="127"/>
        <v/>
      </c>
      <c r="BP108"/>
      <c r="BR108"/>
    </row>
    <row r="109" spans="1:70" x14ac:dyDescent="0.25">
      <c r="A109" s="1">
        <v>41444</v>
      </c>
      <c r="B109">
        <v>1.25</v>
      </c>
      <c r="C109" s="4">
        <v>42369</v>
      </c>
      <c r="D109">
        <v>2</v>
      </c>
      <c r="E109">
        <f t="shared" si="105"/>
        <v>0.13157894736842105</v>
      </c>
      <c r="F109" s="4"/>
      <c r="G109">
        <v>1</v>
      </c>
      <c r="H109">
        <f t="shared" ref="H109:Y109" si="187">IF($D109&gt;G109,G109+1,"")</f>
        <v>2</v>
      </c>
      <c r="I109" t="str">
        <f t="shared" si="187"/>
        <v/>
      </c>
      <c r="J109" t="str">
        <f t="shared" si="187"/>
        <v/>
      </c>
      <c r="K109" t="str">
        <f t="shared" si="187"/>
        <v/>
      </c>
      <c r="L109" t="str">
        <f t="shared" si="187"/>
        <v/>
      </c>
      <c r="M109" t="str">
        <f t="shared" si="187"/>
        <v/>
      </c>
      <c r="N109" t="str">
        <f t="shared" si="187"/>
        <v/>
      </c>
      <c r="O109" t="str">
        <f t="shared" si="187"/>
        <v/>
      </c>
      <c r="P109" t="str">
        <f t="shared" si="187"/>
        <v/>
      </c>
      <c r="Q109" t="str">
        <f t="shared" si="187"/>
        <v/>
      </c>
      <c r="R109" t="str">
        <f t="shared" si="187"/>
        <v/>
      </c>
      <c r="S109" t="str">
        <f t="shared" si="187"/>
        <v/>
      </c>
      <c r="T109" t="str">
        <f t="shared" si="187"/>
        <v/>
      </c>
      <c r="U109" t="str">
        <f t="shared" si="187"/>
        <v/>
      </c>
      <c r="V109" t="str">
        <f t="shared" si="187"/>
        <v/>
      </c>
      <c r="W109" t="str">
        <f t="shared" si="187"/>
        <v/>
      </c>
      <c r="X109" t="str">
        <f t="shared" si="187"/>
        <v/>
      </c>
      <c r="Y109" t="str">
        <f t="shared" si="187"/>
        <v/>
      </c>
      <c r="AA109">
        <f t="shared" si="108"/>
        <v>42358.962500000001</v>
      </c>
      <c r="AB109">
        <f t="shared" si="157"/>
        <v>42379.037500000006</v>
      </c>
      <c r="AC109" t="e">
        <f t="shared" si="158"/>
        <v>#N/A</v>
      </c>
      <c r="AD109" t="e">
        <f t="shared" si="159"/>
        <v>#N/A</v>
      </c>
      <c r="AE109" t="e">
        <f t="shared" si="141"/>
        <v>#N/A</v>
      </c>
      <c r="AF109" t="e">
        <f t="shared" si="142"/>
        <v>#N/A</v>
      </c>
      <c r="AG109" t="e">
        <f t="shared" si="143"/>
        <v>#N/A</v>
      </c>
      <c r="AH109" t="e">
        <f t="shared" si="144"/>
        <v>#N/A</v>
      </c>
      <c r="AI109" t="e">
        <f t="shared" si="145"/>
        <v>#N/A</v>
      </c>
      <c r="AJ109" t="e">
        <f t="shared" si="146"/>
        <v>#N/A</v>
      </c>
      <c r="AK109" t="e">
        <f t="shared" si="147"/>
        <v>#N/A</v>
      </c>
      <c r="AL109" t="e">
        <f t="shared" si="148"/>
        <v>#N/A</v>
      </c>
      <c r="AM109" t="e">
        <f t="shared" si="149"/>
        <v>#N/A</v>
      </c>
      <c r="AN109" t="e">
        <f t="shared" si="150"/>
        <v>#N/A</v>
      </c>
      <c r="AO109" t="e">
        <f t="shared" si="151"/>
        <v>#N/A</v>
      </c>
      <c r="AP109" t="e">
        <f t="shared" si="152"/>
        <v>#N/A</v>
      </c>
      <c r="AQ109" t="e">
        <f t="shared" si="153"/>
        <v>#N/A</v>
      </c>
      <c r="AR109" t="e">
        <f t="shared" si="154"/>
        <v>#N/A</v>
      </c>
      <c r="AS109" t="e">
        <f t="shared" si="155"/>
        <v>#N/A</v>
      </c>
      <c r="AU109">
        <f t="shared" si="109"/>
        <v>1.25</v>
      </c>
      <c r="AV109">
        <f t="shared" si="110"/>
        <v>1.25</v>
      </c>
      <c r="AW109" t="str">
        <f t="shared" si="111"/>
        <v/>
      </c>
      <c r="AX109" t="str">
        <f t="shared" si="112"/>
        <v/>
      </c>
      <c r="AY109" t="str">
        <f t="shared" si="113"/>
        <v/>
      </c>
      <c r="AZ109" t="str">
        <f t="shared" si="114"/>
        <v/>
      </c>
      <c r="BA109" t="str">
        <f t="shared" si="115"/>
        <v/>
      </c>
      <c r="BB109" t="str">
        <f t="shared" si="116"/>
        <v/>
      </c>
      <c r="BC109" t="str">
        <f t="shared" si="117"/>
        <v/>
      </c>
      <c r="BD109" t="str">
        <f t="shared" si="118"/>
        <v/>
      </c>
      <c r="BE109" t="str">
        <f t="shared" si="119"/>
        <v/>
      </c>
      <c r="BF109" t="str">
        <f t="shared" si="120"/>
        <v/>
      </c>
      <c r="BG109" t="str">
        <f t="shared" si="121"/>
        <v/>
      </c>
      <c r="BH109" t="str">
        <f t="shared" si="122"/>
        <v/>
      </c>
      <c r="BI109" t="str">
        <f t="shared" si="123"/>
        <v/>
      </c>
      <c r="BJ109" t="str">
        <f t="shared" si="124"/>
        <v/>
      </c>
      <c r="BK109" t="str">
        <f t="shared" si="125"/>
        <v/>
      </c>
      <c r="BL109" t="str">
        <f t="shared" si="126"/>
        <v/>
      </c>
      <c r="BM109" t="str">
        <f t="shared" si="127"/>
        <v/>
      </c>
      <c r="BP109"/>
      <c r="BR109"/>
    </row>
    <row r="110" spans="1:70" x14ac:dyDescent="0.25">
      <c r="A110" s="1">
        <v>41444</v>
      </c>
      <c r="B110">
        <v>1.5</v>
      </c>
      <c r="C110" s="4">
        <v>42369</v>
      </c>
      <c r="D110">
        <v>3</v>
      </c>
      <c r="E110">
        <f t="shared" si="105"/>
        <v>0.23684210526315788</v>
      </c>
      <c r="F110" s="4"/>
      <c r="G110">
        <v>1</v>
      </c>
      <c r="H110">
        <f t="shared" ref="H110:Y110" si="188">IF($D110&gt;G110,G110+1,"")</f>
        <v>2</v>
      </c>
      <c r="I110">
        <f t="shared" si="188"/>
        <v>3</v>
      </c>
      <c r="J110" t="str">
        <f t="shared" si="188"/>
        <v/>
      </c>
      <c r="K110" t="str">
        <f t="shared" si="188"/>
        <v/>
      </c>
      <c r="L110" t="str">
        <f t="shared" si="188"/>
        <v/>
      </c>
      <c r="M110" t="str">
        <f t="shared" si="188"/>
        <v/>
      </c>
      <c r="N110" t="str">
        <f t="shared" si="188"/>
        <v/>
      </c>
      <c r="O110" t="str">
        <f t="shared" si="188"/>
        <v/>
      </c>
      <c r="P110" t="str">
        <f t="shared" si="188"/>
        <v/>
      </c>
      <c r="Q110" t="str">
        <f t="shared" si="188"/>
        <v/>
      </c>
      <c r="R110" t="str">
        <f t="shared" si="188"/>
        <v/>
      </c>
      <c r="S110" t="str">
        <f t="shared" si="188"/>
        <v/>
      </c>
      <c r="T110" t="str">
        <f t="shared" si="188"/>
        <v/>
      </c>
      <c r="U110" t="str">
        <f t="shared" si="188"/>
        <v/>
      </c>
      <c r="V110" t="str">
        <f t="shared" si="188"/>
        <v/>
      </c>
      <c r="W110" t="str">
        <f t="shared" si="188"/>
        <v/>
      </c>
      <c r="X110" t="str">
        <f t="shared" si="188"/>
        <v/>
      </c>
      <c r="Y110" t="str">
        <f t="shared" si="188"/>
        <v/>
      </c>
      <c r="AA110">
        <f t="shared" si="108"/>
        <v>42348.924999999996</v>
      </c>
      <c r="AB110">
        <f t="shared" si="157"/>
        <v>42369</v>
      </c>
      <c r="AC110">
        <f t="shared" si="158"/>
        <v>42389.074999999997</v>
      </c>
      <c r="AD110" t="e">
        <f t="shared" si="159"/>
        <v>#N/A</v>
      </c>
      <c r="AE110" t="e">
        <f t="shared" si="141"/>
        <v>#N/A</v>
      </c>
      <c r="AF110" t="e">
        <f t="shared" si="142"/>
        <v>#N/A</v>
      </c>
      <c r="AG110" t="e">
        <f t="shared" si="143"/>
        <v>#N/A</v>
      </c>
      <c r="AH110" t="e">
        <f t="shared" si="144"/>
        <v>#N/A</v>
      </c>
      <c r="AI110" t="e">
        <f t="shared" si="145"/>
        <v>#N/A</v>
      </c>
      <c r="AJ110" t="e">
        <f t="shared" si="146"/>
        <v>#N/A</v>
      </c>
      <c r="AK110" t="e">
        <f t="shared" si="147"/>
        <v>#N/A</v>
      </c>
      <c r="AL110" t="e">
        <f t="shared" si="148"/>
        <v>#N/A</v>
      </c>
      <c r="AM110" t="e">
        <f t="shared" si="149"/>
        <v>#N/A</v>
      </c>
      <c r="AN110" t="e">
        <f t="shared" si="150"/>
        <v>#N/A</v>
      </c>
      <c r="AO110" t="e">
        <f t="shared" si="151"/>
        <v>#N/A</v>
      </c>
      <c r="AP110" t="e">
        <f t="shared" si="152"/>
        <v>#N/A</v>
      </c>
      <c r="AQ110" t="e">
        <f t="shared" si="153"/>
        <v>#N/A</v>
      </c>
      <c r="AR110" t="e">
        <f t="shared" si="154"/>
        <v>#N/A</v>
      </c>
      <c r="AS110" t="e">
        <f t="shared" si="155"/>
        <v>#N/A</v>
      </c>
      <c r="AU110">
        <f t="shared" si="109"/>
        <v>1.5</v>
      </c>
      <c r="AV110">
        <f t="shared" si="110"/>
        <v>1.5</v>
      </c>
      <c r="AW110">
        <f t="shared" si="111"/>
        <v>1.5</v>
      </c>
      <c r="AX110" t="str">
        <f t="shared" si="112"/>
        <v/>
      </c>
      <c r="AY110" t="str">
        <f t="shared" si="113"/>
        <v/>
      </c>
      <c r="AZ110" t="str">
        <f t="shared" si="114"/>
        <v/>
      </c>
      <c r="BA110" t="str">
        <f t="shared" si="115"/>
        <v/>
      </c>
      <c r="BB110" t="str">
        <f t="shared" si="116"/>
        <v/>
      </c>
      <c r="BC110" t="str">
        <f t="shared" si="117"/>
        <v/>
      </c>
      <c r="BD110" t="str">
        <f t="shared" si="118"/>
        <v/>
      </c>
      <c r="BE110" t="str">
        <f t="shared" si="119"/>
        <v/>
      </c>
      <c r="BF110" t="str">
        <f t="shared" si="120"/>
        <v/>
      </c>
      <c r="BG110" t="str">
        <f t="shared" si="121"/>
        <v/>
      </c>
      <c r="BH110" t="str">
        <f t="shared" si="122"/>
        <v/>
      </c>
      <c r="BI110" t="str">
        <f t="shared" si="123"/>
        <v/>
      </c>
      <c r="BJ110" t="str">
        <f t="shared" si="124"/>
        <v/>
      </c>
      <c r="BK110" t="str">
        <f t="shared" si="125"/>
        <v/>
      </c>
      <c r="BL110" t="str">
        <f t="shared" si="126"/>
        <v/>
      </c>
      <c r="BM110" t="str">
        <f t="shared" si="127"/>
        <v/>
      </c>
      <c r="BP110"/>
      <c r="BR110"/>
    </row>
    <row r="111" spans="1:70" x14ac:dyDescent="0.25">
      <c r="A111" s="1">
        <v>41444</v>
      </c>
      <c r="B111">
        <v>2</v>
      </c>
      <c r="C111" s="4">
        <v>42369</v>
      </c>
      <c r="D111">
        <v>1</v>
      </c>
      <c r="E111">
        <f t="shared" si="105"/>
        <v>0.10526315789473684</v>
      </c>
      <c r="F111" s="4"/>
      <c r="G111">
        <v>1</v>
      </c>
      <c r="H111" t="str">
        <f t="shared" ref="H111:Y111" si="189">IF($D111&gt;G111,G111+1,"")</f>
        <v/>
      </c>
      <c r="I111" t="str">
        <f t="shared" si="189"/>
        <v/>
      </c>
      <c r="J111" t="str">
        <f t="shared" si="189"/>
        <v/>
      </c>
      <c r="K111" t="str">
        <f t="shared" si="189"/>
        <v/>
      </c>
      <c r="L111" t="str">
        <f t="shared" si="189"/>
        <v/>
      </c>
      <c r="M111" t="str">
        <f t="shared" si="189"/>
        <v/>
      </c>
      <c r="N111" t="str">
        <f t="shared" si="189"/>
        <v/>
      </c>
      <c r="O111" t="str">
        <f t="shared" si="189"/>
        <v/>
      </c>
      <c r="P111" t="str">
        <f t="shared" si="189"/>
        <v/>
      </c>
      <c r="Q111" t="str">
        <f t="shared" si="189"/>
        <v/>
      </c>
      <c r="R111" t="str">
        <f t="shared" si="189"/>
        <v/>
      </c>
      <c r="S111" t="str">
        <f t="shared" si="189"/>
        <v/>
      </c>
      <c r="T111" t="str">
        <f t="shared" si="189"/>
        <v/>
      </c>
      <c r="U111" t="str">
        <f t="shared" si="189"/>
        <v/>
      </c>
      <c r="V111" t="str">
        <f t="shared" si="189"/>
        <v/>
      </c>
      <c r="W111" t="str">
        <f t="shared" si="189"/>
        <v/>
      </c>
      <c r="X111" t="str">
        <f t="shared" si="189"/>
        <v/>
      </c>
      <c r="Y111" t="str">
        <f t="shared" si="189"/>
        <v/>
      </c>
      <c r="AA111">
        <f t="shared" si="108"/>
        <v>42369</v>
      </c>
      <c r="AB111" t="e">
        <f t="shared" si="157"/>
        <v>#N/A</v>
      </c>
      <c r="AC111" t="e">
        <f t="shared" si="158"/>
        <v>#N/A</v>
      </c>
      <c r="AD111" t="e">
        <f t="shared" si="159"/>
        <v>#N/A</v>
      </c>
      <c r="AE111" t="e">
        <f t="shared" si="141"/>
        <v>#N/A</v>
      </c>
      <c r="AF111" t="e">
        <f t="shared" si="142"/>
        <v>#N/A</v>
      </c>
      <c r="AG111" t="e">
        <f t="shared" si="143"/>
        <v>#N/A</v>
      </c>
      <c r="AH111" t="e">
        <f t="shared" si="144"/>
        <v>#N/A</v>
      </c>
      <c r="AI111" t="e">
        <f t="shared" si="145"/>
        <v>#N/A</v>
      </c>
      <c r="AJ111" t="e">
        <f t="shared" si="146"/>
        <v>#N/A</v>
      </c>
      <c r="AK111" t="e">
        <f t="shared" si="147"/>
        <v>#N/A</v>
      </c>
      <c r="AL111" t="e">
        <f t="shared" si="148"/>
        <v>#N/A</v>
      </c>
      <c r="AM111" t="e">
        <f t="shared" si="149"/>
        <v>#N/A</v>
      </c>
      <c r="AN111" t="e">
        <f t="shared" si="150"/>
        <v>#N/A</v>
      </c>
      <c r="AO111" t="e">
        <f t="shared" si="151"/>
        <v>#N/A</v>
      </c>
      <c r="AP111" t="e">
        <f t="shared" si="152"/>
        <v>#N/A</v>
      </c>
      <c r="AQ111" t="e">
        <f t="shared" si="153"/>
        <v>#N/A</v>
      </c>
      <c r="AR111" t="e">
        <f t="shared" si="154"/>
        <v>#N/A</v>
      </c>
      <c r="AS111" t="e">
        <f t="shared" si="155"/>
        <v>#N/A</v>
      </c>
      <c r="AU111">
        <f t="shared" si="109"/>
        <v>2</v>
      </c>
      <c r="AV111" t="str">
        <f t="shared" si="110"/>
        <v/>
      </c>
      <c r="AW111" t="str">
        <f t="shared" si="111"/>
        <v/>
      </c>
      <c r="AX111" t="str">
        <f t="shared" si="112"/>
        <v/>
      </c>
      <c r="AY111" t="str">
        <f t="shared" si="113"/>
        <v/>
      </c>
      <c r="AZ111" t="str">
        <f t="shared" si="114"/>
        <v/>
      </c>
      <c r="BA111" t="str">
        <f t="shared" si="115"/>
        <v/>
      </c>
      <c r="BB111" t="str">
        <f t="shared" si="116"/>
        <v/>
      </c>
      <c r="BC111" t="str">
        <f t="shared" si="117"/>
        <v/>
      </c>
      <c r="BD111" t="str">
        <f t="shared" si="118"/>
        <v/>
      </c>
      <c r="BE111" t="str">
        <f t="shared" si="119"/>
        <v/>
      </c>
      <c r="BF111" t="str">
        <f t="shared" si="120"/>
        <v/>
      </c>
      <c r="BG111" t="str">
        <f t="shared" si="121"/>
        <v/>
      </c>
      <c r="BH111" t="str">
        <f t="shared" si="122"/>
        <v/>
      </c>
      <c r="BI111" t="str">
        <f t="shared" si="123"/>
        <v/>
      </c>
      <c r="BJ111" t="str">
        <f t="shared" si="124"/>
        <v/>
      </c>
      <c r="BK111" t="str">
        <f t="shared" si="125"/>
        <v/>
      </c>
      <c r="BL111" t="str">
        <f t="shared" si="126"/>
        <v/>
      </c>
      <c r="BM111" t="str">
        <f t="shared" si="127"/>
        <v/>
      </c>
      <c r="BP111"/>
      <c r="BR111"/>
    </row>
    <row r="112" spans="1:70" x14ac:dyDescent="0.25">
      <c r="A112" s="1">
        <v>41444</v>
      </c>
      <c r="B112">
        <v>3</v>
      </c>
      <c r="C112" s="4">
        <v>42369</v>
      </c>
      <c r="D112">
        <v>3</v>
      </c>
      <c r="E112">
        <f t="shared" si="105"/>
        <v>0.47368421052631576</v>
      </c>
      <c r="F112" s="4"/>
      <c r="G112">
        <v>1</v>
      </c>
      <c r="H112">
        <f t="shared" ref="H112:Y112" si="190">IF($D112&gt;G112,G112+1,"")</f>
        <v>2</v>
      </c>
      <c r="I112">
        <f t="shared" si="190"/>
        <v>3</v>
      </c>
      <c r="J112" t="str">
        <f t="shared" si="190"/>
        <v/>
      </c>
      <c r="K112" t="str">
        <f t="shared" si="190"/>
        <v/>
      </c>
      <c r="L112" t="str">
        <f t="shared" si="190"/>
        <v/>
      </c>
      <c r="M112" t="str">
        <f t="shared" si="190"/>
        <v/>
      </c>
      <c r="N112" t="str">
        <f t="shared" si="190"/>
        <v/>
      </c>
      <c r="O112" t="str">
        <f t="shared" si="190"/>
        <v/>
      </c>
      <c r="P112" t="str">
        <f t="shared" si="190"/>
        <v/>
      </c>
      <c r="Q112" t="str">
        <f t="shared" si="190"/>
        <v/>
      </c>
      <c r="R112" t="str">
        <f t="shared" si="190"/>
        <v/>
      </c>
      <c r="S112" t="str">
        <f t="shared" si="190"/>
        <v/>
      </c>
      <c r="T112" t="str">
        <f t="shared" si="190"/>
        <v/>
      </c>
      <c r="U112" t="str">
        <f t="shared" si="190"/>
        <v/>
      </c>
      <c r="V112" t="str">
        <f t="shared" si="190"/>
        <v/>
      </c>
      <c r="W112" t="str">
        <f t="shared" si="190"/>
        <v/>
      </c>
      <c r="X112" t="str">
        <f t="shared" si="190"/>
        <v/>
      </c>
      <c r="Y112" t="str">
        <f t="shared" si="190"/>
        <v/>
      </c>
      <c r="AA112">
        <f t="shared" si="108"/>
        <v>42348.924999999996</v>
      </c>
      <c r="AB112">
        <f t="shared" si="157"/>
        <v>42369</v>
      </c>
      <c r="AC112">
        <f t="shared" si="158"/>
        <v>42389.074999999997</v>
      </c>
      <c r="AD112" t="e">
        <f t="shared" si="159"/>
        <v>#N/A</v>
      </c>
      <c r="AE112" t="e">
        <f t="shared" si="141"/>
        <v>#N/A</v>
      </c>
      <c r="AF112" t="e">
        <f t="shared" si="142"/>
        <v>#N/A</v>
      </c>
      <c r="AG112" t="e">
        <f t="shared" si="143"/>
        <v>#N/A</v>
      </c>
      <c r="AH112" t="e">
        <f t="shared" si="144"/>
        <v>#N/A</v>
      </c>
      <c r="AI112" t="e">
        <f t="shared" si="145"/>
        <v>#N/A</v>
      </c>
      <c r="AJ112" t="e">
        <f t="shared" si="146"/>
        <v>#N/A</v>
      </c>
      <c r="AK112" t="e">
        <f t="shared" si="147"/>
        <v>#N/A</v>
      </c>
      <c r="AL112" t="e">
        <f t="shared" si="148"/>
        <v>#N/A</v>
      </c>
      <c r="AM112" t="e">
        <f t="shared" si="149"/>
        <v>#N/A</v>
      </c>
      <c r="AN112" t="e">
        <f t="shared" si="150"/>
        <v>#N/A</v>
      </c>
      <c r="AO112" t="e">
        <f t="shared" si="151"/>
        <v>#N/A</v>
      </c>
      <c r="AP112" t="e">
        <f t="shared" si="152"/>
        <v>#N/A</v>
      </c>
      <c r="AQ112" t="e">
        <f t="shared" si="153"/>
        <v>#N/A</v>
      </c>
      <c r="AR112" t="e">
        <f t="shared" si="154"/>
        <v>#N/A</v>
      </c>
      <c r="AS112" t="e">
        <f t="shared" si="155"/>
        <v>#N/A</v>
      </c>
      <c r="AU112">
        <f t="shared" si="109"/>
        <v>3</v>
      </c>
      <c r="AV112">
        <f t="shared" si="110"/>
        <v>3</v>
      </c>
      <c r="AW112">
        <f t="shared" si="111"/>
        <v>3</v>
      </c>
      <c r="AX112" t="str">
        <f t="shared" si="112"/>
        <v/>
      </c>
      <c r="AY112" t="str">
        <f t="shared" si="113"/>
        <v/>
      </c>
      <c r="AZ112" t="str">
        <f t="shared" si="114"/>
        <v/>
      </c>
      <c r="BA112" t="str">
        <f t="shared" si="115"/>
        <v/>
      </c>
      <c r="BB112" t="str">
        <f t="shared" si="116"/>
        <v/>
      </c>
      <c r="BC112" t="str">
        <f t="shared" si="117"/>
        <v/>
      </c>
      <c r="BD112" t="str">
        <f t="shared" si="118"/>
        <v/>
      </c>
      <c r="BE112" t="str">
        <f t="shared" si="119"/>
        <v/>
      </c>
      <c r="BF112" t="str">
        <f t="shared" si="120"/>
        <v/>
      </c>
      <c r="BG112" t="str">
        <f t="shared" si="121"/>
        <v/>
      </c>
      <c r="BH112" t="str">
        <f t="shared" si="122"/>
        <v/>
      </c>
      <c r="BI112" t="str">
        <f t="shared" si="123"/>
        <v/>
      </c>
      <c r="BJ112" t="str">
        <f t="shared" si="124"/>
        <v/>
      </c>
      <c r="BK112" t="str">
        <f t="shared" si="125"/>
        <v/>
      </c>
      <c r="BL112" t="str">
        <f t="shared" si="126"/>
        <v/>
      </c>
      <c r="BM112" t="str">
        <f t="shared" si="127"/>
        <v/>
      </c>
      <c r="BP112"/>
      <c r="BR112"/>
    </row>
    <row r="113" spans="1:70" x14ac:dyDescent="0.25">
      <c r="A113" s="1">
        <v>41444</v>
      </c>
      <c r="B113" s="2">
        <v>3.25</v>
      </c>
      <c r="C113" s="4">
        <v>43100</v>
      </c>
      <c r="D113">
        <v>1</v>
      </c>
      <c r="E113">
        <f t="shared" si="105"/>
        <v>0.17105263157894735</v>
      </c>
      <c r="F113" s="4"/>
      <c r="G113">
        <v>1</v>
      </c>
      <c r="H113" t="str">
        <f t="shared" ref="H113:Y113" si="191">IF($D113&gt;G113,G113+1,"")</f>
        <v/>
      </c>
      <c r="I113" t="str">
        <f t="shared" si="191"/>
        <v/>
      </c>
      <c r="J113" t="str">
        <f t="shared" si="191"/>
        <v/>
      </c>
      <c r="K113" t="str">
        <f t="shared" si="191"/>
        <v/>
      </c>
      <c r="L113" t="str">
        <f t="shared" si="191"/>
        <v/>
      </c>
      <c r="M113" t="str">
        <f t="shared" si="191"/>
        <v/>
      </c>
      <c r="N113" t="str">
        <f t="shared" si="191"/>
        <v/>
      </c>
      <c r="O113" t="str">
        <f t="shared" si="191"/>
        <v/>
      </c>
      <c r="P113" t="str">
        <f t="shared" si="191"/>
        <v/>
      </c>
      <c r="Q113" t="str">
        <f t="shared" si="191"/>
        <v/>
      </c>
      <c r="R113" t="str">
        <f t="shared" si="191"/>
        <v/>
      </c>
      <c r="S113" t="str">
        <f t="shared" si="191"/>
        <v/>
      </c>
      <c r="T113" t="str">
        <f t="shared" si="191"/>
        <v/>
      </c>
      <c r="U113" t="str">
        <f t="shared" si="191"/>
        <v/>
      </c>
      <c r="V113" t="str">
        <f t="shared" si="191"/>
        <v/>
      </c>
      <c r="W113" t="str">
        <f t="shared" si="191"/>
        <v/>
      </c>
      <c r="X113" t="str">
        <f t="shared" si="191"/>
        <v/>
      </c>
      <c r="Y113" t="str">
        <f t="shared" si="191"/>
        <v/>
      </c>
      <c r="AA113">
        <f t="shared" si="108"/>
        <v>43100</v>
      </c>
      <c r="AB113" t="e">
        <f t="shared" si="157"/>
        <v>#N/A</v>
      </c>
      <c r="AC113" t="e">
        <f t="shared" si="158"/>
        <v>#N/A</v>
      </c>
      <c r="AD113" t="e">
        <f t="shared" si="159"/>
        <v>#N/A</v>
      </c>
      <c r="AE113" t="e">
        <f t="shared" si="141"/>
        <v>#N/A</v>
      </c>
      <c r="AF113" t="e">
        <f t="shared" si="142"/>
        <v>#N/A</v>
      </c>
      <c r="AG113" t="e">
        <f t="shared" si="143"/>
        <v>#N/A</v>
      </c>
      <c r="AH113" t="e">
        <f t="shared" si="144"/>
        <v>#N/A</v>
      </c>
      <c r="AI113" t="e">
        <f t="shared" si="145"/>
        <v>#N/A</v>
      </c>
      <c r="AJ113" t="e">
        <f t="shared" si="146"/>
        <v>#N/A</v>
      </c>
      <c r="AK113" t="e">
        <f t="shared" si="147"/>
        <v>#N/A</v>
      </c>
      <c r="AL113" t="e">
        <f t="shared" si="148"/>
        <v>#N/A</v>
      </c>
      <c r="AM113" t="e">
        <f t="shared" si="149"/>
        <v>#N/A</v>
      </c>
      <c r="AN113" t="e">
        <f t="shared" si="150"/>
        <v>#N/A</v>
      </c>
      <c r="AO113" t="e">
        <f t="shared" si="151"/>
        <v>#N/A</v>
      </c>
      <c r="AP113" t="e">
        <f t="shared" si="152"/>
        <v>#N/A</v>
      </c>
      <c r="AQ113" t="e">
        <f t="shared" si="153"/>
        <v>#N/A</v>
      </c>
      <c r="AR113" t="e">
        <f t="shared" si="154"/>
        <v>#N/A</v>
      </c>
      <c r="AS113" t="e">
        <f t="shared" si="155"/>
        <v>#N/A</v>
      </c>
      <c r="AU113">
        <f t="shared" si="109"/>
        <v>3.25</v>
      </c>
      <c r="AV113" t="str">
        <f t="shared" si="110"/>
        <v/>
      </c>
      <c r="AW113" t="str">
        <f t="shared" si="111"/>
        <v/>
      </c>
      <c r="AX113" t="str">
        <f t="shared" si="112"/>
        <v/>
      </c>
      <c r="AY113" t="str">
        <f t="shared" si="113"/>
        <v/>
      </c>
      <c r="AZ113" t="str">
        <f t="shared" si="114"/>
        <v/>
      </c>
      <c r="BA113" t="str">
        <f t="shared" si="115"/>
        <v/>
      </c>
      <c r="BB113" t="str">
        <f t="shared" si="116"/>
        <v/>
      </c>
      <c r="BC113" t="str">
        <f t="shared" si="117"/>
        <v/>
      </c>
      <c r="BD113" t="str">
        <f t="shared" si="118"/>
        <v/>
      </c>
      <c r="BE113" t="str">
        <f t="shared" si="119"/>
        <v/>
      </c>
      <c r="BF113" t="str">
        <f t="shared" si="120"/>
        <v/>
      </c>
      <c r="BG113" t="str">
        <f t="shared" si="121"/>
        <v/>
      </c>
      <c r="BH113" t="str">
        <f t="shared" si="122"/>
        <v/>
      </c>
      <c r="BI113" t="str">
        <f t="shared" si="123"/>
        <v/>
      </c>
      <c r="BJ113" t="str">
        <f t="shared" si="124"/>
        <v/>
      </c>
      <c r="BK113" t="str">
        <f t="shared" si="125"/>
        <v/>
      </c>
      <c r="BL113" t="str">
        <f t="shared" si="126"/>
        <v/>
      </c>
      <c r="BM113" t="str">
        <f t="shared" si="127"/>
        <v/>
      </c>
      <c r="BP113"/>
      <c r="BR113"/>
    </row>
    <row r="114" spans="1:70" x14ac:dyDescent="0.25">
      <c r="A114" s="1">
        <v>41444</v>
      </c>
      <c r="B114">
        <v>3.5</v>
      </c>
      <c r="C114" s="4">
        <v>43100</v>
      </c>
      <c r="D114">
        <v>2</v>
      </c>
      <c r="E114">
        <f t="shared" si="105"/>
        <v>0.36842105263157893</v>
      </c>
      <c r="F114" s="4"/>
      <c r="G114">
        <v>1</v>
      </c>
      <c r="H114">
        <f t="shared" ref="H114:Y114" si="192">IF($D114&gt;G114,G114+1,"")</f>
        <v>2</v>
      </c>
      <c r="I114" t="str">
        <f t="shared" si="192"/>
        <v/>
      </c>
      <c r="J114" t="str">
        <f t="shared" si="192"/>
        <v/>
      </c>
      <c r="K114" t="str">
        <f t="shared" si="192"/>
        <v/>
      </c>
      <c r="L114" t="str">
        <f t="shared" si="192"/>
        <v/>
      </c>
      <c r="M114" t="str">
        <f t="shared" si="192"/>
        <v/>
      </c>
      <c r="N114" t="str">
        <f t="shared" si="192"/>
        <v/>
      </c>
      <c r="O114" t="str">
        <f t="shared" si="192"/>
        <v/>
      </c>
      <c r="P114" t="str">
        <f t="shared" si="192"/>
        <v/>
      </c>
      <c r="Q114" t="str">
        <f t="shared" si="192"/>
        <v/>
      </c>
      <c r="R114" t="str">
        <f t="shared" si="192"/>
        <v/>
      </c>
      <c r="S114" t="str">
        <f t="shared" si="192"/>
        <v/>
      </c>
      <c r="T114" t="str">
        <f t="shared" si="192"/>
        <v/>
      </c>
      <c r="U114" t="str">
        <f t="shared" si="192"/>
        <v/>
      </c>
      <c r="V114" t="str">
        <f t="shared" si="192"/>
        <v/>
      </c>
      <c r="W114" t="str">
        <f t="shared" si="192"/>
        <v/>
      </c>
      <c r="X114" t="str">
        <f t="shared" si="192"/>
        <v/>
      </c>
      <c r="Y114" t="str">
        <f t="shared" si="192"/>
        <v/>
      </c>
      <c r="AA114">
        <f t="shared" si="108"/>
        <v>43089.962500000001</v>
      </c>
      <c r="AB114">
        <f t="shared" si="157"/>
        <v>43110.037500000006</v>
      </c>
      <c r="AC114" t="e">
        <f t="shared" si="158"/>
        <v>#N/A</v>
      </c>
      <c r="AD114" t="e">
        <f t="shared" si="159"/>
        <v>#N/A</v>
      </c>
      <c r="AE114" t="e">
        <f t="shared" si="141"/>
        <v>#N/A</v>
      </c>
      <c r="AF114" t="e">
        <f t="shared" si="142"/>
        <v>#N/A</v>
      </c>
      <c r="AG114" t="e">
        <f t="shared" si="143"/>
        <v>#N/A</v>
      </c>
      <c r="AH114" t="e">
        <f t="shared" si="144"/>
        <v>#N/A</v>
      </c>
      <c r="AI114" t="e">
        <f t="shared" si="145"/>
        <v>#N/A</v>
      </c>
      <c r="AJ114" t="e">
        <f t="shared" si="146"/>
        <v>#N/A</v>
      </c>
      <c r="AK114" t="e">
        <f t="shared" si="147"/>
        <v>#N/A</v>
      </c>
      <c r="AL114" t="e">
        <f t="shared" si="148"/>
        <v>#N/A</v>
      </c>
      <c r="AM114" t="e">
        <f t="shared" si="149"/>
        <v>#N/A</v>
      </c>
      <c r="AN114" t="e">
        <f t="shared" si="150"/>
        <v>#N/A</v>
      </c>
      <c r="AO114" t="e">
        <f t="shared" si="151"/>
        <v>#N/A</v>
      </c>
      <c r="AP114" t="e">
        <f t="shared" si="152"/>
        <v>#N/A</v>
      </c>
      <c r="AQ114" t="e">
        <f t="shared" si="153"/>
        <v>#N/A</v>
      </c>
      <c r="AR114" t="e">
        <f t="shared" si="154"/>
        <v>#N/A</v>
      </c>
      <c r="AS114" t="e">
        <f t="shared" si="155"/>
        <v>#N/A</v>
      </c>
      <c r="AU114">
        <f t="shared" si="109"/>
        <v>3.5</v>
      </c>
      <c r="AV114">
        <f t="shared" si="110"/>
        <v>3.5</v>
      </c>
      <c r="AW114" t="str">
        <f t="shared" si="111"/>
        <v/>
      </c>
      <c r="AX114" t="str">
        <f t="shared" si="112"/>
        <v/>
      </c>
      <c r="AY114" t="str">
        <f t="shared" si="113"/>
        <v/>
      </c>
      <c r="AZ114" t="str">
        <f t="shared" si="114"/>
        <v/>
      </c>
      <c r="BA114" t="str">
        <f t="shared" si="115"/>
        <v/>
      </c>
      <c r="BB114" t="str">
        <f t="shared" si="116"/>
        <v/>
      </c>
      <c r="BC114" t="str">
        <f t="shared" si="117"/>
        <v/>
      </c>
      <c r="BD114" t="str">
        <f t="shared" si="118"/>
        <v/>
      </c>
      <c r="BE114" t="str">
        <f t="shared" si="119"/>
        <v/>
      </c>
      <c r="BF114" t="str">
        <f t="shared" si="120"/>
        <v/>
      </c>
      <c r="BG114" t="str">
        <f t="shared" si="121"/>
        <v/>
      </c>
      <c r="BH114" t="str">
        <f t="shared" si="122"/>
        <v/>
      </c>
      <c r="BI114" t="str">
        <f t="shared" si="123"/>
        <v/>
      </c>
      <c r="BJ114" t="str">
        <f t="shared" si="124"/>
        <v/>
      </c>
      <c r="BK114" t="str">
        <f t="shared" si="125"/>
        <v/>
      </c>
      <c r="BL114" t="str">
        <f t="shared" si="126"/>
        <v/>
      </c>
      <c r="BM114" t="str">
        <f t="shared" si="127"/>
        <v/>
      </c>
      <c r="BP114"/>
      <c r="BR114"/>
    </row>
    <row r="115" spans="1:70" x14ac:dyDescent="0.25">
      <c r="A115" s="1">
        <v>41444</v>
      </c>
      <c r="B115">
        <v>3.75</v>
      </c>
      <c r="C115" s="4">
        <v>43100</v>
      </c>
      <c r="D115">
        <v>1</v>
      </c>
      <c r="E115">
        <f t="shared" si="105"/>
        <v>0.19736842105263158</v>
      </c>
      <c r="F115" s="4"/>
      <c r="G115">
        <v>1</v>
      </c>
      <c r="H115" t="str">
        <f t="shared" ref="H115:Y115" si="193">IF($D115&gt;G115,G115+1,"")</f>
        <v/>
      </c>
      <c r="I115" t="str">
        <f t="shared" si="193"/>
        <v/>
      </c>
      <c r="J115" t="str">
        <f t="shared" si="193"/>
        <v/>
      </c>
      <c r="K115" t="str">
        <f t="shared" si="193"/>
        <v/>
      </c>
      <c r="L115" t="str">
        <f t="shared" si="193"/>
        <v/>
      </c>
      <c r="M115" t="str">
        <f t="shared" si="193"/>
        <v/>
      </c>
      <c r="N115" t="str">
        <f t="shared" si="193"/>
        <v/>
      </c>
      <c r="O115" t="str">
        <f t="shared" si="193"/>
        <v/>
      </c>
      <c r="P115" t="str">
        <f t="shared" si="193"/>
        <v/>
      </c>
      <c r="Q115" t="str">
        <f t="shared" si="193"/>
        <v/>
      </c>
      <c r="R115" t="str">
        <f t="shared" si="193"/>
        <v/>
      </c>
      <c r="S115" t="str">
        <f t="shared" si="193"/>
        <v/>
      </c>
      <c r="T115" t="str">
        <f t="shared" si="193"/>
        <v/>
      </c>
      <c r="U115" t="str">
        <f t="shared" si="193"/>
        <v/>
      </c>
      <c r="V115" t="str">
        <f t="shared" si="193"/>
        <v/>
      </c>
      <c r="W115" t="str">
        <f t="shared" si="193"/>
        <v/>
      </c>
      <c r="X115" t="str">
        <f t="shared" si="193"/>
        <v/>
      </c>
      <c r="Y115" t="str">
        <f t="shared" si="193"/>
        <v/>
      </c>
      <c r="AA115">
        <f t="shared" si="108"/>
        <v>43100</v>
      </c>
      <c r="AB115" t="e">
        <f t="shared" si="157"/>
        <v>#N/A</v>
      </c>
      <c r="AC115" t="e">
        <f t="shared" si="158"/>
        <v>#N/A</v>
      </c>
      <c r="AD115" t="e">
        <f t="shared" si="159"/>
        <v>#N/A</v>
      </c>
      <c r="AE115" t="e">
        <f t="shared" si="141"/>
        <v>#N/A</v>
      </c>
      <c r="AF115" t="e">
        <f t="shared" si="142"/>
        <v>#N/A</v>
      </c>
      <c r="AG115" t="e">
        <f t="shared" si="143"/>
        <v>#N/A</v>
      </c>
      <c r="AH115" t="e">
        <f t="shared" si="144"/>
        <v>#N/A</v>
      </c>
      <c r="AI115" t="e">
        <f t="shared" si="145"/>
        <v>#N/A</v>
      </c>
      <c r="AJ115" t="e">
        <f t="shared" si="146"/>
        <v>#N/A</v>
      </c>
      <c r="AK115" t="e">
        <f t="shared" si="147"/>
        <v>#N/A</v>
      </c>
      <c r="AL115" t="e">
        <f t="shared" si="148"/>
        <v>#N/A</v>
      </c>
      <c r="AM115" t="e">
        <f t="shared" si="149"/>
        <v>#N/A</v>
      </c>
      <c r="AN115" t="e">
        <f t="shared" si="150"/>
        <v>#N/A</v>
      </c>
      <c r="AO115" t="e">
        <f t="shared" si="151"/>
        <v>#N/A</v>
      </c>
      <c r="AP115" t="e">
        <f t="shared" si="152"/>
        <v>#N/A</v>
      </c>
      <c r="AQ115" t="e">
        <f t="shared" si="153"/>
        <v>#N/A</v>
      </c>
      <c r="AR115" t="e">
        <f t="shared" si="154"/>
        <v>#N/A</v>
      </c>
      <c r="AS115" t="e">
        <f t="shared" si="155"/>
        <v>#N/A</v>
      </c>
      <c r="AU115">
        <f t="shared" si="109"/>
        <v>3.75</v>
      </c>
      <c r="AV115" t="str">
        <f t="shared" si="110"/>
        <v/>
      </c>
      <c r="AW115" t="str">
        <f t="shared" si="111"/>
        <v/>
      </c>
      <c r="AX115" t="str">
        <f t="shared" si="112"/>
        <v/>
      </c>
      <c r="AY115" t="str">
        <f t="shared" si="113"/>
        <v/>
      </c>
      <c r="AZ115" t="str">
        <f t="shared" si="114"/>
        <v/>
      </c>
      <c r="BA115" t="str">
        <f t="shared" si="115"/>
        <v/>
      </c>
      <c r="BB115" t="str">
        <f t="shared" si="116"/>
        <v/>
      </c>
      <c r="BC115" t="str">
        <f t="shared" si="117"/>
        <v/>
      </c>
      <c r="BD115" t="str">
        <f t="shared" si="118"/>
        <v/>
      </c>
      <c r="BE115" t="str">
        <f t="shared" si="119"/>
        <v/>
      </c>
      <c r="BF115" t="str">
        <f t="shared" si="120"/>
        <v/>
      </c>
      <c r="BG115" t="str">
        <f t="shared" si="121"/>
        <v/>
      </c>
      <c r="BH115" t="str">
        <f t="shared" si="122"/>
        <v/>
      </c>
      <c r="BI115" t="str">
        <f t="shared" si="123"/>
        <v/>
      </c>
      <c r="BJ115" t="str">
        <f t="shared" si="124"/>
        <v/>
      </c>
      <c r="BK115" t="str">
        <f t="shared" si="125"/>
        <v/>
      </c>
      <c r="BL115" t="str">
        <f t="shared" si="126"/>
        <v/>
      </c>
      <c r="BM115" t="str">
        <f t="shared" si="127"/>
        <v/>
      </c>
      <c r="BP115"/>
      <c r="BR115"/>
    </row>
    <row r="116" spans="1:70" x14ac:dyDescent="0.25">
      <c r="A116" s="1">
        <v>41444</v>
      </c>
      <c r="B116">
        <v>4</v>
      </c>
      <c r="C116" s="4">
        <v>43100</v>
      </c>
      <c r="D116">
        <v>9</v>
      </c>
      <c r="E116">
        <f t="shared" si="105"/>
        <v>1.8947368421052631</v>
      </c>
      <c r="F116" s="4"/>
      <c r="G116">
        <v>1</v>
      </c>
      <c r="H116">
        <f t="shared" ref="H116:Y116" si="194">IF($D116&gt;G116,G116+1,"")</f>
        <v>2</v>
      </c>
      <c r="I116">
        <f t="shared" si="194"/>
        <v>3</v>
      </c>
      <c r="J116">
        <f t="shared" si="194"/>
        <v>4</v>
      </c>
      <c r="K116">
        <f t="shared" si="194"/>
        <v>5</v>
      </c>
      <c r="L116">
        <f t="shared" si="194"/>
        <v>6</v>
      </c>
      <c r="M116">
        <f t="shared" si="194"/>
        <v>7</v>
      </c>
      <c r="N116">
        <f t="shared" si="194"/>
        <v>8</v>
      </c>
      <c r="O116">
        <f t="shared" si="194"/>
        <v>9</v>
      </c>
      <c r="P116" t="str">
        <f t="shared" si="194"/>
        <v/>
      </c>
      <c r="Q116" t="str">
        <f t="shared" si="194"/>
        <v/>
      </c>
      <c r="R116" t="str">
        <f t="shared" si="194"/>
        <v/>
      </c>
      <c r="S116" t="str">
        <f t="shared" si="194"/>
        <v/>
      </c>
      <c r="T116" t="str">
        <f t="shared" si="194"/>
        <v/>
      </c>
      <c r="U116" t="str">
        <f t="shared" si="194"/>
        <v/>
      </c>
      <c r="V116" t="str">
        <f t="shared" si="194"/>
        <v/>
      </c>
      <c r="W116" t="str">
        <f t="shared" si="194"/>
        <v/>
      </c>
      <c r="X116" t="str">
        <f t="shared" si="194"/>
        <v/>
      </c>
      <c r="Y116" t="str">
        <f t="shared" si="194"/>
        <v/>
      </c>
      <c r="AA116">
        <f t="shared" si="108"/>
        <v>43019.7</v>
      </c>
      <c r="AB116">
        <f t="shared" si="157"/>
        <v>43039.775000000001</v>
      </c>
      <c r="AC116">
        <f t="shared" si="158"/>
        <v>43059.85</v>
      </c>
      <c r="AD116">
        <f t="shared" si="159"/>
        <v>43079.925000000003</v>
      </c>
      <c r="AE116">
        <f t="shared" si="141"/>
        <v>43100</v>
      </c>
      <c r="AF116">
        <f t="shared" si="142"/>
        <v>43120.074999999997</v>
      </c>
      <c r="AG116">
        <f t="shared" si="143"/>
        <v>43140.15</v>
      </c>
      <c r="AH116">
        <f t="shared" si="144"/>
        <v>43160.224999999999</v>
      </c>
      <c r="AI116">
        <f t="shared" si="145"/>
        <v>43180.3</v>
      </c>
      <c r="AJ116" t="e">
        <f t="shared" si="146"/>
        <v>#N/A</v>
      </c>
      <c r="AK116" t="e">
        <f t="shared" si="147"/>
        <v>#N/A</v>
      </c>
      <c r="AL116" t="e">
        <f t="shared" si="148"/>
        <v>#N/A</v>
      </c>
      <c r="AM116" t="e">
        <f t="shared" si="149"/>
        <v>#N/A</v>
      </c>
      <c r="AN116" t="e">
        <f t="shared" si="150"/>
        <v>#N/A</v>
      </c>
      <c r="AO116" t="e">
        <f t="shared" si="151"/>
        <v>#N/A</v>
      </c>
      <c r="AP116" t="e">
        <f t="shared" si="152"/>
        <v>#N/A</v>
      </c>
      <c r="AQ116" t="e">
        <f t="shared" si="153"/>
        <v>#N/A</v>
      </c>
      <c r="AR116" t="e">
        <f t="shared" si="154"/>
        <v>#N/A</v>
      </c>
      <c r="AS116" t="e">
        <f t="shared" si="155"/>
        <v>#N/A</v>
      </c>
      <c r="AU116">
        <f t="shared" si="109"/>
        <v>4</v>
      </c>
      <c r="AV116">
        <f t="shared" si="110"/>
        <v>4</v>
      </c>
      <c r="AW116">
        <f t="shared" si="111"/>
        <v>4</v>
      </c>
      <c r="AX116">
        <f t="shared" si="112"/>
        <v>4</v>
      </c>
      <c r="AY116">
        <f t="shared" si="113"/>
        <v>4</v>
      </c>
      <c r="AZ116">
        <f t="shared" si="114"/>
        <v>4</v>
      </c>
      <c r="BA116">
        <f t="shared" si="115"/>
        <v>4</v>
      </c>
      <c r="BB116">
        <f t="shared" si="116"/>
        <v>4</v>
      </c>
      <c r="BC116">
        <f t="shared" si="117"/>
        <v>4</v>
      </c>
      <c r="BD116" t="str">
        <f t="shared" si="118"/>
        <v/>
      </c>
      <c r="BE116" t="str">
        <f t="shared" si="119"/>
        <v/>
      </c>
      <c r="BF116" t="str">
        <f t="shared" si="120"/>
        <v/>
      </c>
      <c r="BG116" t="str">
        <f t="shared" si="121"/>
        <v/>
      </c>
      <c r="BH116" t="str">
        <f t="shared" si="122"/>
        <v/>
      </c>
      <c r="BI116" t="str">
        <f t="shared" si="123"/>
        <v/>
      </c>
      <c r="BJ116" t="str">
        <f t="shared" si="124"/>
        <v/>
      </c>
      <c r="BK116" t="str">
        <f t="shared" si="125"/>
        <v/>
      </c>
      <c r="BL116" t="str">
        <f t="shared" si="126"/>
        <v/>
      </c>
      <c r="BM116" t="str">
        <f t="shared" si="127"/>
        <v/>
      </c>
      <c r="BP116"/>
      <c r="BR116"/>
    </row>
    <row r="117" spans="1:70" x14ac:dyDescent="0.25">
      <c r="A117" s="1">
        <v>41444</v>
      </c>
      <c r="B117">
        <v>4.25</v>
      </c>
      <c r="C117" s="4">
        <v>43100</v>
      </c>
      <c r="D117">
        <v>3</v>
      </c>
      <c r="E117">
        <f t="shared" si="105"/>
        <v>0.67105263157894735</v>
      </c>
      <c r="F117" s="4"/>
      <c r="G117">
        <v>1</v>
      </c>
      <c r="H117">
        <f t="shared" ref="H117:Y117" si="195">IF($D117&gt;G117,G117+1,"")</f>
        <v>2</v>
      </c>
      <c r="I117">
        <f t="shared" si="195"/>
        <v>3</v>
      </c>
      <c r="J117" t="str">
        <f t="shared" si="195"/>
        <v/>
      </c>
      <c r="K117" t="str">
        <f t="shared" si="195"/>
        <v/>
      </c>
      <c r="L117" t="str">
        <f t="shared" si="195"/>
        <v/>
      </c>
      <c r="M117" t="str">
        <f t="shared" si="195"/>
        <v/>
      </c>
      <c r="N117" t="str">
        <f t="shared" si="195"/>
        <v/>
      </c>
      <c r="O117" t="str">
        <f t="shared" si="195"/>
        <v/>
      </c>
      <c r="P117" t="str">
        <f t="shared" si="195"/>
        <v/>
      </c>
      <c r="Q117" t="str">
        <f t="shared" si="195"/>
        <v/>
      </c>
      <c r="R117" t="str">
        <f t="shared" si="195"/>
        <v/>
      </c>
      <c r="S117" t="str">
        <f t="shared" si="195"/>
        <v/>
      </c>
      <c r="T117" t="str">
        <f t="shared" si="195"/>
        <v/>
      </c>
      <c r="U117" t="str">
        <f t="shared" si="195"/>
        <v/>
      </c>
      <c r="V117" t="str">
        <f t="shared" si="195"/>
        <v/>
      </c>
      <c r="W117" t="str">
        <f t="shared" si="195"/>
        <v/>
      </c>
      <c r="X117" t="str">
        <f t="shared" si="195"/>
        <v/>
      </c>
      <c r="Y117" t="str">
        <f t="shared" si="195"/>
        <v/>
      </c>
      <c r="AA117">
        <f t="shared" si="108"/>
        <v>43079.924999999996</v>
      </c>
      <c r="AB117">
        <f t="shared" si="157"/>
        <v>43100</v>
      </c>
      <c r="AC117">
        <f t="shared" si="158"/>
        <v>43120.074999999997</v>
      </c>
      <c r="AD117" t="e">
        <f t="shared" si="159"/>
        <v>#N/A</v>
      </c>
      <c r="AE117" t="e">
        <f t="shared" si="141"/>
        <v>#N/A</v>
      </c>
      <c r="AF117" t="e">
        <f t="shared" si="142"/>
        <v>#N/A</v>
      </c>
      <c r="AG117" t="e">
        <f t="shared" si="143"/>
        <v>#N/A</v>
      </c>
      <c r="AH117" t="e">
        <f t="shared" si="144"/>
        <v>#N/A</v>
      </c>
      <c r="AI117" t="e">
        <f t="shared" si="145"/>
        <v>#N/A</v>
      </c>
      <c r="AJ117" t="e">
        <f t="shared" si="146"/>
        <v>#N/A</v>
      </c>
      <c r="AK117" t="e">
        <f t="shared" si="147"/>
        <v>#N/A</v>
      </c>
      <c r="AL117" t="e">
        <f t="shared" si="148"/>
        <v>#N/A</v>
      </c>
      <c r="AM117" t="e">
        <f t="shared" si="149"/>
        <v>#N/A</v>
      </c>
      <c r="AN117" t="e">
        <f t="shared" si="150"/>
        <v>#N/A</v>
      </c>
      <c r="AO117" t="e">
        <f t="shared" si="151"/>
        <v>#N/A</v>
      </c>
      <c r="AP117" t="e">
        <f t="shared" si="152"/>
        <v>#N/A</v>
      </c>
      <c r="AQ117" t="e">
        <f t="shared" si="153"/>
        <v>#N/A</v>
      </c>
      <c r="AR117" t="e">
        <f t="shared" si="154"/>
        <v>#N/A</v>
      </c>
      <c r="AS117" t="e">
        <f t="shared" si="155"/>
        <v>#N/A</v>
      </c>
      <c r="AU117">
        <f t="shared" si="109"/>
        <v>4.25</v>
      </c>
      <c r="AV117">
        <f t="shared" si="110"/>
        <v>4.25</v>
      </c>
      <c r="AW117">
        <f t="shared" si="111"/>
        <v>4.25</v>
      </c>
      <c r="AX117" t="str">
        <f t="shared" si="112"/>
        <v/>
      </c>
      <c r="AY117" t="str">
        <f t="shared" si="113"/>
        <v/>
      </c>
      <c r="AZ117" t="str">
        <f t="shared" si="114"/>
        <v/>
      </c>
      <c r="BA117" t="str">
        <f t="shared" si="115"/>
        <v/>
      </c>
      <c r="BB117" t="str">
        <f t="shared" si="116"/>
        <v/>
      </c>
      <c r="BC117" t="str">
        <f t="shared" si="117"/>
        <v/>
      </c>
      <c r="BD117" t="str">
        <f t="shared" si="118"/>
        <v/>
      </c>
      <c r="BE117" t="str">
        <f t="shared" si="119"/>
        <v/>
      </c>
      <c r="BF117" t="str">
        <f t="shared" si="120"/>
        <v/>
      </c>
      <c r="BG117" t="str">
        <f t="shared" si="121"/>
        <v/>
      </c>
      <c r="BH117" t="str">
        <f t="shared" si="122"/>
        <v/>
      </c>
      <c r="BI117" t="str">
        <f t="shared" si="123"/>
        <v/>
      </c>
      <c r="BJ117" t="str">
        <f t="shared" si="124"/>
        <v/>
      </c>
      <c r="BK117" t="str">
        <f t="shared" si="125"/>
        <v/>
      </c>
      <c r="BL117" t="str">
        <f t="shared" si="126"/>
        <v/>
      </c>
      <c r="BM117" t="str">
        <f t="shared" si="127"/>
        <v/>
      </c>
      <c r="BP117"/>
      <c r="BR117"/>
    </row>
    <row r="118" spans="1:70" x14ac:dyDescent="0.25">
      <c r="A118" s="1">
        <v>41444</v>
      </c>
      <c r="B118">
        <v>4.5</v>
      </c>
      <c r="C118" s="4">
        <v>43100</v>
      </c>
      <c r="D118">
        <v>3</v>
      </c>
      <c r="E118">
        <f t="shared" si="105"/>
        <v>0.71052631578947367</v>
      </c>
      <c r="F118" s="4"/>
      <c r="G118">
        <v>1</v>
      </c>
      <c r="H118">
        <f t="shared" ref="H118:Y118" si="196">IF($D118&gt;G118,G118+1,"")</f>
        <v>2</v>
      </c>
      <c r="I118">
        <f t="shared" si="196"/>
        <v>3</v>
      </c>
      <c r="J118" t="str">
        <f t="shared" si="196"/>
        <v/>
      </c>
      <c r="K118" t="str">
        <f t="shared" si="196"/>
        <v/>
      </c>
      <c r="L118" t="str">
        <f t="shared" si="196"/>
        <v/>
      </c>
      <c r="M118" t="str">
        <f t="shared" si="196"/>
        <v/>
      </c>
      <c r="N118" t="str">
        <f t="shared" si="196"/>
        <v/>
      </c>
      <c r="O118" t="str">
        <f t="shared" si="196"/>
        <v/>
      </c>
      <c r="P118" t="str">
        <f t="shared" si="196"/>
        <v/>
      </c>
      <c r="Q118" t="str">
        <f t="shared" si="196"/>
        <v/>
      </c>
      <c r="R118" t="str">
        <f t="shared" si="196"/>
        <v/>
      </c>
      <c r="S118" t="str">
        <f t="shared" si="196"/>
        <v/>
      </c>
      <c r="T118" t="str">
        <f t="shared" si="196"/>
        <v/>
      </c>
      <c r="U118" t="str">
        <f t="shared" si="196"/>
        <v/>
      </c>
      <c r="V118" t="str">
        <f t="shared" si="196"/>
        <v/>
      </c>
      <c r="W118" t="str">
        <f t="shared" si="196"/>
        <v/>
      </c>
      <c r="X118" t="str">
        <f t="shared" si="196"/>
        <v/>
      </c>
      <c r="Y118" t="str">
        <f t="shared" si="196"/>
        <v/>
      </c>
      <c r="AA118">
        <f t="shared" si="108"/>
        <v>43079.924999999996</v>
      </c>
      <c r="AB118">
        <f t="shared" si="157"/>
        <v>43100</v>
      </c>
      <c r="AC118">
        <f t="shared" si="158"/>
        <v>43120.074999999997</v>
      </c>
      <c r="AD118" t="e">
        <f t="shared" si="159"/>
        <v>#N/A</v>
      </c>
      <c r="AE118" t="e">
        <f t="shared" si="141"/>
        <v>#N/A</v>
      </c>
      <c r="AF118" t="e">
        <f t="shared" si="142"/>
        <v>#N/A</v>
      </c>
      <c r="AG118" t="e">
        <f t="shared" si="143"/>
        <v>#N/A</v>
      </c>
      <c r="AH118" t="e">
        <f t="shared" si="144"/>
        <v>#N/A</v>
      </c>
      <c r="AI118" t="e">
        <f t="shared" si="145"/>
        <v>#N/A</v>
      </c>
      <c r="AJ118" t="e">
        <f t="shared" si="146"/>
        <v>#N/A</v>
      </c>
      <c r="AK118" t="e">
        <f t="shared" si="147"/>
        <v>#N/A</v>
      </c>
      <c r="AL118" t="e">
        <f t="shared" si="148"/>
        <v>#N/A</v>
      </c>
      <c r="AM118" t="e">
        <f t="shared" si="149"/>
        <v>#N/A</v>
      </c>
      <c r="AN118" t="e">
        <f t="shared" si="150"/>
        <v>#N/A</v>
      </c>
      <c r="AO118" t="e">
        <f t="shared" si="151"/>
        <v>#N/A</v>
      </c>
      <c r="AP118" t="e">
        <f t="shared" si="152"/>
        <v>#N/A</v>
      </c>
      <c r="AQ118" t="e">
        <f t="shared" si="153"/>
        <v>#N/A</v>
      </c>
      <c r="AR118" t="e">
        <f t="shared" si="154"/>
        <v>#N/A</v>
      </c>
      <c r="AS118" t="e">
        <f t="shared" si="155"/>
        <v>#N/A</v>
      </c>
      <c r="AU118">
        <f t="shared" si="109"/>
        <v>4.5</v>
      </c>
      <c r="AV118">
        <f t="shared" si="110"/>
        <v>4.5</v>
      </c>
      <c r="AW118">
        <f t="shared" si="111"/>
        <v>4.5</v>
      </c>
      <c r="AX118" t="str">
        <f t="shared" si="112"/>
        <v/>
      </c>
      <c r="AY118" t="str">
        <f t="shared" si="113"/>
        <v/>
      </c>
      <c r="AZ118" t="str">
        <f t="shared" si="114"/>
        <v/>
      </c>
      <c r="BA118" t="str">
        <f t="shared" si="115"/>
        <v/>
      </c>
      <c r="BB118" t="str">
        <f t="shared" si="116"/>
        <v/>
      </c>
      <c r="BC118" t="str">
        <f t="shared" si="117"/>
        <v/>
      </c>
      <c r="BD118" t="str">
        <f t="shared" si="118"/>
        <v/>
      </c>
      <c r="BE118" t="str">
        <f t="shared" si="119"/>
        <v/>
      </c>
      <c r="BF118" t="str">
        <f t="shared" si="120"/>
        <v/>
      </c>
      <c r="BG118" t="str">
        <f t="shared" si="121"/>
        <v/>
      </c>
      <c r="BH118" t="str">
        <f t="shared" si="122"/>
        <v/>
      </c>
      <c r="BI118" t="str">
        <f t="shared" si="123"/>
        <v/>
      </c>
      <c r="BJ118" t="str">
        <f t="shared" si="124"/>
        <v/>
      </c>
      <c r="BK118" t="str">
        <f t="shared" si="125"/>
        <v/>
      </c>
      <c r="BL118" t="str">
        <f t="shared" si="126"/>
        <v/>
      </c>
      <c r="BM118" t="str">
        <f t="shared" si="127"/>
        <v/>
      </c>
      <c r="BP118"/>
      <c r="BR118"/>
    </row>
    <row r="119" spans="1:70" x14ac:dyDescent="0.25">
      <c r="A119" s="1">
        <v>41535</v>
      </c>
      <c r="B119">
        <v>0.25</v>
      </c>
      <c r="C119" s="4">
        <v>41639</v>
      </c>
      <c r="D119">
        <v>17</v>
      </c>
      <c r="E119">
        <f t="shared" si="105"/>
        <v>0.25</v>
      </c>
      <c r="F119" s="4"/>
      <c r="G119">
        <v>1</v>
      </c>
      <c r="H119">
        <f t="shared" ref="H119:Y119" si="197">IF($D119&gt;G119,G119+1,"")</f>
        <v>2</v>
      </c>
      <c r="I119">
        <f t="shared" si="197"/>
        <v>3</v>
      </c>
      <c r="J119">
        <f t="shared" si="197"/>
        <v>4</v>
      </c>
      <c r="K119">
        <f t="shared" si="197"/>
        <v>5</v>
      </c>
      <c r="L119">
        <f t="shared" si="197"/>
        <v>6</v>
      </c>
      <c r="M119">
        <f t="shared" si="197"/>
        <v>7</v>
      </c>
      <c r="N119">
        <f t="shared" si="197"/>
        <v>8</v>
      </c>
      <c r="O119">
        <f t="shared" si="197"/>
        <v>9</v>
      </c>
      <c r="P119">
        <f t="shared" si="197"/>
        <v>10</v>
      </c>
      <c r="Q119">
        <f t="shared" si="197"/>
        <v>11</v>
      </c>
      <c r="R119">
        <f t="shared" si="197"/>
        <v>12</v>
      </c>
      <c r="S119">
        <f t="shared" si="197"/>
        <v>13</v>
      </c>
      <c r="T119">
        <f t="shared" si="197"/>
        <v>14</v>
      </c>
      <c r="U119">
        <f t="shared" si="197"/>
        <v>15</v>
      </c>
      <c r="V119">
        <f t="shared" si="197"/>
        <v>16</v>
      </c>
      <c r="W119">
        <f t="shared" si="197"/>
        <v>17</v>
      </c>
      <c r="X119" t="str">
        <f t="shared" si="197"/>
        <v/>
      </c>
      <c r="Y119" t="str">
        <f t="shared" si="197"/>
        <v/>
      </c>
      <c r="AA119">
        <f t="shared" si="108"/>
        <v>41478.400000000001</v>
      </c>
      <c r="AB119">
        <f t="shared" si="157"/>
        <v>41498.475000000006</v>
      </c>
      <c r="AC119">
        <f t="shared" si="158"/>
        <v>41518.550000000003</v>
      </c>
      <c r="AD119">
        <f t="shared" si="159"/>
        <v>41538.625000000007</v>
      </c>
      <c r="AE119">
        <f t="shared" si="141"/>
        <v>41558.700000000004</v>
      </c>
      <c r="AF119">
        <f t="shared" si="142"/>
        <v>41578.775000000001</v>
      </c>
      <c r="AG119">
        <f t="shared" si="143"/>
        <v>41598.850000000006</v>
      </c>
      <c r="AH119">
        <f t="shared" si="144"/>
        <v>41618.925000000003</v>
      </c>
      <c r="AI119">
        <f t="shared" si="145"/>
        <v>41639.000000000007</v>
      </c>
      <c r="AJ119">
        <f t="shared" si="146"/>
        <v>41659.075000000004</v>
      </c>
      <c r="AK119">
        <f t="shared" si="147"/>
        <v>41679.15</v>
      </c>
      <c r="AL119">
        <f t="shared" si="148"/>
        <v>41699.225000000006</v>
      </c>
      <c r="AM119">
        <f t="shared" si="149"/>
        <v>41719.300000000003</v>
      </c>
      <c r="AN119">
        <f t="shared" si="150"/>
        <v>41739.375000000007</v>
      </c>
      <c r="AO119">
        <f t="shared" si="151"/>
        <v>41759.450000000004</v>
      </c>
      <c r="AP119">
        <f t="shared" si="152"/>
        <v>41779.525000000001</v>
      </c>
      <c r="AQ119">
        <f t="shared" si="153"/>
        <v>41799.600000000006</v>
      </c>
      <c r="AR119" t="e">
        <f t="shared" si="154"/>
        <v>#N/A</v>
      </c>
      <c r="AS119" t="e">
        <f t="shared" si="155"/>
        <v>#N/A</v>
      </c>
      <c r="AU119">
        <f t="shared" si="109"/>
        <v>0.25</v>
      </c>
      <c r="AV119">
        <f t="shared" si="110"/>
        <v>0.25</v>
      </c>
      <c r="AW119">
        <f t="shared" si="111"/>
        <v>0.25</v>
      </c>
      <c r="AX119">
        <f t="shared" si="112"/>
        <v>0.25</v>
      </c>
      <c r="AY119">
        <f t="shared" si="113"/>
        <v>0.25</v>
      </c>
      <c r="AZ119">
        <f t="shared" si="114"/>
        <v>0.25</v>
      </c>
      <c r="BA119">
        <f t="shared" si="115"/>
        <v>0.25</v>
      </c>
      <c r="BB119">
        <f t="shared" si="116"/>
        <v>0.25</v>
      </c>
      <c r="BC119">
        <f t="shared" si="117"/>
        <v>0.25</v>
      </c>
      <c r="BD119">
        <f t="shared" si="118"/>
        <v>0.25</v>
      </c>
      <c r="BE119">
        <f t="shared" si="119"/>
        <v>0.25</v>
      </c>
      <c r="BF119">
        <f t="shared" si="120"/>
        <v>0.25</v>
      </c>
      <c r="BG119">
        <f t="shared" si="121"/>
        <v>0.25</v>
      </c>
      <c r="BH119">
        <f t="shared" si="122"/>
        <v>0.25</v>
      </c>
      <c r="BI119">
        <f t="shared" si="123"/>
        <v>0.25</v>
      </c>
      <c r="BJ119">
        <f t="shared" si="124"/>
        <v>0.25</v>
      </c>
      <c r="BK119">
        <f t="shared" si="125"/>
        <v>0.25</v>
      </c>
      <c r="BL119" t="str">
        <f t="shared" si="126"/>
        <v/>
      </c>
      <c r="BM119" t="str">
        <f t="shared" si="127"/>
        <v/>
      </c>
      <c r="BP119"/>
      <c r="BR119"/>
    </row>
    <row r="120" spans="1:70" x14ac:dyDescent="0.25">
      <c r="A120" s="1">
        <v>41535</v>
      </c>
      <c r="B120">
        <v>0.25</v>
      </c>
      <c r="C120" s="4">
        <v>42004</v>
      </c>
      <c r="D120">
        <v>14</v>
      </c>
      <c r="E120">
        <f t="shared" si="105"/>
        <v>0.20588235294117646</v>
      </c>
      <c r="F120" s="4"/>
      <c r="G120">
        <v>1</v>
      </c>
      <c r="H120">
        <f t="shared" ref="H120:Y120" si="198">IF($D120&gt;G120,G120+1,"")</f>
        <v>2</v>
      </c>
      <c r="I120">
        <f t="shared" si="198"/>
        <v>3</v>
      </c>
      <c r="J120">
        <f t="shared" si="198"/>
        <v>4</v>
      </c>
      <c r="K120">
        <f t="shared" si="198"/>
        <v>5</v>
      </c>
      <c r="L120">
        <f t="shared" si="198"/>
        <v>6</v>
      </c>
      <c r="M120">
        <f t="shared" si="198"/>
        <v>7</v>
      </c>
      <c r="N120">
        <f t="shared" si="198"/>
        <v>8</v>
      </c>
      <c r="O120">
        <f t="shared" si="198"/>
        <v>9</v>
      </c>
      <c r="P120">
        <f t="shared" si="198"/>
        <v>10</v>
      </c>
      <c r="Q120">
        <f t="shared" si="198"/>
        <v>11</v>
      </c>
      <c r="R120">
        <f t="shared" si="198"/>
        <v>12</v>
      </c>
      <c r="S120">
        <f t="shared" si="198"/>
        <v>13</v>
      </c>
      <c r="T120">
        <f t="shared" si="198"/>
        <v>14</v>
      </c>
      <c r="U120" t="str">
        <f t="shared" si="198"/>
        <v/>
      </c>
      <c r="V120" t="str">
        <f t="shared" si="198"/>
        <v/>
      </c>
      <c r="W120" t="str">
        <f t="shared" si="198"/>
        <v/>
      </c>
      <c r="X120" t="str">
        <f t="shared" si="198"/>
        <v/>
      </c>
      <c r="Y120" t="str">
        <f t="shared" si="198"/>
        <v/>
      </c>
      <c r="AA120">
        <f t="shared" si="108"/>
        <v>41873.512499999997</v>
      </c>
      <c r="AB120">
        <f t="shared" si="157"/>
        <v>41893.587500000001</v>
      </c>
      <c r="AC120">
        <f t="shared" si="158"/>
        <v>41913.662499999999</v>
      </c>
      <c r="AD120">
        <f t="shared" si="159"/>
        <v>41933.737500000003</v>
      </c>
      <c r="AE120">
        <f t="shared" si="141"/>
        <v>41953.8125</v>
      </c>
      <c r="AF120">
        <f t="shared" si="142"/>
        <v>41973.887499999997</v>
      </c>
      <c r="AG120">
        <f t="shared" si="143"/>
        <v>41993.962500000001</v>
      </c>
      <c r="AH120">
        <f t="shared" si="144"/>
        <v>42014.037499999999</v>
      </c>
      <c r="AI120">
        <f t="shared" si="145"/>
        <v>42034.112500000003</v>
      </c>
      <c r="AJ120">
        <f t="shared" si="146"/>
        <v>42054.1875</v>
      </c>
      <c r="AK120">
        <f t="shared" si="147"/>
        <v>42074.262499999997</v>
      </c>
      <c r="AL120">
        <f t="shared" si="148"/>
        <v>42094.337500000001</v>
      </c>
      <c r="AM120">
        <f t="shared" si="149"/>
        <v>42114.412499999999</v>
      </c>
      <c r="AN120">
        <f t="shared" si="150"/>
        <v>42134.487500000003</v>
      </c>
      <c r="AO120" t="e">
        <f t="shared" si="151"/>
        <v>#N/A</v>
      </c>
      <c r="AP120" t="e">
        <f t="shared" si="152"/>
        <v>#N/A</v>
      </c>
      <c r="AQ120" t="e">
        <f t="shared" si="153"/>
        <v>#N/A</v>
      </c>
      <c r="AR120" t="e">
        <f t="shared" si="154"/>
        <v>#N/A</v>
      </c>
      <c r="AS120" t="e">
        <f t="shared" si="155"/>
        <v>#N/A</v>
      </c>
      <c r="AU120">
        <f t="shared" si="109"/>
        <v>0.25</v>
      </c>
      <c r="AV120">
        <f t="shared" si="110"/>
        <v>0.25</v>
      </c>
      <c r="AW120">
        <f t="shared" si="111"/>
        <v>0.25</v>
      </c>
      <c r="AX120">
        <f t="shared" si="112"/>
        <v>0.25</v>
      </c>
      <c r="AY120">
        <f t="shared" si="113"/>
        <v>0.25</v>
      </c>
      <c r="AZ120">
        <f t="shared" si="114"/>
        <v>0.25</v>
      </c>
      <c r="BA120">
        <f t="shared" si="115"/>
        <v>0.25</v>
      </c>
      <c r="BB120">
        <f t="shared" si="116"/>
        <v>0.25</v>
      </c>
      <c r="BC120">
        <f t="shared" si="117"/>
        <v>0.25</v>
      </c>
      <c r="BD120">
        <f t="shared" si="118"/>
        <v>0.25</v>
      </c>
      <c r="BE120">
        <f t="shared" si="119"/>
        <v>0.25</v>
      </c>
      <c r="BF120">
        <f t="shared" si="120"/>
        <v>0.25</v>
      </c>
      <c r="BG120">
        <f t="shared" si="121"/>
        <v>0.25</v>
      </c>
      <c r="BH120">
        <f t="shared" si="122"/>
        <v>0.25</v>
      </c>
      <c r="BI120" t="str">
        <f t="shared" si="123"/>
        <v/>
      </c>
      <c r="BJ120" t="str">
        <f t="shared" si="124"/>
        <v/>
      </c>
      <c r="BK120" t="str">
        <f t="shared" si="125"/>
        <v/>
      </c>
      <c r="BL120" t="str">
        <f t="shared" si="126"/>
        <v/>
      </c>
      <c r="BM120" t="str">
        <f t="shared" si="127"/>
        <v/>
      </c>
      <c r="BP120"/>
      <c r="BR120"/>
    </row>
    <row r="121" spans="1:70" x14ac:dyDescent="0.25">
      <c r="A121" s="1">
        <v>41535</v>
      </c>
      <c r="B121">
        <v>1</v>
      </c>
      <c r="C121" s="4">
        <v>42004</v>
      </c>
      <c r="D121">
        <v>2</v>
      </c>
      <c r="E121">
        <f t="shared" si="105"/>
        <v>0.11764705882352941</v>
      </c>
      <c r="F121" s="4"/>
      <c r="G121">
        <v>1</v>
      </c>
      <c r="H121">
        <f t="shared" ref="H121:Y121" si="199">IF($D121&gt;G121,G121+1,"")</f>
        <v>2</v>
      </c>
      <c r="I121" t="str">
        <f t="shared" si="199"/>
        <v/>
      </c>
      <c r="J121" t="str">
        <f t="shared" si="199"/>
        <v/>
      </c>
      <c r="K121" t="str">
        <f t="shared" si="199"/>
        <v/>
      </c>
      <c r="L121" t="str">
        <f t="shared" si="199"/>
        <v/>
      </c>
      <c r="M121" t="str">
        <f t="shared" si="199"/>
        <v/>
      </c>
      <c r="N121" t="str">
        <f t="shared" si="199"/>
        <v/>
      </c>
      <c r="O121" t="str">
        <f t="shared" si="199"/>
        <v/>
      </c>
      <c r="P121" t="str">
        <f t="shared" si="199"/>
        <v/>
      </c>
      <c r="Q121" t="str">
        <f t="shared" si="199"/>
        <v/>
      </c>
      <c r="R121" t="str">
        <f t="shared" si="199"/>
        <v/>
      </c>
      <c r="S121" t="str">
        <f t="shared" si="199"/>
        <v/>
      </c>
      <c r="T121" t="str">
        <f t="shared" si="199"/>
        <v/>
      </c>
      <c r="U121" t="str">
        <f t="shared" si="199"/>
        <v/>
      </c>
      <c r="V121" t="str">
        <f t="shared" si="199"/>
        <v/>
      </c>
      <c r="W121" t="str">
        <f t="shared" si="199"/>
        <v/>
      </c>
      <c r="X121" t="str">
        <f t="shared" si="199"/>
        <v/>
      </c>
      <c r="Y121" t="str">
        <f t="shared" si="199"/>
        <v/>
      </c>
      <c r="AA121">
        <f t="shared" si="108"/>
        <v>41993.962500000001</v>
      </c>
      <c r="AB121">
        <f t="shared" si="157"/>
        <v>42014.037500000006</v>
      </c>
      <c r="AC121" t="e">
        <f t="shared" si="158"/>
        <v>#N/A</v>
      </c>
      <c r="AD121" t="e">
        <f t="shared" si="159"/>
        <v>#N/A</v>
      </c>
      <c r="AE121" t="e">
        <f t="shared" si="141"/>
        <v>#N/A</v>
      </c>
      <c r="AF121" t="e">
        <f t="shared" si="142"/>
        <v>#N/A</v>
      </c>
      <c r="AG121" t="e">
        <f t="shared" si="143"/>
        <v>#N/A</v>
      </c>
      <c r="AH121" t="e">
        <f t="shared" si="144"/>
        <v>#N/A</v>
      </c>
      <c r="AI121" t="e">
        <f t="shared" si="145"/>
        <v>#N/A</v>
      </c>
      <c r="AJ121" t="e">
        <f t="shared" si="146"/>
        <v>#N/A</v>
      </c>
      <c r="AK121" t="e">
        <f t="shared" si="147"/>
        <v>#N/A</v>
      </c>
      <c r="AL121" t="e">
        <f t="shared" si="148"/>
        <v>#N/A</v>
      </c>
      <c r="AM121" t="e">
        <f t="shared" si="149"/>
        <v>#N/A</v>
      </c>
      <c r="AN121" t="e">
        <f t="shared" si="150"/>
        <v>#N/A</v>
      </c>
      <c r="AO121" t="e">
        <f t="shared" si="151"/>
        <v>#N/A</v>
      </c>
      <c r="AP121" t="e">
        <f t="shared" si="152"/>
        <v>#N/A</v>
      </c>
      <c r="AQ121" t="e">
        <f t="shared" si="153"/>
        <v>#N/A</v>
      </c>
      <c r="AR121" t="e">
        <f t="shared" si="154"/>
        <v>#N/A</v>
      </c>
      <c r="AS121" t="e">
        <f t="shared" si="155"/>
        <v>#N/A</v>
      </c>
      <c r="AU121">
        <f t="shared" si="109"/>
        <v>1</v>
      </c>
      <c r="AV121">
        <f t="shared" si="110"/>
        <v>1</v>
      </c>
      <c r="AW121" t="str">
        <f t="shared" si="111"/>
        <v/>
      </c>
      <c r="AX121" t="str">
        <f t="shared" si="112"/>
        <v/>
      </c>
      <c r="AY121" t="str">
        <f t="shared" si="113"/>
        <v/>
      </c>
      <c r="AZ121" t="str">
        <f t="shared" si="114"/>
        <v/>
      </c>
      <c r="BA121" t="str">
        <f t="shared" si="115"/>
        <v/>
      </c>
      <c r="BB121" t="str">
        <f t="shared" si="116"/>
        <v/>
      </c>
      <c r="BC121" t="str">
        <f t="shared" si="117"/>
        <v/>
      </c>
      <c r="BD121" t="str">
        <f t="shared" si="118"/>
        <v/>
      </c>
      <c r="BE121" t="str">
        <f t="shared" si="119"/>
        <v/>
      </c>
      <c r="BF121" t="str">
        <f t="shared" si="120"/>
        <v/>
      </c>
      <c r="BG121" t="str">
        <f t="shared" si="121"/>
        <v/>
      </c>
      <c r="BH121" t="str">
        <f t="shared" si="122"/>
        <v/>
      </c>
      <c r="BI121" t="str">
        <f t="shared" si="123"/>
        <v/>
      </c>
      <c r="BJ121" t="str">
        <f t="shared" si="124"/>
        <v/>
      </c>
      <c r="BK121" t="str">
        <f t="shared" si="125"/>
        <v/>
      </c>
      <c r="BL121" t="str">
        <f t="shared" si="126"/>
        <v/>
      </c>
      <c r="BM121" t="str">
        <f t="shared" si="127"/>
        <v/>
      </c>
      <c r="BP121"/>
      <c r="BR121"/>
    </row>
    <row r="122" spans="1:70" x14ac:dyDescent="0.25">
      <c r="A122" s="1">
        <v>41535</v>
      </c>
      <c r="B122">
        <v>1.25</v>
      </c>
      <c r="C122" s="4">
        <v>42004</v>
      </c>
      <c r="D122">
        <v>1</v>
      </c>
      <c r="E122">
        <f t="shared" si="105"/>
        <v>7.3529411764705885E-2</v>
      </c>
      <c r="F122" s="4"/>
      <c r="G122">
        <v>1</v>
      </c>
      <c r="H122" t="str">
        <f t="shared" ref="H122:Y122" si="200">IF($D122&gt;G122,G122+1,"")</f>
        <v/>
      </c>
      <c r="I122" t="str">
        <f t="shared" si="200"/>
        <v/>
      </c>
      <c r="J122" t="str">
        <f t="shared" si="200"/>
        <v/>
      </c>
      <c r="K122" t="str">
        <f t="shared" si="200"/>
        <v/>
      </c>
      <c r="L122" t="str">
        <f t="shared" si="200"/>
        <v/>
      </c>
      <c r="M122" t="str">
        <f t="shared" si="200"/>
        <v/>
      </c>
      <c r="N122" t="str">
        <f t="shared" si="200"/>
        <v/>
      </c>
      <c r="O122" t="str">
        <f t="shared" si="200"/>
        <v/>
      </c>
      <c r="P122" t="str">
        <f t="shared" si="200"/>
        <v/>
      </c>
      <c r="Q122" t="str">
        <f t="shared" si="200"/>
        <v/>
      </c>
      <c r="R122" t="str">
        <f t="shared" si="200"/>
        <v/>
      </c>
      <c r="S122" t="str">
        <f t="shared" si="200"/>
        <v/>
      </c>
      <c r="T122" t="str">
        <f t="shared" si="200"/>
        <v/>
      </c>
      <c r="U122" t="str">
        <f t="shared" si="200"/>
        <v/>
      </c>
      <c r="V122" t="str">
        <f t="shared" si="200"/>
        <v/>
      </c>
      <c r="W122" t="str">
        <f t="shared" si="200"/>
        <v/>
      </c>
      <c r="X122" t="str">
        <f t="shared" si="200"/>
        <v/>
      </c>
      <c r="Y122" t="str">
        <f t="shared" si="200"/>
        <v/>
      </c>
      <c r="AA122">
        <f t="shared" si="108"/>
        <v>42004</v>
      </c>
      <c r="AB122" t="e">
        <f t="shared" si="157"/>
        <v>#N/A</v>
      </c>
      <c r="AC122" t="e">
        <f t="shared" si="158"/>
        <v>#N/A</v>
      </c>
      <c r="AD122" t="e">
        <f t="shared" si="159"/>
        <v>#N/A</v>
      </c>
      <c r="AE122" t="e">
        <f t="shared" si="141"/>
        <v>#N/A</v>
      </c>
      <c r="AF122" t="e">
        <f t="shared" si="142"/>
        <v>#N/A</v>
      </c>
      <c r="AG122" t="e">
        <f t="shared" si="143"/>
        <v>#N/A</v>
      </c>
      <c r="AH122" t="e">
        <f t="shared" si="144"/>
        <v>#N/A</v>
      </c>
      <c r="AI122" t="e">
        <f t="shared" si="145"/>
        <v>#N/A</v>
      </c>
      <c r="AJ122" t="e">
        <f t="shared" si="146"/>
        <v>#N/A</v>
      </c>
      <c r="AK122" t="e">
        <f t="shared" si="147"/>
        <v>#N/A</v>
      </c>
      <c r="AL122" t="e">
        <f t="shared" si="148"/>
        <v>#N/A</v>
      </c>
      <c r="AM122" t="e">
        <f t="shared" si="149"/>
        <v>#N/A</v>
      </c>
      <c r="AN122" t="e">
        <f t="shared" si="150"/>
        <v>#N/A</v>
      </c>
      <c r="AO122" t="e">
        <f t="shared" si="151"/>
        <v>#N/A</v>
      </c>
      <c r="AP122" t="e">
        <f t="shared" si="152"/>
        <v>#N/A</v>
      </c>
      <c r="AQ122" t="e">
        <f t="shared" si="153"/>
        <v>#N/A</v>
      </c>
      <c r="AR122" t="e">
        <f t="shared" si="154"/>
        <v>#N/A</v>
      </c>
      <c r="AS122" t="e">
        <f t="shared" si="155"/>
        <v>#N/A</v>
      </c>
      <c r="AU122">
        <f t="shared" si="109"/>
        <v>1.25</v>
      </c>
      <c r="AV122" t="str">
        <f t="shared" si="110"/>
        <v/>
      </c>
      <c r="AW122" t="str">
        <f t="shared" si="111"/>
        <v/>
      </c>
      <c r="AX122" t="str">
        <f t="shared" si="112"/>
        <v/>
      </c>
      <c r="AY122" t="str">
        <f t="shared" si="113"/>
        <v/>
      </c>
      <c r="AZ122" t="str">
        <f t="shared" si="114"/>
        <v/>
      </c>
      <c r="BA122" t="str">
        <f t="shared" si="115"/>
        <v/>
      </c>
      <c r="BB122" t="str">
        <f t="shared" si="116"/>
        <v/>
      </c>
      <c r="BC122" t="str">
        <f t="shared" si="117"/>
        <v/>
      </c>
      <c r="BD122" t="str">
        <f t="shared" si="118"/>
        <v/>
      </c>
      <c r="BE122" t="str">
        <f t="shared" si="119"/>
        <v/>
      </c>
      <c r="BF122" t="str">
        <f t="shared" si="120"/>
        <v/>
      </c>
      <c r="BG122" t="str">
        <f t="shared" si="121"/>
        <v/>
      </c>
      <c r="BH122" t="str">
        <f t="shared" si="122"/>
        <v/>
      </c>
      <c r="BI122" t="str">
        <f t="shared" si="123"/>
        <v/>
      </c>
      <c r="BJ122" t="str">
        <f t="shared" si="124"/>
        <v/>
      </c>
      <c r="BK122" t="str">
        <f t="shared" si="125"/>
        <v/>
      </c>
      <c r="BL122" t="str">
        <f t="shared" si="126"/>
        <v/>
      </c>
      <c r="BM122" t="str">
        <f t="shared" si="127"/>
        <v/>
      </c>
      <c r="BP122"/>
      <c r="BR122"/>
    </row>
    <row r="123" spans="1:70" x14ac:dyDescent="0.25">
      <c r="A123" s="1">
        <v>41535</v>
      </c>
      <c r="B123">
        <v>0.25</v>
      </c>
      <c r="C123" s="4">
        <v>42369</v>
      </c>
      <c r="D123">
        <v>2</v>
      </c>
      <c r="E123">
        <f t="shared" si="105"/>
        <v>2.9411764705882353E-2</v>
      </c>
      <c r="F123" s="4"/>
      <c r="G123">
        <v>1</v>
      </c>
      <c r="H123">
        <f t="shared" ref="H123:Y123" si="201">IF($D123&gt;G123,G123+1,"")</f>
        <v>2</v>
      </c>
      <c r="I123" t="str">
        <f t="shared" si="201"/>
        <v/>
      </c>
      <c r="J123" t="str">
        <f t="shared" si="201"/>
        <v/>
      </c>
      <c r="K123" t="str">
        <f t="shared" si="201"/>
        <v/>
      </c>
      <c r="L123" t="str">
        <f t="shared" si="201"/>
        <v/>
      </c>
      <c r="M123" t="str">
        <f t="shared" si="201"/>
        <v/>
      </c>
      <c r="N123" t="str">
        <f t="shared" si="201"/>
        <v/>
      </c>
      <c r="O123" t="str">
        <f t="shared" si="201"/>
        <v/>
      </c>
      <c r="P123" t="str">
        <f t="shared" si="201"/>
        <v/>
      </c>
      <c r="Q123" t="str">
        <f t="shared" si="201"/>
        <v/>
      </c>
      <c r="R123" t="str">
        <f t="shared" si="201"/>
        <v/>
      </c>
      <c r="S123" t="str">
        <f t="shared" si="201"/>
        <v/>
      </c>
      <c r="T123" t="str">
        <f t="shared" si="201"/>
        <v/>
      </c>
      <c r="U123" t="str">
        <f t="shared" si="201"/>
        <v/>
      </c>
      <c r="V123" t="str">
        <f t="shared" si="201"/>
        <v/>
      </c>
      <c r="W123" t="str">
        <f t="shared" si="201"/>
        <v/>
      </c>
      <c r="X123" t="str">
        <f t="shared" si="201"/>
        <v/>
      </c>
      <c r="Y123" t="str">
        <f t="shared" si="201"/>
        <v/>
      </c>
      <c r="AA123">
        <f t="shared" si="108"/>
        <v>42358.962500000001</v>
      </c>
      <c r="AB123">
        <f t="shared" si="157"/>
        <v>42379.037500000006</v>
      </c>
      <c r="AC123" t="e">
        <f t="shared" si="158"/>
        <v>#N/A</v>
      </c>
      <c r="AD123" t="e">
        <f t="shared" si="159"/>
        <v>#N/A</v>
      </c>
      <c r="AE123" t="e">
        <f t="shared" si="141"/>
        <v>#N/A</v>
      </c>
      <c r="AF123" t="e">
        <f t="shared" si="142"/>
        <v>#N/A</v>
      </c>
      <c r="AG123" t="e">
        <f t="shared" si="143"/>
        <v>#N/A</v>
      </c>
      <c r="AH123" t="e">
        <f t="shared" si="144"/>
        <v>#N/A</v>
      </c>
      <c r="AI123" t="e">
        <f t="shared" si="145"/>
        <v>#N/A</v>
      </c>
      <c r="AJ123" t="e">
        <f t="shared" si="146"/>
        <v>#N/A</v>
      </c>
      <c r="AK123" t="e">
        <f t="shared" si="147"/>
        <v>#N/A</v>
      </c>
      <c r="AL123" t="e">
        <f t="shared" si="148"/>
        <v>#N/A</v>
      </c>
      <c r="AM123" t="e">
        <f t="shared" si="149"/>
        <v>#N/A</v>
      </c>
      <c r="AN123" t="e">
        <f t="shared" si="150"/>
        <v>#N/A</v>
      </c>
      <c r="AO123" t="e">
        <f t="shared" si="151"/>
        <v>#N/A</v>
      </c>
      <c r="AP123" t="e">
        <f t="shared" si="152"/>
        <v>#N/A</v>
      </c>
      <c r="AQ123" t="e">
        <f t="shared" si="153"/>
        <v>#N/A</v>
      </c>
      <c r="AR123" t="e">
        <f t="shared" si="154"/>
        <v>#N/A</v>
      </c>
      <c r="AS123" t="e">
        <f t="shared" si="155"/>
        <v>#N/A</v>
      </c>
      <c r="AU123">
        <f t="shared" si="109"/>
        <v>0.25</v>
      </c>
      <c r="AV123">
        <f t="shared" si="110"/>
        <v>0.25</v>
      </c>
      <c r="AW123" t="str">
        <f t="shared" si="111"/>
        <v/>
      </c>
      <c r="AX123" t="str">
        <f t="shared" si="112"/>
        <v/>
      </c>
      <c r="AY123" t="str">
        <f t="shared" si="113"/>
        <v/>
      </c>
      <c r="AZ123" t="str">
        <f t="shared" si="114"/>
        <v/>
      </c>
      <c r="BA123" t="str">
        <f t="shared" si="115"/>
        <v/>
      </c>
      <c r="BB123" t="str">
        <f t="shared" si="116"/>
        <v/>
      </c>
      <c r="BC123" t="str">
        <f t="shared" si="117"/>
        <v/>
      </c>
      <c r="BD123" t="str">
        <f t="shared" si="118"/>
        <v/>
      </c>
      <c r="BE123" t="str">
        <f t="shared" si="119"/>
        <v/>
      </c>
      <c r="BF123" t="str">
        <f t="shared" si="120"/>
        <v/>
      </c>
      <c r="BG123" t="str">
        <f t="shared" si="121"/>
        <v/>
      </c>
      <c r="BH123" t="str">
        <f t="shared" si="122"/>
        <v/>
      </c>
      <c r="BI123" t="str">
        <f t="shared" si="123"/>
        <v/>
      </c>
      <c r="BJ123" t="str">
        <f t="shared" si="124"/>
        <v/>
      </c>
      <c r="BK123" t="str">
        <f t="shared" si="125"/>
        <v/>
      </c>
      <c r="BL123" t="str">
        <f t="shared" si="126"/>
        <v/>
      </c>
      <c r="BM123" t="str">
        <f t="shared" si="127"/>
        <v/>
      </c>
      <c r="BP123"/>
      <c r="BR123"/>
    </row>
    <row r="124" spans="1:70" x14ac:dyDescent="0.25">
      <c r="A124" s="1">
        <v>41535</v>
      </c>
      <c r="B124">
        <v>0.5</v>
      </c>
      <c r="C124" s="4">
        <v>42369</v>
      </c>
      <c r="D124">
        <v>1</v>
      </c>
      <c r="E124">
        <f t="shared" si="105"/>
        <v>2.9411764705882353E-2</v>
      </c>
      <c r="F124" s="4"/>
      <c r="G124">
        <v>1</v>
      </c>
      <c r="H124" t="str">
        <f t="shared" ref="H124:Y124" si="202">IF($D124&gt;G124,G124+1,"")</f>
        <v/>
      </c>
      <c r="I124" t="str">
        <f t="shared" si="202"/>
        <v/>
      </c>
      <c r="J124" t="str">
        <f t="shared" si="202"/>
        <v/>
      </c>
      <c r="K124" t="str">
        <f t="shared" si="202"/>
        <v/>
      </c>
      <c r="L124" t="str">
        <f t="shared" si="202"/>
        <v/>
      </c>
      <c r="M124" t="str">
        <f t="shared" si="202"/>
        <v/>
      </c>
      <c r="N124" t="str">
        <f t="shared" si="202"/>
        <v/>
      </c>
      <c r="O124" t="str">
        <f t="shared" si="202"/>
        <v/>
      </c>
      <c r="P124" t="str">
        <f t="shared" si="202"/>
        <v/>
      </c>
      <c r="Q124" t="str">
        <f t="shared" si="202"/>
        <v/>
      </c>
      <c r="R124" t="str">
        <f t="shared" si="202"/>
        <v/>
      </c>
      <c r="S124" t="str">
        <f t="shared" si="202"/>
        <v/>
      </c>
      <c r="T124" t="str">
        <f t="shared" si="202"/>
        <v/>
      </c>
      <c r="U124" t="str">
        <f t="shared" si="202"/>
        <v/>
      </c>
      <c r="V124" t="str">
        <f t="shared" si="202"/>
        <v/>
      </c>
      <c r="W124" t="str">
        <f t="shared" si="202"/>
        <v/>
      </c>
      <c r="X124" t="str">
        <f t="shared" si="202"/>
        <v/>
      </c>
      <c r="Y124" t="str">
        <f t="shared" si="202"/>
        <v/>
      </c>
      <c r="AA124">
        <f t="shared" si="108"/>
        <v>42369</v>
      </c>
      <c r="AB124" t="e">
        <f t="shared" si="157"/>
        <v>#N/A</v>
      </c>
      <c r="AC124" t="e">
        <f t="shared" si="158"/>
        <v>#N/A</v>
      </c>
      <c r="AD124" t="e">
        <f t="shared" si="159"/>
        <v>#N/A</v>
      </c>
      <c r="AE124" t="e">
        <f t="shared" si="141"/>
        <v>#N/A</v>
      </c>
      <c r="AF124" t="e">
        <f t="shared" si="142"/>
        <v>#N/A</v>
      </c>
      <c r="AG124" t="e">
        <f t="shared" si="143"/>
        <v>#N/A</v>
      </c>
      <c r="AH124" t="e">
        <f t="shared" si="144"/>
        <v>#N/A</v>
      </c>
      <c r="AI124" t="e">
        <f t="shared" si="145"/>
        <v>#N/A</v>
      </c>
      <c r="AJ124" t="e">
        <f t="shared" si="146"/>
        <v>#N/A</v>
      </c>
      <c r="AK124" t="e">
        <f t="shared" si="147"/>
        <v>#N/A</v>
      </c>
      <c r="AL124" t="e">
        <f t="shared" si="148"/>
        <v>#N/A</v>
      </c>
      <c r="AM124" t="e">
        <f t="shared" si="149"/>
        <v>#N/A</v>
      </c>
      <c r="AN124" t="e">
        <f t="shared" si="150"/>
        <v>#N/A</v>
      </c>
      <c r="AO124" t="e">
        <f t="shared" si="151"/>
        <v>#N/A</v>
      </c>
      <c r="AP124" t="e">
        <f t="shared" si="152"/>
        <v>#N/A</v>
      </c>
      <c r="AQ124" t="e">
        <f t="shared" si="153"/>
        <v>#N/A</v>
      </c>
      <c r="AR124" t="e">
        <f t="shared" si="154"/>
        <v>#N/A</v>
      </c>
      <c r="AS124" t="e">
        <f t="shared" si="155"/>
        <v>#N/A</v>
      </c>
      <c r="AU124">
        <f t="shared" si="109"/>
        <v>0.5</v>
      </c>
      <c r="AV124" t="str">
        <f t="shared" si="110"/>
        <v/>
      </c>
      <c r="AW124" t="str">
        <f t="shared" si="111"/>
        <v/>
      </c>
      <c r="AX124" t="str">
        <f t="shared" si="112"/>
        <v/>
      </c>
      <c r="AY124" t="str">
        <f t="shared" si="113"/>
        <v/>
      </c>
      <c r="AZ124" t="str">
        <f t="shared" si="114"/>
        <v/>
      </c>
      <c r="BA124" t="str">
        <f t="shared" si="115"/>
        <v/>
      </c>
      <c r="BB124" t="str">
        <f t="shared" si="116"/>
        <v/>
      </c>
      <c r="BC124" t="str">
        <f t="shared" si="117"/>
        <v/>
      </c>
      <c r="BD124" t="str">
        <f t="shared" si="118"/>
        <v/>
      </c>
      <c r="BE124" t="str">
        <f t="shared" si="119"/>
        <v/>
      </c>
      <c r="BF124" t="str">
        <f t="shared" si="120"/>
        <v/>
      </c>
      <c r="BG124" t="str">
        <f t="shared" si="121"/>
        <v/>
      </c>
      <c r="BH124" t="str">
        <f t="shared" si="122"/>
        <v/>
      </c>
      <c r="BI124" t="str">
        <f t="shared" si="123"/>
        <v/>
      </c>
      <c r="BJ124" t="str">
        <f t="shared" si="124"/>
        <v/>
      </c>
      <c r="BK124" t="str">
        <f t="shared" si="125"/>
        <v/>
      </c>
      <c r="BL124" t="str">
        <f t="shared" si="126"/>
        <v/>
      </c>
      <c r="BM124" t="str">
        <f t="shared" si="127"/>
        <v/>
      </c>
      <c r="BP124"/>
      <c r="BR124"/>
    </row>
    <row r="125" spans="1:70" x14ac:dyDescent="0.25">
      <c r="A125" s="1">
        <v>41535</v>
      </c>
      <c r="B125">
        <v>0.75</v>
      </c>
      <c r="C125" s="4">
        <v>42369</v>
      </c>
      <c r="D125">
        <v>5</v>
      </c>
      <c r="E125">
        <f t="shared" si="105"/>
        <v>0.22058823529411764</v>
      </c>
      <c r="F125" s="4"/>
      <c r="G125">
        <v>1</v>
      </c>
      <c r="H125">
        <f t="shared" ref="H125:Y125" si="203">IF($D125&gt;G125,G125+1,"")</f>
        <v>2</v>
      </c>
      <c r="I125">
        <f t="shared" si="203"/>
        <v>3</v>
      </c>
      <c r="J125">
        <f t="shared" si="203"/>
        <v>4</v>
      </c>
      <c r="K125">
        <f t="shared" si="203"/>
        <v>5</v>
      </c>
      <c r="L125" t="str">
        <f t="shared" si="203"/>
        <v/>
      </c>
      <c r="M125" t="str">
        <f t="shared" si="203"/>
        <v/>
      </c>
      <c r="N125" t="str">
        <f t="shared" si="203"/>
        <v/>
      </c>
      <c r="O125" t="str">
        <f t="shared" si="203"/>
        <v/>
      </c>
      <c r="P125" t="str">
        <f t="shared" si="203"/>
        <v/>
      </c>
      <c r="Q125" t="str">
        <f t="shared" si="203"/>
        <v/>
      </c>
      <c r="R125" t="str">
        <f t="shared" si="203"/>
        <v/>
      </c>
      <c r="S125" t="str">
        <f t="shared" si="203"/>
        <v/>
      </c>
      <c r="T125" t="str">
        <f t="shared" si="203"/>
        <v/>
      </c>
      <c r="U125" t="str">
        <f t="shared" si="203"/>
        <v/>
      </c>
      <c r="V125" t="str">
        <f t="shared" si="203"/>
        <v/>
      </c>
      <c r="W125" t="str">
        <f t="shared" si="203"/>
        <v/>
      </c>
      <c r="X125" t="str">
        <f t="shared" si="203"/>
        <v/>
      </c>
      <c r="Y125" t="str">
        <f t="shared" si="203"/>
        <v/>
      </c>
      <c r="AA125">
        <f t="shared" si="108"/>
        <v>42328.85</v>
      </c>
      <c r="AB125">
        <f t="shared" si="157"/>
        <v>42348.925000000003</v>
      </c>
      <c r="AC125">
        <f t="shared" si="158"/>
        <v>42369</v>
      </c>
      <c r="AD125">
        <f t="shared" si="159"/>
        <v>42389.075000000004</v>
      </c>
      <c r="AE125">
        <f t="shared" si="141"/>
        <v>42409.15</v>
      </c>
      <c r="AF125" t="e">
        <f t="shared" si="142"/>
        <v>#N/A</v>
      </c>
      <c r="AG125" t="e">
        <f t="shared" si="143"/>
        <v>#N/A</v>
      </c>
      <c r="AH125" t="e">
        <f t="shared" si="144"/>
        <v>#N/A</v>
      </c>
      <c r="AI125" t="e">
        <f t="shared" si="145"/>
        <v>#N/A</v>
      </c>
      <c r="AJ125" t="e">
        <f t="shared" si="146"/>
        <v>#N/A</v>
      </c>
      <c r="AK125" t="e">
        <f t="shared" si="147"/>
        <v>#N/A</v>
      </c>
      <c r="AL125" t="e">
        <f t="shared" si="148"/>
        <v>#N/A</v>
      </c>
      <c r="AM125" t="e">
        <f t="shared" si="149"/>
        <v>#N/A</v>
      </c>
      <c r="AN125" t="e">
        <f t="shared" si="150"/>
        <v>#N/A</v>
      </c>
      <c r="AO125" t="e">
        <f t="shared" si="151"/>
        <v>#N/A</v>
      </c>
      <c r="AP125" t="e">
        <f t="shared" si="152"/>
        <v>#N/A</v>
      </c>
      <c r="AQ125" t="e">
        <f t="shared" si="153"/>
        <v>#N/A</v>
      </c>
      <c r="AR125" t="e">
        <f t="shared" si="154"/>
        <v>#N/A</v>
      </c>
      <c r="AS125" t="e">
        <f t="shared" si="155"/>
        <v>#N/A</v>
      </c>
      <c r="AU125">
        <f t="shared" si="109"/>
        <v>0.75</v>
      </c>
      <c r="AV125">
        <f t="shared" si="110"/>
        <v>0.75</v>
      </c>
      <c r="AW125">
        <f t="shared" si="111"/>
        <v>0.75</v>
      </c>
      <c r="AX125">
        <f t="shared" si="112"/>
        <v>0.75</v>
      </c>
      <c r="AY125">
        <f t="shared" si="113"/>
        <v>0.75</v>
      </c>
      <c r="AZ125" t="str">
        <f t="shared" si="114"/>
        <v/>
      </c>
      <c r="BA125" t="str">
        <f t="shared" si="115"/>
        <v/>
      </c>
      <c r="BB125" t="str">
        <f t="shared" si="116"/>
        <v/>
      </c>
      <c r="BC125" t="str">
        <f t="shared" si="117"/>
        <v/>
      </c>
      <c r="BD125" t="str">
        <f t="shared" si="118"/>
        <v/>
      </c>
      <c r="BE125" t="str">
        <f t="shared" si="119"/>
        <v/>
      </c>
      <c r="BF125" t="str">
        <f t="shared" si="120"/>
        <v/>
      </c>
      <c r="BG125" t="str">
        <f t="shared" si="121"/>
        <v/>
      </c>
      <c r="BH125" t="str">
        <f t="shared" si="122"/>
        <v/>
      </c>
      <c r="BI125" t="str">
        <f t="shared" si="123"/>
        <v/>
      </c>
      <c r="BJ125" t="str">
        <f t="shared" si="124"/>
        <v/>
      </c>
      <c r="BK125" t="str">
        <f t="shared" si="125"/>
        <v/>
      </c>
      <c r="BL125" t="str">
        <f t="shared" si="126"/>
        <v/>
      </c>
      <c r="BM125" t="str">
        <f t="shared" si="127"/>
        <v/>
      </c>
      <c r="BP125"/>
      <c r="BR125"/>
    </row>
    <row r="126" spans="1:70" x14ac:dyDescent="0.25">
      <c r="A126" s="1">
        <v>41535</v>
      </c>
      <c r="B126">
        <v>1</v>
      </c>
      <c r="C126" s="4">
        <v>42369</v>
      </c>
      <c r="D126">
        <v>3</v>
      </c>
      <c r="E126">
        <f t="shared" si="105"/>
        <v>0.17647058823529413</v>
      </c>
      <c r="F126" s="4"/>
      <c r="G126">
        <v>1</v>
      </c>
      <c r="H126">
        <f t="shared" ref="H126:Y126" si="204">IF($D126&gt;G126,G126+1,"")</f>
        <v>2</v>
      </c>
      <c r="I126">
        <f t="shared" si="204"/>
        <v>3</v>
      </c>
      <c r="J126" t="str">
        <f t="shared" si="204"/>
        <v/>
      </c>
      <c r="K126" t="str">
        <f t="shared" si="204"/>
        <v/>
      </c>
      <c r="L126" t="str">
        <f t="shared" si="204"/>
        <v/>
      </c>
      <c r="M126" t="str">
        <f t="shared" si="204"/>
        <v/>
      </c>
      <c r="N126" t="str">
        <f t="shared" si="204"/>
        <v/>
      </c>
      <c r="O126" t="str">
        <f t="shared" si="204"/>
        <v/>
      </c>
      <c r="P126" t="str">
        <f t="shared" si="204"/>
        <v/>
      </c>
      <c r="Q126" t="str">
        <f t="shared" si="204"/>
        <v/>
      </c>
      <c r="R126" t="str">
        <f t="shared" si="204"/>
        <v/>
      </c>
      <c r="S126" t="str">
        <f t="shared" si="204"/>
        <v/>
      </c>
      <c r="T126" t="str">
        <f t="shared" si="204"/>
        <v/>
      </c>
      <c r="U126" t="str">
        <f t="shared" si="204"/>
        <v/>
      </c>
      <c r="V126" t="str">
        <f t="shared" si="204"/>
        <v/>
      </c>
      <c r="W126" t="str">
        <f t="shared" si="204"/>
        <v/>
      </c>
      <c r="X126" t="str">
        <f t="shared" si="204"/>
        <v/>
      </c>
      <c r="Y126" t="str">
        <f t="shared" si="204"/>
        <v/>
      </c>
      <c r="AA126">
        <f t="shared" si="108"/>
        <v>42348.924999999996</v>
      </c>
      <c r="AB126">
        <f t="shared" si="157"/>
        <v>42369</v>
      </c>
      <c r="AC126">
        <f t="shared" si="158"/>
        <v>42389.074999999997</v>
      </c>
      <c r="AD126" t="e">
        <f t="shared" si="159"/>
        <v>#N/A</v>
      </c>
      <c r="AE126" t="e">
        <f t="shared" si="141"/>
        <v>#N/A</v>
      </c>
      <c r="AF126" t="e">
        <f t="shared" si="142"/>
        <v>#N/A</v>
      </c>
      <c r="AG126" t="e">
        <f t="shared" si="143"/>
        <v>#N/A</v>
      </c>
      <c r="AH126" t="e">
        <f t="shared" si="144"/>
        <v>#N/A</v>
      </c>
      <c r="AI126" t="e">
        <f t="shared" si="145"/>
        <v>#N/A</v>
      </c>
      <c r="AJ126" t="e">
        <f t="shared" si="146"/>
        <v>#N/A</v>
      </c>
      <c r="AK126" t="e">
        <f t="shared" si="147"/>
        <v>#N/A</v>
      </c>
      <c r="AL126" t="e">
        <f t="shared" si="148"/>
        <v>#N/A</v>
      </c>
      <c r="AM126" t="e">
        <f t="shared" si="149"/>
        <v>#N/A</v>
      </c>
      <c r="AN126" t="e">
        <f t="shared" si="150"/>
        <v>#N/A</v>
      </c>
      <c r="AO126" t="e">
        <f t="shared" si="151"/>
        <v>#N/A</v>
      </c>
      <c r="AP126" t="e">
        <f t="shared" si="152"/>
        <v>#N/A</v>
      </c>
      <c r="AQ126" t="e">
        <f t="shared" si="153"/>
        <v>#N/A</v>
      </c>
      <c r="AR126" t="e">
        <f t="shared" si="154"/>
        <v>#N/A</v>
      </c>
      <c r="AS126" t="e">
        <f t="shared" si="155"/>
        <v>#N/A</v>
      </c>
      <c r="AU126">
        <f t="shared" si="109"/>
        <v>1</v>
      </c>
      <c r="AV126">
        <f t="shared" si="110"/>
        <v>1</v>
      </c>
      <c r="AW126">
        <f t="shared" si="111"/>
        <v>1</v>
      </c>
      <c r="AX126" t="str">
        <f t="shared" si="112"/>
        <v/>
      </c>
      <c r="AY126" t="str">
        <f t="shared" si="113"/>
        <v/>
      </c>
      <c r="AZ126" t="str">
        <f t="shared" si="114"/>
        <v/>
      </c>
      <c r="BA126" t="str">
        <f t="shared" si="115"/>
        <v/>
      </c>
      <c r="BB126" t="str">
        <f t="shared" si="116"/>
        <v/>
      </c>
      <c r="BC126" t="str">
        <f t="shared" si="117"/>
        <v/>
      </c>
      <c r="BD126" t="str">
        <f t="shared" si="118"/>
        <v/>
      </c>
      <c r="BE126" t="str">
        <f t="shared" si="119"/>
        <v/>
      </c>
      <c r="BF126" t="str">
        <f t="shared" si="120"/>
        <v/>
      </c>
      <c r="BG126" t="str">
        <f t="shared" si="121"/>
        <v/>
      </c>
      <c r="BH126" t="str">
        <f t="shared" si="122"/>
        <v/>
      </c>
      <c r="BI126" t="str">
        <f t="shared" si="123"/>
        <v/>
      </c>
      <c r="BJ126" t="str">
        <f t="shared" si="124"/>
        <v/>
      </c>
      <c r="BK126" t="str">
        <f t="shared" si="125"/>
        <v/>
      </c>
      <c r="BL126" t="str">
        <f t="shared" si="126"/>
        <v/>
      </c>
      <c r="BM126" t="str">
        <f t="shared" si="127"/>
        <v/>
      </c>
      <c r="BP126"/>
      <c r="BR126"/>
    </row>
    <row r="127" spans="1:70" x14ac:dyDescent="0.25">
      <c r="A127" s="1">
        <v>41535</v>
      </c>
      <c r="B127">
        <v>1.25</v>
      </c>
      <c r="C127" s="4">
        <v>42369</v>
      </c>
      <c r="D127">
        <v>1</v>
      </c>
      <c r="E127">
        <f t="shared" si="105"/>
        <v>7.3529411764705885E-2</v>
      </c>
      <c r="F127" s="4"/>
      <c r="G127">
        <v>1</v>
      </c>
      <c r="H127" t="str">
        <f t="shared" ref="H127:Y127" si="205">IF($D127&gt;G127,G127+1,"")</f>
        <v/>
      </c>
      <c r="I127" t="str">
        <f t="shared" si="205"/>
        <v/>
      </c>
      <c r="J127" t="str">
        <f t="shared" si="205"/>
        <v/>
      </c>
      <c r="K127" t="str">
        <f t="shared" si="205"/>
        <v/>
      </c>
      <c r="L127" t="str">
        <f t="shared" si="205"/>
        <v/>
      </c>
      <c r="M127" t="str">
        <f t="shared" si="205"/>
        <v/>
      </c>
      <c r="N127" t="str">
        <f t="shared" si="205"/>
        <v/>
      </c>
      <c r="O127" t="str">
        <f t="shared" si="205"/>
        <v/>
      </c>
      <c r="P127" t="str">
        <f t="shared" si="205"/>
        <v/>
      </c>
      <c r="Q127" t="str">
        <f t="shared" si="205"/>
        <v/>
      </c>
      <c r="R127" t="str">
        <f t="shared" si="205"/>
        <v/>
      </c>
      <c r="S127" t="str">
        <f t="shared" si="205"/>
        <v/>
      </c>
      <c r="T127" t="str">
        <f t="shared" si="205"/>
        <v/>
      </c>
      <c r="U127" t="str">
        <f t="shared" si="205"/>
        <v/>
      </c>
      <c r="V127" t="str">
        <f t="shared" si="205"/>
        <v/>
      </c>
      <c r="W127" t="str">
        <f t="shared" si="205"/>
        <v/>
      </c>
      <c r="X127" t="str">
        <f t="shared" si="205"/>
        <v/>
      </c>
      <c r="Y127" t="str">
        <f t="shared" si="205"/>
        <v/>
      </c>
      <c r="AA127">
        <f t="shared" si="108"/>
        <v>42369</v>
      </c>
      <c r="AB127" t="e">
        <f t="shared" si="157"/>
        <v>#N/A</v>
      </c>
      <c r="AC127" t="e">
        <f t="shared" si="158"/>
        <v>#N/A</v>
      </c>
      <c r="AD127" t="e">
        <f t="shared" si="159"/>
        <v>#N/A</v>
      </c>
      <c r="AE127" t="e">
        <f t="shared" si="141"/>
        <v>#N/A</v>
      </c>
      <c r="AF127" t="e">
        <f t="shared" si="142"/>
        <v>#N/A</v>
      </c>
      <c r="AG127" t="e">
        <f t="shared" si="143"/>
        <v>#N/A</v>
      </c>
      <c r="AH127" t="e">
        <f t="shared" si="144"/>
        <v>#N/A</v>
      </c>
      <c r="AI127" t="e">
        <f t="shared" si="145"/>
        <v>#N/A</v>
      </c>
      <c r="AJ127" t="e">
        <f t="shared" si="146"/>
        <v>#N/A</v>
      </c>
      <c r="AK127" t="e">
        <f t="shared" si="147"/>
        <v>#N/A</v>
      </c>
      <c r="AL127" t="e">
        <f t="shared" si="148"/>
        <v>#N/A</v>
      </c>
      <c r="AM127" t="e">
        <f t="shared" si="149"/>
        <v>#N/A</v>
      </c>
      <c r="AN127" t="e">
        <f t="shared" si="150"/>
        <v>#N/A</v>
      </c>
      <c r="AO127" t="e">
        <f t="shared" si="151"/>
        <v>#N/A</v>
      </c>
      <c r="AP127" t="e">
        <f t="shared" si="152"/>
        <v>#N/A</v>
      </c>
      <c r="AQ127" t="e">
        <f t="shared" si="153"/>
        <v>#N/A</v>
      </c>
      <c r="AR127" t="e">
        <f t="shared" si="154"/>
        <v>#N/A</v>
      </c>
      <c r="AS127" t="e">
        <f t="shared" si="155"/>
        <v>#N/A</v>
      </c>
      <c r="AU127">
        <f t="shared" si="109"/>
        <v>1.25</v>
      </c>
      <c r="AV127" t="str">
        <f t="shared" si="110"/>
        <v/>
      </c>
      <c r="AW127" t="str">
        <f t="shared" si="111"/>
        <v/>
      </c>
      <c r="AX127" t="str">
        <f t="shared" si="112"/>
        <v/>
      </c>
      <c r="AY127" t="str">
        <f t="shared" si="113"/>
        <v/>
      </c>
      <c r="AZ127" t="str">
        <f t="shared" si="114"/>
        <v/>
      </c>
      <c r="BA127" t="str">
        <f t="shared" si="115"/>
        <v/>
      </c>
      <c r="BB127" t="str">
        <f t="shared" si="116"/>
        <v/>
      </c>
      <c r="BC127" t="str">
        <f t="shared" si="117"/>
        <v/>
      </c>
      <c r="BD127" t="str">
        <f t="shared" si="118"/>
        <v/>
      </c>
      <c r="BE127" t="str">
        <f t="shared" si="119"/>
        <v/>
      </c>
      <c r="BF127" t="str">
        <f t="shared" si="120"/>
        <v/>
      </c>
      <c r="BG127" t="str">
        <f t="shared" si="121"/>
        <v/>
      </c>
      <c r="BH127" t="str">
        <f t="shared" si="122"/>
        <v/>
      </c>
      <c r="BI127" t="str">
        <f t="shared" si="123"/>
        <v/>
      </c>
      <c r="BJ127" t="str">
        <f t="shared" si="124"/>
        <v/>
      </c>
      <c r="BK127" t="str">
        <f t="shared" si="125"/>
        <v/>
      </c>
      <c r="BL127" t="str">
        <f t="shared" si="126"/>
        <v/>
      </c>
      <c r="BM127" t="str">
        <f t="shared" si="127"/>
        <v/>
      </c>
      <c r="BP127"/>
      <c r="BR127"/>
    </row>
    <row r="128" spans="1:70" x14ac:dyDescent="0.25">
      <c r="A128" s="1">
        <v>41535</v>
      </c>
      <c r="B128">
        <v>1.5</v>
      </c>
      <c r="C128" s="4">
        <v>42369</v>
      </c>
      <c r="D128">
        <v>2</v>
      </c>
      <c r="E128">
        <f t="shared" si="105"/>
        <v>0.1764705882352941</v>
      </c>
      <c r="F128" s="4"/>
      <c r="G128">
        <v>1</v>
      </c>
      <c r="H128">
        <f t="shared" ref="H128:Y128" si="206">IF($D128&gt;G128,G128+1,"")</f>
        <v>2</v>
      </c>
      <c r="I128" t="str">
        <f t="shared" si="206"/>
        <v/>
      </c>
      <c r="J128" t="str">
        <f t="shared" si="206"/>
        <v/>
      </c>
      <c r="K128" t="str">
        <f t="shared" si="206"/>
        <v/>
      </c>
      <c r="L128" t="str">
        <f t="shared" si="206"/>
        <v/>
      </c>
      <c r="M128" t="str">
        <f t="shared" si="206"/>
        <v/>
      </c>
      <c r="N128" t="str">
        <f t="shared" si="206"/>
        <v/>
      </c>
      <c r="O128" t="str">
        <f t="shared" si="206"/>
        <v/>
      </c>
      <c r="P128" t="str">
        <f t="shared" si="206"/>
        <v/>
      </c>
      <c r="Q128" t="str">
        <f t="shared" si="206"/>
        <v/>
      </c>
      <c r="R128" t="str">
        <f t="shared" si="206"/>
        <v/>
      </c>
      <c r="S128" t="str">
        <f t="shared" si="206"/>
        <v/>
      </c>
      <c r="T128" t="str">
        <f t="shared" si="206"/>
        <v/>
      </c>
      <c r="U128" t="str">
        <f t="shared" si="206"/>
        <v/>
      </c>
      <c r="V128" t="str">
        <f t="shared" si="206"/>
        <v/>
      </c>
      <c r="W128" t="str">
        <f t="shared" si="206"/>
        <v/>
      </c>
      <c r="X128" t="str">
        <f t="shared" si="206"/>
        <v/>
      </c>
      <c r="Y128" t="str">
        <f t="shared" si="206"/>
        <v/>
      </c>
      <c r="AA128">
        <f t="shared" si="108"/>
        <v>42358.962500000001</v>
      </c>
      <c r="AB128">
        <f t="shared" si="157"/>
        <v>42379.037500000006</v>
      </c>
      <c r="AC128" t="e">
        <f t="shared" si="158"/>
        <v>#N/A</v>
      </c>
      <c r="AD128" t="e">
        <f t="shared" si="159"/>
        <v>#N/A</v>
      </c>
      <c r="AE128" t="e">
        <f t="shared" si="141"/>
        <v>#N/A</v>
      </c>
      <c r="AF128" t="e">
        <f t="shared" si="142"/>
        <v>#N/A</v>
      </c>
      <c r="AG128" t="e">
        <f t="shared" si="143"/>
        <v>#N/A</v>
      </c>
      <c r="AH128" t="e">
        <f t="shared" si="144"/>
        <v>#N/A</v>
      </c>
      <c r="AI128" t="e">
        <f t="shared" si="145"/>
        <v>#N/A</v>
      </c>
      <c r="AJ128" t="e">
        <f t="shared" si="146"/>
        <v>#N/A</v>
      </c>
      <c r="AK128" t="e">
        <f t="shared" si="147"/>
        <v>#N/A</v>
      </c>
      <c r="AL128" t="e">
        <f t="shared" si="148"/>
        <v>#N/A</v>
      </c>
      <c r="AM128" t="e">
        <f t="shared" si="149"/>
        <v>#N/A</v>
      </c>
      <c r="AN128" t="e">
        <f t="shared" si="150"/>
        <v>#N/A</v>
      </c>
      <c r="AO128" t="e">
        <f t="shared" si="151"/>
        <v>#N/A</v>
      </c>
      <c r="AP128" t="e">
        <f t="shared" si="152"/>
        <v>#N/A</v>
      </c>
      <c r="AQ128" t="e">
        <f t="shared" si="153"/>
        <v>#N/A</v>
      </c>
      <c r="AR128" t="e">
        <f t="shared" si="154"/>
        <v>#N/A</v>
      </c>
      <c r="AS128" t="e">
        <f t="shared" si="155"/>
        <v>#N/A</v>
      </c>
      <c r="AU128">
        <f t="shared" si="109"/>
        <v>1.5</v>
      </c>
      <c r="AV128">
        <f t="shared" si="110"/>
        <v>1.5</v>
      </c>
      <c r="AW128" t="str">
        <f t="shared" si="111"/>
        <v/>
      </c>
      <c r="AX128" t="str">
        <f t="shared" si="112"/>
        <v/>
      </c>
      <c r="AY128" t="str">
        <f t="shared" si="113"/>
        <v/>
      </c>
      <c r="AZ128" t="str">
        <f t="shared" si="114"/>
        <v/>
      </c>
      <c r="BA128" t="str">
        <f t="shared" si="115"/>
        <v/>
      </c>
      <c r="BB128" t="str">
        <f t="shared" si="116"/>
        <v/>
      </c>
      <c r="BC128" t="str">
        <f t="shared" si="117"/>
        <v/>
      </c>
      <c r="BD128" t="str">
        <f t="shared" si="118"/>
        <v/>
      </c>
      <c r="BE128" t="str">
        <f t="shared" si="119"/>
        <v/>
      </c>
      <c r="BF128" t="str">
        <f t="shared" si="120"/>
        <v/>
      </c>
      <c r="BG128" t="str">
        <f t="shared" si="121"/>
        <v/>
      </c>
      <c r="BH128" t="str">
        <f t="shared" si="122"/>
        <v/>
      </c>
      <c r="BI128" t="str">
        <f t="shared" si="123"/>
        <v/>
      </c>
      <c r="BJ128" t="str">
        <f t="shared" si="124"/>
        <v/>
      </c>
      <c r="BK128" t="str">
        <f t="shared" si="125"/>
        <v/>
      </c>
      <c r="BL128" t="str">
        <f t="shared" si="126"/>
        <v/>
      </c>
      <c r="BM128" t="str">
        <f t="shared" si="127"/>
        <v/>
      </c>
      <c r="BP128"/>
      <c r="BR128"/>
    </row>
    <row r="129" spans="1:70" x14ac:dyDescent="0.25">
      <c r="A129" s="1">
        <v>41535</v>
      </c>
      <c r="B129">
        <v>3</v>
      </c>
      <c r="C129" s="4">
        <v>42369</v>
      </c>
      <c r="D129">
        <v>2</v>
      </c>
      <c r="E129">
        <f t="shared" si="105"/>
        <v>0.3529411764705882</v>
      </c>
      <c r="F129" s="4"/>
      <c r="G129">
        <v>1</v>
      </c>
      <c r="H129">
        <f t="shared" ref="H129:Y129" si="207">IF($D129&gt;G129,G129+1,"")</f>
        <v>2</v>
      </c>
      <c r="I129" t="str">
        <f t="shared" si="207"/>
        <v/>
      </c>
      <c r="J129" t="str">
        <f t="shared" si="207"/>
        <v/>
      </c>
      <c r="K129" t="str">
        <f t="shared" si="207"/>
        <v/>
      </c>
      <c r="L129" t="str">
        <f t="shared" si="207"/>
        <v/>
      </c>
      <c r="M129" t="str">
        <f t="shared" si="207"/>
        <v/>
      </c>
      <c r="N129" t="str">
        <f t="shared" si="207"/>
        <v/>
      </c>
      <c r="O129" t="str">
        <f t="shared" si="207"/>
        <v/>
      </c>
      <c r="P129" t="str">
        <f t="shared" si="207"/>
        <v/>
      </c>
      <c r="Q129" t="str">
        <f t="shared" si="207"/>
        <v/>
      </c>
      <c r="R129" t="str">
        <f t="shared" si="207"/>
        <v/>
      </c>
      <c r="S129" t="str">
        <f t="shared" si="207"/>
        <v/>
      </c>
      <c r="T129" t="str">
        <f t="shared" si="207"/>
        <v/>
      </c>
      <c r="U129" t="str">
        <f t="shared" si="207"/>
        <v/>
      </c>
      <c r="V129" t="str">
        <f t="shared" si="207"/>
        <v/>
      </c>
      <c r="W129" t="str">
        <f t="shared" si="207"/>
        <v/>
      </c>
      <c r="X129" t="str">
        <f t="shared" si="207"/>
        <v/>
      </c>
      <c r="Y129" t="str">
        <f t="shared" si="207"/>
        <v/>
      </c>
      <c r="AA129">
        <f t="shared" si="108"/>
        <v>42358.962500000001</v>
      </c>
      <c r="AB129">
        <f t="shared" si="157"/>
        <v>42379.037500000006</v>
      </c>
      <c r="AC129" t="e">
        <f t="shared" si="158"/>
        <v>#N/A</v>
      </c>
      <c r="AD129" t="e">
        <f t="shared" si="159"/>
        <v>#N/A</v>
      </c>
      <c r="AE129" t="e">
        <f t="shared" si="141"/>
        <v>#N/A</v>
      </c>
      <c r="AF129" t="e">
        <f t="shared" si="142"/>
        <v>#N/A</v>
      </c>
      <c r="AG129" t="e">
        <f t="shared" si="143"/>
        <v>#N/A</v>
      </c>
      <c r="AH129" t="e">
        <f t="shared" si="144"/>
        <v>#N/A</v>
      </c>
      <c r="AI129" t="e">
        <f t="shared" si="145"/>
        <v>#N/A</v>
      </c>
      <c r="AJ129" t="e">
        <f t="shared" si="146"/>
        <v>#N/A</v>
      </c>
      <c r="AK129" t="e">
        <f t="shared" si="147"/>
        <v>#N/A</v>
      </c>
      <c r="AL129" t="e">
        <f t="shared" si="148"/>
        <v>#N/A</v>
      </c>
      <c r="AM129" t="e">
        <f t="shared" si="149"/>
        <v>#N/A</v>
      </c>
      <c r="AN129" t="e">
        <f t="shared" si="150"/>
        <v>#N/A</v>
      </c>
      <c r="AO129" t="e">
        <f t="shared" si="151"/>
        <v>#N/A</v>
      </c>
      <c r="AP129" t="e">
        <f t="shared" si="152"/>
        <v>#N/A</v>
      </c>
      <c r="AQ129" t="e">
        <f t="shared" si="153"/>
        <v>#N/A</v>
      </c>
      <c r="AR129" t="e">
        <f t="shared" si="154"/>
        <v>#N/A</v>
      </c>
      <c r="AS129" t="e">
        <f t="shared" si="155"/>
        <v>#N/A</v>
      </c>
      <c r="AU129">
        <f t="shared" si="109"/>
        <v>3</v>
      </c>
      <c r="AV129">
        <f t="shared" si="110"/>
        <v>3</v>
      </c>
      <c r="AW129" t="str">
        <f t="shared" si="111"/>
        <v/>
      </c>
      <c r="AX129" t="str">
        <f t="shared" si="112"/>
        <v/>
      </c>
      <c r="AY129" t="str">
        <f t="shared" si="113"/>
        <v/>
      </c>
      <c r="AZ129" t="str">
        <f t="shared" si="114"/>
        <v/>
      </c>
      <c r="BA129" t="str">
        <f t="shared" si="115"/>
        <v/>
      </c>
      <c r="BB129" t="str">
        <f t="shared" si="116"/>
        <v/>
      </c>
      <c r="BC129" t="str">
        <f t="shared" si="117"/>
        <v/>
      </c>
      <c r="BD129" t="str">
        <f t="shared" si="118"/>
        <v/>
      </c>
      <c r="BE129" t="str">
        <f t="shared" si="119"/>
        <v/>
      </c>
      <c r="BF129" t="str">
        <f t="shared" si="120"/>
        <v/>
      </c>
      <c r="BG129" t="str">
        <f t="shared" si="121"/>
        <v/>
      </c>
      <c r="BH129" t="str">
        <f t="shared" si="122"/>
        <v/>
      </c>
      <c r="BI129" t="str">
        <f t="shared" si="123"/>
        <v/>
      </c>
      <c r="BJ129" t="str">
        <f t="shared" si="124"/>
        <v/>
      </c>
      <c r="BK129" t="str">
        <f t="shared" si="125"/>
        <v/>
      </c>
      <c r="BL129" t="str">
        <f t="shared" si="126"/>
        <v/>
      </c>
      <c r="BM129" t="str">
        <f t="shared" si="127"/>
        <v/>
      </c>
      <c r="BP129"/>
      <c r="BR129"/>
    </row>
    <row r="130" spans="1:70" x14ac:dyDescent="0.25">
      <c r="A130" s="1">
        <v>41535</v>
      </c>
      <c r="B130">
        <v>3.25</v>
      </c>
      <c r="C130" s="4">
        <v>42369</v>
      </c>
      <c r="D130">
        <v>1</v>
      </c>
      <c r="E130">
        <f t="shared" ref="E130:E193" si="208">D130/SUMIFS(D:D,A:A,A130,C:C,C130)*B130</f>
        <v>0.19117647058823528</v>
      </c>
      <c r="F130" s="4"/>
      <c r="G130">
        <v>1</v>
      </c>
      <c r="H130" t="str">
        <f t="shared" ref="H130:Y130" si="209">IF($D130&gt;G130,G130+1,"")</f>
        <v/>
      </c>
      <c r="I130" t="str">
        <f t="shared" si="209"/>
        <v/>
      </c>
      <c r="J130" t="str">
        <f t="shared" si="209"/>
        <v/>
      </c>
      <c r="K130" t="str">
        <f t="shared" si="209"/>
        <v/>
      </c>
      <c r="L130" t="str">
        <f t="shared" si="209"/>
        <v/>
      </c>
      <c r="M130" t="str">
        <f t="shared" si="209"/>
        <v/>
      </c>
      <c r="N130" t="str">
        <f t="shared" si="209"/>
        <v/>
      </c>
      <c r="O130" t="str">
        <f t="shared" si="209"/>
        <v/>
      </c>
      <c r="P130" t="str">
        <f t="shared" si="209"/>
        <v/>
      </c>
      <c r="Q130" t="str">
        <f t="shared" si="209"/>
        <v/>
      </c>
      <c r="R130" t="str">
        <f t="shared" si="209"/>
        <v/>
      </c>
      <c r="S130" t="str">
        <f t="shared" si="209"/>
        <v/>
      </c>
      <c r="T130" t="str">
        <f t="shared" si="209"/>
        <v/>
      </c>
      <c r="U130" t="str">
        <f t="shared" si="209"/>
        <v/>
      </c>
      <c r="V130" t="str">
        <f t="shared" si="209"/>
        <v/>
      </c>
      <c r="W130" t="str">
        <f t="shared" si="209"/>
        <v/>
      </c>
      <c r="X130" t="str">
        <f t="shared" si="209"/>
        <v/>
      </c>
      <c r="Y130" t="str">
        <f t="shared" si="209"/>
        <v/>
      </c>
      <c r="AA130">
        <f t="shared" si="108"/>
        <v>42369</v>
      </c>
      <c r="AB130" t="e">
        <f t="shared" si="157"/>
        <v>#N/A</v>
      </c>
      <c r="AC130" t="e">
        <f t="shared" si="158"/>
        <v>#N/A</v>
      </c>
      <c r="AD130" t="e">
        <f t="shared" si="159"/>
        <v>#N/A</v>
      </c>
      <c r="AE130" t="e">
        <f t="shared" si="141"/>
        <v>#N/A</v>
      </c>
      <c r="AF130" t="e">
        <f t="shared" si="142"/>
        <v>#N/A</v>
      </c>
      <c r="AG130" t="e">
        <f t="shared" si="143"/>
        <v>#N/A</v>
      </c>
      <c r="AH130" t="e">
        <f t="shared" si="144"/>
        <v>#N/A</v>
      </c>
      <c r="AI130" t="e">
        <f t="shared" si="145"/>
        <v>#N/A</v>
      </c>
      <c r="AJ130" t="e">
        <f t="shared" si="146"/>
        <v>#N/A</v>
      </c>
      <c r="AK130" t="e">
        <f t="shared" si="147"/>
        <v>#N/A</v>
      </c>
      <c r="AL130" t="e">
        <f t="shared" si="148"/>
        <v>#N/A</v>
      </c>
      <c r="AM130" t="e">
        <f t="shared" si="149"/>
        <v>#N/A</v>
      </c>
      <c r="AN130" t="e">
        <f t="shared" si="150"/>
        <v>#N/A</v>
      </c>
      <c r="AO130" t="e">
        <f t="shared" si="151"/>
        <v>#N/A</v>
      </c>
      <c r="AP130" t="e">
        <f t="shared" si="152"/>
        <v>#N/A</v>
      </c>
      <c r="AQ130" t="e">
        <f t="shared" si="153"/>
        <v>#N/A</v>
      </c>
      <c r="AR130" t="e">
        <f t="shared" si="154"/>
        <v>#N/A</v>
      </c>
      <c r="AS130" t="e">
        <f t="shared" si="155"/>
        <v>#N/A</v>
      </c>
      <c r="AU130">
        <f t="shared" si="109"/>
        <v>3.25</v>
      </c>
      <c r="AV130" t="str">
        <f t="shared" si="110"/>
        <v/>
      </c>
      <c r="AW130" t="str">
        <f t="shared" si="111"/>
        <v/>
      </c>
      <c r="AX130" t="str">
        <f t="shared" si="112"/>
        <v/>
      </c>
      <c r="AY130" t="str">
        <f t="shared" si="113"/>
        <v/>
      </c>
      <c r="AZ130" t="str">
        <f t="shared" si="114"/>
        <v/>
      </c>
      <c r="BA130" t="str">
        <f t="shared" si="115"/>
        <v/>
      </c>
      <c r="BB130" t="str">
        <f t="shared" si="116"/>
        <v/>
      </c>
      <c r="BC130" t="str">
        <f t="shared" si="117"/>
        <v/>
      </c>
      <c r="BD130" t="str">
        <f t="shared" si="118"/>
        <v/>
      </c>
      <c r="BE130" t="str">
        <f t="shared" si="119"/>
        <v/>
      </c>
      <c r="BF130" t="str">
        <f t="shared" si="120"/>
        <v/>
      </c>
      <c r="BG130" t="str">
        <f t="shared" si="121"/>
        <v/>
      </c>
      <c r="BH130" t="str">
        <f t="shared" si="122"/>
        <v/>
      </c>
      <c r="BI130" t="str">
        <f t="shared" si="123"/>
        <v/>
      </c>
      <c r="BJ130" t="str">
        <f t="shared" si="124"/>
        <v/>
      </c>
      <c r="BK130" t="str">
        <f t="shared" si="125"/>
        <v/>
      </c>
      <c r="BL130" t="str">
        <f t="shared" si="126"/>
        <v/>
      </c>
      <c r="BM130" t="str">
        <f t="shared" si="127"/>
        <v/>
      </c>
      <c r="BP130"/>
      <c r="BR130"/>
    </row>
    <row r="131" spans="1:70" x14ac:dyDescent="0.25">
      <c r="A131" s="1">
        <v>41535</v>
      </c>
      <c r="B131">
        <v>0.5</v>
      </c>
      <c r="C131" s="4">
        <v>42735</v>
      </c>
      <c r="D131">
        <v>1</v>
      </c>
      <c r="E131">
        <f t="shared" si="208"/>
        <v>2.9411764705882353E-2</v>
      </c>
      <c r="F131" s="4"/>
      <c r="G131">
        <v>1</v>
      </c>
      <c r="H131" t="str">
        <f t="shared" ref="H131:Y131" si="210">IF($D131&gt;G131,G131+1,"")</f>
        <v/>
      </c>
      <c r="I131" t="str">
        <f t="shared" si="210"/>
        <v/>
      </c>
      <c r="J131" t="str">
        <f t="shared" si="210"/>
        <v/>
      </c>
      <c r="K131" t="str">
        <f t="shared" si="210"/>
        <v/>
      </c>
      <c r="L131" t="str">
        <f t="shared" si="210"/>
        <v/>
      </c>
      <c r="M131" t="str">
        <f t="shared" si="210"/>
        <v/>
      </c>
      <c r="N131" t="str">
        <f t="shared" si="210"/>
        <v/>
      </c>
      <c r="O131" t="str">
        <f t="shared" si="210"/>
        <v/>
      </c>
      <c r="P131" t="str">
        <f t="shared" si="210"/>
        <v/>
      </c>
      <c r="Q131" t="str">
        <f t="shared" si="210"/>
        <v/>
      </c>
      <c r="R131" t="str">
        <f t="shared" si="210"/>
        <v/>
      </c>
      <c r="S131" t="str">
        <f t="shared" si="210"/>
        <v/>
      </c>
      <c r="T131" t="str">
        <f t="shared" si="210"/>
        <v/>
      </c>
      <c r="U131" t="str">
        <f t="shared" si="210"/>
        <v/>
      </c>
      <c r="V131" t="str">
        <f t="shared" si="210"/>
        <v/>
      </c>
      <c r="W131" t="str">
        <f t="shared" si="210"/>
        <v/>
      </c>
      <c r="X131" t="str">
        <f t="shared" si="210"/>
        <v/>
      </c>
      <c r="Y131" t="str">
        <f t="shared" si="210"/>
        <v/>
      </c>
      <c r="AA131">
        <f t="shared" ref="AA131:AA194" si="211">IF(G131="",NA(),$C131-$Z$1*$D131/2+G131*$Z$1-$Z$1/2)</f>
        <v>42735</v>
      </c>
      <c r="AB131" t="e">
        <f t="shared" si="157"/>
        <v>#N/A</v>
      </c>
      <c r="AC131" t="e">
        <f t="shared" si="158"/>
        <v>#N/A</v>
      </c>
      <c r="AD131" t="e">
        <f t="shared" si="159"/>
        <v>#N/A</v>
      </c>
      <c r="AE131" t="e">
        <f t="shared" si="141"/>
        <v>#N/A</v>
      </c>
      <c r="AF131" t="e">
        <f t="shared" si="142"/>
        <v>#N/A</v>
      </c>
      <c r="AG131" t="e">
        <f t="shared" si="143"/>
        <v>#N/A</v>
      </c>
      <c r="AH131" t="e">
        <f t="shared" si="144"/>
        <v>#N/A</v>
      </c>
      <c r="AI131" t="e">
        <f t="shared" si="145"/>
        <v>#N/A</v>
      </c>
      <c r="AJ131" t="e">
        <f t="shared" si="146"/>
        <v>#N/A</v>
      </c>
      <c r="AK131" t="e">
        <f t="shared" si="147"/>
        <v>#N/A</v>
      </c>
      <c r="AL131" t="e">
        <f t="shared" si="148"/>
        <v>#N/A</v>
      </c>
      <c r="AM131" t="e">
        <f t="shared" si="149"/>
        <v>#N/A</v>
      </c>
      <c r="AN131" t="e">
        <f t="shared" si="150"/>
        <v>#N/A</v>
      </c>
      <c r="AO131" t="e">
        <f t="shared" si="151"/>
        <v>#N/A</v>
      </c>
      <c r="AP131" t="e">
        <f t="shared" si="152"/>
        <v>#N/A</v>
      </c>
      <c r="AQ131" t="e">
        <f t="shared" si="153"/>
        <v>#N/A</v>
      </c>
      <c r="AR131" t="e">
        <f t="shared" si="154"/>
        <v>#N/A</v>
      </c>
      <c r="AS131" t="e">
        <f t="shared" si="155"/>
        <v>#N/A</v>
      </c>
      <c r="AU131">
        <f t="shared" ref="AU131:AU194" si="212">IFERROR(IF(AA131,$B131,0),"")</f>
        <v>0.5</v>
      </c>
      <c r="AV131" t="str">
        <f t="shared" ref="AV131:AV194" si="213">IFERROR(IF(AB131,$B131,0),"")</f>
        <v/>
      </c>
      <c r="AW131" t="str">
        <f t="shared" ref="AW131:AW194" si="214">IFERROR(IF(AC131,$B131,0),"")</f>
        <v/>
      </c>
      <c r="AX131" t="str">
        <f t="shared" ref="AX131:AX194" si="215">IFERROR(IF(AD131,$B131,0),"")</f>
        <v/>
      </c>
      <c r="AY131" t="str">
        <f t="shared" ref="AY131:AY194" si="216">IFERROR(IF(AE131,$B131,0),"")</f>
        <v/>
      </c>
      <c r="AZ131" t="str">
        <f t="shared" ref="AZ131:AZ194" si="217">IFERROR(IF(AF131,$B131,0),"")</f>
        <v/>
      </c>
      <c r="BA131" t="str">
        <f t="shared" ref="BA131:BA194" si="218">IFERROR(IF(AG131,$B131,0),"")</f>
        <v/>
      </c>
      <c r="BB131" t="str">
        <f t="shared" ref="BB131:BB194" si="219">IFERROR(IF(AH131,$B131,0),"")</f>
        <v/>
      </c>
      <c r="BC131" t="str">
        <f t="shared" ref="BC131:BC194" si="220">IFERROR(IF(AI131,$B131,0),"")</f>
        <v/>
      </c>
      <c r="BD131" t="str">
        <f t="shared" ref="BD131:BD194" si="221">IFERROR(IF(AJ131,$B131,0),"")</f>
        <v/>
      </c>
      <c r="BE131" t="str">
        <f t="shared" ref="BE131:BE194" si="222">IFERROR(IF(AK131,$B131,0),"")</f>
        <v/>
      </c>
      <c r="BF131" t="str">
        <f t="shared" ref="BF131:BF194" si="223">IFERROR(IF(AL131,$B131,0),"")</f>
        <v/>
      </c>
      <c r="BG131" t="str">
        <f t="shared" ref="BG131:BG194" si="224">IFERROR(IF(AM131,$B131,0),"")</f>
        <v/>
      </c>
      <c r="BH131" t="str">
        <f t="shared" ref="BH131:BH194" si="225">IFERROR(IF(AN131,$B131,0),"")</f>
        <v/>
      </c>
      <c r="BI131" t="str">
        <f t="shared" ref="BI131:BI194" si="226">IFERROR(IF(AO131,$B131,0),"")</f>
        <v/>
      </c>
      <c r="BJ131" t="str">
        <f t="shared" ref="BJ131:BJ194" si="227">IFERROR(IF(AP131,$B131,0),"")</f>
        <v/>
      </c>
      <c r="BK131" t="str">
        <f t="shared" ref="BK131:BK194" si="228">IFERROR(IF(AQ131,$B131,0),"")</f>
        <v/>
      </c>
      <c r="BL131" t="str">
        <f t="shared" ref="BL131:BL194" si="229">IFERROR(IF(AR131,$B131,0),"")</f>
        <v/>
      </c>
      <c r="BM131" t="str">
        <f t="shared" ref="BM131:BM194" si="230">IFERROR(IF(AS131,$B131,0),"")</f>
        <v/>
      </c>
      <c r="BP131"/>
      <c r="BR131"/>
    </row>
    <row r="132" spans="1:70" x14ac:dyDescent="0.25">
      <c r="A132" s="1">
        <v>41535</v>
      </c>
      <c r="B132">
        <v>1</v>
      </c>
      <c r="C132" s="4">
        <v>42735</v>
      </c>
      <c r="D132">
        <v>1</v>
      </c>
      <c r="E132">
        <f t="shared" si="208"/>
        <v>5.8823529411764705E-2</v>
      </c>
      <c r="F132" s="4"/>
      <c r="G132">
        <v>1</v>
      </c>
      <c r="H132" t="str">
        <f t="shared" ref="H132:Y132" si="231">IF($D132&gt;G132,G132+1,"")</f>
        <v/>
      </c>
      <c r="I132" t="str">
        <f t="shared" si="231"/>
        <v/>
      </c>
      <c r="J132" t="str">
        <f t="shared" si="231"/>
        <v/>
      </c>
      <c r="K132" t="str">
        <f t="shared" si="231"/>
        <v/>
      </c>
      <c r="L132" t="str">
        <f t="shared" si="231"/>
        <v/>
      </c>
      <c r="M132" t="str">
        <f t="shared" si="231"/>
        <v/>
      </c>
      <c r="N132" t="str">
        <f t="shared" si="231"/>
        <v/>
      </c>
      <c r="O132" t="str">
        <f t="shared" si="231"/>
        <v/>
      </c>
      <c r="P132" t="str">
        <f t="shared" si="231"/>
        <v/>
      </c>
      <c r="Q132" t="str">
        <f t="shared" si="231"/>
        <v/>
      </c>
      <c r="R132" t="str">
        <f t="shared" si="231"/>
        <v/>
      </c>
      <c r="S132" t="str">
        <f t="shared" si="231"/>
        <v/>
      </c>
      <c r="T132" t="str">
        <f t="shared" si="231"/>
        <v/>
      </c>
      <c r="U132" t="str">
        <f t="shared" si="231"/>
        <v/>
      </c>
      <c r="V132" t="str">
        <f t="shared" si="231"/>
        <v/>
      </c>
      <c r="W132" t="str">
        <f t="shared" si="231"/>
        <v/>
      </c>
      <c r="X132" t="str">
        <f t="shared" si="231"/>
        <v/>
      </c>
      <c r="Y132" t="str">
        <f t="shared" si="231"/>
        <v/>
      </c>
      <c r="AA132">
        <f t="shared" si="211"/>
        <v>42735</v>
      </c>
      <c r="AB132" t="e">
        <f t="shared" si="157"/>
        <v>#N/A</v>
      </c>
      <c r="AC132" t="e">
        <f t="shared" si="158"/>
        <v>#N/A</v>
      </c>
      <c r="AD132" t="e">
        <f t="shared" si="159"/>
        <v>#N/A</v>
      </c>
      <c r="AE132" t="e">
        <f t="shared" si="141"/>
        <v>#N/A</v>
      </c>
      <c r="AF132" t="e">
        <f t="shared" si="142"/>
        <v>#N/A</v>
      </c>
      <c r="AG132" t="e">
        <f t="shared" si="143"/>
        <v>#N/A</v>
      </c>
      <c r="AH132" t="e">
        <f t="shared" si="144"/>
        <v>#N/A</v>
      </c>
      <c r="AI132" t="e">
        <f t="shared" si="145"/>
        <v>#N/A</v>
      </c>
      <c r="AJ132" t="e">
        <f t="shared" si="146"/>
        <v>#N/A</v>
      </c>
      <c r="AK132" t="e">
        <f t="shared" si="147"/>
        <v>#N/A</v>
      </c>
      <c r="AL132" t="e">
        <f t="shared" si="148"/>
        <v>#N/A</v>
      </c>
      <c r="AM132" t="e">
        <f t="shared" si="149"/>
        <v>#N/A</v>
      </c>
      <c r="AN132" t="e">
        <f t="shared" si="150"/>
        <v>#N/A</v>
      </c>
      <c r="AO132" t="e">
        <f t="shared" si="151"/>
        <v>#N/A</v>
      </c>
      <c r="AP132" t="e">
        <f t="shared" si="152"/>
        <v>#N/A</v>
      </c>
      <c r="AQ132" t="e">
        <f t="shared" si="153"/>
        <v>#N/A</v>
      </c>
      <c r="AR132" t="e">
        <f t="shared" si="154"/>
        <v>#N/A</v>
      </c>
      <c r="AS132" t="e">
        <f t="shared" si="155"/>
        <v>#N/A</v>
      </c>
      <c r="AU132">
        <f t="shared" si="212"/>
        <v>1</v>
      </c>
      <c r="AV132" t="str">
        <f t="shared" si="213"/>
        <v/>
      </c>
      <c r="AW132" t="str">
        <f t="shared" si="214"/>
        <v/>
      </c>
      <c r="AX132" t="str">
        <f t="shared" si="215"/>
        <v/>
      </c>
      <c r="AY132" t="str">
        <f t="shared" si="216"/>
        <v/>
      </c>
      <c r="AZ132" t="str">
        <f t="shared" si="217"/>
        <v/>
      </c>
      <c r="BA132" t="str">
        <f t="shared" si="218"/>
        <v/>
      </c>
      <c r="BB132" t="str">
        <f t="shared" si="219"/>
        <v/>
      </c>
      <c r="BC132" t="str">
        <f t="shared" si="220"/>
        <v/>
      </c>
      <c r="BD132" t="str">
        <f t="shared" si="221"/>
        <v/>
      </c>
      <c r="BE132" t="str">
        <f t="shared" si="222"/>
        <v/>
      </c>
      <c r="BF132" t="str">
        <f t="shared" si="223"/>
        <v/>
      </c>
      <c r="BG132" t="str">
        <f t="shared" si="224"/>
        <v/>
      </c>
      <c r="BH132" t="str">
        <f t="shared" si="225"/>
        <v/>
      </c>
      <c r="BI132" t="str">
        <f t="shared" si="226"/>
        <v/>
      </c>
      <c r="BJ132" t="str">
        <f t="shared" si="227"/>
        <v/>
      </c>
      <c r="BK132" t="str">
        <f t="shared" si="228"/>
        <v/>
      </c>
      <c r="BL132" t="str">
        <f t="shared" si="229"/>
        <v/>
      </c>
      <c r="BM132" t="str">
        <f t="shared" si="230"/>
        <v/>
      </c>
      <c r="BP132"/>
      <c r="BR132"/>
    </row>
    <row r="133" spans="1:70" x14ac:dyDescent="0.25">
      <c r="A133" s="1">
        <v>41535</v>
      </c>
      <c r="B133">
        <v>1.5</v>
      </c>
      <c r="C133" s="4">
        <v>42735</v>
      </c>
      <c r="D133">
        <v>1</v>
      </c>
      <c r="E133">
        <f t="shared" si="208"/>
        <v>8.8235294117647051E-2</v>
      </c>
      <c r="F133" s="4"/>
      <c r="G133">
        <v>1</v>
      </c>
      <c r="H133" t="str">
        <f t="shared" ref="H133:Y133" si="232">IF($D133&gt;G133,G133+1,"")</f>
        <v/>
      </c>
      <c r="I133" t="str">
        <f t="shared" si="232"/>
        <v/>
      </c>
      <c r="J133" t="str">
        <f t="shared" si="232"/>
        <v/>
      </c>
      <c r="K133" t="str">
        <f t="shared" si="232"/>
        <v/>
      </c>
      <c r="L133" t="str">
        <f t="shared" si="232"/>
        <v/>
      </c>
      <c r="M133" t="str">
        <f t="shared" si="232"/>
        <v/>
      </c>
      <c r="N133" t="str">
        <f t="shared" si="232"/>
        <v/>
      </c>
      <c r="O133" t="str">
        <f t="shared" si="232"/>
        <v/>
      </c>
      <c r="P133" t="str">
        <f t="shared" si="232"/>
        <v/>
      </c>
      <c r="Q133" t="str">
        <f t="shared" si="232"/>
        <v/>
      </c>
      <c r="R133" t="str">
        <f t="shared" si="232"/>
        <v/>
      </c>
      <c r="S133" t="str">
        <f t="shared" si="232"/>
        <v/>
      </c>
      <c r="T133" t="str">
        <f t="shared" si="232"/>
        <v/>
      </c>
      <c r="U133" t="str">
        <f t="shared" si="232"/>
        <v/>
      </c>
      <c r="V133" t="str">
        <f t="shared" si="232"/>
        <v/>
      </c>
      <c r="W133" t="str">
        <f t="shared" si="232"/>
        <v/>
      </c>
      <c r="X133" t="str">
        <f t="shared" si="232"/>
        <v/>
      </c>
      <c r="Y133" t="str">
        <f t="shared" si="232"/>
        <v/>
      </c>
      <c r="AA133">
        <f t="shared" si="211"/>
        <v>42735</v>
      </c>
      <c r="AB133" t="e">
        <f t="shared" si="157"/>
        <v>#N/A</v>
      </c>
      <c r="AC133" t="e">
        <f t="shared" si="158"/>
        <v>#N/A</v>
      </c>
      <c r="AD133" t="e">
        <f t="shared" si="159"/>
        <v>#N/A</v>
      </c>
      <c r="AE133" t="e">
        <f t="shared" si="141"/>
        <v>#N/A</v>
      </c>
      <c r="AF133" t="e">
        <f t="shared" si="142"/>
        <v>#N/A</v>
      </c>
      <c r="AG133" t="e">
        <f t="shared" si="143"/>
        <v>#N/A</v>
      </c>
      <c r="AH133" t="e">
        <f t="shared" si="144"/>
        <v>#N/A</v>
      </c>
      <c r="AI133" t="e">
        <f t="shared" si="145"/>
        <v>#N/A</v>
      </c>
      <c r="AJ133" t="e">
        <f t="shared" si="146"/>
        <v>#N/A</v>
      </c>
      <c r="AK133" t="e">
        <f t="shared" si="147"/>
        <v>#N/A</v>
      </c>
      <c r="AL133" t="e">
        <f t="shared" si="148"/>
        <v>#N/A</v>
      </c>
      <c r="AM133" t="e">
        <f t="shared" si="149"/>
        <v>#N/A</v>
      </c>
      <c r="AN133" t="e">
        <f t="shared" si="150"/>
        <v>#N/A</v>
      </c>
      <c r="AO133" t="e">
        <f t="shared" si="151"/>
        <v>#N/A</v>
      </c>
      <c r="AP133" t="e">
        <f t="shared" si="152"/>
        <v>#N/A</v>
      </c>
      <c r="AQ133" t="e">
        <f t="shared" si="153"/>
        <v>#N/A</v>
      </c>
      <c r="AR133" t="e">
        <f t="shared" si="154"/>
        <v>#N/A</v>
      </c>
      <c r="AS133" t="e">
        <f t="shared" si="155"/>
        <v>#N/A</v>
      </c>
      <c r="AU133">
        <f t="shared" si="212"/>
        <v>1.5</v>
      </c>
      <c r="AV133" t="str">
        <f t="shared" si="213"/>
        <v/>
      </c>
      <c r="AW133" t="str">
        <f t="shared" si="214"/>
        <v/>
      </c>
      <c r="AX133" t="str">
        <f t="shared" si="215"/>
        <v/>
      </c>
      <c r="AY133" t="str">
        <f t="shared" si="216"/>
        <v/>
      </c>
      <c r="AZ133" t="str">
        <f t="shared" si="217"/>
        <v/>
      </c>
      <c r="BA133" t="str">
        <f t="shared" si="218"/>
        <v/>
      </c>
      <c r="BB133" t="str">
        <f t="shared" si="219"/>
        <v/>
      </c>
      <c r="BC133" t="str">
        <f t="shared" si="220"/>
        <v/>
      </c>
      <c r="BD133" t="str">
        <f t="shared" si="221"/>
        <v/>
      </c>
      <c r="BE133" t="str">
        <f t="shared" si="222"/>
        <v/>
      </c>
      <c r="BF133" t="str">
        <f t="shared" si="223"/>
        <v/>
      </c>
      <c r="BG133" t="str">
        <f t="shared" si="224"/>
        <v/>
      </c>
      <c r="BH133" t="str">
        <f t="shared" si="225"/>
        <v/>
      </c>
      <c r="BI133" t="str">
        <f t="shared" si="226"/>
        <v/>
      </c>
      <c r="BJ133" t="str">
        <f t="shared" si="227"/>
        <v/>
      </c>
      <c r="BK133" t="str">
        <f t="shared" si="228"/>
        <v/>
      </c>
      <c r="BL133" t="str">
        <f t="shared" si="229"/>
        <v/>
      </c>
      <c r="BM133" t="str">
        <f t="shared" si="230"/>
        <v/>
      </c>
      <c r="BP133"/>
      <c r="BR133"/>
    </row>
    <row r="134" spans="1:70" x14ac:dyDescent="0.25">
      <c r="A134" s="1">
        <v>41535</v>
      </c>
      <c r="B134">
        <v>1.75</v>
      </c>
      <c r="C134" s="4">
        <v>42735</v>
      </c>
      <c r="D134">
        <v>5</v>
      </c>
      <c r="E134">
        <f t="shared" si="208"/>
        <v>0.51470588235294124</v>
      </c>
      <c r="F134" s="4"/>
      <c r="G134">
        <v>1</v>
      </c>
      <c r="H134">
        <f t="shared" ref="H134:Y134" si="233">IF($D134&gt;G134,G134+1,"")</f>
        <v>2</v>
      </c>
      <c r="I134">
        <f t="shared" si="233"/>
        <v>3</v>
      </c>
      <c r="J134">
        <f t="shared" si="233"/>
        <v>4</v>
      </c>
      <c r="K134">
        <f t="shared" si="233"/>
        <v>5</v>
      </c>
      <c r="L134" t="str">
        <f t="shared" si="233"/>
        <v/>
      </c>
      <c r="M134" t="str">
        <f t="shared" si="233"/>
        <v/>
      </c>
      <c r="N134" t="str">
        <f t="shared" si="233"/>
        <v/>
      </c>
      <c r="O134" t="str">
        <f t="shared" si="233"/>
        <v/>
      </c>
      <c r="P134" t="str">
        <f t="shared" si="233"/>
        <v/>
      </c>
      <c r="Q134" t="str">
        <f t="shared" si="233"/>
        <v/>
      </c>
      <c r="R134" t="str">
        <f t="shared" si="233"/>
        <v/>
      </c>
      <c r="S134" t="str">
        <f t="shared" si="233"/>
        <v/>
      </c>
      <c r="T134" t="str">
        <f t="shared" si="233"/>
        <v/>
      </c>
      <c r="U134" t="str">
        <f t="shared" si="233"/>
        <v/>
      </c>
      <c r="V134" t="str">
        <f t="shared" si="233"/>
        <v/>
      </c>
      <c r="W134" t="str">
        <f t="shared" si="233"/>
        <v/>
      </c>
      <c r="X134" t="str">
        <f t="shared" si="233"/>
        <v/>
      </c>
      <c r="Y134" t="str">
        <f t="shared" si="233"/>
        <v/>
      </c>
      <c r="AA134">
        <f t="shared" si="211"/>
        <v>42694.85</v>
      </c>
      <c r="AB134">
        <f t="shared" si="157"/>
        <v>42714.925000000003</v>
      </c>
      <c r="AC134">
        <f t="shared" si="158"/>
        <v>42735</v>
      </c>
      <c r="AD134">
        <f t="shared" si="159"/>
        <v>42755.075000000004</v>
      </c>
      <c r="AE134">
        <f t="shared" si="141"/>
        <v>42775.15</v>
      </c>
      <c r="AF134" t="e">
        <f t="shared" si="142"/>
        <v>#N/A</v>
      </c>
      <c r="AG134" t="e">
        <f t="shared" si="143"/>
        <v>#N/A</v>
      </c>
      <c r="AH134" t="e">
        <f t="shared" si="144"/>
        <v>#N/A</v>
      </c>
      <c r="AI134" t="e">
        <f t="shared" si="145"/>
        <v>#N/A</v>
      </c>
      <c r="AJ134" t="e">
        <f t="shared" si="146"/>
        <v>#N/A</v>
      </c>
      <c r="AK134" t="e">
        <f t="shared" si="147"/>
        <v>#N/A</v>
      </c>
      <c r="AL134" t="e">
        <f t="shared" si="148"/>
        <v>#N/A</v>
      </c>
      <c r="AM134" t="e">
        <f t="shared" si="149"/>
        <v>#N/A</v>
      </c>
      <c r="AN134" t="e">
        <f t="shared" si="150"/>
        <v>#N/A</v>
      </c>
      <c r="AO134" t="e">
        <f t="shared" si="151"/>
        <v>#N/A</v>
      </c>
      <c r="AP134" t="e">
        <f t="shared" si="152"/>
        <v>#N/A</v>
      </c>
      <c r="AQ134" t="e">
        <f t="shared" si="153"/>
        <v>#N/A</v>
      </c>
      <c r="AR134" t="e">
        <f t="shared" si="154"/>
        <v>#N/A</v>
      </c>
      <c r="AS134" t="e">
        <f t="shared" si="155"/>
        <v>#N/A</v>
      </c>
      <c r="AU134">
        <f t="shared" si="212"/>
        <v>1.75</v>
      </c>
      <c r="AV134">
        <f t="shared" si="213"/>
        <v>1.75</v>
      </c>
      <c r="AW134">
        <f t="shared" si="214"/>
        <v>1.75</v>
      </c>
      <c r="AX134">
        <f t="shared" si="215"/>
        <v>1.75</v>
      </c>
      <c r="AY134">
        <f t="shared" si="216"/>
        <v>1.75</v>
      </c>
      <c r="AZ134" t="str">
        <f t="shared" si="217"/>
        <v/>
      </c>
      <c r="BA134" t="str">
        <f t="shared" si="218"/>
        <v/>
      </c>
      <c r="BB134" t="str">
        <f t="shared" si="219"/>
        <v/>
      </c>
      <c r="BC134" t="str">
        <f t="shared" si="220"/>
        <v/>
      </c>
      <c r="BD134" t="str">
        <f t="shared" si="221"/>
        <v/>
      </c>
      <c r="BE134" t="str">
        <f t="shared" si="222"/>
        <v/>
      </c>
      <c r="BF134" t="str">
        <f t="shared" si="223"/>
        <v/>
      </c>
      <c r="BG134" t="str">
        <f t="shared" si="224"/>
        <v/>
      </c>
      <c r="BH134" t="str">
        <f t="shared" si="225"/>
        <v/>
      </c>
      <c r="BI134" t="str">
        <f t="shared" si="226"/>
        <v/>
      </c>
      <c r="BJ134" t="str">
        <f t="shared" si="227"/>
        <v/>
      </c>
      <c r="BK134" t="str">
        <f t="shared" si="228"/>
        <v/>
      </c>
      <c r="BL134" t="str">
        <f t="shared" si="229"/>
        <v/>
      </c>
      <c r="BM134" t="str">
        <f t="shared" si="230"/>
        <v/>
      </c>
      <c r="BP134"/>
      <c r="BR134"/>
    </row>
    <row r="135" spans="1:70" x14ac:dyDescent="0.25">
      <c r="A135" s="1">
        <v>41535</v>
      </c>
      <c r="B135">
        <v>2</v>
      </c>
      <c r="C135" s="4">
        <v>42735</v>
      </c>
      <c r="D135">
        <v>2</v>
      </c>
      <c r="E135">
        <f t="shared" si="208"/>
        <v>0.23529411764705882</v>
      </c>
      <c r="F135" s="4"/>
      <c r="G135">
        <v>1</v>
      </c>
      <c r="H135">
        <f t="shared" ref="H135:Y135" si="234">IF($D135&gt;G135,G135+1,"")</f>
        <v>2</v>
      </c>
      <c r="I135" t="str">
        <f t="shared" si="234"/>
        <v/>
      </c>
      <c r="J135" t="str">
        <f t="shared" si="234"/>
        <v/>
      </c>
      <c r="K135" t="str">
        <f t="shared" si="234"/>
        <v/>
      </c>
      <c r="L135" t="str">
        <f t="shared" si="234"/>
        <v/>
      </c>
      <c r="M135" t="str">
        <f t="shared" si="234"/>
        <v/>
      </c>
      <c r="N135" t="str">
        <f t="shared" si="234"/>
        <v/>
      </c>
      <c r="O135" t="str">
        <f t="shared" si="234"/>
        <v/>
      </c>
      <c r="P135" t="str">
        <f t="shared" si="234"/>
        <v/>
      </c>
      <c r="Q135" t="str">
        <f t="shared" si="234"/>
        <v/>
      </c>
      <c r="R135" t="str">
        <f t="shared" si="234"/>
        <v/>
      </c>
      <c r="S135" t="str">
        <f t="shared" si="234"/>
        <v/>
      </c>
      <c r="T135" t="str">
        <f t="shared" si="234"/>
        <v/>
      </c>
      <c r="U135" t="str">
        <f t="shared" si="234"/>
        <v/>
      </c>
      <c r="V135" t="str">
        <f t="shared" si="234"/>
        <v/>
      </c>
      <c r="W135" t="str">
        <f t="shared" si="234"/>
        <v/>
      </c>
      <c r="X135" t="str">
        <f t="shared" si="234"/>
        <v/>
      </c>
      <c r="Y135" t="str">
        <f t="shared" si="234"/>
        <v/>
      </c>
      <c r="AA135">
        <f t="shared" si="211"/>
        <v>42724.962500000001</v>
      </c>
      <c r="AB135">
        <f t="shared" si="157"/>
        <v>42745.037500000006</v>
      </c>
      <c r="AC135" t="e">
        <f t="shared" si="158"/>
        <v>#N/A</v>
      </c>
      <c r="AD135" t="e">
        <f t="shared" si="159"/>
        <v>#N/A</v>
      </c>
      <c r="AE135" t="e">
        <f t="shared" si="141"/>
        <v>#N/A</v>
      </c>
      <c r="AF135" t="e">
        <f t="shared" si="142"/>
        <v>#N/A</v>
      </c>
      <c r="AG135" t="e">
        <f t="shared" si="143"/>
        <v>#N/A</v>
      </c>
      <c r="AH135" t="e">
        <f t="shared" si="144"/>
        <v>#N/A</v>
      </c>
      <c r="AI135" t="e">
        <f t="shared" si="145"/>
        <v>#N/A</v>
      </c>
      <c r="AJ135" t="e">
        <f t="shared" si="146"/>
        <v>#N/A</v>
      </c>
      <c r="AK135" t="e">
        <f t="shared" si="147"/>
        <v>#N/A</v>
      </c>
      <c r="AL135" t="e">
        <f t="shared" si="148"/>
        <v>#N/A</v>
      </c>
      <c r="AM135" t="e">
        <f t="shared" si="149"/>
        <v>#N/A</v>
      </c>
      <c r="AN135" t="e">
        <f t="shared" si="150"/>
        <v>#N/A</v>
      </c>
      <c r="AO135" t="e">
        <f t="shared" si="151"/>
        <v>#N/A</v>
      </c>
      <c r="AP135" t="e">
        <f t="shared" si="152"/>
        <v>#N/A</v>
      </c>
      <c r="AQ135" t="e">
        <f t="shared" si="153"/>
        <v>#N/A</v>
      </c>
      <c r="AR135" t="e">
        <f t="shared" si="154"/>
        <v>#N/A</v>
      </c>
      <c r="AS135" t="e">
        <f t="shared" si="155"/>
        <v>#N/A</v>
      </c>
      <c r="AU135">
        <f t="shared" si="212"/>
        <v>2</v>
      </c>
      <c r="AV135">
        <f t="shared" si="213"/>
        <v>2</v>
      </c>
      <c r="AW135" t="str">
        <f t="shared" si="214"/>
        <v/>
      </c>
      <c r="AX135" t="str">
        <f t="shared" si="215"/>
        <v/>
      </c>
      <c r="AY135" t="str">
        <f t="shared" si="216"/>
        <v/>
      </c>
      <c r="AZ135" t="str">
        <f t="shared" si="217"/>
        <v/>
      </c>
      <c r="BA135" t="str">
        <f t="shared" si="218"/>
        <v/>
      </c>
      <c r="BB135" t="str">
        <f t="shared" si="219"/>
        <v/>
      </c>
      <c r="BC135" t="str">
        <f t="shared" si="220"/>
        <v/>
      </c>
      <c r="BD135" t="str">
        <f t="shared" si="221"/>
        <v/>
      </c>
      <c r="BE135" t="str">
        <f t="shared" si="222"/>
        <v/>
      </c>
      <c r="BF135" t="str">
        <f t="shared" si="223"/>
        <v/>
      </c>
      <c r="BG135" t="str">
        <f t="shared" si="224"/>
        <v/>
      </c>
      <c r="BH135" t="str">
        <f t="shared" si="225"/>
        <v/>
      </c>
      <c r="BI135" t="str">
        <f t="shared" si="226"/>
        <v/>
      </c>
      <c r="BJ135" t="str">
        <f t="shared" si="227"/>
        <v/>
      </c>
      <c r="BK135" t="str">
        <f t="shared" si="228"/>
        <v/>
      </c>
      <c r="BL135" t="str">
        <f t="shared" si="229"/>
        <v/>
      </c>
      <c r="BM135" t="str">
        <f t="shared" si="230"/>
        <v/>
      </c>
      <c r="BP135"/>
      <c r="BR135"/>
    </row>
    <row r="136" spans="1:70" x14ac:dyDescent="0.25">
      <c r="A136" s="1">
        <v>41535</v>
      </c>
      <c r="B136">
        <v>2.5</v>
      </c>
      <c r="C136" s="4">
        <v>42735</v>
      </c>
      <c r="D136">
        <v>2</v>
      </c>
      <c r="E136">
        <f t="shared" si="208"/>
        <v>0.29411764705882354</v>
      </c>
      <c r="F136" s="4"/>
      <c r="G136">
        <v>1</v>
      </c>
      <c r="H136">
        <f t="shared" ref="H136:Y136" si="235">IF($D136&gt;G136,G136+1,"")</f>
        <v>2</v>
      </c>
      <c r="I136" t="str">
        <f t="shared" si="235"/>
        <v/>
      </c>
      <c r="J136" t="str">
        <f t="shared" si="235"/>
        <v/>
      </c>
      <c r="K136" t="str">
        <f t="shared" si="235"/>
        <v/>
      </c>
      <c r="L136" t="str">
        <f t="shared" si="235"/>
        <v/>
      </c>
      <c r="M136" t="str">
        <f t="shared" si="235"/>
        <v/>
      </c>
      <c r="N136" t="str">
        <f t="shared" si="235"/>
        <v/>
      </c>
      <c r="O136" t="str">
        <f t="shared" si="235"/>
        <v/>
      </c>
      <c r="P136" t="str">
        <f t="shared" si="235"/>
        <v/>
      </c>
      <c r="Q136" t="str">
        <f t="shared" si="235"/>
        <v/>
      </c>
      <c r="R136" t="str">
        <f t="shared" si="235"/>
        <v/>
      </c>
      <c r="S136" t="str">
        <f t="shared" si="235"/>
        <v/>
      </c>
      <c r="T136" t="str">
        <f t="shared" si="235"/>
        <v/>
      </c>
      <c r="U136" t="str">
        <f t="shared" si="235"/>
        <v/>
      </c>
      <c r="V136" t="str">
        <f t="shared" si="235"/>
        <v/>
      </c>
      <c r="W136" t="str">
        <f t="shared" si="235"/>
        <v/>
      </c>
      <c r="X136" t="str">
        <f t="shared" si="235"/>
        <v/>
      </c>
      <c r="Y136" t="str">
        <f t="shared" si="235"/>
        <v/>
      </c>
      <c r="AA136">
        <f t="shared" si="211"/>
        <v>42724.962500000001</v>
      </c>
      <c r="AB136">
        <f t="shared" si="157"/>
        <v>42745.037500000006</v>
      </c>
      <c r="AC136" t="e">
        <f t="shared" si="158"/>
        <v>#N/A</v>
      </c>
      <c r="AD136" t="e">
        <f t="shared" si="159"/>
        <v>#N/A</v>
      </c>
      <c r="AE136" t="e">
        <f t="shared" si="141"/>
        <v>#N/A</v>
      </c>
      <c r="AF136" t="e">
        <f t="shared" si="142"/>
        <v>#N/A</v>
      </c>
      <c r="AG136" t="e">
        <f t="shared" si="143"/>
        <v>#N/A</v>
      </c>
      <c r="AH136" t="e">
        <f t="shared" si="144"/>
        <v>#N/A</v>
      </c>
      <c r="AI136" t="e">
        <f t="shared" si="145"/>
        <v>#N/A</v>
      </c>
      <c r="AJ136" t="e">
        <f t="shared" si="146"/>
        <v>#N/A</v>
      </c>
      <c r="AK136" t="e">
        <f t="shared" si="147"/>
        <v>#N/A</v>
      </c>
      <c r="AL136" t="e">
        <f t="shared" si="148"/>
        <v>#N/A</v>
      </c>
      <c r="AM136" t="e">
        <f t="shared" si="149"/>
        <v>#N/A</v>
      </c>
      <c r="AN136" t="e">
        <f t="shared" si="150"/>
        <v>#N/A</v>
      </c>
      <c r="AO136" t="e">
        <f t="shared" si="151"/>
        <v>#N/A</v>
      </c>
      <c r="AP136" t="e">
        <f t="shared" si="152"/>
        <v>#N/A</v>
      </c>
      <c r="AQ136" t="e">
        <f t="shared" si="153"/>
        <v>#N/A</v>
      </c>
      <c r="AR136" t="e">
        <f t="shared" si="154"/>
        <v>#N/A</v>
      </c>
      <c r="AS136" t="e">
        <f t="shared" si="155"/>
        <v>#N/A</v>
      </c>
      <c r="AU136">
        <f t="shared" si="212"/>
        <v>2.5</v>
      </c>
      <c r="AV136">
        <f t="shared" si="213"/>
        <v>2.5</v>
      </c>
      <c r="AW136" t="str">
        <f t="shared" si="214"/>
        <v/>
      </c>
      <c r="AX136" t="str">
        <f t="shared" si="215"/>
        <v/>
      </c>
      <c r="AY136" t="str">
        <f t="shared" si="216"/>
        <v/>
      </c>
      <c r="AZ136" t="str">
        <f t="shared" si="217"/>
        <v/>
      </c>
      <c r="BA136" t="str">
        <f t="shared" si="218"/>
        <v/>
      </c>
      <c r="BB136" t="str">
        <f t="shared" si="219"/>
        <v/>
      </c>
      <c r="BC136" t="str">
        <f t="shared" si="220"/>
        <v/>
      </c>
      <c r="BD136" t="str">
        <f t="shared" si="221"/>
        <v/>
      </c>
      <c r="BE136" t="str">
        <f t="shared" si="222"/>
        <v/>
      </c>
      <c r="BF136" t="str">
        <f t="shared" si="223"/>
        <v/>
      </c>
      <c r="BG136" t="str">
        <f t="shared" si="224"/>
        <v/>
      </c>
      <c r="BH136" t="str">
        <f t="shared" si="225"/>
        <v/>
      </c>
      <c r="BI136" t="str">
        <f t="shared" si="226"/>
        <v/>
      </c>
      <c r="BJ136" t="str">
        <f t="shared" si="227"/>
        <v/>
      </c>
      <c r="BK136" t="str">
        <f t="shared" si="228"/>
        <v/>
      </c>
      <c r="BL136" t="str">
        <f t="shared" si="229"/>
        <v/>
      </c>
      <c r="BM136" t="str">
        <f t="shared" si="230"/>
        <v/>
      </c>
      <c r="BP136"/>
      <c r="BR136"/>
    </row>
    <row r="137" spans="1:70" x14ac:dyDescent="0.25">
      <c r="A137" s="1">
        <v>41535</v>
      </c>
      <c r="B137">
        <v>2.75</v>
      </c>
      <c r="C137" s="4">
        <v>42735</v>
      </c>
      <c r="D137">
        <v>2</v>
      </c>
      <c r="E137">
        <f t="shared" si="208"/>
        <v>0.3235294117647059</v>
      </c>
      <c r="F137" s="4"/>
      <c r="G137">
        <v>1</v>
      </c>
      <c r="H137">
        <f t="shared" ref="H137:Y137" si="236">IF($D137&gt;G137,G137+1,"")</f>
        <v>2</v>
      </c>
      <c r="I137" t="str">
        <f t="shared" si="236"/>
        <v/>
      </c>
      <c r="J137" t="str">
        <f t="shared" si="236"/>
        <v/>
      </c>
      <c r="K137" t="str">
        <f t="shared" si="236"/>
        <v/>
      </c>
      <c r="L137" t="str">
        <f t="shared" si="236"/>
        <v/>
      </c>
      <c r="M137" t="str">
        <f t="shared" si="236"/>
        <v/>
      </c>
      <c r="N137" t="str">
        <f t="shared" si="236"/>
        <v/>
      </c>
      <c r="O137" t="str">
        <f t="shared" si="236"/>
        <v/>
      </c>
      <c r="P137" t="str">
        <f t="shared" si="236"/>
        <v/>
      </c>
      <c r="Q137" t="str">
        <f t="shared" si="236"/>
        <v/>
      </c>
      <c r="R137" t="str">
        <f t="shared" si="236"/>
        <v/>
      </c>
      <c r="S137" t="str">
        <f t="shared" si="236"/>
        <v/>
      </c>
      <c r="T137" t="str">
        <f t="shared" si="236"/>
        <v/>
      </c>
      <c r="U137" t="str">
        <f t="shared" si="236"/>
        <v/>
      </c>
      <c r="V137" t="str">
        <f t="shared" si="236"/>
        <v/>
      </c>
      <c r="W137" t="str">
        <f t="shared" si="236"/>
        <v/>
      </c>
      <c r="X137" t="str">
        <f t="shared" si="236"/>
        <v/>
      </c>
      <c r="Y137" t="str">
        <f t="shared" si="236"/>
        <v/>
      </c>
      <c r="AA137">
        <f t="shared" si="211"/>
        <v>42724.962500000001</v>
      </c>
      <c r="AB137">
        <f t="shared" si="157"/>
        <v>42745.037500000006</v>
      </c>
      <c r="AC137" t="e">
        <f t="shared" si="158"/>
        <v>#N/A</v>
      </c>
      <c r="AD137" t="e">
        <f t="shared" si="159"/>
        <v>#N/A</v>
      </c>
      <c r="AE137" t="e">
        <f t="shared" si="141"/>
        <v>#N/A</v>
      </c>
      <c r="AF137" t="e">
        <f t="shared" si="142"/>
        <v>#N/A</v>
      </c>
      <c r="AG137" t="e">
        <f t="shared" si="143"/>
        <v>#N/A</v>
      </c>
      <c r="AH137" t="e">
        <f t="shared" si="144"/>
        <v>#N/A</v>
      </c>
      <c r="AI137" t="e">
        <f t="shared" si="145"/>
        <v>#N/A</v>
      </c>
      <c r="AJ137" t="e">
        <f t="shared" si="146"/>
        <v>#N/A</v>
      </c>
      <c r="AK137" t="e">
        <f t="shared" si="147"/>
        <v>#N/A</v>
      </c>
      <c r="AL137" t="e">
        <f t="shared" si="148"/>
        <v>#N/A</v>
      </c>
      <c r="AM137" t="e">
        <f t="shared" si="149"/>
        <v>#N/A</v>
      </c>
      <c r="AN137" t="e">
        <f t="shared" si="150"/>
        <v>#N/A</v>
      </c>
      <c r="AO137" t="e">
        <f t="shared" si="151"/>
        <v>#N/A</v>
      </c>
      <c r="AP137" t="e">
        <f t="shared" si="152"/>
        <v>#N/A</v>
      </c>
      <c r="AQ137" t="e">
        <f t="shared" si="153"/>
        <v>#N/A</v>
      </c>
      <c r="AR137" t="e">
        <f t="shared" si="154"/>
        <v>#N/A</v>
      </c>
      <c r="AS137" t="e">
        <f t="shared" si="155"/>
        <v>#N/A</v>
      </c>
      <c r="AU137">
        <f t="shared" si="212"/>
        <v>2.75</v>
      </c>
      <c r="AV137">
        <f t="shared" si="213"/>
        <v>2.75</v>
      </c>
      <c r="AW137" t="str">
        <f t="shared" si="214"/>
        <v/>
      </c>
      <c r="AX137" t="str">
        <f t="shared" si="215"/>
        <v/>
      </c>
      <c r="AY137" t="str">
        <f t="shared" si="216"/>
        <v/>
      </c>
      <c r="AZ137" t="str">
        <f t="shared" si="217"/>
        <v/>
      </c>
      <c r="BA137" t="str">
        <f t="shared" si="218"/>
        <v/>
      </c>
      <c r="BB137" t="str">
        <f t="shared" si="219"/>
        <v/>
      </c>
      <c r="BC137" t="str">
        <f t="shared" si="220"/>
        <v/>
      </c>
      <c r="BD137" t="str">
        <f t="shared" si="221"/>
        <v/>
      </c>
      <c r="BE137" t="str">
        <f t="shared" si="222"/>
        <v/>
      </c>
      <c r="BF137" t="str">
        <f t="shared" si="223"/>
        <v/>
      </c>
      <c r="BG137" t="str">
        <f t="shared" si="224"/>
        <v/>
      </c>
      <c r="BH137" t="str">
        <f t="shared" si="225"/>
        <v/>
      </c>
      <c r="BI137" t="str">
        <f t="shared" si="226"/>
        <v/>
      </c>
      <c r="BJ137" t="str">
        <f t="shared" si="227"/>
        <v/>
      </c>
      <c r="BK137" t="str">
        <f t="shared" si="228"/>
        <v/>
      </c>
      <c r="BL137" t="str">
        <f t="shared" si="229"/>
        <v/>
      </c>
      <c r="BM137" t="str">
        <f t="shared" si="230"/>
        <v/>
      </c>
      <c r="BP137"/>
      <c r="BR137"/>
    </row>
    <row r="138" spans="1:70" x14ac:dyDescent="0.25">
      <c r="A138" s="1">
        <v>41535</v>
      </c>
      <c r="B138">
        <v>4</v>
      </c>
      <c r="C138" s="4">
        <v>42735</v>
      </c>
      <c r="D138">
        <v>2</v>
      </c>
      <c r="E138">
        <f t="shared" si="208"/>
        <v>0.47058823529411764</v>
      </c>
      <c r="F138" s="4"/>
      <c r="G138">
        <v>1</v>
      </c>
      <c r="H138">
        <f t="shared" ref="H138:Y138" si="237">IF($D138&gt;G138,G138+1,"")</f>
        <v>2</v>
      </c>
      <c r="I138" t="str">
        <f t="shared" si="237"/>
        <v/>
      </c>
      <c r="J138" t="str">
        <f t="shared" si="237"/>
        <v/>
      </c>
      <c r="K138" t="str">
        <f t="shared" si="237"/>
        <v/>
      </c>
      <c r="L138" t="str">
        <f t="shared" si="237"/>
        <v/>
      </c>
      <c r="M138" t="str">
        <f t="shared" si="237"/>
        <v/>
      </c>
      <c r="N138" t="str">
        <f t="shared" si="237"/>
        <v/>
      </c>
      <c r="O138" t="str">
        <f t="shared" si="237"/>
        <v/>
      </c>
      <c r="P138" t="str">
        <f t="shared" si="237"/>
        <v/>
      </c>
      <c r="Q138" t="str">
        <f t="shared" si="237"/>
        <v/>
      </c>
      <c r="R138" t="str">
        <f t="shared" si="237"/>
        <v/>
      </c>
      <c r="S138" t="str">
        <f t="shared" si="237"/>
        <v/>
      </c>
      <c r="T138" t="str">
        <f t="shared" si="237"/>
        <v/>
      </c>
      <c r="U138" t="str">
        <f t="shared" si="237"/>
        <v/>
      </c>
      <c r="V138" t="str">
        <f t="shared" si="237"/>
        <v/>
      </c>
      <c r="W138" t="str">
        <f t="shared" si="237"/>
        <v/>
      </c>
      <c r="X138" t="str">
        <f t="shared" si="237"/>
        <v/>
      </c>
      <c r="Y138" t="str">
        <f t="shared" si="237"/>
        <v/>
      </c>
      <c r="AA138">
        <f t="shared" si="211"/>
        <v>42724.962500000001</v>
      </c>
      <c r="AB138">
        <f t="shared" si="157"/>
        <v>42745.037500000006</v>
      </c>
      <c r="AC138" t="e">
        <f t="shared" si="158"/>
        <v>#N/A</v>
      </c>
      <c r="AD138" t="e">
        <f t="shared" si="159"/>
        <v>#N/A</v>
      </c>
      <c r="AE138" t="e">
        <f t="shared" si="141"/>
        <v>#N/A</v>
      </c>
      <c r="AF138" t="e">
        <f t="shared" si="142"/>
        <v>#N/A</v>
      </c>
      <c r="AG138" t="e">
        <f t="shared" si="143"/>
        <v>#N/A</v>
      </c>
      <c r="AH138" t="e">
        <f t="shared" si="144"/>
        <v>#N/A</v>
      </c>
      <c r="AI138" t="e">
        <f t="shared" si="145"/>
        <v>#N/A</v>
      </c>
      <c r="AJ138" t="e">
        <f t="shared" si="146"/>
        <v>#N/A</v>
      </c>
      <c r="AK138" t="e">
        <f t="shared" si="147"/>
        <v>#N/A</v>
      </c>
      <c r="AL138" t="e">
        <f t="shared" si="148"/>
        <v>#N/A</v>
      </c>
      <c r="AM138" t="e">
        <f t="shared" si="149"/>
        <v>#N/A</v>
      </c>
      <c r="AN138" t="e">
        <f t="shared" si="150"/>
        <v>#N/A</v>
      </c>
      <c r="AO138" t="e">
        <f t="shared" si="151"/>
        <v>#N/A</v>
      </c>
      <c r="AP138" t="e">
        <f t="shared" si="152"/>
        <v>#N/A</v>
      </c>
      <c r="AQ138" t="e">
        <f t="shared" si="153"/>
        <v>#N/A</v>
      </c>
      <c r="AR138" t="e">
        <f t="shared" si="154"/>
        <v>#N/A</v>
      </c>
      <c r="AS138" t="e">
        <f t="shared" si="155"/>
        <v>#N/A</v>
      </c>
      <c r="AU138">
        <f t="shared" si="212"/>
        <v>4</v>
      </c>
      <c r="AV138">
        <f t="shared" si="213"/>
        <v>4</v>
      </c>
      <c r="AW138" t="str">
        <f t="shared" si="214"/>
        <v/>
      </c>
      <c r="AX138" t="str">
        <f t="shared" si="215"/>
        <v/>
      </c>
      <c r="AY138" t="str">
        <f t="shared" si="216"/>
        <v/>
      </c>
      <c r="AZ138" t="str">
        <f t="shared" si="217"/>
        <v/>
      </c>
      <c r="BA138" t="str">
        <f t="shared" si="218"/>
        <v/>
      </c>
      <c r="BB138" t="str">
        <f t="shared" si="219"/>
        <v/>
      </c>
      <c r="BC138" t="str">
        <f t="shared" si="220"/>
        <v/>
      </c>
      <c r="BD138" t="str">
        <f t="shared" si="221"/>
        <v/>
      </c>
      <c r="BE138" t="str">
        <f t="shared" si="222"/>
        <v/>
      </c>
      <c r="BF138" t="str">
        <f t="shared" si="223"/>
        <v/>
      </c>
      <c r="BG138" t="str">
        <f t="shared" si="224"/>
        <v/>
      </c>
      <c r="BH138" t="str">
        <f t="shared" si="225"/>
        <v/>
      </c>
      <c r="BI138" t="str">
        <f t="shared" si="226"/>
        <v/>
      </c>
      <c r="BJ138" t="str">
        <f t="shared" si="227"/>
        <v/>
      </c>
      <c r="BK138" t="str">
        <f t="shared" si="228"/>
        <v/>
      </c>
      <c r="BL138" t="str">
        <f t="shared" si="229"/>
        <v/>
      </c>
      <c r="BM138" t="str">
        <f t="shared" si="230"/>
        <v/>
      </c>
      <c r="BP138"/>
      <c r="BR138"/>
    </row>
    <row r="139" spans="1:70" x14ac:dyDescent="0.25">
      <c r="A139" s="1">
        <v>41535</v>
      </c>
      <c r="B139">
        <v>4.25</v>
      </c>
      <c r="C139" s="4">
        <v>42735</v>
      </c>
      <c r="D139">
        <v>1</v>
      </c>
      <c r="E139">
        <f t="shared" si="208"/>
        <v>0.25</v>
      </c>
      <c r="F139" s="4"/>
      <c r="G139">
        <v>1</v>
      </c>
      <c r="H139" t="str">
        <f t="shared" ref="H139:Y139" si="238">IF($D139&gt;G139,G139+1,"")</f>
        <v/>
      </c>
      <c r="I139" t="str">
        <f t="shared" si="238"/>
        <v/>
      </c>
      <c r="J139" t="str">
        <f t="shared" si="238"/>
        <v/>
      </c>
      <c r="K139" t="str">
        <f t="shared" si="238"/>
        <v/>
      </c>
      <c r="L139" t="str">
        <f t="shared" si="238"/>
        <v/>
      </c>
      <c r="M139" t="str">
        <f t="shared" si="238"/>
        <v/>
      </c>
      <c r="N139" t="str">
        <f t="shared" si="238"/>
        <v/>
      </c>
      <c r="O139" t="str">
        <f t="shared" si="238"/>
        <v/>
      </c>
      <c r="P139" t="str">
        <f t="shared" si="238"/>
        <v/>
      </c>
      <c r="Q139" t="str">
        <f t="shared" si="238"/>
        <v/>
      </c>
      <c r="R139" t="str">
        <f t="shared" si="238"/>
        <v/>
      </c>
      <c r="S139" t="str">
        <f t="shared" si="238"/>
        <v/>
      </c>
      <c r="T139" t="str">
        <f t="shared" si="238"/>
        <v/>
      </c>
      <c r="U139" t="str">
        <f t="shared" si="238"/>
        <v/>
      </c>
      <c r="V139" t="str">
        <f t="shared" si="238"/>
        <v/>
      </c>
      <c r="W139" t="str">
        <f t="shared" si="238"/>
        <v/>
      </c>
      <c r="X139" t="str">
        <f t="shared" si="238"/>
        <v/>
      </c>
      <c r="Y139" t="str">
        <f t="shared" si="238"/>
        <v/>
      </c>
      <c r="AA139">
        <f t="shared" si="211"/>
        <v>42735</v>
      </c>
      <c r="AB139" t="e">
        <f t="shared" si="157"/>
        <v>#N/A</v>
      </c>
      <c r="AC139" t="e">
        <f t="shared" si="158"/>
        <v>#N/A</v>
      </c>
      <c r="AD139" t="e">
        <f t="shared" si="159"/>
        <v>#N/A</v>
      </c>
      <c r="AE139" t="e">
        <f t="shared" si="141"/>
        <v>#N/A</v>
      </c>
      <c r="AF139" t="e">
        <f t="shared" si="142"/>
        <v>#N/A</v>
      </c>
      <c r="AG139" t="e">
        <f t="shared" si="143"/>
        <v>#N/A</v>
      </c>
      <c r="AH139" t="e">
        <f t="shared" si="144"/>
        <v>#N/A</v>
      </c>
      <c r="AI139" t="e">
        <f t="shared" si="145"/>
        <v>#N/A</v>
      </c>
      <c r="AJ139" t="e">
        <f t="shared" si="146"/>
        <v>#N/A</v>
      </c>
      <c r="AK139" t="e">
        <f t="shared" si="147"/>
        <v>#N/A</v>
      </c>
      <c r="AL139" t="e">
        <f t="shared" si="148"/>
        <v>#N/A</v>
      </c>
      <c r="AM139" t="e">
        <f t="shared" si="149"/>
        <v>#N/A</v>
      </c>
      <c r="AN139" t="e">
        <f t="shared" si="150"/>
        <v>#N/A</v>
      </c>
      <c r="AO139" t="e">
        <f t="shared" si="151"/>
        <v>#N/A</v>
      </c>
      <c r="AP139" t="e">
        <f t="shared" si="152"/>
        <v>#N/A</v>
      </c>
      <c r="AQ139" t="e">
        <f t="shared" si="153"/>
        <v>#N/A</v>
      </c>
      <c r="AR139" t="e">
        <f t="shared" si="154"/>
        <v>#N/A</v>
      </c>
      <c r="AS139" t="e">
        <f t="shared" si="155"/>
        <v>#N/A</v>
      </c>
      <c r="AU139">
        <f t="shared" si="212"/>
        <v>4.25</v>
      </c>
      <c r="AV139" t="str">
        <f t="shared" si="213"/>
        <v/>
      </c>
      <c r="AW139" t="str">
        <f t="shared" si="214"/>
        <v/>
      </c>
      <c r="AX139" t="str">
        <f t="shared" si="215"/>
        <v/>
      </c>
      <c r="AY139" t="str">
        <f t="shared" si="216"/>
        <v/>
      </c>
      <c r="AZ139" t="str">
        <f t="shared" si="217"/>
        <v/>
      </c>
      <c r="BA139" t="str">
        <f t="shared" si="218"/>
        <v/>
      </c>
      <c r="BB139" t="str">
        <f t="shared" si="219"/>
        <v/>
      </c>
      <c r="BC139" t="str">
        <f t="shared" si="220"/>
        <v/>
      </c>
      <c r="BD139" t="str">
        <f t="shared" si="221"/>
        <v/>
      </c>
      <c r="BE139" t="str">
        <f t="shared" si="222"/>
        <v/>
      </c>
      <c r="BF139" t="str">
        <f t="shared" si="223"/>
        <v/>
      </c>
      <c r="BG139" t="str">
        <f t="shared" si="224"/>
        <v/>
      </c>
      <c r="BH139" t="str">
        <f t="shared" si="225"/>
        <v/>
      </c>
      <c r="BI139" t="str">
        <f t="shared" si="226"/>
        <v/>
      </c>
      <c r="BJ139" t="str">
        <f t="shared" si="227"/>
        <v/>
      </c>
      <c r="BK139" t="str">
        <f t="shared" si="228"/>
        <v/>
      </c>
      <c r="BL139" t="str">
        <f t="shared" si="229"/>
        <v/>
      </c>
      <c r="BM139" t="str">
        <f t="shared" si="230"/>
        <v/>
      </c>
      <c r="BP139"/>
      <c r="BR139"/>
    </row>
    <row r="140" spans="1:70" x14ac:dyDescent="0.25">
      <c r="A140" s="1">
        <v>41535</v>
      </c>
      <c r="B140">
        <v>3.25</v>
      </c>
      <c r="C140" s="4">
        <v>43100</v>
      </c>
      <c r="D140">
        <v>1</v>
      </c>
      <c r="E140">
        <f t="shared" si="208"/>
        <v>0.19117647058823528</v>
      </c>
      <c r="F140" s="4"/>
      <c r="G140">
        <v>1</v>
      </c>
      <c r="H140" t="str">
        <f t="shared" ref="H140:Y140" si="239">IF($D140&gt;G140,G140+1,"")</f>
        <v/>
      </c>
      <c r="I140" t="str">
        <f t="shared" si="239"/>
        <v/>
      </c>
      <c r="J140" t="str">
        <f t="shared" si="239"/>
        <v/>
      </c>
      <c r="K140" t="str">
        <f t="shared" si="239"/>
        <v/>
      </c>
      <c r="L140" t="str">
        <f t="shared" si="239"/>
        <v/>
      </c>
      <c r="M140" t="str">
        <f t="shared" si="239"/>
        <v/>
      </c>
      <c r="N140" t="str">
        <f t="shared" si="239"/>
        <v/>
      </c>
      <c r="O140" t="str">
        <f t="shared" si="239"/>
        <v/>
      </c>
      <c r="P140" t="str">
        <f t="shared" si="239"/>
        <v/>
      </c>
      <c r="Q140" t="str">
        <f t="shared" si="239"/>
        <v/>
      </c>
      <c r="R140" t="str">
        <f t="shared" si="239"/>
        <v/>
      </c>
      <c r="S140" t="str">
        <f t="shared" si="239"/>
        <v/>
      </c>
      <c r="T140" t="str">
        <f t="shared" si="239"/>
        <v/>
      </c>
      <c r="U140" t="str">
        <f t="shared" si="239"/>
        <v/>
      </c>
      <c r="V140" t="str">
        <f t="shared" si="239"/>
        <v/>
      </c>
      <c r="W140" t="str">
        <f t="shared" si="239"/>
        <v/>
      </c>
      <c r="X140" t="str">
        <f t="shared" si="239"/>
        <v/>
      </c>
      <c r="Y140" t="str">
        <f t="shared" si="239"/>
        <v/>
      </c>
      <c r="AA140">
        <f t="shared" si="211"/>
        <v>43100</v>
      </c>
      <c r="AB140" t="e">
        <f t="shared" si="157"/>
        <v>#N/A</v>
      </c>
      <c r="AC140" t="e">
        <f t="shared" si="158"/>
        <v>#N/A</v>
      </c>
      <c r="AD140" t="e">
        <f t="shared" si="159"/>
        <v>#N/A</v>
      </c>
      <c r="AE140" t="e">
        <f t="shared" si="141"/>
        <v>#N/A</v>
      </c>
      <c r="AF140" t="e">
        <f t="shared" si="142"/>
        <v>#N/A</v>
      </c>
      <c r="AG140" t="e">
        <f t="shared" si="143"/>
        <v>#N/A</v>
      </c>
      <c r="AH140" t="e">
        <f t="shared" si="144"/>
        <v>#N/A</v>
      </c>
      <c r="AI140" t="e">
        <f t="shared" si="145"/>
        <v>#N/A</v>
      </c>
      <c r="AJ140" t="e">
        <f t="shared" si="146"/>
        <v>#N/A</v>
      </c>
      <c r="AK140" t="e">
        <f t="shared" si="147"/>
        <v>#N/A</v>
      </c>
      <c r="AL140" t="e">
        <f t="shared" si="148"/>
        <v>#N/A</v>
      </c>
      <c r="AM140" t="e">
        <f t="shared" si="149"/>
        <v>#N/A</v>
      </c>
      <c r="AN140" t="e">
        <f t="shared" si="150"/>
        <v>#N/A</v>
      </c>
      <c r="AO140" t="e">
        <f t="shared" si="151"/>
        <v>#N/A</v>
      </c>
      <c r="AP140" t="e">
        <f t="shared" si="152"/>
        <v>#N/A</v>
      </c>
      <c r="AQ140" t="e">
        <f t="shared" si="153"/>
        <v>#N/A</v>
      </c>
      <c r="AR140" t="e">
        <f t="shared" si="154"/>
        <v>#N/A</v>
      </c>
      <c r="AS140" t="e">
        <f t="shared" si="155"/>
        <v>#N/A</v>
      </c>
      <c r="AU140">
        <f t="shared" si="212"/>
        <v>3.25</v>
      </c>
      <c r="AV140" t="str">
        <f t="shared" si="213"/>
        <v/>
      </c>
      <c r="AW140" t="str">
        <f t="shared" si="214"/>
        <v/>
      </c>
      <c r="AX140" t="str">
        <f t="shared" si="215"/>
        <v/>
      </c>
      <c r="AY140" t="str">
        <f t="shared" si="216"/>
        <v/>
      </c>
      <c r="AZ140" t="str">
        <f t="shared" si="217"/>
        <v/>
      </c>
      <c r="BA140" t="str">
        <f t="shared" si="218"/>
        <v/>
      </c>
      <c r="BB140" t="str">
        <f t="shared" si="219"/>
        <v/>
      </c>
      <c r="BC140" t="str">
        <f t="shared" si="220"/>
        <v/>
      </c>
      <c r="BD140" t="str">
        <f t="shared" si="221"/>
        <v/>
      </c>
      <c r="BE140" t="str">
        <f t="shared" si="222"/>
        <v/>
      </c>
      <c r="BF140" t="str">
        <f t="shared" si="223"/>
        <v/>
      </c>
      <c r="BG140" t="str">
        <f t="shared" si="224"/>
        <v/>
      </c>
      <c r="BH140" t="str">
        <f t="shared" si="225"/>
        <v/>
      </c>
      <c r="BI140" t="str">
        <f t="shared" si="226"/>
        <v/>
      </c>
      <c r="BJ140" t="str">
        <f t="shared" si="227"/>
        <v/>
      </c>
      <c r="BK140" t="str">
        <f t="shared" si="228"/>
        <v/>
      </c>
      <c r="BL140" t="str">
        <f t="shared" si="229"/>
        <v/>
      </c>
      <c r="BM140" t="str">
        <f t="shared" si="230"/>
        <v/>
      </c>
      <c r="BP140"/>
      <c r="BR140"/>
    </row>
    <row r="141" spans="1:70" x14ac:dyDescent="0.25">
      <c r="A141" s="1">
        <v>41535</v>
      </c>
      <c r="B141">
        <v>3.5</v>
      </c>
      <c r="C141" s="4">
        <v>43100</v>
      </c>
      <c r="D141">
        <v>2</v>
      </c>
      <c r="E141">
        <f t="shared" si="208"/>
        <v>0.41176470588235292</v>
      </c>
      <c r="F141" s="4"/>
      <c r="G141">
        <v>1</v>
      </c>
      <c r="H141">
        <f t="shared" ref="H141:Y141" si="240">IF($D141&gt;G141,G141+1,"")</f>
        <v>2</v>
      </c>
      <c r="I141" t="str">
        <f t="shared" si="240"/>
        <v/>
      </c>
      <c r="J141" t="str">
        <f t="shared" si="240"/>
        <v/>
      </c>
      <c r="K141" t="str">
        <f t="shared" si="240"/>
        <v/>
      </c>
      <c r="L141" t="str">
        <f t="shared" si="240"/>
        <v/>
      </c>
      <c r="M141" t="str">
        <f t="shared" si="240"/>
        <v/>
      </c>
      <c r="N141" t="str">
        <f t="shared" si="240"/>
        <v/>
      </c>
      <c r="O141" t="str">
        <f t="shared" si="240"/>
        <v/>
      </c>
      <c r="P141" t="str">
        <f t="shared" si="240"/>
        <v/>
      </c>
      <c r="Q141" t="str">
        <f t="shared" si="240"/>
        <v/>
      </c>
      <c r="R141" t="str">
        <f t="shared" si="240"/>
        <v/>
      </c>
      <c r="S141" t="str">
        <f t="shared" si="240"/>
        <v/>
      </c>
      <c r="T141" t="str">
        <f t="shared" si="240"/>
        <v/>
      </c>
      <c r="U141" t="str">
        <f t="shared" si="240"/>
        <v/>
      </c>
      <c r="V141" t="str">
        <f t="shared" si="240"/>
        <v/>
      </c>
      <c r="W141" t="str">
        <f t="shared" si="240"/>
        <v/>
      </c>
      <c r="X141" t="str">
        <f t="shared" si="240"/>
        <v/>
      </c>
      <c r="Y141" t="str">
        <f t="shared" si="240"/>
        <v/>
      </c>
      <c r="AA141">
        <f t="shared" si="211"/>
        <v>43089.962500000001</v>
      </c>
      <c r="AB141">
        <f t="shared" si="157"/>
        <v>43110.037500000006</v>
      </c>
      <c r="AC141" t="e">
        <f t="shared" si="158"/>
        <v>#N/A</v>
      </c>
      <c r="AD141" t="e">
        <f t="shared" si="159"/>
        <v>#N/A</v>
      </c>
      <c r="AE141" t="e">
        <f t="shared" si="141"/>
        <v>#N/A</v>
      </c>
      <c r="AF141" t="e">
        <f t="shared" si="142"/>
        <v>#N/A</v>
      </c>
      <c r="AG141" t="e">
        <f t="shared" si="143"/>
        <v>#N/A</v>
      </c>
      <c r="AH141" t="e">
        <f t="shared" si="144"/>
        <v>#N/A</v>
      </c>
      <c r="AI141" t="e">
        <f t="shared" si="145"/>
        <v>#N/A</v>
      </c>
      <c r="AJ141" t="e">
        <f t="shared" si="146"/>
        <v>#N/A</v>
      </c>
      <c r="AK141" t="e">
        <f t="shared" si="147"/>
        <v>#N/A</v>
      </c>
      <c r="AL141" t="e">
        <f t="shared" si="148"/>
        <v>#N/A</v>
      </c>
      <c r="AM141" t="e">
        <f t="shared" si="149"/>
        <v>#N/A</v>
      </c>
      <c r="AN141" t="e">
        <f t="shared" si="150"/>
        <v>#N/A</v>
      </c>
      <c r="AO141" t="e">
        <f t="shared" si="151"/>
        <v>#N/A</v>
      </c>
      <c r="AP141" t="e">
        <f t="shared" si="152"/>
        <v>#N/A</v>
      </c>
      <c r="AQ141" t="e">
        <f t="shared" si="153"/>
        <v>#N/A</v>
      </c>
      <c r="AR141" t="e">
        <f t="shared" si="154"/>
        <v>#N/A</v>
      </c>
      <c r="AS141" t="e">
        <f t="shared" si="155"/>
        <v>#N/A</v>
      </c>
      <c r="AU141">
        <f t="shared" si="212"/>
        <v>3.5</v>
      </c>
      <c r="AV141">
        <f t="shared" si="213"/>
        <v>3.5</v>
      </c>
      <c r="AW141" t="str">
        <f t="shared" si="214"/>
        <v/>
      </c>
      <c r="AX141" t="str">
        <f t="shared" si="215"/>
        <v/>
      </c>
      <c r="AY141" t="str">
        <f t="shared" si="216"/>
        <v/>
      </c>
      <c r="AZ141" t="str">
        <f t="shared" si="217"/>
        <v/>
      </c>
      <c r="BA141" t="str">
        <f t="shared" si="218"/>
        <v/>
      </c>
      <c r="BB141" t="str">
        <f t="shared" si="219"/>
        <v/>
      </c>
      <c r="BC141" t="str">
        <f t="shared" si="220"/>
        <v/>
      </c>
      <c r="BD141" t="str">
        <f t="shared" si="221"/>
        <v/>
      </c>
      <c r="BE141" t="str">
        <f t="shared" si="222"/>
        <v/>
      </c>
      <c r="BF141" t="str">
        <f t="shared" si="223"/>
        <v/>
      </c>
      <c r="BG141" t="str">
        <f t="shared" si="224"/>
        <v/>
      </c>
      <c r="BH141" t="str">
        <f t="shared" si="225"/>
        <v/>
      </c>
      <c r="BI141" t="str">
        <f t="shared" si="226"/>
        <v/>
      </c>
      <c r="BJ141" t="str">
        <f t="shared" si="227"/>
        <v/>
      </c>
      <c r="BK141" t="str">
        <f t="shared" si="228"/>
        <v/>
      </c>
      <c r="BL141" t="str">
        <f t="shared" si="229"/>
        <v/>
      </c>
      <c r="BM141" t="str">
        <f t="shared" si="230"/>
        <v/>
      </c>
      <c r="BP141"/>
      <c r="BR141"/>
    </row>
    <row r="142" spans="1:70" x14ac:dyDescent="0.25">
      <c r="A142" s="1">
        <v>41535</v>
      </c>
      <c r="B142">
        <v>3.75</v>
      </c>
      <c r="C142" s="4">
        <v>43100</v>
      </c>
      <c r="D142">
        <v>1</v>
      </c>
      <c r="E142">
        <f t="shared" si="208"/>
        <v>0.22058823529411764</v>
      </c>
      <c r="F142" s="4"/>
      <c r="G142">
        <v>1</v>
      </c>
      <c r="H142" t="str">
        <f t="shared" ref="H142:Y142" si="241">IF($D142&gt;G142,G142+1,"")</f>
        <v/>
      </c>
      <c r="I142" t="str">
        <f t="shared" si="241"/>
        <v/>
      </c>
      <c r="J142" t="str">
        <f t="shared" si="241"/>
        <v/>
      </c>
      <c r="K142" t="str">
        <f t="shared" si="241"/>
        <v/>
      </c>
      <c r="L142" t="str">
        <f t="shared" si="241"/>
        <v/>
      </c>
      <c r="M142" t="str">
        <f t="shared" si="241"/>
        <v/>
      </c>
      <c r="N142" t="str">
        <f t="shared" si="241"/>
        <v/>
      </c>
      <c r="O142" t="str">
        <f t="shared" si="241"/>
        <v/>
      </c>
      <c r="P142" t="str">
        <f t="shared" si="241"/>
        <v/>
      </c>
      <c r="Q142" t="str">
        <f t="shared" si="241"/>
        <v/>
      </c>
      <c r="R142" t="str">
        <f t="shared" si="241"/>
        <v/>
      </c>
      <c r="S142" t="str">
        <f t="shared" si="241"/>
        <v/>
      </c>
      <c r="T142" t="str">
        <f t="shared" si="241"/>
        <v/>
      </c>
      <c r="U142" t="str">
        <f t="shared" si="241"/>
        <v/>
      </c>
      <c r="V142" t="str">
        <f t="shared" si="241"/>
        <v/>
      </c>
      <c r="W142" t="str">
        <f t="shared" si="241"/>
        <v/>
      </c>
      <c r="X142" t="str">
        <f t="shared" si="241"/>
        <v/>
      </c>
      <c r="Y142" t="str">
        <f t="shared" si="241"/>
        <v/>
      </c>
      <c r="AA142">
        <f t="shared" si="211"/>
        <v>43100</v>
      </c>
      <c r="AB142" t="e">
        <f t="shared" si="157"/>
        <v>#N/A</v>
      </c>
      <c r="AC142" t="e">
        <f t="shared" si="158"/>
        <v>#N/A</v>
      </c>
      <c r="AD142" t="e">
        <f t="shared" si="159"/>
        <v>#N/A</v>
      </c>
      <c r="AE142" t="e">
        <f t="shared" si="141"/>
        <v>#N/A</v>
      </c>
      <c r="AF142" t="e">
        <f t="shared" si="142"/>
        <v>#N/A</v>
      </c>
      <c r="AG142" t="e">
        <f t="shared" si="143"/>
        <v>#N/A</v>
      </c>
      <c r="AH142" t="e">
        <f t="shared" si="144"/>
        <v>#N/A</v>
      </c>
      <c r="AI142" t="e">
        <f t="shared" si="145"/>
        <v>#N/A</v>
      </c>
      <c r="AJ142" t="e">
        <f t="shared" si="146"/>
        <v>#N/A</v>
      </c>
      <c r="AK142" t="e">
        <f t="shared" si="147"/>
        <v>#N/A</v>
      </c>
      <c r="AL142" t="e">
        <f t="shared" si="148"/>
        <v>#N/A</v>
      </c>
      <c r="AM142" t="e">
        <f t="shared" si="149"/>
        <v>#N/A</v>
      </c>
      <c r="AN142" t="e">
        <f t="shared" si="150"/>
        <v>#N/A</v>
      </c>
      <c r="AO142" t="e">
        <f t="shared" si="151"/>
        <v>#N/A</v>
      </c>
      <c r="AP142" t="e">
        <f t="shared" si="152"/>
        <v>#N/A</v>
      </c>
      <c r="AQ142" t="e">
        <f t="shared" si="153"/>
        <v>#N/A</v>
      </c>
      <c r="AR142" t="e">
        <f t="shared" si="154"/>
        <v>#N/A</v>
      </c>
      <c r="AS142" t="e">
        <f t="shared" si="155"/>
        <v>#N/A</v>
      </c>
      <c r="AU142">
        <f t="shared" si="212"/>
        <v>3.75</v>
      </c>
      <c r="AV142" t="str">
        <f t="shared" si="213"/>
        <v/>
      </c>
      <c r="AW142" t="str">
        <f t="shared" si="214"/>
        <v/>
      </c>
      <c r="AX142" t="str">
        <f t="shared" si="215"/>
        <v/>
      </c>
      <c r="AY142" t="str">
        <f t="shared" si="216"/>
        <v/>
      </c>
      <c r="AZ142" t="str">
        <f t="shared" si="217"/>
        <v/>
      </c>
      <c r="BA142" t="str">
        <f t="shared" si="218"/>
        <v/>
      </c>
      <c r="BB142" t="str">
        <f t="shared" si="219"/>
        <v/>
      </c>
      <c r="BC142" t="str">
        <f t="shared" si="220"/>
        <v/>
      </c>
      <c r="BD142" t="str">
        <f t="shared" si="221"/>
        <v/>
      </c>
      <c r="BE142" t="str">
        <f t="shared" si="222"/>
        <v/>
      </c>
      <c r="BF142" t="str">
        <f t="shared" si="223"/>
        <v/>
      </c>
      <c r="BG142" t="str">
        <f t="shared" si="224"/>
        <v/>
      </c>
      <c r="BH142" t="str">
        <f t="shared" si="225"/>
        <v/>
      </c>
      <c r="BI142" t="str">
        <f t="shared" si="226"/>
        <v/>
      </c>
      <c r="BJ142" t="str">
        <f t="shared" si="227"/>
        <v/>
      </c>
      <c r="BK142" t="str">
        <f t="shared" si="228"/>
        <v/>
      </c>
      <c r="BL142" t="str">
        <f t="shared" si="229"/>
        <v/>
      </c>
      <c r="BM142" t="str">
        <f t="shared" si="230"/>
        <v/>
      </c>
      <c r="BP142"/>
      <c r="BR142"/>
    </row>
    <row r="143" spans="1:70" x14ac:dyDescent="0.25">
      <c r="A143" s="1">
        <v>41535</v>
      </c>
      <c r="B143">
        <v>4</v>
      </c>
      <c r="C143" s="4">
        <v>43100</v>
      </c>
      <c r="D143">
        <v>10</v>
      </c>
      <c r="E143">
        <f t="shared" si="208"/>
        <v>2.3529411764705883</v>
      </c>
      <c r="F143" s="4"/>
      <c r="G143">
        <v>1</v>
      </c>
      <c r="H143">
        <f t="shared" ref="H143:Y143" si="242">IF($D143&gt;G143,G143+1,"")</f>
        <v>2</v>
      </c>
      <c r="I143">
        <f t="shared" si="242"/>
        <v>3</v>
      </c>
      <c r="J143">
        <f t="shared" si="242"/>
        <v>4</v>
      </c>
      <c r="K143">
        <f t="shared" si="242"/>
        <v>5</v>
      </c>
      <c r="L143">
        <f t="shared" si="242"/>
        <v>6</v>
      </c>
      <c r="M143">
        <f t="shared" si="242"/>
        <v>7</v>
      </c>
      <c r="N143">
        <f t="shared" si="242"/>
        <v>8</v>
      </c>
      <c r="O143">
        <f t="shared" si="242"/>
        <v>9</v>
      </c>
      <c r="P143">
        <f t="shared" si="242"/>
        <v>10</v>
      </c>
      <c r="Q143" t="str">
        <f t="shared" si="242"/>
        <v/>
      </c>
      <c r="R143" t="str">
        <f t="shared" si="242"/>
        <v/>
      </c>
      <c r="S143" t="str">
        <f t="shared" si="242"/>
        <v/>
      </c>
      <c r="T143" t="str">
        <f t="shared" si="242"/>
        <v/>
      </c>
      <c r="U143" t="str">
        <f t="shared" si="242"/>
        <v/>
      </c>
      <c r="V143" t="str">
        <f t="shared" si="242"/>
        <v/>
      </c>
      <c r="W143" t="str">
        <f t="shared" si="242"/>
        <v/>
      </c>
      <c r="X143" t="str">
        <f t="shared" si="242"/>
        <v/>
      </c>
      <c r="Y143" t="str">
        <f t="shared" si="242"/>
        <v/>
      </c>
      <c r="AA143">
        <f t="shared" si="211"/>
        <v>43009.662499999999</v>
      </c>
      <c r="AB143">
        <f t="shared" si="157"/>
        <v>43029.737500000003</v>
      </c>
      <c r="AC143">
        <f t="shared" si="158"/>
        <v>43049.8125</v>
      </c>
      <c r="AD143">
        <f t="shared" si="159"/>
        <v>43069.887500000004</v>
      </c>
      <c r="AE143">
        <f t="shared" si="141"/>
        <v>43089.962500000001</v>
      </c>
      <c r="AF143">
        <f t="shared" si="142"/>
        <v>43110.037499999999</v>
      </c>
      <c r="AG143">
        <f t="shared" si="143"/>
        <v>43130.112500000003</v>
      </c>
      <c r="AH143">
        <f t="shared" si="144"/>
        <v>43150.1875</v>
      </c>
      <c r="AI143">
        <f t="shared" si="145"/>
        <v>43170.262500000004</v>
      </c>
      <c r="AJ143">
        <f t="shared" si="146"/>
        <v>43190.337500000001</v>
      </c>
      <c r="AK143" t="e">
        <f t="shared" si="147"/>
        <v>#N/A</v>
      </c>
      <c r="AL143" t="e">
        <f t="shared" si="148"/>
        <v>#N/A</v>
      </c>
      <c r="AM143" t="e">
        <f t="shared" si="149"/>
        <v>#N/A</v>
      </c>
      <c r="AN143" t="e">
        <f t="shared" si="150"/>
        <v>#N/A</v>
      </c>
      <c r="AO143" t="e">
        <f t="shared" si="151"/>
        <v>#N/A</v>
      </c>
      <c r="AP143" t="e">
        <f t="shared" si="152"/>
        <v>#N/A</v>
      </c>
      <c r="AQ143" t="e">
        <f t="shared" si="153"/>
        <v>#N/A</v>
      </c>
      <c r="AR143" t="e">
        <f t="shared" si="154"/>
        <v>#N/A</v>
      </c>
      <c r="AS143" t="e">
        <f t="shared" si="155"/>
        <v>#N/A</v>
      </c>
      <c r="AU143">
        <f t="shared" si="212"/>
        <v>4</v>
      </c>
      <c r="AV143">
        <f t="shared" si="213"/>
        <v>4</v>
      </c>
      <c r="AW143">
        <f t="shared" si="214"/>
        <v>4</v>
      </c>
      <c r="AX143">
        <f t="shared" si="215"/>
        <v>4</v>
      </c>
      <c r="AY143">
        <f t="shared" si="216"/>
        <v>4</v>
      </c>
      <c r="AZ143">
        <f t="shared" si="217"/>
        <v>4</v>
      </c>
      <c r="BA143">
        <f t="shared" si="218"/>
        <v>4</v>
      </c>
      <c r="BB143">
        <f t="shared" si="219"/>
        <v>4</v>
      </c>
      <c r="BC143">
        <f t="shared" si="220"/>
        <v>4</v>
      </c>
      <c r="BD143">
        <f t="shared" si="221"/>
        <v>4</v>
      </c>
      <c r="BE143" t="str">
        <f t="shared" si="222"/>
        <v/>
      </c>
      <c r="BF143" t="str">
        <f t="shared" si="223"/>
        <v/>
      </c>
      <c r="BG143" t="str">
        <f t="shared" si="224"/>
        <v/>
      </c>
      <c r="BH143" t="str">
        <f t="shared" si="225"/>
        <v/>
      </c>
      <c r="BI143" t="str">
        <f t="shared" si="226"/>
        <v/>
      </c>
      <c r="BJ143" t="str">
        <f t="shared" si="227"/>
        <v/>
      </c>
      <c r="BK143" t="str">
        <f t="shared" si="228"/>
        <v/>
      </c>
      <c r="BL143" t="str">
        <f t="shared" si="229"/>
        <v/>
      </c>
      <c r="BM143" t="str">
        <f t="shared" si="230"/>
        <v/>
      </c>
      <c r="BP143"/>
      <c r="BR143"/>
    </row>
    <row r="144" spans="1:70" x14ac:dyDescent="0.25">
      <c r="A144" s="1">
        <v>41535</v>
      </c>
      <c r="B144">
        <v>4.25</v>
      </c>
      <c r="C144" s="4">
        <v>43100</v>
      </c>
      <c r="D144">
        <v>3</v>
      </c>
      <c r="E144">
        <f t="shared" si="208"/>
        <v>0.75</v>
      </c>
      <c r="F144" s="4"/>
      <c r="G144">
        <v>1</v>
      </c>
      <c r="H144">
        <f t="shared" ref="H144:Y144" si="243">IF($D144&gt;G144,G144+1,"")</f>
        <v>2</v>
      </c>
      <c r="I144">
        <f t="shared" si="243"/>
        <v>3</v>
      </c>
      <c r="J144" t="str">
        <f t="shared" si="243"/>
        <v/>
      </c>
      <c r="K144" t="str">
        <f t="shared" si="243"/>
        <v/>
      </c>
      <c r="L144" t="str">
        <f t="shared" si="243"/>
        <v/>
      </c>
      <c r="M144" t="str">
        <f t="shared" si="243"/>
        <v/>
      </c>
      <c r="N144" t="str">
        <f t="shared" si="243"/>
        <v/>
      </c>
      <c r="O144" t="str">
        <f t="shared" si="243"/>
        <v/>
      </c>
      <c r="P144" t="str">
        <f t="shared" si="243"/>
        <v/>
      </c>
      <c r="Q144" t="str">
        <f t="shared" si="243"/>
        <v/>
      </c>
      <c r="R144" t="str">
        <f t="shared" si="243"/>
        <v/>
      </c>
      <c r="S144" t="str">
        <f t="shared" si="243"/>
        <v/>
      </c>
      <c r="T144" t="str">
        <f t="shared" si="243"/>
        <v/>
      </c>
      <c r="U144" t="str">
        <f t="shared" si="243"/>
        <v/>
      </c>
      <c r="V144" t="str">
        <f t="shared" si="243"/>
        <v/>
      </c>
      <c r="W144" t="str">
        <f t="shared" si="243"/>
        <v/>
      </c>
      <c r="X144" t="str">
        <f t="shared" si="243"/>
        <v/>
      </c>
      <c r="Y144" t="str">
        <f t="shared" si="243"/>
        <v/>
      </c>
      <c r="AA144">
        <f t="shared" si="211"/>
        <v>43079.924999999996</v>
      </c>
      <c r="AB144">
        <f t="shared" si="157"/>
        <v>43100</v>
      </c>
      <c r="AC144">
        <f t="shared" si="158"/>
        <v>43120.074999999997</v>
      </c>
      <c r="AD144" t="e">
        <f t="shared" si="159"/>
        <v>#N/A</v>
      </c>
      <c r="AE144" t="e">
        <f t="shared" ref="AE144:AE207" si="244">IF(K144="",NA(),$C144-$Z$1*$D144/2+K144*$Z$1-$Z$1/2)</f>
        <v>#N/A</v>
      </c>
      <c r="AF144" t="e">
        <f t="shared" ref="AF144:AF207" si="245">IF(L144="",NA(),$C144-$Z$1*$D144/2+L144*$Z$1-$Z$1/2)</f>
        <v>#N/A</v>
      </c>
      <c r="AG144" t="e">
        <f t="shared" ref="AG144:AG207" si="246">IF(M144="",NA(),$C144-$Z$1*$D144/2+M144*$Z$1-$Z$1/2)</f>
        <v>#N/A</v>
      </c>
      <c r="AH144" t="e">
        <f t="shared" ref="AH144:AH207" si="247">IF(N144="",NA(),$C144-$Z$1*$D144/2+N144*$Z$1-$Z$1/2)</f>
        <v>#N/A</v>
      </c>
      <c r="AI144" t="e">
        <f t="shared" ref="AI144:AI207" si="248">IF(O144="",NA(),$C144-$Z$1*$D144/2+O144*$Z$1-$Z$1/2)</f>
        <v>#N/A</v>
      </c>
      <c r="AJ144" t="e">
        <f t="shared" ref="AJ144:AJ207" si="249">IF(P144="",NA(),$C144-$Z$1*$D144/2+P144*$Z$1-$Z$1/2)</f>
        <v>#N/A</v>
      </c>
      <c r="AK144" t="e">
        <f t="shared" ref="AK144:AK207" si="250">IF(Q144="",NA(),$C144-$Z$1*$D144/2+Q144*$Z$1-$Z$1/2)</f>
        <v>#N/A</v>
      </c>
      <c r="AL144" t="e">
        <f t="shared" ref="AL144:AL207" si="251">IF(R144="",NA(),$C144-$Z$1*$D144/2+R144*$Z$1-$Z$1/2)</f>
        <v>#N/A</v>
      </c>
      <c r="AM144" t="e">
        <f t="shared" ref="AM144:AM207" si="252">IF(S144="",NA(),$C144-$Z$1*$D144/2+S144*$Z$1-$Z$1/2)</f>
        <v>#N/A</v>
      </c>
      <c r="AN144" t="e">
        <f t="shared" ref="AN144:AN207" si="253">IF(T144="",NA(),$C144-$Z$1*$D144/2+T144*$Z$1-$Z$1/2)</f>
        <v>#N/A</v>
      </c>
      <c r="AO144" t="e">
        <f t="shared" ref="AO144:AO207" si="254">IF(U144="",NA(),$C144-$Z$1*$D144/2+U144*$Z$1-$Z$1/2)</f>
        <v>#N/A</v>
      </c>
      <c r="AP144" t="e">
        <f t="shared" ref="AP144:AP207" si="255">IF(V144="",NA(),$C144-$Z$1*$D144/2+V144*$Z$1-$Z$1/2)</f>
        <v>#N/A</v>
      </c>
      <c r="AQ144" t="e">
        <f t="shared" ref="AQ144:AQ207" si="256">IF(W144="",NA(),$C144-$Z$1*$D144/2+W144*$Z$1-$Z$1/2)</f>
        <v>#N/A</v>
      </c>
      <c r="AR144" t="e">
        <f t="shared" ref="AR144:AR207" si="257">IF(X144="",NA(),$C144-$Z$1*$D144/2+X144*$Z$1-$Z$1/2)</f>
        <v>#N/A</v>
      </c>
      <c r="AS144" t="e">
        <f t="shared" ref="AS144:AS207" si="258">IF(Y144="",NA(),$C144-$Z$1*$D144/2+Y144*$Z$1-$Z$1/2)</f>
        <v>#N/A</v>
      </c>
      <c r="AU144">
        <f t="shared" si="212"/>
        <v>4.25</v>
      </c>
      <c r="AV144">
        <f t="shared" si="213"/>
        <v>4.25</v>
      </c>
      <c r="AW144">
        <f t="shared" si="214"/>
        <v>4.25</v>
      </c>
      <c r="AX144" t="str">
        <f t="shared" si="215"/>
        <v/>
      </c>
      <c r="AY144" t="str">
        <f t="shared" si="216"/>
        <v/>
      </c>
      <c r="AZ144" t="str">
        <f t="shared" si="217"/>
        <v/>
      </c>
      <c r="BA144" t="str">
        <f t="shared" si="218"/>
        <v/>
      </c>
      <c r="BB144" t="str">
        <f t="shared" si="219"/>
        <v/>
      </c>
      <c r="BC144" t="str">
        <f t="shared" si="220"/>
        <v/>
      </c>
      <c r="BD144" t="str">
        <f t="shared" si="221"/>
        <v/>
      </c>
      <c r="BE144" t="str">
        <f t="shared" si="222"/>
        <v/>
      </c>
      <c r="BF144" t="str">
        <f t="shared" si="223"/>
        <v/>
      </c>
      <c r="BG144" t="str">
        <f t="shared" si="224"/>
        <v/>
      </c>
      <c r="BH144" t="str">
        <f t="shared" si="225"/>
        <v/>
      </c>
      <c r="BI144" t="str">
        <f t="shared" si="226"/>
        <v/>
      </c>
      <c r="BJ144" t="str">
        <f t="shared" si="227"/>
        <v/>
      </c>
      <c r="BK144" t="str">
        <f t="shared" si="228"/>
        <v/>
      </c>
      <c r="BL144" t="str">
        <f t="shared" si="229"/>
        <v/>
      </c>
      <c r="BM144" t="str">
        <f t="shared" si="230"/>
        <v/>
      </c>
      <c r="BP144"/>
      <c r="BR144"/>
    </row>
    <row r="145" spans="1:70" x14ac:dyDescent="0.25">
      <c r="A145" s="1">
        <v>41626</v>
      </c>
      <c r="B145">
        <v>0.25</v>
      </c>
      <c r="C145" s="4">
        <v>41639</v>
      </c>
      <c r="D145">
        <v>17</v>
      </c>
      <c r="E145">
        <f t="shared" si="208"/>
        <v>0.25</v>
      </c>
      <c r="F145" s="4"/>
      <c r="G145">
        <v>1</v>
      </c>
      <c r="H145">
        <f t="shared" ref="H145:Y145" si="259">IF($D145&gt;G145,G145+1,"")</f>
        <v>2</v>
      </c>
      <c r="I145">
        <f t="shared" si="259"/>
        <v>3</v>
      </c>
      <c r="J145">
        <f t="shared" si="259"/>
        <v>4</v>
      </c>
      <c r="K145">
        <f t="shared" si="259"/>
        <v>5</v>
      </c>
      <c r="L145">
        <f t="shared" si="259"/>
        <v>6</v>
      </c>
      <c r="M145">
        <f t="shared" si="259"/>
        <v>7</v>
      </c>
      <c r="N145">
        <f t="shared" si="259"/>
        <v>8</v>
      </c>
      <c r="O145">
        <f t="shared" si="259"/>
        <v>9</v>
      </c>
      <c r="P145">
        <f t="shared" si="259"/>
        <v>10</v>
      </c>
      <c r="Q145">
        <f t="shared" si="259"/>
        <v>11</v>
      </c>
      <c r="R145">
        <f t="shared" si="259"/>
        <v>12</v>
      </c>
      <c r="S145">
        <f t="shared" si="259"/>
        <v>13</v>
      </c>
      <c r="T145">
        <f t="shared" si="259"/>
        <v>14</v>
      </c>
      <c r="U145">
        <f t="shared" si="259"/>
        <v>15</v>
      </c>
      <c r="V145">
        <f t="shared" si="259"/>
        <v>16</v>
      </c>
      <c r="W145">
        <f t="shared" si="259"/>
        <v>17</v>
      </c>
      <c r="X145" t="str">
        <f t="shared" si="259"/>
        <v/>
      </c>
      <c r="Y145" t="str">
        <f t="shared" si="259"/>
        <v/>
      </c>
      <c r="AA145">
        <f t="shared" si="211"/>
        <v>41478.400000000001</v>
      </c>
      <c r="AB145">
        <f t="shared" ref="AB145:AB208" si="260">IF(H145="",NA(),$C145-$Z$1*$D145/2+H145*$Z$1-$Z$1/2)</f>
        <v>41498.475000000006</v>
      </c>
      <c r="AC145">
        <f t="shared" ref="AC145:AC208" si="261">IF(I145="",NA(),$C145-$Z$1*$D145/2+I145*$Z$1-$Z$1/2)</f>
        <v>41518.550000000003</v>
      </c>
      <c r="AD145">
        <f t="shared" ref="AD145:AD208" si="262">IF(J145="",NA(),$C145-$Z$1*$D145/2+J145*$Z$1-$Z$1/2)</f>
        <v>41538.625000000007</v>
      </c>
      <c r="AE145">
        <f t="shared" si="244"/>
        <v>41558.700000000004</v>
      </c>
      <c r="AF145">
        <f t="shared" si="245"/>
        <v>41578.775000000001</v>
      </c>
      <c r="AG145">
        <f t="shared" si="246"/>
        <v>41598.850000000006</v>
      </c>
      <c r="AH145">
        <f t="shared" si="247"/>
        <v>41618.925000000003</v>
      </c>
      <c r="AI145">
        <f t="shared" si="248"/>
        <v>41639.000000000007</v>
      </c>
      <c r="AJ145">
        <f t="shared" si="249"/>
        <v>41659.075000000004</v>
      </c>
      <c r="AK145">
        <f t="shared" si="250"/>
        <v>41679.15</v>
      </c>
      <c r="AL145">
        <f t="shared" si="251"/>
        <v>41699.225000000006</v>
      </c>
      <c r="AM145">
        <f t="shared" si="252"/>
        <v>41719.300000000003</v>
      </c>
      <c r="AN145">
        <f t="shared" si="253"/>
        <v>41739.375000000007</v>
      </c>
      <c r="AO145">
        <f t="shared" si="254"/>
        <v>41759.450000000004</v>
      </c>
      <c r="AP145">
        <f t="shared" si="255"/>
        <v>41779.525000000001</v>
      </c>
      <c r="AQ145">
        <f t="shared" si="256"/>
        <v>41799.600000000006</v>
      </c>
      <c r="AR145" t="e">
        <f t="shared" si="257"/>
        <v>#N/A</v>
      </c>
      <c r="AS145" t="e">
        <f t="shared" si="258"/>
        <v>#N/A</v>
      </c>
      <c r="AU145">
        <f t="shared" si="212"/>
        <v>0.25</v>
      </c>
      <c r="AV145">
        <f t="shared" si="213"/>
        <v>0.25</v>
      </c>
      <c r="AW145">
        <f t="shared" si="214"/>
        <v>0.25</v>
      </c>
      <c r="AX145">
        <f t="shared" si="215"/>
        <v>0.25</v>
      </c>
      <c r="AY145">
        <f t="shared" si="216"/>
        <v>0.25</v>
      </c>
      <c r="AZ145">
        <f t="shared" si="217"/>
        <v>0.25</v>
      </c>
      <c r="BA145">
        <f t="shared" si="218"/>
        <v>0.25</v>
      </c>
      <c r="BB145">
        <f t="shared" si="219"/>
        <v>0.25</v>
      </c>
      <c r="BC145">
        <f t="shared" si="220"/>
        <v>0.25</v>
      </c>
      <c r="BD145">
        <f t="shared" si="221"/>
        <v>0.25</v>
      </c>
      <c r="BE145">
        <f t="shared" si="222"/>
        <v>0.25</v>
      </c>
      <c r="BF145">
        <f t="shared" si="223"/>
        <v>0.25</v>
      </c>
      <c r="BG145">
        <f t="shared" si="224"/>
        <v>0.25</v>
      </c>
      <c r="BH145">
        <f t="shared" si="225"/>
        <v>0.25</v>
      </c>
      <c r="BI145">
        <f t="shared" si="226"/>
        <v>0.25</v>
      </c>
      <c r="BJ145">
        <f t="shared" si="227"/>
        <v>0.25</v>
      </c>
      <c r="BK145">
        <f t="shared" si="228"/>
        <v>0.25</v>
      </c>
      <c r="BL145" t="str">
        <f t="shared" si="229"/>
        <v/>
      </c>
      <c r="BM145" t="str">
        <f t="shared" si="230"/>
        <v/>
      </c>
      <c r="BP145"/>
      <c r="BR145"/>
    </row>
    <row r="146" spans="1:70" x14ac:dyDescent="0.25">
      <c r="A146" s="1">
        <v>41626</v>
      </c>
      <c r="B146">
        <v>0.25</v>
      </c>
      <c r="C146" s="4">
        <v>42004</v>
      </c>
      <c r="D146">
        <v>15</v>
      </c>
      <c r="E146">
        <f t="shared" si="208"/>
        <v>0.22058823529411764</v>
      </c>
      <c r="F146" s="4"/>
      <c r="G146">
        <v>1</v>
      </c>
      <c r="H146">
        <f t="shared" ref="H146:Y146" si="263">IF($D146&gt;G146,G146+1,"")</f>
        <v>2</v>
      </c>
      <c r="I146">
        <f t="shared" si="263"/>
        <v>3</v>
      </c>
      <c r="J146">
        <f t="shared" si="263"/>
        <v>4</v>
      </c>
      <c r="K146">
        <f t="shared" si="263"/>
        <v>5</v>
      </c>
      <c r="L146">
        <f t="shared" si="263"/>
        <v>6</v>
      </c>
      <c r="M146">
        <f t="shared" si="263"/>
        <v>7</v>
      </c>
      <c r="N146">
        <f t="shared" si="263"/>
        <v>8</v>
      </c>
      <c r="O146">
        <f t="shared" si="263"/>
        <v>9</v>
      </c>
      <c r="P146">
        <f t="shared" si="263"/>
        <v>10</v>
      </c>
      <c r="Q146">
        <f t="shared" si="263"/>
        <v>11</v>
      </c>
      <c r="R146">
        <f t="shared" si="263"/>
        <v>12</v>
      </c>
      <c r="S146">
        <f t="shared" si="263"/>
        <v>13</v>
      </c>
      <c r="T146">
        <f t="shared" si="263"/>
        <v>14</v>
      </c>
      <c r="U146">
        <f t="shared" si="263"/>
        <v>15</v>
      </c>
      <c r="V146" t="str">
        <f t="shared" si="263"/>
        <v/>
      </c>
      <c r="W146" t="str">
        <f t="shared" si="263"/>
        <v/>
      </c>
      <c r="X146" t="str">
        <f t="shared" si="263"/>
        <v/>
      </c>
      <c r="Y146" t="str">
        <f t="shared" si="263"/>
        <v/>
      </c>
      <c r="AA146">
        <f t="shared" si="211"/>
        <v>41863.474999999999</v>
      </c>
      <c r="AB146">
        <f t="shared" si="260"/>
        <v>41883.550000000003</v>
      </c>
      <c r="AC146">
        <f t="shared" si="261"/>
        <v>41903.625</v>
      </c>
      <c r="AD146">
        <f t="shared" si="262"/>
        <v>41923.700000000004</v>
      </c>
      <c r="AE146">
        <f t="shared" si="244"/>
        <v>41943.775000000001</v>
      </c>
      <c r="AF146">
        <f t="shared" si="245"/>
        <v>41963.85</v>
      </c>
      <c r="AG146">
        <f t="shared" si="246"/>
        <v>41983.925000000003</v>
      </c>
      <c r="AH146">
        <f t="shared" si="247"/>
        <v>42004</v>
      </c>
      <c r="AI146">
        <f t="shared" si="248"/>
        <v>42024.075000000004</v>
      </c>
      <c r="AJ146">
        <f t="shared" si="249"/>
        <v>42044.15</v>
      </c>
      <c r="AK146">
        <f t="shared" si="250"/>
        <v>42064.224999999999</v>
      </c>
      <c r="AL146">
        <f t="shared" si="251"/>
        <v>42084.3</v>
      </c>
      <c r="AM146">
        <f t="shared" si="252"/>
        <v>42104.375</v>
      </c>
      <c r="AN146">
        <f t="shared" si="253"/>
        <v>42124.450000000004</v>
      </c>
      <c r="AO146">
        <f t="shared" si="254"/>
        <v>42144.525000000001</v>
      </c>
      <c r="AP146" t="e">
        <f t="shared" si="255"/>
        <v>#N/A</v>
      </c>
      <c r="AQ146" t="e">
        <f t="shared" si="256"/>
        <v>#N/A</v>
      </c>
      <c r="AR146" t="e">
        <f t="shared" si="257"/>
        <v>#N/A</v>
      </c>
      <c r="AS146" t="e">
        <f t="shared" si="258"/>
        <v>#N/A</v>
      </c>
      <c r="AU146">
        <f t="shared" si="212"/>
        <v>0.25</v>
      </c>
      <c r="AV146">
        <f t="shared" si="213"/>
        <v>0.25</v>
      </c>
      <c r="AW146">
        <f t="shared" si="214"/>
        <v>0.25</v>
      </c>
      <c r="AX146">
        <f t="shared" si="215"/>
        <v>0.25</v>
      </c>
      <c r="AY146">
        <f t="shared" si="216"/>
        <v>0.25</v>
      </c>
      <c r="AZ146">
        <f t="shared" si="217"/>
        <v>0.25</v>
      </c>
      <c r="BA146">
        <f t="shared" si="218"/>
        <v>0.25</v>
      </c>
      <c r="BB146">
        <f t="shared" si="219"/>
        <v>0.25</v>
      </c>
      <c r="BC146">
        <f t="shared" si="220"/>
        <v>0.25</v>
      </c>
      <c r="BD146">
        <f t="shared" si="221"/>
        <v>0.25</v>
      </c>
      <c r="BE146">
        <f t="shared" si="222"/>
        <v>0.25</v>
      </c>
      <c r="BF146">
        <f t="shared" si="223"/>
        <v>0.25</v>
      </c>
      <c r="BG146">
        <f t="shared" si="224"/>
        <v>0.25</v>
      </c>
      <c r="BH146">
        <f t="shared" si="225"/>
        <v>0.25</v>
      </c>
      <c r="BI146">
        <f t="shared" si="226"/>
        <v>0.25</v>
      </c>
      <c r="BJ146" t="str">
        <f t="shared" si="227"/>
        <v/>
      </c>
      <c r="BK146" t="str">
        <f t="shared" si="228"/>
        <v/>
      </c>
      <c r="BL146" t="str">
        <f t="shared" si="229"/>
        <v/>
      </c>
      <c r="BM146" t="str">
        <f t="shared" si="230"/>
        <v/>
      </c>
      <c r="BP146"/>
      <c r="BR146"/>
    </row>
    <row r="147" spans="1:70" x14ac:dyDescent="0.25">
      <c r="A147" s="1">
        <v>41626</v>
      </c>
      <c r="B147">
        <v>0.75</v>
      </c>
      <c r="C147" s="4">
        <v>42004</v>
      </c>
      <c r="D147">
        <v>1</v>
      </c>
      <c r="E147">
        <f t="shared" si="208"/>
        <v>4.4117647058823525E-2</v>
      </c>
      <c r="F147" s="4"/>
      <c r="G147">
        <v>1</v>
      </c>
      <c r="H147" t="str">
        <f t="shared" ref="H147:Y147" si="264">IF($D147&gt;G147,G147+1,"")</f>
        <v/>
      </c>
      <c r="I147" t="str">
        <f t="shared" si="264"/>
        <v/>
      </c>
      <c r="J147" t="str">
        <f t="shared" si="264"/>
        <v/>
      </c>
      <c r="K147" t="str">
        <f t="shared" si="264"/>
        <v/>
      </c>
      <c r="L147" t="str">
        <f t="shared" si="264"/>
        <v/>
      </c>
      <c r="M147" t="str">
        <f t="shared" si="264"/>
        <v/>
      </c>
      <c r="N147" t="str">
        <f t="shared" si="264"/>
        <v/>
      </c>
      <c r="O147" t="str">
        <f t="shared" si="264"/>
        <v/>
      </c>
      <c r="P147" t="str">
        <f t="shared" si="264"/>
        <v/>
      </c>
      <c r="Q147" t="str">
        <f t="shared" si="264"/>
        <v/>
      </c>
      <c r="R147" t="str">
        <f t="shared" si="264"/>
        <v/>
      </c>
      <c r="S147" t="str">
        <f t="shared" si="264"/>
        <v/>
      </c>
      <c r="T147" t="str">
        <f t="shared" si="264"/>
        <v/>
      </c>
      <c r="U147" t="str">
        <f t="shared" si="264"/>
        <v/>
      </c>
      <c r="V147" t="str">
        <f t="shared" si="264"/>
        <v/>
      </c>
      <c r="W147" t="str">
        <f t="shared" si="264"/>
        <v/>
      </c>
      <c r="X147" t="str">
        <f t="shared" si="264"/>
        <v/>
      </c>
      <c r="Y147" t="str">
        <f t="shared" si="264"/>
        <v/>
      </c>
      <c r="AA147">
        <f t="shared" si="211"/>
        <v>42004</v>
      </c>
      <c r="AB147" t="e">
        <f t="shared" si="260"/>
        <v>#N/A</v>
      </c>
      <c r="AC147" t="e">
        <f t="shared" si="261"/>
        <v>#N/A</v>
      </c>
      <c r="AD147" t="e">
        <f t="shared" si="262"/>
        <v>#N/A</v>
      </c>
      <c r="AE147" t="e">
        <f t="shared" si="244"/>
        <v>#N/A</v>
      </c>
      <c r="AF147" t="e">
        <f t="shared" si="245"/>
        <v>#N/A</v>
      </c>
      <c r="AG147" t="e">
        <f t="shared" si="246"/>
        <v>#N/A</v>
      </c>
      <c r="AH147" t="e">
        <f t="shared" si="247"/>
        <v>#N/A</v>
      </c>
      <c r="AI147" t="e">
        <f t="shared" si="248"/>
        <v>#N/A</v>
      </c>
      <c r="AJ147" t="e">
        <f t="shared" si="249"/>
        <v>#N/A</v>
      </c>
      <c r="AK147" t="e">
        <f t="shared" si="250"/>
        <v>#N/A</v>
      </c>
      <c r="AL147" t="e">
        <f t="shared" si="251"/>
        <v>#N/A</v>
      </c>
      <c r="AM147" t="e">
        <f t="shared" si="252"/>
        <v>#N/A</v>
      </c>
      <c r="AN147" t="e">
        <f t="shared" si="253"/>
        <v>#N/A</v>
      </c>
      <c r="AO147" t="e">
        <f t="shared" si="254"/>
        <v>#N/A</v>
      </c>
      <c r="AP147" t="e">
        <f t="shared" si="255"/>
        <v>#N/A</v>
      </c>
      <c r="AQ147" t="e">
        <f t="shared" si="256"/>
        <v>#N/A</v>
      </c>
      <c r="AR147" t="e">
        <f t="shared" si="257"/>
        <v>#N/A</v>
      </c>
      <c r="AS147" t="e">
        <f t="shared" si="258"/>
        <v>#N/A</v>
      </c>
      <c r="AU147">
        <f t="shared" si="212"/>
        <v>0.75</v>
      </c>
      <c r="AV147" t="str">
        <f t="shared" si="213"/>
        <v/>
      </c>
      <c r="AW147" t="str">
        <f t="shared" si="214"/>
        <v/>
      </c>
      <c r="AX147" t="str">
        <f t="shared" si="215"/>
        <v/>
      </c>
      <c r="AY147" t="str">
        <f t="shared" si="216"/>
        <v/>
      </c>
      <c r="AZ147" t="str">
        <f t="shared" si="217"/>
        <v/>
      </c>
      <c r="BA147" t="str">
        <f t="shared" si="218"/>
        <v/>
      </c>
      <c r="BB147" t="str">
        <f t="shared" si="219"/>
        <v/>
      </c>
      <c r="BC147" t="str">
        <f t="shared" si="220"/>
        <v/>
      </c>
      <c r="BD147" t="str">
        <f t="shared" si="221"/>
        <v/>
      </c>
      <c r="BE147" t="str">
        <f t="shared" si="222"/>
        <v/>
      </c>
      <c r="BF147" t="str">
        <f t="shared" si="223"/>
        <v/>
      </c>
      <c r="BG147" t="str">
        <f t="shared" si="224"/>
        <v/>
      </c>
      <c r="BH147" t="str">
        <f t="shared" si="225"/>
        <v/>
      </c>
      <c r="BI147" t="str">
        <f t="shared" si="226"/>
        <v/>
      </c>
      <c r="BJ147" t="str">
        <f t="shared" si="227"/>
        <v/>
      </c>
      <c r="BK147" t="str">
        <f t="shared" si="228"/>
        <v/>
      </c>
      <c r="BL147" t="str">
        <f t="shared" si="229"/>
        <v/>
      </c>
      <c r="BM147" t="str">
        <f t="shared" si="230"/>
        <v/>
      </c>
      <c r="BP147"/>
      <c r="BR147"/>
    </row>
    <row r="148" spans="1:70" x14ac:dyDescent="0.25">
      <c r="A148" s="1">
        <v>41626</v>
      </c>
      <c r="B148">
        <v>1.25</v>
      </c>
      <c r="C148" s="4">
        <v>42004</v>
      </c>
      <c r="D148">
        <v>1</v>
      </c>
      <c r="E148">
        <f t="shared" si="208"/>
        <v>7.3529411764705885E-2</v>
      </c>
      <c r="F148" s="4"/>
      <c r="G148">
        <v>1</v>
      </c>
      <c r="H148" t="str">
        <f t="shared" ref="H148:Y148" si="265">IF($D148&gt;G148,G148+1,"")</f>
        <v/>
      </c>
      <c r="I148" t="str">
        <f t="shared" si="265"/>
        <v/>
      </c>
      <c r="J148" t="str">
        <f t="shared" si="265"/>
        <v/>
      </c>
      <c r="K148" t="str">
        <f t="shared" si="265"/>
        <v/>
      </c>
      <c r="L148" t="str">
        <f t="shared" si="265"/>
        <v/>
      </c>
      <c r="M148" t="str">
        <f t="shared" si="265"/>
        <v/>
      </c>
      <c r="N148" t="str">
        <f t="shared" si="265"/>
        <v/>
      </c>
      <c r="O148" t="str">
        <f t="shared" si="265"/>
        <v/>
      </c>
      <c r="P148" t="str">
        <f t="shared" si="265"/>
        <v/>
      </c>
      <c r="Q148" t="str">
        <f t="shared" si="265"/>
        <v/>
      </c>
      <c r="R148" t="str">
        <f t="shared" si="265"/>
        <v/>
      </c>
      <c r="S148" t="str">
        <f t="shared" si="265"/>
        <v/>
      </c>
      <c r="T148" t="str">
        <f t="shared" si="265"/>
        <v/>
      </c>
      <c r="U148" t="str">
        <f t="shared" si="265"/>
        <v/>
      </c>
      <c r="V148" t="str">
        <f t="shared" si="265"/>
        <v/>
      </c>
      <c r="W148" t="str">
        <f t="shared" si="265"/>
        <v/>
      </c>
      <c r="X148" t="str">
        <f t="shared" si="265"/>
        <v/>
      </c>
      <c r="Y148" t="str">
        <f t="shared" si="265"/>
        <v/>
      </c>
      <c r="AA148">
        <f t="shared" si="211"/>
        <v>42004</v>
      </c>
      <c r="AB148" t="e">
        <f t="shared" si="260"/>
        <v>#N/A</v>
      </c>
      <c r="AC148" t="e">
        <f t="shared" si="261"/>
        <v>#N/A</v>
      </c>
      <c r="AD148" t="e">
        <f t="shared" si="262"/>
        <v>#N/A</v>
      </c>
      <c r="AE148" t="e">
        <f t="shared" si="244"/>
        <v>#N/A</v>
      </c>
      <c r="AF148" t="e">
        <f t="shared" si="245"/>
        <v>#N/A</v>
      </c>
      <c r="AG148" t="e">
        <f t="shared" si="246"/>
        <v>#N/A</v>
      </c>
      <c r="AH148" t="e">
        <f t="shared" si="247"/>
        <v>#N/A</v>
      </c>
      <c r="AI148" t="e">
        <f t="shared" si="248"/>
        <v>#N/A</v>
      </c>
      <c r="AJ148" t="e">
        <f t="shared" si="249"/>
        <v>#N/A</v>
      </c>
      <c r="AK148" t="e">
        <f t="shared" si="250"/>
        <v>#N/A</v>
      </c>
      <c r="AL148" t="e">
        <f t="shared" si="251"/>
        <v>#N/A</v>
      </c>
      <c r="AM148" t="e">
        <f t="shared" si="252"/>
        <v>#N/A</v>
      </c>
      <c r="AN148" t="e">
        <f t="shared" si="253"/>
        <v>#N/A</v>
      </c>
      <c r="AO148" t="e">
        <f t="shared" si="254"/>
        <v>#N/A</v>
      </c>
      <c r="AP148" t="e">
        <f t="shared" si="255"/>
        <v>#N/A</v>
      </c>
      <c r="AQ148" t="e">
        <f t="shared" si="256"/>
        <v>#N/A</v>
      </c>
      <c r="AR148" t="e">
        <f t="shared" si="257"/>
        <v>#N/A</v>
      </c>
      <c r="AS148" t="e">
        <f t="shared" si="258"/>
        <v>#N/A</v>
      </c>
      <c r="AU148">
        <f t="shared" si="212"/>
        <v>1.25</v>
      </c>
      <c r="AV148" t="str">
        <f t="shared" si="213"/>
        <v/>
      </c>
      <c r="AW148" t="str">
        <f t="shared" si="214"/>
        <v/>
      </c>
      <c r="AX148" t="str">
        <f t="shared" si="215"/>
        <v/>
      </c>
      <c r="AY148" t="str">
        <f t="shared" si="216"/>
        <v/>
      </c>
      <c r="AZ148" t="str">
        <f t="shared" si="217"/>
        <v/>
      </c>
      <c r="BA148" t="str">
        <f t="shared" si="218"/>
        <v/>
      </c>
      <c r="BB148" t="str">
        <f t="shared" si="219"/>
        <v/>
      </c>
      <c r="BC148" t="str">
        <f t="shared" si="220"/>
        <v/>
      </c>
      <c r="BD148" t="str">
        <f t="shared" si="221"/>
        <v/>
      </c>
      <c r="BE148" t="str">
        <f t="shared" si="222"/>
        <v/>
      </c>
      <c r="BF148" t="str">
        <f t="shared" si="223"/>
        <v/>
      </c>
      <c r="BG148" t="str">
        <f t="shared" si="224"/>
        <v/>
      </c>
      <c r="BH148" t="str">
        <f t="shared" si="225"/>
        <v/>
      </c>
      <c r="BI148" t="str">
        <f t="shared" si="226"/>
        <v/>
      </c>
      <c r="BJ148" t="str">
        <f t="shared" si="227"/>
        <v/>
      </c>
      <c r="BK148" t="str">
        <f t="shared" si="228"/>
        <v/>
      </c>
      <c r="BL148" t="str">
        <f t="shared" si="229"/>
        <v/>
      </c>
      <c r="BM148" t="str">
        <f t="shared" si="230"/>
        <v/>
      </c>
      <c r="BP148"/>
      <c r="BR148"/>
    </row>
    <row r="149" spans="1:70" x14ac:dyDescent="0.25">
      <c r="A149" s="1">
        <v>41626</v>
      </c>
      <c r="B149">
        <v>0.25</v>
      </c>
      <c r="C149" s="4">
        <v>42369</v>
      </c>
      <c r="D149">
        <v>3</v>
      </c>
      <c r="E149">
        <f t="shared" si="208"/>
        <v>4.4117647058823532E-2</v>
      </c>
      <c r="F149" s="4"/>
      <c r="G149">
        <v>1</v>
      </c>
      <c r="H149">
        <f t="shared" ref="H149:Y149" si="266">IF($D149&gt;G149,G149+1,"")</f>
        <v>2</v>
      </c>
      <c r="I149">
        <f t="shared" si="266"/>
        <v>3</v>
      </c>
      <c r="J149" t="str">
        <f t="shared" si="266"/>
        <v/>
      </c>
      <c r="K149" t="str">
        <f t="shared" si="266"/>
        <v/>
      </c>
      <c r="L149" t="str">
        <f t="shared" si="266"/>
        <v/>
      </c>
      <c r="M149" t="str">
        <f t="shared" si="266"/>
        <v/>
      </c>
      <c r="N149" t="str">
        <f t="shared" si="266"/>
        <v/>
      </c>
      <c r="O149" t="str">
        <f t="shared" si="266"/>
        <v/>
      </c>
      <c r="P149" t="str">
        <f t="shared" si="266"/>
        <v/>
      </c>
      <c r="Q149" t="str">
        <f t="shared" si="266"/>
        <v/>
      </c>
      <c r="R149" t="str">
        <f t="shared" si="266"/>
        <v/>
      </c>
      <c r="S149" t="str">
        <f t="shared" si="266"/>
        <v/>
      </c>
      <c r="T149" t="str">
        <f t="shared" si="266"/>
        <v/>
      </c>
      <c r="U149" t="str">
        <f t="shared" si="266"/>
        <v/>
      </c>
      <c r="V149" t="str">
        <f t="shared" si="266"/>
        <v/>
      </c>
      <c r="W149" t="str">
        <f t="shared" si="266"/>
        <v/>
      </c>
      <c r="X149" t="str">
        <f t="shared" si="266"/>
        <v/>
      </c>
      <c r="Y149" t="str">
        <f t="shared" si="266"/>
        <v/>
      </c>
      <c r="AA149">
        <f t="shared" si="211"/>
        <v>42348.924999999996</v>
      </c>
      <c r="AB149">
        <f t="shared" si="260"/>
        <v>42369</v>
      </c>
      <c r="AC149">
        <f t="shared" si="261"/>
        <v>42389.074999999997</v>
      </c>
      <c r="AD149" t="e">
        <f t="shared" si="262"/>
        <v>#N/A</v>
      </c>
      <c r="AE149" t="e">
        <f t="shared" si="244"/>
        <v>#N/A</v>
      </c>
      <c r="AF149" t="e">
        <f t="shared" si="245"/>
        <v>#N/A</v>
      </c>
      <c r="AG149" t="e">
        <f t="shared" si="246"/>
        <v>#N/A</v>
      </c>
      <c r="AH149" t="e">
        <f t="shared" si="247"/>
        <v>#N/A</v>
      </c>
      <c r="AI149" t="e">
        <f t="shared" si="248"/>
        <v>#N/A</v>
      </c>
      <c r="AJ149" t="e">
        <f t="shared" si="249"/>
        <v>#N/A</v>
      </c>
      <c r="AK149" t="e">
        <f t="shared" si="250"/>
        <v>#N/A</v>
      </c>
      <c r="AL149" t="e">
        <f t="shared" si="251"/>
        <v>#N/A</v>
      </c>
      <c r="AM149" t="e">
        <f t="shared" si="252"/>
        <v>#N/A</v>
      </c>
      <c r="AN149" t="e">
        <f t="shared" si="253"/>
        <v>#N/A</v>
      </c>
      <c r="AO149" t="e">
        <f t="shared" si="254"/>
        <v>#N/A</v>
      </c>
      <c r="AP149" t="e">
        <f t="shared" si="255"/>
        <v>#N/A</v>
      </c>
      <c r="AQ149" t="e">
        <f t="shared" si="256"/>
        <v>#N/A</v>
      </c>
      <c r="AR149" t="e">
        <f t="shared" si="257"/>
        <v>#N/A</v>
      </c>
      <c r="AS149" t="e">
        <f t="shared" si="258"/>
        <v>#N/A</v>
      </c>
      <c r="AU149">
        <f t="shared" si="212"/>
        <v>0.25</v>
      </c>
      <c r="AV149">
        <f t="shared" si="213"/>
        <v>0.25</v>
      </c>
      <c r="AW149">
        <f t="shared" si="214"/>
        <v>0.25</v>
      </c>
      <c r="AX149" t="str">
        <f t="shared" si="215"/>
        <v/>
      </c>
      <c r="AY149" t="str">
        <f t="shared" si="216"/>
        <v/>
      </c>
      <c r="AZ149" t="str">
        <f t="shared" si="217"/>
        <v/>
      </c>
      <c r="BA149" t="str">
        <f t="shared" si="218"/>
        <v/>
      </c>
      <c r="BB149" t="str">
        <f t="shared" si="219"/>
        <v/>
      </c>
      <c r="BC149" t="str">
        <f t="shared" si="220"/>
        <v/>
      </c>
      <c r="BD149" t="str">
        <f t="shared" si="221"/>
        <v/>
      </c>
      <c r="BE149" t="str">
        <f t="shared" si="222"/>
        <v/>
      </c>
      <c r="BF149" t="str">
        <f t="shared" si="223"/>
        <v/>
      </c>
      <c r="BG149" t="str">
        <f t="shared" si="224"/>
        <v/>
      </c>
      <c r="BH149" t="str">
        <f t="shared" si="225"/>
        <v/>
      </c>
      <c r="BI149" t="str">
        <f t="shared" si="226"/>
        <v/>
      </c>
      <c r="BJ149" t="str">
        <f t="shared" si="227"/>
        <v/>
      </c>
      <c r="BK149" t="str">
        <f t="shared" si="228"/>
        <v/>
      </c>
      <c r="BL149" t="str">
        <f t="shared" si="229"/>
        <v/>
      </c>
      <c r="BM149" t="str">
        <f t="shared" si="230"/>
        <v/>
      </c>
      <c r="BP149"/>
      <c r="BR149"/>
    </row>
    <row r="150" spans="1:70" x14ac:dyDescent="0.25">
      <c r="A150" s="1">
        <v>41626</v>
      </c>
      <c r="B150">
        <v>0.5</v>
      </c>
      <c r="C150" s="4">
        <v>42369</v>
      </c>
      <c r="D150">
        <v>3</v>
      </c>
      <c r="E150">
        <f t="shared" si="208"/>
        <v>8.8235294117647065E-2</v>
      </c>
      <c r="F150" s="4"/>
      <c r="G150">
        <v>1</v>
      </c>
      <c r="H150">
        <f t="shared" ref="H150:Y150" si="267">IF($D150&gt;G150,G150+1,"")</f>
        <v>2</v>
      </c>
      <c r="I150">
        <f t="shared" si="267"/>
        <v>3</v>
      </c>
      <c r="J150" t="str">
        <f t="shared" si="267"/>
        <v/>
      </c>
      <c r="K150" t="str">
        <f t="shared" si="267"/>
        <v/>
      </c>
      <c r="L150" t="str">
        <f t="shared" si="267"/>
        <v/>
      </c>
      <c r="M150" t="str">
        <f t="shared" si="267"/>
        <v/>
      </c>
      <c r="N150" t="str">
        <f t="shared" si="267"/>
        <v/>
      </c>
      <c r="O150" t="str">
        <f t="shared" si="267"/>
        <v/>
      </c>
      <c r="P150" t="str">
        <f t="shared" si="267"/>
        <v/>
      </c>
      <c r="Q150" t="str">
        <f t="shared" si="267"/>
        <v/>
      </c>
      <c r="R150" t="str">
        <f t="shared" si="267"/>
        <v/>
      </c>
      <c r="S150" t="str">
        <f t="shared" si="267"/>
        <v/>
      </c>
      <c r="T150" t="str">
        <f t="shared" si="267"/>
        <v/>
      </c>
      <c r="U150" t="str">
        <f t="shared" si="267"/>
        <v/>
      </c>
      <c r="V150" t="str">
        <f t="shared" si="267"/>
        <v/>
      </c>
      <c r="W150" t="str">
        <f t="shared" si="267"/>
        <v/>
      </c>
      <c r="X150" t="str">
        <f t="shared" si="267"/>
        <v/>
      </c>
      <c r="Y150" t="str">
        <f t="shared" si="267"/>
        <v/>
      </c>
      <c r="AA150">
        <f t="shared" si="211"/>
        <v>42348.924999999996</v>
      </c>
      <c r="AB150">
        <f t="shared" si="260"/>
        <v>42369</v>
      </c>
      <c r="AC150">
        <f t="shared" si="261"/>
        <v>42389.074999999997</v>
      </c>
      <c r="AD150" t="e">
        <f t="shared" si="262"/>
        <v>#N/A</v>
      </c>
      <c r="AE150" t="e">
        <f t="shared" si="244"/>
        <v>#N/A</v>
      </c>
      <c r="AF150" t="e">
        <f t="shared" si="245"/>
        <v>#N/A</v>
      </c>
      <c r="AG150" t="e">
        <f t="shared" si="246"/>
        <v>#N/A</v>
      </c>
      <c r="AH150" t="e">
        <f t="shared" si="247"/>
        <v>#N/A</v>
      </c>
      <c r="AI150" t="e">
        <f t="shared" si="248"/>
        <v>#N/A</v>
      </c>
      <c r="AJ150" t="e">
        <f t="shared" si="249"/>
        <v>#N/A</v>
      </c>
      <c r="AK150" t="e">
        <f t="shared" si="250"/>
        <v>#N/A</v>
      </c>
      <c r="AL150" t="e">
        <f t="shared" si="251"/>
        <v>#N/A</v>
      </c>
      <c r="AM150" t="e">
        <f t="shared" si="252"/>
        <v>#N/A</v>
      </c>
      <c r="AN150" t="e">
        <f t="shared" si="253"/>
        <v>#N/A</v>
      </c>
      <c r="AO150" t="e">
        <f t="shared" si="254"/>
        <v>#N/A</v>
      </c>
      <c r="AP150" t="e">
        <f t="shared" si="255"/>
        <v>#N/A</v>
      </c>
      <c r="AQ150" t="e">
        <f t="shared" si="256"/>
        <v>#N/A</v>
      </c>
      <c r="AR150" t="e">
        <f t="shared" si="257"/>
        <v>#N/A</v>
      </c>
      <c r="AS150" t="e">
        <f t="shared" si="258"/>
        <v>#N/A</v>
      </c>
      <c r="AU150">
        <f t="shared" si="212"/>
        <v>0.5</v>
      </c>
      <c r="AV150">
        <f t="shared" si="213"/>
        <v>0.5</v>
      </c>
      <c r="AW150">
        <f t="shared" si="214"/>
        <v>0.5</v>
      </c>
      <c r="AX150" t="str">
        <f t="shared" si="215"/>
        <v/>
      </c>
      <c r="AY150" t="str">
        <f t="shared" si="216"/>
        <v/>
      </c>
      <c r="AZ150" t="str">
        <f t="shared" si="217"/>
        <v/>
      </c>
      <c r="BA150" t="str">
        <f t="shared" si="218"/>
        <v/>
      </c>
      <c r="BB150" t="str">
        <f t="shared" si="219"/>
        <v/>
      </c>
      <c r="BC150" t="str">
        <f t="shared" si="220"/>
        <v/>
      </c>
      <c r="BD150" t="str">
        <f t="shared" si="221"/>
        <v/>
      </c>
      <c r="BE150" t="str">
        <f t="shared" si="222"/>
        <v/>
      </c>
      <c r="BF150" t="str">
        <f t="shared" si="223"/>
        <v/>
      </c>
      <c r="BG150" t="str">
        <f t="shared" si="224"/>
        <v/>
      </c>
      <c r="BH150" t="str">
        <f t="shared" si="225"/>
        <v/>
      </c>
      <c r="BI150" t="str">
        <f t="shared" si="226"/>
        <v/>
      </c>
      <c r="BJ150" t="str">
        <f t="shared" si="227"/>
        <v/>
      </c>
      <c r="BK150" t="str">
        <f t="shared" si="228"/>
        <v/>
      </c>
      <c r="BL150" t="str">
        <f t="shared" si="229"/>
        <v/>
      </c>
      <c r="BM150" t="str">
        <f t="shared" si="230"/>
        <v/>
      </c>
      <c r="BP150"/>
      <c r="BR150"/>
    </row>
    <row r="151" spans="1:70" x14ac:dyDescent="0.25">
      <c r="A151" s="1">
        <v>41626</v>
      </c>
      <c r="B151">
        <v>0.75</v>
      </c>
      <c r="C151" s="4">
        <v>42369</v>
      </c>
      <c r="D151">
        <v>4</v>
      </c>
      <c r="E151">
        <f t="shared" si="208"/>
        <v>0.1764705882352941</v>
      </c>
      <c r="F151" s="4"/>
      <c r="G151">
        <v>1</v>
      </c>
      <c r="H151">
        <f t="shared" ref="H151:Y151" si="268">IF($D151&gt;G151,G151+1,"")</f>
        <v>2</v>
      </c>
      <c r="I151">
        <f t="shared" si="268"/>
        <v>3</v>
      </c>
      <c r="J151">
        <f t="shared" si="268"/>
        <v>4</v>
      </c>
      <c r="K151" t="str">
        <f t="shared" si="268"/>
        <v/>
      </c>
      <c r="L151" t="str">
        <f t="shared" si="268"/>
        <v/>
      </c>
      <c r="M151" t="str">
        <f t="shared" si="268"/>
        <v/>
      </c>
      <c r="N151" t="str">
        <f t="shared" si="268"/>
        <v/>
      </c>
      <c r="O151" t="str">
        <f t="shared" si="268"/>
        <v/>
      </c>
      <c r="P151" t="str">
        <f t="shared" si="268"/>
        <v/>
      </c>
      <c r="Q151" t="str">
        <f t="shared" si="268"/>
        <v/>
      </c>
      <c r="R151" t="str">
        <f t="shared" si="268"/>
        <v/>
      </c>
      <c r="S151" t="str">
        <f t="shared" si="268"/>
        <v/>
      </c>
      <c r="T151" t="str">
        <f t="shared" si="268"/>
        <v/>
      </c>
      <c r="U151" t="str">
        <f t="shared" si="268"/>
        <v/>
      </c>
      <c r="V151" t="str">
        <f t="shared" si="268"/>
        <v/>
      </c>
      <c r="W151" t="str">
        <f t="shared" si="268"/>
        <v/>
      </c>
      <c r="X151" t="str">
        <f t="shared" si="268"/>
        <v/>
      </c>
      <c r="Y151" t="str">
        <f t="shared" si="268"/>
        <v/>
      </c>
      <c r="AA151">
        <f t="shared" si="211"/>
        <v>42338.887499999997</v>
      </c>
      <c r="AB151">
        <f t="shared" si="260"/>
        <v>42358.962500000001</v>
      </c>
      <c r="AC151">
        <f t="shared" si="261"/>
        <v>42379.037499999999</v>
      </c>
      <c r="AD151">
        <f t="shared" si="262"/>
        <v>42399.112500000003</v>
      </c>
      <c r="AE151" t="e">
        <f t="shared" si="244"/>
        <v>#N/A</v>
      </c>
      <c r="AF151" t="e">
        <f t="shared" si="245"/>
        <v>#N/A</v>
      </c>
      <c r="AG151" t="e">
        <f t="shared" si="246"/>
        <v>#N/A</v>
      </c>
      <c r="AH151" t="e">
        <f t="shared" si="247"/>
        <v>#N/A</v>
      </c>
      <c r="AI151" t="e">
        <f t="shared" si="248"/>
        <v>#N/A</v>
      </c>
      <c r="AJ151" t="e">
        <f t="shared" si="249"/>
        <v>#N/A</v>
      </c>
      <c r="AK151" t="e">
        <f t="shared" si="250"/>
        <v>#N/A</v>
      </c>
      <c r="AL151" t="e">
        <f t="shared" si="251"/>
        <v>#N/A</v>
      </c>
      <c r="AM151" t="e">
        <f t="shared" si="252"/>
        <v>#N/A</v>
      </c>
      <c r="AN151" t="e">
        <f t="shared" si="253"/>
        <v>#N/A</v>
      </c>
      <c r="AO151" t="e">
        <f t="shared" si="254"/>
        <v>#N/A</v>
      </c>
      <c r="AP151" t="e">
        <f t="shared" si="255"/>
        <v>#N/A</v>
      </c>
      <c r="AQ151" t="e">
        <f t="shared" si="256"/>
        <v>#N/A</v>
      </c>
      <c r="AR151" t="e">
        <f t="shared" si="257"/>
        <v>#N/A</v>
      </c>
      <c r="AS151" t="e">
        <f t="shared" si="258"/>
        <v>#N/A</v>
      </c>
      <c r="AU151">
        <f t="shared" si="212"/>
        <v>0.75</v>
      </c>
      <c r="AV151">
        <f t="shared" si="213"/>
        <v>0.75</v>
      </c>
      <c r="AW151">
        <f t="shared" si="214"/>
        <v>0.75</v>
      </c>
      <c r="AX151">
        <f t="shared" si="215"/>
        <v>0.75</v>
      </c>
      <c r="AY151" t="str">
        <f t="shared" si="216"/>
        <v/>
      </c>
      <c r="AZ151" t="str">
        <f t="shared" si="217"/>
        <v/>
      </c>
      <c r="BA151" t="str">
        <f t="shared" si="218"/>
        <v/>
      </c>
      <c r="BB151" t="str">
        <f t="shared" si="219"/>
        <v/>
      </c>
      <c r="BC151" t="str">
        <f t="shared" si="220"/>
        <v/>
      </c>
      <c r="BD151" t="str">
        <f t="shared" si="221"/>
        <v/>
      </c>
      <c r="BE151" t="str">
        <f t="shared" si="222"/>
        <v/>
      </c>
      <c r="BF151" t="str">
        <f t="shared" si="223"/>
        <v/>
      </c>
      <c r="BG151" t="str">
        <f t="shared" si="224"/>
        <v/>
      </c>
      <c r="BH151" t="str">
        <f t="shared" si="225"/>
        <v/>
      </c>
      <c r="BI151" t="str">
        <f t="shared" si="226"/>
        <v/>
      </c>
      <c r="BJ151" t="str">
        <f t="shared" si="227"/>
        <v/>
      </c>
      <c r="BK151" t="str">
        <f t="shared" si="228"/>
        <v/>
      </c>
      <c r="BL151" t="str">
        <f t="shared" si="229"/>
        <v/>
      </c>
      <c r="BM151" t="str">
        <f t="shared" si="230"/>
        <v/>
      </c>
      <c r="BP151"/>
      <c r="BR151"/>
    </row>
    <row r="152" spans="1:70" x14ac:dyDescent="0.25">
      <c r="A152" s="1">
        <v>41626</v>
      </c>
      <c r="B152">
        <v>1</v>
      </c>
      <c r="C152" s="4">
        <v>42369</v>
      </c>
      <c r="D152">
        <v>2</v>
      </c>
      <c r="E152">
        <f t="shared" si="208"/>
        <v>0.11764705882352941</v>
      </c>
      <c r="F152" s="4"/>
      <c r="G152">
        <v>1</v>
      </c>
      <c r="H152">
        <f t="shared" ref="H152:Y152" si="269">IF($D152&gt;G152,G152+1,"")</f>
        <v>2</v>
      </c>
      <c r="I152" t="str">
        <f t="shared" si="269"/>
        <v/>
      </c>
      <c r="J152" t="str">
        <f t="shared" si="269"/>
        <v/>
      </c>
      <c r="K152" t="str">
        <f t="shared" si="269"/>
        <v/>
      </c>
      <c r="L152" t="str">
        <f t="shared" si="269"/>
        <v/>
      </c>
      <c r="M152" t="str">
        <f t="shared" si="269"/>
        <v/>
      </c>
      <c r="N152" t="str">
        <f t="shared" si="269"/>
        <v/>
      </c>
      <c r="O152" t="str">
        <f t="shared" si="269"/>
        <v/>
      </c>
      <c r="P152" t="str">
        <f t="shared" si="269"/>
        <v/>
      </c>
      <c r="Q152" t="str">
        <f t="shared" si="269"/>
        <v/>
      </c>
      <c r="R152" t="str">
        <f t="shared" si="269"/>
        <v/>
      </c>
      <c r="S152" t="str">
        <f t="shared" si="269"/>
        <v/>
      </c>
      <c r="T152" t="str">
        <f t="shared" si="269"/>
        <v/>
      </c>
      <c r="U152" t="str">
        <f t="shared" si="269"/>
        <v/>
      </c>
      <c r="V152" t="str">
        <f t="shared" si="269"/>
        <v/>
      </c>
      <c r="W152" t="str">
        <f t="shared" si="269"/>
        <v/>
      </c>
      <c r="X152" t="str">
        <f t="shared" si="269"/>
        <v/>
      </c>
      <c r="Y152" t="str">
        <f t="shared" si="269"/>
        <v/>
      </c>
      <c r="AA152">
        <f t="shared" si="211"/>
        <v>42358.962500000001</v>
      </c>
      <c r="AB152">
        <f t="shared" si="260"/>
        <v>42379.037500000006</v>
      </c>
      <c r="AC152" t="e">
        <f t="shared" si="261"/>
        <v>#N/A</v>
      </c>
      <c r="AD152" t="e">
        <f t="shared" si="262"/>
        <v>#N/A</v>
      </c>
      <c r="AE152" t="e">
        <f t="shared" si="244"/>
        <v>#N/A</v>
      </c>
      <c r="AF152" t="e">
        <f t="shared" si="245"/>
        <v>#N/A</v>
      </c>
      <c r="AG152" t="e">
        <f t="shared" si="246"/>
        <v>#N/A</v>
      </c>
      <c r="AH152" t="e">
        <f t="shared" si="247"/>
        <v>#N/A</v>
      </c>
      <c r="AI152" t="e">
        <f t="shared" si="248"/>
        <v>#N/A</v>
      </c>
      <c r="AJ152" t="e">
        <f t="shared" si="249"/>
        <v>#N/A</v>
      </c>
      <c r="AK152" t="e">
        <f t="shared" si="250"/>
        <v>#N/A</v>
      </c>
      <c r="AL152" t="e">
        <f t="shared" si="251"/>
        <v>#N/A</v>
      </c>
      <c r="AM152" t="e">
        <f t="shared" si="252"/>
        <v>#N/A</v>
      </c>
      <c r="AN152" t="e">
        <f t="shared" si="253"/>
        <v>#N/A</v>
      </c>
      <c r="AO152" t="e">
        <f t="shared" si="254"/>
        <v>#N/A</v>
      </c>
      <c r="AP152" t="e">
        <f t="shared" si="255"/>
        <v>#N/A</v>
      </c>
      <c r="AQ152" t="e">
        <f t="shared" si="256"/>
        <v>#N/A</v>
      </c>
      <c r="AR152" t="e">
        <f t="shared" si="257"/>
        <v>#N/A</v>
      </c>
      <c r="AS152" t="e">
        <f t="shared" si="258"/>
        <v>#N/A</v>
      </c>
      <c r="AU152">
        <f t="shared" si="212"/>
        <v>1</v>
      </c>
      <c r="AV152">
        <f t="shared" si="213"/>
        <v>1</v>
      </c>
      <c r="AW152" t="str">
        <f t="shared" si="214"/>
        <v/>
      </c>
      <c r="AX152" t="str">
        <f t="shared" si="215"/>
        <v/>
      </c>
      <c r="AY152" t="str">
        <f t="shared" si="216"/>
        <v/>
      </c>
      <c r="AZ152" t="str">
        <f t="shared" si="217"/>
        <v/>
      </c>
      <c r="BA152" t="str">
        <f t="shared" si="218"/>
        <v/>
      </c>
      <c r="BB152" t="str">
        <f t="shared" si="219"/>
        <v/>
      </c>
      <c r="BC152" t="str">
        <f t="shared" si="220"/>
        <v/>
      </c>
      <c r="BD152" t="str">
        <f t="shared" si="221"/>
        <v/>
      </c>
      <c r="BE152" t="str">
        <f t="shared" si="222"/>
        <v/>
      </c>
      <c r="BF152" t="str">
        <f t="shared" si="223"/>
        <v/>
      </c>
      <c r="BG152" t="str">
        <f t="shared" si="224"/>
        <v/>
      </c>
      <c r="BH152" t="str">
        <f t="shared" si="225"/>
        <v/>
      </c>
      <c r="BI152" t="str">
        <f t="shared" si="226"/>
        <v/>
      </c>
      <c r="BJ152" t="str">
        <f t="shared" si="227"/>
        <v/>
      </c>
      <c r="BK152" t="str">
        <f t="shared" si="228"/>
        <v/>
      </c>
      <c r="BL152" t="str">
        <f t="shared" si="229"/>
        <v/>
      </c>
      <c r="BM152" t="str">
        <f t="shared" si="230"/>
        <v/>
      </c>
      <c r="BP152"/>
      <c r="BR152"/>
    </row>
    <row r="153" spans="1:70" x14ac:dyDescent="0.25">
      <c r="A153" s="1">
        <v>41626</v>
      </c>
      <c r="B153">
        <v>1.25</v>
      </c>
      <c r="C153" s="4">
        <v>42369</v>
      </c>
      <c r="D153">
        <v>1</v>
      </c>
      <c r="E153">
        <f t="shared" si="208"/>
        <v>7.3529411764705885E-2</v>
      </c>
      <c r="F153" s="4"/>
      <c r="G153">
        <v>1</v>
      </c>
      <c r="H153" t="str">
        <f t="shared" ref="H153:Y153" si="270">IF($D153&gt;G153,G153+1,"")</f>
        <v/>
      </c>
      <c r="I153" t="str">
        <f t="shared" si="270"/>
        <v/>
      </c>
      <c r="J153" t="str">
        <f t="shared" si="270"/>
        <v/>
      </c>
      <c r="K153" t="str">
        <f t="shared" si="270"/>
        <v/>
      </c>
      <c r="L153" t="str">
        <f t="shared" si="270"/>
        <v/>
      </c>
      <c r="M153" t="str">
        <f t="shared" si="270"/>
        <v/>
      </c>
      <c r="N153" t="str">
        <f t="shared" si="270"/>
        <v/>
      </c>
      <c r="O153" t="str">
        <f t="shared" si="270"/>
        <v/>
      </c>
      <c r="P153" t="str">
        <f t="shared" si="270"/>
        <v/>
      </c>
      <c r="Q153" t="str">
        <f t="shared" si="270"/>
        <v/>
      </c>
      <c r="R153" t="str">
        <f t="shared" si="270"/>
        <v/>
      </c>
      <c r="S153" t="str">
        <f t="shared" si="270"/>
        <v/>
      </c>
      <c r="T153" t="str">
        <f t="shared" si="270"/>
        <v/>
      </c>
      <c r="U153" t="str">
        <f t="shared" si="270"/>
        <v/>
      </c>
      <c r="V153" t="str">
        <f t="shared" si="270"/>
        <v/>
      </c>
      <c r="W153" t="str">
        <f t="shared" si="270"/>
        <v/>
      </c>
      <c r="X153" t="str">
        <f t="shared" si="270"/>
        <v/>
      </c>
      <c r="Y153" t="str">
        <f t="shared" si="270"/>
        <v/>
      </c>
      <c r="AA153">
        <f t="shared" si="211"/>
        <v>42369</v>
      </c>
      <c r="AB153" t="e">
        <f t="shared" si="260"/>
        <v>#N/A</v>
      </c>
      <c r="AC153" t="e">
        <f t="shared" si="261"/>
        <v>#N/A</v>
      </c>
      <c r="AD153" t="e">
        <f t="shared" si="262"/>
        <v>#N/A</v>
      </c>
      <c r="AE153" t="e">
        <f t="shared" si="244"/>
        <v>#N/A</v>
      </c>
      <c r="AF153" t="e">
        <f t="shared" si="245"/>
        <v>#N/A</v>
      </c>
      <c r="AG153" t="e">
        <f t="shared" si="246"/>
        <v>#N/A</v>
      </c>
      <c r="AH153" t="e">
        <f t="shared" si="247"/>
        <v>#N/A</v>
      </c>
      <c r="AI153" t="e">
        <f t="shared" si="248"/>
        <v>#N/A</v>
      </c>
      <c r="AJ153" t="e">
        <f t="shared" si="249"/>
        <v>#N/A</v>
      </c>
      <c r="AK153" t="e">
        <f t="shared" si="250"/>
        <v>#N/A</v>
      </c>
      <c r="AL153" t="e">
        <f t="shared" si="251"/>
        <v>#N/A</v>
      </c>
      <c r="AM153" t="e">
        <f t="shared" si="252"/>
        <v>#N/A</v>
      </c>
      <c r="AN153" t="e">
        <f t="shared" si="253"/>
        <v>#N/A</v>
      </c>
      <c r="AO153" t="e">
        <f t="shared" si="254"/>
        <v>#N/A</v>
      </c>
      <c r="AP153" t="e">
        <f t="shared" si="255"/>
        <v>#N/A</v>
      </c>
      <c r="AQ153" t="e">
        <f t="shared" si="256"/>
        <v>#N/A</v>
      </c>
      <c r="AR153" t="e">
        <f t="shared" si="257"/>
        <v>#N/A</v>
      </c>
      <c r="AS153" t="e">
        <f t="shared" si="258"/>
        <v>#N/A</v>
      </c>
      <c r="AU153">
        <f t="shared" si="212"/>
        <v>1.25</v>
      </c>
      <c r="AV153" t="str">
        <f t="shared" si="213"/>
        <v/>
      </c>
      <c r="AW153" t="str">
        <f t="shared" si="214"/>
        <v/>
      </c>
      <c r="AX153" t="str">
        <f t="shared" si="215"/>
        <v/>
      </c>
      <c r="AY153" t="str">
        <f t="shared" si="216"/>
        <v/>
      </c>
      <c r="AZ153" t="str">
        <f t="shared" si="217"/>
        <v/>
      </c>
      <c r="BA153" t="str">
        <f t="shared" si="218"/>
        <v/>
      </c>
      <c r="BB153" t="str">
        <f t="shared" si="219"/>
        <v/>
      </c>
      <c r="BC153" t="str">
        <f t="shared" si="220"/>
        <v/>
      </c>
      <c r="BD153" t="str">
        <f t="shared" si="221"/>
        <v/>
      </c>
      <c r="BE153" t="str">
        <f t="shared" si="222"/>
        <v/>
      </c>
      <c r="BF153" t="str">
        <f t="shared" si="223"/>
        <v/>
      </c>
      <c r="BG153" t="str">
        <f t="shared" si="224"/>
        <v/>
      </c>
      <c r="BH153" t="str">
        <f t="shared" si="225"/>
        <v/>
      </c>
      <c r="BI153" t="str">
        <f t="shared" si="226"/>
        <v/>
      </c>
      <c r="BJ153" t="str">
        <f t="shared" si="227"/>
        <v/>
      </c>
      <c r="BK153" t="str">
        <f t="shared" si="228"/>
        <v/>
      </c>
      <c r="BL153" t="str">
        <f t="shared" si="229"/>
        <v/>
      </c>
      <c r="BM153" t="str">
        <f t="shared" si="230"/>
        <v/>
      </c>
      <c r="BP153"/>
      <c r="BR153"/>
    </row>
    <row r="154" spans="1:70" x14ac:dyDescent="0.25">
      <c r="A154" s="1">
        <v>41626</v>
      </c>
      <c r="B154">
        <v>1.5</v>
      </c>
      <c r="C154" s="4">
        <v>42369</v>
      </c>
      <c r="D154">
        <v>1</v>
      </c>
      <c r="E154">
        <f t="shared" si="208"/>
        <v>8.8235294117647051E-2</v>
      </c>
      <c r="F154" s="4"/>
      <c r="G154">
        <v>1</v>
      </c>
      <c r="H154" t="str">
        <f t="shared" ref="H154:Y154" si="271">IF($D154&gt;G154,G154+1,"")</f>
        <v/>
      </c>
      <c r="I154" t="str">
        <f t="shared" si="271"/>
        <v/>
      </c>
      <c r="J154" t="str">
        <f t="shared" si="271"/>
        <v/>
      </c>
      <c r="K154" t="str">
        <f t="shared" si="271"/>
        <v/>
      </c>
      <c r="L154" t="str">
        <f t="shared" si="271"/>
        <v/>
      </c>
      <c r="M154" t="str">
        <f t="shared" si="271"/>
        <v/>
      </c>
      <c r="N154" t="str">
        <f t="shared" si="271"/>
        <v/>
      </c>
      <c r="O154" t="str">
        <f t="shared" si="271"/>
        <v/>
      </c>
      <c r="P154" t="str">
        <f t="shared" si="271"/>
        <v/>
      </c>
      <c r="Q154" t="str">
        <f t="shared" si="271"/>
        <v/>
      </c>
      <c r="R154" t="str">
        <f t="shared" si="271"/>
        <v/>
      </c>
      <c r="S154" t="str">
        <f t="shared" si="271"/>
        <v/>
      </c>
      <c r="T154" t="str">
        <f t="shared" si="271"/>
        <v/>
      </c>
      <c r="U154" t="str">
        <f t="shared" si="271"/>
        <v/>
      </c>
      <c r="V154" t="str">
        <f t="shared" si="271"/>
        <v/>
      </c>
      <c r="W154" t="str">
        <f t="shared" si="271"/>
        <v/>
      </c>
      <c r="X154" t="str">
        <f t="shared" si="271"/>
        <v/>
      </c>
      <c r="Y154" t="str">
        <f t="shared" si="271"/>
        <v/>
      </c>
      <c r="AA154">
        <f t="shared" si="211"/>
        <v>42369</v>
      </c>
      <c r="AB154" t="e">
        <f t="shared" si="260"/>
        <v>#N/A</v>
      </c>
      <c r="AC154" t="e">
        <f t="shared" si="261"/>
        <v>#N/A</v>
      </c>
      <c r="AD154" t="e">
        <f t="shared" si="262"/>
        <v>#N/A</v>
      </c>
      <c r="AE154" t="e">
        <f t="shared" si="244"/>
        <v>#N/A</v>
      </c>
      <c r="AF154" t="e">
        <f t="shared" si="245"/>
        <v>#N/A</v>
      </c>
      <c r="AG154" t="e">
        <f t="shared" si="246"/>
        <v>#N/A</v>
      </c>
      <c r="AH154" t="e">
        <f t="shared" si="247"/>
        <v>#N/A</v>
      </c>
      <c r="AI154" t="e">
        <f t="shared" si="248"/>
        <v>#N/A</v>
      </c>
      <c r="AJ154" t="e">
        <f t="shared" si="249"/>
        <v>#N/A</v>
      </c>
      <c r="AK154" t="e">
        <f t="shared" si="250"/>
        <v>#N/A</v>
      </c>
      <c r="AL154" t="e">
        <f t="shared" si="251"/>
        <v>#N/A</v>
      </c>
      <c r="AM154" t="e">
        <f t="shared" si="252"/>
        <v>#N/A</v>
      </c>
      <c r="AN154" t="e">
        <f t="shared" si="253"/>
        <v>#N/A</v>
      </c>
      <c r="AO154" t="e">
        <f t="shared" si="254"/>
        <v>#N/A</v>
      </c>
      <c r="AP154" t="e">
        <f t="shared" si="255"/>
        <v>#N/A</v>
      </c>
      <c r="AQ154" t="e">
        <f t="shared" si="256"/>
        <v>#N/A</v>
      </c>
      <c r="AR154" t="e">
        <f t="shared" si="257"/>
        <v>#N/A</v>
      </c>
      <c r="AS154" t="e">
        <f t="shared" si="258"/>
        <v>#N/A</v>
      </c>
      <c r="AU154">
        <f t="shared" si="212"/>
        <v>1.5</v>
      </c>
      <c r="AV154" t="str">
        <f t="shared" si="213"/>
        <v/>
      </c>
      <c r="AW154" t="str">
        <f t="shared" si="214"/>
        <v/>
      </c>
      <c r="AX154" t="str">
        <f t="shared" si="215"/>
        <v/>
      </c>
      <c r="AY154" t="str">
        <f t="shared" si="216"/>
        <v/>
      </c>
      <c r="AZ154" t="str">
        <f t="shared" si="217"/>
        <v/>
      </c>
      <c r="BA154" t="str">
        <f t="shared" si="218"/>
        <v/>
      </c>
      <c r="BB154" t="str">
        <f t="shared" si="219"/>
        <v/>
      </c>
      <c r="BC154" t="str">
        <f t="shared" si="220"/>
        <v/>
      </c>
      <c r="BD154" t="str">
        <f t="shared" si="221"/>
        <v/>
      </c>
      <c r="BE154" t="str">
        <f t="shared" si="222"/>
        <v/>
      </c>
      <c r="BF154" t="str">
        <f t="shared" si="223"/>
        <v/>
      </c>
      <c r="BG154" t="str">
        <f t="shared" si="224"/>
        <v/>
      </c>
      <c r="BH154" t="str">
        <f t="shared" si="225"/>
        <v/>
      </c>
      <c r="BI154" t="str">
        <f t="shared" si="226"/>
        <v/>
      </c>
      <c r="BJ154" t="str">
        <f t="shared" si="227"/>
        <v/>
      </c>
      <c r="BK154" t="str">
        <f t="shared" si="228"/>
        <v/>
      </c>
      <c r="BL154" t="str">
        <f t="shared" si="229"/>
        <v/>
      </c>
      <c r="BM154" t="str">
        <f t="shared" si="230"/>
        <v/>
      </c>
      <c r="BP154"/>
      <c r="BR154"/>
    </row>
    <row r="155" spans="1:70" x14ac:dyDescent="0.25">
      <c r="A155" s="1">
        <v>41626</v>
      </c>
      <c r="B155">
        <v>2</v>
      </c>
      <c r="C155" s="4">
        <v>42369</v>
      </c>
      <c r="D155">
        <v>1</v>
      </c>
      <c r="E155">
        <f t="shared" si="208"/>
        <v>0.11764705882352941</v>
      </c>
      <c r="F155" s="4"/>
      <c r="G155">
        <v>1</v>
      </c>
      <c r="H155" t="str">
        <f t="shared" ref="H155:Y155" si="272">IF($D155&gt;G155,G155+1,"")</f>
        <v/>
      </c>
      <c r="I155" t="str">
        <f t="shared" si="272"/>
        <v/>
      </c>
      <c r="J155" t="str">
        <f t="shared" si="272"/>
        <v/>
      </c>
      <c r="K155" t="str">
        <f t="shared" si="272"/>
        <v/>
      </c>
      <c r="L155" t="str">
        <f t="shared" si="272"/>
        <v/>
      </c>
      <c r="M155" t="str">
        <f t="shared" si="272"/>
        <v/>
      </c>
      <c r="N155" t="str">
        <f t="shared" si="272"/>
        <v/>
      </c>
      <c r="O155" t="str">
        <f t="shared" si="272"/>
        <v/>
      </c>
      <c r="P155" t="str">
        <f t="shared" si="272"/>
        <v/>
      </c>
      <c r="Q155" t="str">
        <f t="shared" si="272"/>
        <v/>
      </c>
      <c r="R155" t="str">
        <f t="shared" si="272"/>
        <v/>
      </c>
      <c r="S155" t="str">
        <f t="shared" si="272"/>
        <v/>
      </c>
      <c r="T155" t="str">
        <f t="shared" si="272"/>
        <v/>
      </c>
      <c r="U155" t="str">
        <f t="shared" si="272"/>
        <v/>
      </c>
      <c r="V155" t="str">
        <f t="shared" si="272"/>
        <v/>
      </c>
      <c r="W155" t="str">
        <f t="shared" si="272"/>
        <v/>
      </c>
      <c r="X155" t="str">
        <f t="shared" si="272"/>
        <v/>
      </c>
      <c r="Y155" t="str">
        <f t="shared" si="272"/>
        <v/>
      </c>
      <c r="AA155">
        <f t="shared" si="211"/>
        <v>42369</v>
      </c>
      <c r="AB155" t="e">
        <f t="shared" si="260"/>
        <v>#N/A</v>
      </c>
      <c r="AC155" t="e">
        <f t="shared" si="261"/>
        <v>#N/A</v>
      </c>
      <c r="AD155" t="e">
        <f t="shared" si="262"/>
        <v>#N/A</v>
      </c>
      <c r="AE155" t="e">
        <f t="shared" si="244"/>
        <v>#N/A</v>
      </c>
      <c r="AF155" t="e">
        <f t="shared" si="245"/>
        <v>#N/A</v>
      </c>
      <c r="AG155" t="e">
        <f t="shared" si="246"/>
        <v>#N/A</v>
      </c>
      <c r="AH155" t="e">
        <f t="shared" si="247"/>
        <v>#N/A</v>
      </c>
      <c r="AI155" t="e">
        <f t="shared" si="248"/>
        <v>#N/A</v>
      </c>
      <c r="AJ155" t="e">
        <f t="shared" si="249"/>
        <v>#N/A</v>
      </c>
      <c r="AK155" t="e">
        <f t="shared" si="250"/>
        <v>#N/A</v>
      </c>
      <c r="AL155" t="e">
        <f t="shared" si="251"/>
        <v>#N/A</v>
      </c>
      <c r="AM155" t="e">
        <f t="shared" si="252"/>
        <v>#N/A</v>
      </c>
      <c r="AN155" t="e">
        <f t="shared" si="253"/>
        <v>#N/A</v>
      </c>
      <c r="AO155" t="e">
        <f t="shared" si="254"/>
        <v>#N/A</v>
      </c>
      <c r="AP155" t="e">
        <f t="shared" si="255"/>
        <v>#N/A</v>
      </c>
      <c r="AQ155" t="e">
        <f t="shared" si="256"/>
        <v>#N/A</v>
      </c>
      <c r="AR155" t="e">
        <f t="shared" si="257"/>
        <v>#N/A</v>
      </c>
      <c r="AS155" t="e">
        <f t="shared" si="258"/>
        <v>#N/A</v>
      </c>
      <c r="AU155">
        <f t="shared" si="212"/>
        <v>2</v>
      </c>
      <c r="AV155" t="str">
        <f t="shared" si="213"/>
        <v/>
      </c>
      <c r="AW155" t="str">
        <f t="shared" si="214"/>
        <v/>
      </c>
      <c r="AX155" t="str">
        <f t="shared" si="215"/>
        <v/>
      </c>
      <c r="AY155" t="str">
        <f t="shared" si="216"/>
        <v/>
      </c>
      <c r="AZ155" t="str">
        <f t="shared" si="217"/>
        <v/>
      </c>
      <c r="BA155" t="str">
        <f t="shared" si="218"/>
        <v/>
      </c>
      <c r="BB155" t="str">
        <f t="shared" si="219"/>
        <v/>
      </c>
      <c r="BC155" t="str">
        <f t="shared" si="220"/>
        <v/>
      </c>
      <c r="BD155" t="str">
        <f t="shared" si="221"/>
        <v/>
      </c>
      <c r="BE155" t="str">
        <f t="shared" si="222"/>
        <v/>
      </c>
      <c r="BF155" t="str">
        <f t="shared" si="223"/>
        <v/>
      </c>
      <c r="BG155" t="str">
        <f t="shared" si="224"/>
        <v/>
      </c>
      <c r="BH155" t="str">
        <f t="shared" si="225"/>
        <v/>
      </c>
      <c r="BI155" t="str">
        <f t="shared" si="226"/>
        <v/>
      </c>
      <c r="BJ155" t="str">
        <f t="shared" si="227"/>
        <v/>
      </c>
      <c r="BK155" t="str">
        <f t="shared" si="228"/>
        <v/>
      </c>
      <c r="BL155" t="str">
        <f t="shared" si="229"/>
        <v/>
      </c>
      <c r="BM155" t="str">
        <f t="shared" si="230"/>
        <v/>
      </c>
      <c r="BP155"/>
      <c r="BR155"/>
    </row>
    <row r="156" spans="1:70" x14ac:dyDescent="0.25">
      <c r="A156" s="1">
        <v>41626</v>
      </c>
      <c r="B156">
        <v>2.75</v>
      </c>
      <c r="C156" s="4">
        <v>42369</v>
      </c>
      <c r="D156">
        <v>1</v>
      </c>
      <c r="E156">
        <f t="shared" si="208"/>
        <v>0.16176470588235295</v>
      </c>
      <c r="F156" s="4"/>
      <c r="G156">
        <v>1</v>
      </c>
      <c r="H156" t="str">
        <f t="shared" ref="H156:Y156" si="273">IF($D156&gt;G156,G156+1,"")</f>
        <v/>
      </c>
      <c r="I156" t="str">
        <f t="shared" si="273"/>
        <v/>
      </c>
      <c r="J156" t="str">
        <f t="shared" si="273"/>
        <v/>
      </c>
      <c r="K156" t="str">
        <f t="shared" si="273"/>
        <v/>
      </c>
      <c r="L156" t="str">
        <f t="shared" si="273"/>
        <v/>
      </c>
      <c r="M156" t="str">
        <f t="shared" si="273"/>
        <v/>
      </c>
      <c r="N156" t="str">
        <f t="shared" si="273"/>
        <v/>
      </c>
      <c r="O156" t="str">
        <f t="shared" si="273"/>
        <v/>
      </c>
      <c r="P156" t="str">
        <f t="shared" si="273"/>
        <v/>
      </c>
      <c r="Q156" t="str">
        <f t="shared" si="273"/>
        <v/>
      </c>
      <c r="R156" t="str">
        <f t="shared" si="273"/>
        <v/>
      </c>
      <c r="S156" t="str">
        <f t="shared" si="273"/>
        <v/>
      </c>
      <c r="T156" t="str">
        <f t="shared" si="273"/>
        <v/>
      </c>
      <c r="U156" t="str">
        <f t="shared" si="273"/>
        <v/>
      </c>
      <c r="V156" t="str">
        <f t="shared" si="273"/>
        <v/>
      </c>
      <c r="W156" t="str">
        <f t="shared" si="273"/>
        <v/>
      </c>
      <c r="X156" t="str">
        <f t="shared" si="273"/>
        <v/>
      </c>
      <c r="Y156" t="str">
        <f t="shared" si="273"/>
        <v/>
      </c>
      <c r="AA156">
        <f t="shared" si="211"/>
        <v>42369</v>
      </c>
      <c r="AB156" t="e">
        <f t="shared" si="260"/>
        <v>#N/A</v>
      </c>
      <c r="AC156" t="e">
        <f t="shared" si="261"/>
        <v>#N/A</v>
      </c>
      <c r="AD156" t="e">
        <f t="shared" si="262"/>
        <v>#N/A</v>
      </c>
      <c r="AE156" t="e">
        <f t="shared" si="244"/>
        <v>#N/A</v>
      </c>
      <c r="AF156" t="e">
        <f t="shared" si="245"/>
        <v>#N/A</v>
      </c>
      <c r="AG156" t="e">
        <f t="shared" si="246"/>
        <v>#N/A</v>
      </c>
      <c r="AH156" t="e">
        <f t="shared" si="247"/>
        <v>#N/A</v>
      </c>
      <c r="AI156" t="e">
        <f t="shared" si="248"/>
        <v>#N/A</v>
      </c>
      <c r="AJ156" t="e">
        <f t="shared" si="249"/>
        <v>#N/A</v>
      </c>
      <c r="AK156" t="e">
        <f t="shared" si="250"/>
        <v>#N/A</v>
      </c>
      <c r="AL156" t="e">
        <f t="shared" si="251"/>
        <v>#N/A</v>
      </c>
      <c r="AM156" t="e">
        <f t="shared" si="252"/>
        <v>#N/A</v>
      </c>
      <c r="AN156" t="e">
        <f t="shared" si="253"/>
        <v>#N/A</v>
      </c>
      <c r="AO156" t="e">
        <f t="shared" si="254"/>
        <v>#N/A</v>
      </c>
      <c r="AP156" t="e">
        <f t="shared" si="255"/>
        <v>#N/A</v>
      </c>
      <c r="AQ156" t="e">
        <f t="shared" si="256"/>
        <v>#N/A</v>
      </c>
      <c r="AR156" t="e">
        <f t="shared" si="257"/>
        <v>#N/A</v>
      </c>
      <c r="AS156" t="e">
        <f t="shared" si="258"/>
        <v>#N/A</v>
      </c>
      <c r="AU156">
        <f t="shared" si="212"/>
        <v>2.75</v>
      </c>
      <c r="AV156" t="str">
        <f t="shared" si="213"/>
        <v/>
      </c>
      <c r="AW156" t="str">
        <f t="shared" si="214"/>
        <v/>
      </c>
      <c r="AX156" t="str">
        <f t="shared" si="215"/>
        <v/>
      </c>
      <c r="AY156" t="str">
        <f t="shared" si="216"/>
        <v/>
      </c>
      <c r="AZ156" t="str">
        <f t="shared" si="217"/>
        <v/>
      </c>
      <c r="BA156" t="str">
        <f t="shared" si="218"/>
        <v/>
      </c>
      <c r="BB156" t="str">
        <f t="shared" si="219"/>
        <v/>
      </c>
      <c r="BC156" t="str">
        <f t="shared" si="220"/>
        <v/>
      </c>
      <c r="BD156" t="str">
        <f t="shared" si="221"/>
        <v/>
      </c>
      <c r="BE156" t="str">
        <f t="shared" si="222"/>
        <v/>
      </c>
      <c r="BF156" t="str">
        <f t="shared" si="223"/>
        <v/>
      </c>
      <c r="BG156" t="str">
        <f t="shared" si="224"/>
        <v/>
      </c>
      <c r="BH156" t="str">
        <f t="shared" si="225"/>
        <v/>
      </c>
      <c r="BI156" t="str">
        <f t="shared" si="226"/>
        <v/>
      </c>
      <c r="BJ156" t="str">
        <f t="shared" si="227"/>
        <v/>
      </c>
      <c r="BK156" t="str">
        <f t="shared" si="228"/>
        <v/>
      </c>
      <c r="BL156" t="str">
        <f t="shared" si="229"/>
        <v/>
      </c>
      <c r="BM156" t="str">
        <f t="shared" si="230"/>
        <v/>
      </c>
      <c r="BP156"/>
      <c r="BR156"/>
    </row>
    <row r="157" spans="1:70" x14ac:dyDescent="0.25">
      <c r="A157" s="1">
        <v>41626</v>
      </c>
      <c r="B157">
        <v>3.25</v>
      </c>
      <c r="C157" s="4">
        <v>42369</v>
      </c>
      <c r="D157">
        <v>1</v>
      </c>
      <c r="E157">
        <f t="shared" si="208"/>
        <v>0.19117647058823528</v>
      </c>
      <c r="F157" s="4"/>
      <c r="G157">
        <v>1</v>
      </c>
      <c r="H157" t="str">
        <f t="shared" ref="H157:Y157" si="274">IF($D157&gt;G157,G157+1,"")</f>
        <v/>
      </c>
      <c r="I157" t="str">
        <f t="shared" si="274"/>
        <v/>
      </c>
      <c r="J157" t="str">
        <f t="shared" si="274"/>
        <v/>
      </c>
      <c r="K157" t="str">
        <f t="shared" si="274"/>
        <v/>
      </c>
      <c r="L157" t="str">
        <f t="shared" si="274"/>
        <v/>
      </c>
      <c r="M157" t="str">
        <f t="shared" si="274"/>
        <v/>
      </c>
      <c r="N157" t="str">
        <f t="shared" si="274"/>
        <v/>
      </c>
      <c r="O157" t="str">
        <f t="shared" si="274"/>
        <v/>
      </c>
      <c r="P157" t="str">
        <f t="shared" si="274"/>
        <v/>
      </c>
      <c r="Q157" t="str">
        <f t="shared" si="274"/>
        <v/>
      </c>
      <c r="R157" t="str">
        <f t="shared" si="274"/>
        <v/>
      </c>
      <c r="S157" t="str">
        <f t="shared" si="274"/>
        <v/>
      </c>
      <c r="T157" t="str">
        <f t="shared" si="274"/>
        <v/>
      </c>
      <c r="U157" t="str">
        <f t="shared" si="274"/>
        <v/>
      </c>
      <c r="V157" t="str">
        <f t="shared" si="274"/>
        <v/>
      </c>
      <c r="W157" t="str">
        <f t="shared" si="274"/>
        <v/>
      </c>
      <c r="X157" t="str">
        <f t="shared" si="274"/>
        <v/>
      </c>
      <c r="Y157" t="str">
        <f t="shared" si="274"/>
        <v/>
      </c>
      <c r="AA157">
        <f t="shared" si="211"/>
        <v>42369</v>
      </c>
      <c r="AB157" t="e">
        <f t="shared" si="260"/>
        <v>#N/A</v>
      </c>
      <c r="AC157" t="e">
        <f t="shared" si="261"/>
        <v>#N/A</v>
      </c>
      <c r="AD157" t="e">
        <f t="shared" si="262"/>
        <v>#N/A</v>
      </c>
      <c r="AE157" t="e">
        <f t="shared" si="244"/>
        <v>#N/A</v>
      </c>
      <c r="AF157" t="e">
        <f t="shared" si="245"/>
        <v>#N/A</v>
      </c>
      <c r="AG157" t="e">
        <f t="shared" si="246"/>
        <v>#N/A</v>
      </c>
      <c r="AH157" t="e">
        <f t="shared" si="247"/>
        <v>#N/A</v>
      </c>
      <c r="AI157" t="e">
        <f t="shared" si="248"/>
        <v>#N/A</v>
      </c>
      <c r="AJ157" t="e">
        <f t="shared" si="249"/>
        <v>#N/A</v>
      </c>
      <c r="AK157" t="e">
        <f t="shared" si="250"/>
        <v>#N/A</v>
      </c>
      <c r="AL157" t="e">
        <f t="shared" si="251"/>
        <v>#N/A</v>
      </c>
      <c r="AM157" t="e">
        <f t="shared" si="252"/>
        <v>#N/A</v>
      </c>
      <c r="AN157" t="e">
        <f t="shared" si="253"/>
        <v>#N/A</v>
      </c>
      <c r="AO157" t="e">
        <f t="shared" si="254"/>
        <v>#N/A</v>
      </c>
      <c r="AP157" t="e">
        <f t="shared" si="255"/>
        <v>#N/A</v>
      </c>
      <c r="AQ157" t="e">
        <f t="shared" si="256"/>
        <v>#N/A</v>
      </c>
      <c r="AR157" t="e">
        <f t="shared" si="257"/>
        <v>#N/A</v>
      </c>
      <c r="AS157" t="e">
        <f t="shared" si="258"/>
        <v>#N/A</v>
      </c>
      <c r="AU157">
        <f t="shared" si="212"/>
        <v>3.25</v>
      </c>
      <c r="AV157" t="str">
        <f t="shared" si="213"/>
        <v/>
      </c>
      <c r="AW157" t="str">
        <f t="shared" si="214"/>
        <v/>
      </c>
      <c r="AX157" t="str">
        <f t="shared" si="215"/>
        <v/>
      </c>
      <c r="AY157" t="str">
        <f t="shared" si="216"/>
        <v/>
      </c>
      <c r="AZ157" t="str">
        <f t="shared" si="217"/>
        <v/>
      </c>
      <c r="BA157" t="str">
        <f t="shared" si="218"/>
        <v/>
      </c>
      <c r="BB157" t="str">
        <f t="shared" si="219"/>
        <v/>
      </c>
      <c r="BC157" t="str">
        <f t="shared" si="220"/>
        <v/>
      </c>
      <c r="BD157" t="str">
        <f t="shared" si="221"/>
        <v/>
      </c>
      <c r="BE157" t="str">
        <f t="shared" si="222"/>
        <v/>
      </c>
      <c r="BF157" t="str">
        <f t="shared" si="223"/>
        <v/>
      </c>
      <c r="BG157" t="str">
        <f t="shared" si="224"/>
        <v/>
      </c>
      <c r="BH157" t="str">
        <f t="shared" si="225"/>
        <v/>
      </c>
      <c r="BI157" t="str">
        <f t="shared" si="226"/>
        <v/>
      </c>
      <c r="BJ157" t="str">
        <f t="shared" si="227"/>
        <v/>
      </c>
      <c r="BK157" t="str">
        <f t="shared" si="228"/>
        <v/>
      </c>
      <c r="BL157" t="str">
        <f t="shared" si="229"/>
        <v/>
      </c>
      <c r="BM157" t="str">
        <f t="shared" si="230"/>
        <v/>
      </c>
      <c r="BP157"/>
      <c r="BR157"/>
    </row>
    <row r="158" spans="1:70" x14ac:dyDescent="0.25">
      <c r="A158" s="1">
        <v>41626</v>
      </c>
      <c r="B158">
        <v>0.5</v>
      </c>
      <c r="C158" s="4">
        <v>42735</v>
      </c>
      <c r="D158">
        <v>1</v>
      </c>
      <c r="E158">
        <f t="shared" si="208"/>
        <v>2.9411764705882353E-2</v>
      </c>
      <c r="F158" s="4"/>
      <c r="G158">
        <v>1</v>
      </c>
      <c r="H158" t="str">
        <f t="shared" ref="H158:Y158" si="275">IF($D158&gt;G158,G158+1,"")</f>
        <v/>
      </c>
      <c r="I158" t="str">
        <f t="shared" si="275"/>
        <v/>
      </c>
      <c r="J158" t="str">
        <f t="shared" si="275"/>
        <v/>
      </c>
      <c r="K158" t="str">
        <f t="shared" si="275"/>
        <v/>
      </c>
      <c r="L158" t="str">
        <f t="shared" si="275"/>
        <v/>
      </c>
      <c r="M158" t="str">
        <f t="shared" si="275"/>
        <v/>
      </c>
      <c r="N158" t="str">
        <f t="shared" si="275"/>
        <v/>
      </c>
      <c r="O158" t="str">
        <f t="shared" si="275"/>
        <v/>
      </c>
      <c r="P158" t="str">
        <f t="shared" si="275"/>
        <v/>
      </c>
      <c r="Q158" t="str">
        <f t="shared" si="275"/>
        <v/>
      </c>
      <c r="R158" t="str">
        <f t="shared" si="275"/>
        <v/>
      </c>
      <c r="S158" t="str">
        <f t="shared" si="275"/>
        <v/>
      </c>
      <c r="T158" t="str">
        <f t="shared" si="275"/>
        <v/>
      </c>
      <c r="U158" t="str">
        <f t="shared" si="275"/>
        <v/>
      </c>
      <c r="V158" t="str">
        <f t="shared" si="275"/>
        <v/>
      </c>
      <c r="W158" t="str">
        <f t="shared" si="275"/>
        <v/>
      </c>
      <c r="X158" t="str">
        <f t="shared" si="275"/>
        <v/>
      </c>
      <c r="Y158" t="str">
        <f t="shared" si="275"/>
        <v/>
      </c>
      <c r="AA158">
        <f t="shared" si="211"/>
        <v>42735</v>
      </c>
      <c r="AB158" t="e">
        <f t="shared" si="260"/>
        <v>#N/A</v>
      </c>
      <c r="AC158" t="e">
        <f t="shared" si="261"/>
        <v>#N/A</v>
      </c>
      <c r="AD158" t="e">
        <f t="shared" si="262"/>
        <v>#N/A</v>
      </c>
      <c r="AE158" t="e">
        <f t="shared" si="244"/>
        <v>#N/A</v>
      </c>
      <c r="AF158" t="e">
        <f t="shared" si="245"/>
        <v>#N/A</v>
      </c>
      <c r="AG158" t="e">
        <f t="shared" si="246"/>
        <v>#N/A</v>
      </c>
      <c r="AH158" t="e">
        <f t="shared" si="247"/>
        <v>#N/A</v>
      </c>
      <c r="AI158" t="e">
        <f t="shared" si="248"/>
        <v>#N/A</v>
      </c>
      <c r="AJ158" t="e">
        <f t="shared" si="249"/>
        <v>#N/A</v>
      </c>
      <c r="AK158" t="e">
        <f t="shared" si="250"/>
        <v>#N/A</v>
      </c>
      <c r="AL158" t="e">
        <f t="shared" si="251"/>
        <v>#N/A</v>
      </c>
      <c r="AM158" t="e">
        <f t="shared" si="252"/>
        <v>#N/A</v>
      </c>
      <c r="AN158" t="e">
        <f t="shared" si="253"/>
        <v>#N/A</v>
      </c>
      <c r="AO158" t="e">
        <f t="shared" si="254"/>
        <v>#N/A</v>
      </c>
      <c r="AP158" t="e">
        <f t="shared" si="255"/>
        <v>#N/A</v>
      </c>
      <c r="AQ158" t="e">
        <f t="shared" si="256"/>
        <v>#N/A</v>
      </c>
      <c r="AR158" t="e">
        <f t="shared" si="257"/>
        <v>#N/A</v>
      </c>
      <c r="AS158" t="e">
        <f t="shared" si="258"/>
        <v>#N/A</v>
      </c>
      <c r="AU158">
        <f t="shared" si="212"/>
        <v>0.5</v>
      </c>
      <c r="AV158" t="str">
        <f t="shared" si="213"/>
        <v/>
      </c>
      <c r="AW158" t="str">
        <f t="shared" si="214"/>
        <v/>
      </c>
      <c r="AX158" t="str">
        <f t="shared" si="215"/>
        <v/>
      </c>
      <c r="AY158" t="str">
        <f t="shared" si="216"/>
        <v/>
      </c>
      <c r="AZ158" t="str">
        <f t="shared" si="217"/>
        <v/>
      </c>
      <c r="BA158" t="str">
        <f t="shared" si="218"/>
        <v/>
      </c>
      <c r="BB158" t="str">
        <f t="shared" si="219"/>
        <v/>
      </c>
      <c r="BC158" t="str">
        <f t="shared" si="220"/>
        <v/>
      </c>
      <c r="BD158" t="str">
        <f t="shared" si="221"/>
        <v/>
      </c>
      <c r="BE158" t="str">
        <f t="shared" si="222"/>
        <v/>
      </c>
      <c r="BF158" t="str">
        <f t="shared" si="223"/>
        <v/>
      </c>
      <c r="BG158" t="str">
        <f t="shared" si="224"/>
        <v/>
      </c>
      <c r="BH158" t="str">
        <f t="shared" si="225"/>
        <v/>
      </c>
      <c r="BI158" t="str">
        <f t="shared" si="226"/>
        <v/>
      </c>
      <c r="BJ158" t="str">
        <f t="shared" si="227"/>
        <v/>
      </c>
      <c r="BK158" t="str">
        <f t="shared" si="228"/>
        <v/>
      </c>
      <c r="BL158" t="str">
        <f t="shared" si="229"/>
        <v/>
      </c>
      <c r="BM158" t="str">
        <f t="shared" si="230"/>
        <v/>
      </c>
      <c r="BP158"/>
      <c r="BR158"/>
    </row>
    <row r="159" spans="1:70" x14ac:dyDescent="0.25">
      <c r="A159" s="1">
        <v>41626</v>
      </c>
      <c r="B159">
        <v>1</v>
      </c>
      <c r="C159" s="4">
        <v>42735</v>
      </c>
      <c r="D159">
        <v>1</v>
      </c>
      <c r="E159">
        <f t="shared" si="208"/>
        <v>5.8823529411764705E-2</v>
      </c>
      <c r="F159" s="4"/>
      <c r="G159">
        <v>1</v>
      </c>
      <c r="H159" t="str">
        <f t="shared" ref="H159:Y159" si="276">IF($D159&gt;G159,G159+1,"")</f>
        <v/>
      </c>
      <c r="I159" t="str">
        <f t="shared" si="276"/>
        <v/>
      </c>
      <c r="J159" t="str">
        <f t="shared" si="276"/>
        <v/>
      </c>
      <c r="K159" t="str">
        <f t="shared" si="276"/>
        <v/>
      </c>
      <c r="L159" t="str">
        <f t="shared" si="276"/>
        <v/>
      </c>
      <c r="M159" t="str">
        <f t="shared" si="276"/>
        <v/>
      </c>
      <c r="N159" t="str">
        <f t="shared" si="276"/>
        <v/>
      </c>
      <c r="O159" t="str">
        <f t="shared" si="276"/>
        <v/>
      </c>
      <c r="P159" t="str">
        <f t="shared" si="276"/>
        <v/>
      </c>
      <c r="Q159" t="str">
        <f t="shared" si="276"/>
        <v/>
      </c>
      <c r="R159" t="str">
        <f t="shared" si="276"/>
        <v/>
      </c>
      <c r="S159" t="str">
        <f t="shared" si="276"/>
        <v/>
      </c>
      <c r="T159" t="str">
        <f t="shared" si="276"/>
        <v/>
      </c>
      <c r="U159" t="str">
        <f t="shared" si="276"/>
        <v/>
      </c>
      <c r="V159" t="str">
        <f t="shared" si="276"/>
        <v/>
      </c>
      <c r="W159" t="str">
        <f t="shared" si="276"/>
        <v/>
      </c>
      <c r="X159" t="str">
        <f t="shared" si="276"/>
        <v/>
      </c>
      <c r="Y159" t="str">
        <f t="shared" si="276"/>
        <v/>
      </c>
      <c r="AA159">
        <f t="shared" si="211"/>
        <v>42735</v>
      </c>
      <c r="AB159" t="e">
        <f t="shared" si="260"/>
        <v>#N/A</v>
      </c>
      <c r="AC159" t="e">
        <f t="shared" si="261"/>
        <v>#N/A</v>
      </c>
      <c r="AD159" t="e">
        <f t="shared" si="262"/>
        <v>#N/A</v>
      </c>
      <c r="AE159" t="e">
        <f t="shared" si="244"/>
        <v>#N/A</v>
      </c>
      <c r="AF159" t="e">
        <f t="shared" si="245"/>
        <v>#N/A</v>
      </c>
      <c r="AG159" t="e">
        <f t="shared" si="246"/>
        <v>#N/A</v>
      </c>
      <c r="AH159" t="e">
        <f t="shared" si="247"/>
        <v>#N/A</v>
      </c>
      <c r="AI159" t="e">
        <f t="shared" si="248"/>
        <v>#N/A</v>
      </c>
      <c r="AJ159" t="e">
        <f t="shared" si="249"/>
        <v>#N/A</v>
      </c>
      <c r="AK159" t="e">
        <f t="shared" si="250"/>
        <v>#N/A</v>
      </c>
      <c r="AL159" t="e">
        <f t="shared" si="251"/>
        <v>#N/A</v>
      </c>
      <c r="AM159" t="e">
        <f t="shared" si="252"/>
        <v>#N/A</v>
      </c>
      <c r="AN159" t="e">
        <f t="shared" si="253"/>
        <v>#N/A</v>
      </c>
      <c r="AO159" t="e">
        <f t="shared" si="254"/>
        <v>#N/A</v>
      </c>
      <c r="AP159" t="e">
        <f t="shared" si="255"/>
        <v>#N/A</v>
      </c>
      <c r="AQ159" t="e">
        <f t="shared" si="256"/>
        <v>#N/A</v>
      </c>
      <c r="AR159" t="e">
        <f t="shared" si="257"/>
        <v>#N/A</v>
      </c>
      <c r="AS159" t="e">
        <f t="shared" si="258"/>
        <v>#N/A</v>
      </c>
      <c r="AU159">
        <f t="shared" si="212"/>
        <v>1</v>
      </c>
      <c r="AV159" t="str">
        <f t="shared" si="213"/>
        <v/>
      </c>
      <c r="AW159" t="str">
        <f t="shared" si="214"/>
        <v/>
      </c>
      <c r="AX159" t="str">
        <f t="shared" si="215"/>
        <v/>
      </c>
      <c r="AY159" t="str">
        <f t="shared" si="216"/>
        <v/>
      </c>
      <c r="AZ159" t="str">
        <f t="shared" si="217"/>
        <v/>
      </c>
      <c r="BA159" t="str">
        <f t="shared" si="218"/>
        <v/>
      </c>
      <c r="BB159" t="str">
        <f t="shared" si="219"/>
        <v/>
      </c>
      <c r="BC159" t="str">
        <f t="shared" si="220"/>
        <v/>
      </c>
      <c r="BD159" t="str">
        <f t="shared" si="221"/>
        <v/>
      </c>
      <c r="BE159" t="str">
        <f t="shared" si="222"/>
        <v/>
      </c>
      <c r="BF159" t="str">
        <f t="shared" si="223"/>
        <v/>
      </c>
      <c r="BG159" t="str">
        <f t="shared" si="224"/>
        <v/>
      </c>
      <c r="BH159" t="str">
        <f t="shared" si="225"/>
        <v/>
      </c>
      <c r="BI159" t="str">
        <f t="shared" si="226"/>
        <v/>
      </c>
      <c r="BJ159" t="str">
        <f t="shared" si="227"/>
        <v/>
      </c>
      <c r="BK159" t="str">
        <f t="shared" si="228"/>
        <v/>
      </c>
      <c r="BL159" t="str">
        <f t="shared" si="229"/>
        <v/>
      </c>
      <c r="BM159" t="str">
        <f t="shared" si="230"/>
        <v/>
      </c>
      <c r="BP159"/>
      <c r="BR159"/>
    </row>
    <row r="160" spans="1:70" x14ac:dyDescent="0.25">
      <c r="A160" s="1">
        <v>41626</v>
      </c>
      <c r="B160">
        <v>1.25</v>
      </c>
      <c r="C160" s="4">
        <v>42735</v>
      </c>
      <c r="D160">
        <v>1</v>
      </c>
      <c r="E160">
        <f t="shared" si="208"/>
        <v>7.3529411764705885E-2</v>
      </c>
      <c r="F160" s="4"/>
      <c r="G160">
        <v>1</v>
      </c>
      <c r="H160" t="str">
        <f t="shared" ref="H160:Y160" si="277">IF($D160&gt;G160,G160+1,"")</f>
        <v/>
      </c>
      <c r="I160" t="str">
        <f t="shared" si="277"/>
        <v/>
      </c>
      <c r="J160" t="str">
        <f t="shared" si="277"/>
        <v/>
      </c>
      <c r="K160" t="str">
        <f t="shared" si="277"/>
        <v/>
      </c>
      <c r="L160" t="str">
        <f t="shared" si="277"/>
        <v/>
      </c>
      <c r="M160" t="str">
        <f t="shared" si="277"/>
        <v/>
      </c>
      <c r="N160" t="str">
        <f t="shared" si="277"/>
        <v/>
      </c>
      <c r="O160" t="str">
        <f t="shared" si="277"/>
        <v/>
      </c>
      <c r="P160" t="str">
        <f t="shared" si="277"/>
        <v/>
      </c>
      <c r="Q160" t="str">
        <f t="shared" si="277"/>
        <v/>
      </c>
      <c r="R160" t="str">
        <f t="shared" si="277"/>
        <v/>
      </c>
      <c r="S160" t="str">
        <f t="shared" si="277"/>
        <v/>
      </c>
      <c r="T160" t="str">
        <f t="shared" si="277"/>
        <v/>
      </c>
      <c r="U160" t="str">
        <f t="shared" si="277"/>
        <v/>
      </c>
      <c r="V160" t="str">
        <f t="shared" si="277"/>
        <v/>
      </c>
      <c r="W160" t="str">
        <f t="shared" si="277"/>
        <v/>
      </c>
      <c r="X160" t="str">
        <f t="shared" si="277"/>
        <v/>
      </c>
      <c r="Y160" t="str">
        <f t="shared" si="277"/>
        <v/>
      </c>
      <c r="AA160">
        <f t="shared" si="211"/>
        <v>42735</v>
      </c>
      <c r="AB160" t="e">
        <f t="shared" si="260"/>
        <v>#N/A</v>
      </c>
      <c r="AC160" t="e">
        <f t="shared" si="261"/>
        <v>#N/A</v>
      </c>
      <c r="AD160" t="e">
        <f t="shared" si="262"/>
        <v>#N/A</v>
      </c>
      <c r="AE160" t="e">
        <f t="shared" si="244"/>
        <v>#N/A</v>
      </c>
      <c r="AF160" t="e">
        <f t="shared" si="245"/>
        <v>#N/A</v>
      </c>
      <c r="AG160" t="e">
        <f t="shared" si="246"/>
        <v>#N/A</v>
      </c>
      <c r="AH160" t="e">
        <f t="shared" si="247"/>
        <v>#N/A</v>
      </c>
      <c r="AI160" t="e">
        <f t="shared" si="248"/>
        <v>#N/A</v>
      </c>
      <c r="AJ160" t="e">
        <f t="shared" si="249"/>
        <v>#N/A</v>
      </c>
      <c r="AK160" t="e">
        <f t="shared" si="250"/>
        <v>#N/A</v>
      </c>
      <c r="AL160" t="e">
        <f t="shared" si="251"/>
        <v>#N/A</v>
      </c>
      <c r="AM160" t="e">
        <f t="shared" si="252"/>
        <v>#N/A</v>
      </c>
      <c r="AN160" t="e">
        <f t="shared" si="253"/>
        <v>#N/A</v>
      </c>
      <c r="AO160" t="e">
        <f t="shared" si="254"/>
        <v>#N/A</v>
      </c>
      <c r="AP160" t="e">
        <f t="shared" si="255"/>
        <v>#N/A</v>
      </c>
      <c r="AQ160" t="e">
        <f t="shared" si="256"/>
        <v>#N/A</v>
      </c>
      <c r="AR160" t="e">
        <f t="shared" si="257"/>
        <v>#N/A</v>
      </c>
      <c r="AS160" t="e">
        <f t="shared" si="258"/>
        <v>#N/A</v>
      </c>
      <c r="AU160">
        <f t="shared" si="212"/>
        <v>1.25</v>
      </c>
      <c r="AV160" t="str">
        <f t="shared" si="213"/>
        <v/>
      </c>
      <c r="AW160" t="str">
        <f t="shared" si="214"/>
        <v/>
      </c>
      <c r="AX160" t="str">
        <f t="shared" si="215"/>
        <v/>
      </c>
      <c r="AY160" t="str">
        <f t="shared" si="216"/>
        <v/>
      </c>
      <c r="AZ160" t="str">
        <f t="shared" si="217"/>
        <v/>
      </c>
      <c r="BA160" t="str">
        <f t="shared" si="218"/>
        <v/>
      </c>
      <c r="BB160" t="str">
        <f t="shared" si="219"/>
        <v/>
      </c>
      <c r="BC160" t="str">
        <f t="shared" si="220"/>
        <v/>
      </c>
      <c r="BD160" t="str">
        <f t="shared" si="221"/>
        <v/>
      </c>
      <c r="BE160" t="str">
        <f t="shared" si="222"/>
        <v/>
      </c>
      <c r="BF160" t="str">
        <f t="shared" si="223"/>
        <v/>
      </c>
      <c r="BG160" t="str">
        <f t="shared" si="224"/>
        <v/>
      </c>
      <c r="BH160" t="str">
        <f t="shared" si="225"/>
        <v/>
      </c>
      <c r="BI160" t="str">
        <f t="shared" si="226"/>
        <v/>
      </c>
      <c r="BJ160" t="str">
        <f t="shared" si="227"/>
        <v/>
      </c>
      <c r="BK160" t="str">
        <f t="shared" si="228"/>
        <v/>
      </c>
      <c r="BL160" t="str">
        <f t="shared" si="229"/>
        <v/>
      </c>
      <c r="BM160" t="str">
        <f t="shared" si="230"/>
        <v/>
      </c>
      <c r="BP160"/>
      <c r="BR160"/>
    </row>
    <row r="161" spans="1:70" x14ac:dyDescent="0.25">
      <c r="A161" s="1">
        <v>41626</v>
      </c>
      <c r="B161">
        <v>1.5</v>
      </c>
      <c r="C161" s="4">
        <v>42735</v>
      </c>
      <c r="D161">
        <v>2</v>
      </c>
      <c r="E161">
        <f t="shared" si="208"/>
        <v>0.1764705882352941</v>
      </c>
      <c r="F161" s="4"/>
      <c r="G161">
        <v>1</v>
      </c>
      <c r="H161">
        <f t="shared" ref="H161:Y161" si="278">IF($D161&gt;G161,G161+1,"")</f>
        <v>2</v>
      </c>
      <c r="I161" t="str">
        <f t="shared" si="278"/>
        <v/>
      </c>
      <c r="J161" t="str">
        <f t="shared" si="278"/>
        <v/>
      </c>
      <c r="K161" t="str">
        <f t="shared" si="278"/>
        <v/>
      </c>
      <c r="L161" t="str">
        <f t="shared" si="278"/>
        <v/>
      </c>
      <c r="M161" t="str">
        <f t="shared" si="278"/>
        <v/>
      </c>
      <c r="N161" t="str">
        <f t="shared" si="278"/>
        <v/>
      </c>
      <c r="O161" t="str">
        <f t="shared" si="278"/>
        <v/>
      </c>
      <c r="P161" t="str">
        <f t="shared" si="278"/>
        <v/>
      </c>
      <c r="Q161" t="str">
        <f t="shared" si="278"/>
        <v/>
      </c>
      <c r="R161" t="str">
        <f t="shared" si="278"/>
        <v/>
      </c>
      <c r="S161" t="str">
        <f t="shared" si="278"/>
        <v/>
      </c>
      <c r="T161" t="str">
        <f t="shared" si="278"/>
        <v/>
      </c>
      <c r="U161" t="str">
        <f t="shared" si="278"/>
        <v/>
      </c>
      <c r="V161" t="str">
        <f t="shared" si="278"/>
        <v/>
      </c>
      <c r="W161" t="str">
        <f t="shared" si="278"/>
        <v/>
      </c>
      <c r="X161" t="str">
        <f t="shared" si="278"/>
        <v/>
      </c>
      <c r="Y161" t="str">
        <f t="shared" si="278"/>
        <v/>
      </c>
      <c r="AA161">
        <f t="shared" si="211"/>
        <v>42724.962500000001</v>
      </c>
      <c r="AB161">
        <f t="shared" si="260"/>
        <v>42745.037500000006</v>
      </c>
      <c r="AC161" t="e">
        <f t="shared" si="261"/>
        <v>#N/A</v>
      </c>
      <c r="AD161" t="e">
        <f t="shared" si="262"/>
        <v>#N/A</v>
      </c>
      <c r="AE161" t="e">
        <f t="shared" si="244"/>
        <v>#N/A</v>
      </c>
      <c r="AF161" t="e">
        <f t="shared" si="245"/>
        <v>#N/A</v>
      </c>
      <c r="AG161" t="e">
        <f t="shared" si="246"/>
        <v>#N/A</v>
      </c>
      <c r="AH161" t="e">
        <f t="shared" si="247"/>
        <v>#N/A</v>
      </c>
      <c r="AI161" t="e">
        <f t="shared" si="248"/>
        <v>#N/A</v>
      </c>
      <c r="AJ161" t="e">
        <f t="shared" si="249"/>
        <v>#N/A</v>
      </c>
      <c r="AK161" t="e">
        <f t="shared" si="250"/>
        <v>#N/A</v>
      </c>
      <c r="AL161" t="e">
        <f t="shared" si="251"/>
        <v>#N/A</v>
      </c>
      <c r="AM161" t="e">
        <f t="shared" si="252"/>
        <v>#N/A</v>
      </c>
      <c r="AN161" t="e">
        <f t="shared" si="253"/>
        <v>#N/A</v>
      </c>
      <c r="AO161" t="e">
        <f t="shared" si="254"/>
        <v>#N/A</v>
      </c>
      <c r="AP161" t="e">
        <f t="shared" si="255"/>
        <v>#N/A</v>
      </c>
      <c r="AQ161" t="e">
        <f t="shared" si="256"/>
        <v>#N/A</v>
      </c>
      <c r="AR161" t="e">
        <f t="shared" si="257"/>
        <v>#N/A</v>
      </c>
      <c r="AS161" t="e">
        <f t="shared" si="258"/>
        <v>#N/A</v>
      </c>
      <c r="AU161">
        <f t="shared" si="212"/>
        <v>1.5</v>
      </c>
      <c r="AV161">
        <f t="shared" si="213"/>
        <v>1.5</v>
      </c>
      <c r="AW161" t="str">
        <f t="shared" si="214"/>
        <v/>
      </c>
      <c r="AX161" t="str">
        <f t="shared" si="215"/>
        <v/>
      </c>
      <c r="AY161" t="str">
        <f t="shared" si="216"/>
        <v/>
      </c>
      <c r="AZ161" t="str">
        <f t="shared" si="217"/>
        <v/>
      </c>
      <c r="BA161" t="str">
        <f t="shared" si="218"/>
        <v/>
      </c>
      <c r="BB161" t="str">
        <f t="shared" si="219"/>
        <v/>
      </c>
      <c r="BC161" t="str">
        <f t="shared" si="220"/>
        <v/>
      </c>
      <c r="BD161" t="str">
        <f t="shared" si="221"/>
        <v/>
      </c>
      <c r="BE161" t="str">
        <f t="shared" si="222"/>
        <v/>
      </c>
      <c r="BF161" t="str">
        <f t="shared" si="223"/>
        <v/>
      </c>
      <c r="BG161" t="str">
        <f t="shared" si="224"/>
        <v/>
      </c>
      <c r="BH161" t="str">
        <f t="shared" si="225"/>
        <v/>
      </c>
      <c r="BI161" t="str">
        <f t="shared" si="226"/>
        <v/>
      </c>
      <c r="BJ161" t="str">
        <f t="shared" si="227"/>
        <v/>
      </c>
      <c r="BK161" t="str">
        <f t="shared" si="228"/>
        <v/>
      </c>
      <c r="BL161" t="str">
        <f t="shared" si="229"/>
        <v/>
      </c>
      <c r="BM161" t="str">
        <f t="shared" si="230"/>
        <v/>
      </c>
      <c r="BP161"/>
      <c r="BR161"/>
    </row>
    <row r="162" spans="1:70" x14ac:dyDescent="0.25">
      <c r="A162" s="1">
        <v>41626</v>
      </c>
      <c r="B162">
        <v>1.75</v>
      </c>
      <c r="C162" s="4">
        <v>42735</v>
      </c>
      <c r="D162">
        <v>4</v>
      </c>
      <c r="E162">
        <f t="shared" si="208"/>
        <v>0.41176470588235292</v>
      </c>
      <c r="F162" s="4"/>
      <c r="G162">
        <v>1</v>
      </c>
      <c r="H162">
        <f t="shared" ref="H162:Y162" si="279">IF($D162&gt;G162,G162+1,"")</f>
        <v>2</v>
      </c>
      <c r="I162">
        <f t="shared" si="279"/>
        <v>3</v>
      </c>
      <c r="J162">
        <f t="shared" si="279"/>
        <v>4</v>
      </c>
      <c r="K162" t="str">
        <f t="shared" si="279"/>
        <v/>
      </c>
      <c r="L162" t="str">
        <f t="shared" si="279"/>
        <v/>
      </c>
      <c r="M162" t="str">
        <f t="shared" si="279"/>
        <v/>
      </c>
      <c r="N162" t="str">
        <f t="shared" si="279"/>
        <v/>
      </c>
      <c r="O162" t="str">
        <f t="shared" si="279"/>
        <v/>
      </c>
      <c r="P162" t="str">
        <f t="shared" si="279"/>
        <v/>
      </c>
      <c r="Q162" t="str">
        <f t="shared" si="279"/>
        <v/>
      </c>
      <c r="R162" t="str">
        <f t="shared" si="279"/>
        <v/>
      </c>
      <c r="S162" t="str">
        <f t="shared" si="279"/>
        <v/>
      </c>
      <c r="T162" t="str">
        <f t="shared" si="279"/>
        <v/>
      </c>
      <c r="U162" t="str">
        <f t="shared" si="279"/>
        <v/>
      </c>
      <c r="V162" t="str">
        <f t="shared" si="279"/>
        <v/>
      </c>
      <c r="W162" t="str">
        <f t="shared" si="279"/>
        <v/>
      </c>
      <c r="X162" t="str">
        <f t="shared" si="279"/>
        <v/>
      </c>
      <c r="Y162" t="str">
        <f t="shared" si="279"/>
        <v/>
      </c>
      <c r="AA162">
        <f t="shared" si="211"/>
        <v>42704.887499999997</v>
      </c>
      <c r="AB162">
        <f t="shared" si="260"/>
        <v>42724.962500000001</v>
      </c>
      <c r="AC162">
        <f t="shared" si="261"/>
        <v>42745.037499999999</v>
      </c>
      <c r="AD162">
        <f t="shared" si="262"/>
        <v>42765.112500000003</v>
      </c>
      <c r="AE162" t="e">
        <f t="shared" si="244"/>
        <v>#N/A</v>
      </c>
      <c r="AF162" t="e">
        <f t="shared" si="245"/>
        <v>#N/A</v>
      </c>
      <c r="AG162" t="e">
        <f t="shared" si="246"/>
        <v>#N/A</v>
      </c>
      <c r="AH162" t="e">
        <f t="shared" si="247"/>
        <v>#N/A</v>
      </c>
      <c r="AI162" t="e">
        <f t="shared" si="248"/>
        <v>#N/A</v>
      </c>
      <c r="AJ162" t="e">
        <f t="shared" si="249"/>
        <v>#N/A</v>
      </c>
      <c r="AK162" t="e">
        <f t="shared" si="250"/>
        <v>#N/A</v>
      </c>
      <c r="AL162" t="e">
        <f t="shared" si="251"/>
        <v>#N/A</v>
      </c>
      <c r="AM162" t="e">
        <f t="shared" si="252"/>
        <v>#N/A</v>
      </c>
      <c r="AN162" t="e">
        <f t="shared" si="253"/>
        <v>#N/A</v>
      </c>
      <c r="AO162" t="e">
        <f t="shared" si="254"/>
        <v>#N/A</v>
      </c>
      <c r="AP162" t="e">
        <f t="shared" si="255"/>
        <v>#N/A</v>
      </c>
      <c r="AQ162" t="e">
        <f t="shared" si="256"/>
        <v>#N/A</v>
      </c>
      <c r="AR162" t="e">
        <f t="shared" si="257"/>
        <v>#N/A</v>
      </c>
      <c r="AS162" t="e">
        <f t="shared" si="258"/>
        <v>#N/A</v>
      </c>
      <c r="AU162">
        <f t="shared" si="212"/>
        <v>1.75</v>
      </c>
      <c r="AV162">
        <f t="shared" si="213"/>
        <v>1.75</v>
      </c>
      <c r="AW162">
        <f t="shared" si="214"/>
        <v>1.75</v>
      </c>
      <c r="AX162">
        <f t="shared" si="215"/>
        <v>1.75</v>
      </c>
      <c r="AY162" t="str">
        <f t="shared" si="216"/>
        <v/>
      </c>
      <c r="AZ162" t="str">
        <f t="shared" si="217"/>
        <v/>
      </c>
      <c r="BA162" t="str">
        <f t="shared" si="218"/>
        <v/>
      </c>
      <c r="BB162" t="str">
        <f t="shared" si="219"/>
        <v/>
      </c>
      <c r="BC162" t="str">
        <f t="shared" si="220"/>
        <v/>
      </c>
      <c r="BD162" t="str">
        <f t="shared" si="221"/>
        <v/>
      </c>
      <c r="BE162" t="str">
        <f t="shared" si="222"/>
        <v/>
      </c>
      <c r="BF162" t="str">
        <f t="shared" si="223"/>
        <v/>
      </c>
      <c r="BG162" t="str">
        <f t="shared" si="224"/>
        <v/>
      </c>
      <c r="BH162" t="str">
        <f t="shared" si="225"/>
        <v/>
      </c>
      <c r="BI162" t="str">
        <f t="shared" si="226"/>
        <v/>
      </c>
      <c r="BJ162" t="str">
        <f t="shared" si="227"/>
        <v/>
      </c>
      <c r="BK162" t="str">
        <f t="shared" si="228"/>
        <v/>
      </c>
      <c r="BL162" t="str">
        <f t="shared" si="229"/>
        <v/>
      </c>
      <c r="BM162" t="str">
        <f t="shared" si="230"/>
        <v/>
      </c>
      <c r="BP162"/>
      <c r="BR162"/>
    </row>
    <row r="163" spans="1:70" x14ac:dyDescent="0.25">
      <c r="A163" s="1">
        <v>41626</v>
      </c>
      <c r="B163">
        <v>2</v>
      </c>
      <c r="C163" s="4">
        <v>42735</v>
      </c>
      <c r="D163">
        <v>1</v>
      </c>
      <c r="E163">
        <f t="shared" si="208"/>
        <v>0.11764705882352941</v>
      </c>
      <c r="F163" s="4"/>
      <c r="G163">
        <v>1</v>
      </c>
      <c r="H163" t="str">
        <f t="shared" ref="H163:Y163" si="280">IF($D163&gt;G163,G163+1,"")</f>
        <v/>
      </c>
      <c r="I163" t="str">
        <f t="shared" si="280"/>
        <v/>
      </c>
      <c r="J163" t="str">
        <f t="shared" si="280"/>
        <v/>
      </c>
      <c r="K163" t="str">
        <f t="shared" si="280"/>
        <v/>
      </c>
      <c r="L163" t="str">
        <f t="shared" si="280"/>
        <v/>
      </c>
      <c r="M163" t="str">
        <f t="shared" si="280"/>
        <v/>
      </c>
      <c r="N163" t="str">
        <f t="shared" si="280"/>
        <v/>
      </c>
      <c r="O163" t="str">
        <f t="shared" si="280"/>
        <v/>
      </c>
      <c r="P163" t="str">
        <f t="shared" si="280"/>
        <v/>
      </c>
      <c r="Q163" t="str">
        <f t="shared" si="280"/>
        <v/>
      </c>
      <c r="R163" t="str">
        <f t="shared" si="280"/>
        <v/>
      </c>
      <c r="S163" t="str">
        <f t="shared" si="280"/>
        <v/>
      </c>
      <c r="T163" t="str">
        <f t="shared" si="280"/>
        <v/>
      </c>
      <c r="U163" t="str">
        <f t="shared" si="280"/>
        <v/>
      </c>
      <c r="V163" t="str">
        <f t="shared" si="280"/>
        <v/>
      </c>
      <c r="W163" t="str">
        <f t="shared" si="280"/>
        <v/>
      </c>
      <c r="X163" t="str">
        <f t="shared" si="280"/>
        <v/>
      </c>
      <c r="Y163" t="str">
        <f t="shared" si="280"/>
        <v/>
      </c>
      <c r="AA163">
        <f t="shared" si="211"/>
        <v>42735</v>
      </c>
      <c r="AB163" t="e">
        <f t="shared" si="260"/>
        <v>#N/A</v>
      </c>
      <c r="AC163" t="e">
        <f t="shared" si="261"/>
        <v>#N/A</v>
      </c>
      <c r="AD163" t="e">
        <f t="shared" si="262"/>
        <v>#N/A</v>
      </c>
      <c r="AE163" t="e">
        <f t="shared" si="244"/>
        <v>#N/A</v>
      </c>
      <c r="AF163" t="e">
        <f t="shared" si="245"/>
        <v>#N/A</v>
      </c>
      <c r="AG163" t="e">
        <f t="shared" si="246"/>
        <v>#N/A</v>
      </c>
      <c r="AH163" t="e">
        <f t="shared" si="247"/>
        <v>#N/A</v>
      </c>
      <c r="AI163" t="e">
        <f t="shared" si="248"/>
        <v>#N/A</v>
      </c>
      <c r="AJ163" t="e">
        <f t="shared" si="249"/>
        <v>#N/A</v>
      </c>
      <c r="AK163" t="e">
        <f t="shared" si="250"/>
        <v>#N/A</v>
      </c>
      <c r="AL163" t="e">
        <f t="shared" si="251"/>
        <v>#N/A</v>
      </c>
      <c r="AM163" t="e">
        <f t="shared" si="252"/>
        <v>#N/A</v>
      </c>
      <c r="AN163" t="e">
        <f t="shared" si="253"/>
        <v>#N/A</v>
      </c>
      <c r="AO163" t="e">
        <f t="shared" si="254"/>
        <v>#N/A</v>
      </c>
      <c r="AP163" t="e">
        <f t="shared" si="255"/>
        <v>#N/A</v>
      </c>
      <c r="AQ163" t="e">
        <f t="shared" si="256"/>
        <v>#N/A</v>
      </c>
      <c r="AR163" t="e">
        <f t="shared" si="257"/>
        <v>#N/A</v>
      </c>
      <c r="AS163" t="e">
        <f t="shared" si="258"/>
        <v>#N/A</v>
      </c>
      <c r="AU163">
        <f t="shared" si="212"/>
        <v>2</v>
      </c>
      <c r="AV163" t="str">
        <f t="shared" si="213"/>
        <v/>
      </c>
      <c r="AW163" t="str">
        <f t="shared" si="214"/>
        <v/>
      </c>
      <c r="AX163" t="str">
        <f t="shared" si="215"/>
        <v/>
      </c>
      <c r="AY163" t="str">
        <f t="shared" si="216"/>
        <v/>
      </c>
      <c r="AZ163" t="str">
        <f t="shared" si="217"/>
        <v/>
      </c>
      <c r="BA163" t="str">
        <f t="shared" si="218"/>
        <v/>
      </c>
      <c r="BB163" t="str">
        <f t="shared" si="219"/>
        <v/>
      </c>
      <c r="BC163" t="str">
        <f t="shared" si="220"/>
        <v/>
      </c>
      <c r="BD163" t="str">
        <f t="shared" si="221"/>
        <v/>
      </c>
      <c r="BE163" t="str">
        <f t="shared" si="222"/>
        <v/>
      </c>
      <c r="BF163" t="str">
        <f t="shared" si="223"/>
        <v/>
      </c>
      <c r="BG163" t="str">
        <f t="shared" si="224"/>
        <v/>
      </c>
      <c r="BH163" t="str">
        <f t="shared" si="225"/>
        <v/>
      </c>
      <c r="BI163" t="str">
        <f t="shared" si="226"/>
        <v/>
      </c>
      <c r="BJ163" t="str">
        <f t="shared" si="227"/>
        <v/>
      </c>
      <c r="BK163" t="str">
        <f t="shared" si="228"/>
        <v/>
      </c>
      <c r="BL163" t="str">
        <f t="shared" si="229"/>
        <v/>
      </c>
      <c r="BM163" t="str">
        <f t="shared" si="230"/>
        <v/>
      </c>
      <c r="BP163"/>
      <c r="BR163"/>
    </row>
    <row r="164" spans="1:70" x14ac:dyDescent="0.25">
      <c r="A164" s="1">
        <v>41626</v>
      </c>
      <c r="B164">
        <v>2.5</v>
      </c>
      <c r="C164" s="4">
        <v>42735</v>
      </c>
      <c r="D164">
        <v>2</v>
      </c>
      <c r="E164">
        <f t="shared" si="208"/>
        <v>0.29411764705882354</v>
      </c>
      <c r="F164" s="4"/>
      <c r="G164">
        <v>1</v>
      </c>
      <c r="H164">
        <f t="shared" ref="H164:Y164" si="281">IF($D164&gt;G164,G164+1,"")</f>
        <v>2</v>
      </c>
      <c r="I164" t="str">
        <f t="shared" si="281"/>
        <v/>
      </c>
      <c r="J164" t="str">
        <f t="shared" si="281"/>
        <v/>
      </c>
      <c r="K164" t="str">
        <f t="shared" si="281"/>
        <v/>
      </c>
      <c r="L164" t="str">
        <f t="shared" si="281"/>
        <v/>
      </c>
      <c r="M164" t="str">
        <f t="shared" si="281"/>
        <v/>
      </c>
      <c r="N164" t="str">
        <f t="shared" si="281"/>
        <v/>
      </c>
      <c r="O164" t="str">
        <f t="shared" si="281"/>
        <v/>
      </c>
      <c r="P164" t="str">
        <f t="shared" si="281"/>
        <v/>
      </c>
      <c r="Q164" t="str">
        <f t="shared" si="281"/>
        <v/>
      </c>
      <c r="R164" t="str">
        <f t="shared" si="281"/>
        <v/>
      </c>
      <c r="S164" t="str">
        <f t="shared" si="281"/>
        <v/>
      </c>
      <c r="T164" t="str">
        <f t="shared" si="281"/>
        <v/>
      </c>
      <c r="U164" t="str">
        <f t="shared" si="281"/>
        <v/>
      </c>
      <c r="V164" t="str">
        <f t="shared" si="281"/>
        <v/>
      </c>
      <c r="W164" t="str">
        <f t="shared" si="281"/>
        <v/>
      </c>
      <c r="X164" t="str">
        <f t="shared" si="281"/>
        <v/>
      </c>
      <c r="Y164" t="str">
        <f t="shared" si="281"/>
        <v/>
      </c>
      <c r="AA164">
        <f t="shared" si="211"/>
        <v>42724.962500000001</v>
      </c>
      <c r="AB164">
        <f t="shared" si="260"/>
        <v>42745.037500000006</v>
      </c>
      <c r="AC164" t="e">
        <f t="shared" si="261"/>
        <v>#N/A</v>
      </c>
      <c r="AD164" t="e">
        <f t="shared" si="262"/>
        <v>#N/A</v>
      </c>
      <c r="AE164" t="e">
        <f t="shared" si="244"/>
        <v>#N/A</v>
      </c>
      <c r="AF164" t="e">
        <f t="shared" si="245"/>
        <v>#N/A</v>
      </c>
      <c r="AG164" t="e">
        <f t="shared" si="246"/>
        <v>#N/A</v>
      </c>
      <c r="AH164" t="e">
        <f t="shared" si="247"/>
        <v>#N/A</v>
      </c>
      <c r="AI164" t="e">
        <f t="shared" si="248"/>
        <v>#N/A</v>
      </c>
      <c r="AJ164" t="e">
        <f t="shared" si="249"/>
        <v>#N/A</v>
      </c>
      <c r="AK164" t="e">
        <f t="shared" si="250"/>
        <v>#N/A</v>
      </c>
      <c r="AL164" t="e">
        <f t="shared" si="251"/>
        <v>#N/A</v>
      </c>
      <c r="AM164" t="e">
        <f t="shared" si="252"/>
        <v>#N/A</v>
      </c>
      <c r="AN164" t="e">
        <f t="shared" si="253"/>
        <v>#N/A</v>
      </c>
      <c r="AO164" t="e">
        <f t="shared" si="254"/>
        <v>#N/A</v>
      </c>
      <c r="AP164" t="e">
        <f t="shared" si="255"/>
        <v>#N/A</v>
      </c>
      <c r="AQ164" t="e">
        <f t="shared" si="256"/>
        <v>#N/A</v>
      </c>
      <c r="AR164" t="e">
        <f t="shared" si="257"/>
        <v>#N/A</v>
      </c>
      <c r="AS164" t="e">
        <f t="shared" si="258"/>
        <v>#N/A</v>
      </c>
      <c r="AU164">
        <f t="shared" si="212"/>
        <v>2.5</v>
      </c>
      <c r="AV164">
        <f t="shared" si="213"/>
        <v>2.5</v>
      </c>
      <c r="AW164" t="str">
        <f t="shared" si="214"/>
        <v/>
      </c>
      <c r="AX164" t="str">
        <f t="shared" si="215"/>
        <v/>
      </c>
      <c r="AY164" t="str">
        <f t="shared" si="216"/>
        <v/>
      </c>
      <c r="AZ164" t="str">
        <f t="shared" si="217"/>
        <v/>
      </c>
      <c r="BA164" t="str">
        <f t="shared" si="218"/>
        <v/>
      </c>
      <c r="BB164" t="str">
        <f t="shared" si="219"/>
        <v/>
      </c>
      <c r="BC164" t="str">
        <f t="shared" si="220"/>
        <v/>
      </c>
      <c r="BD164" t="str">
        <f t="shared" si="221"/>
        <v/>
      </c>
      <c r="BE164" t="str">
        <f t="shared" si="222"/>
        <v/>
      </c>
      <c r="BF164" t="str">
        <f t="shared" si="223"/>
        <v/>
      </c>
      <c r="BG164" t="str">
        <f t="shared" si="224"/>
        <v/>
      </c>
      <c r="BH164" t="str">
        <f t="shared" si="225"/>
        <v/>
      </c>
      <c r="BI164" t="str">
        <f t="shared" si="226"/>
        <v/>
      </c>
      <c r="BJ164" t="str">
        <f t="shared" si="227"/>
        <v/>
      </c>
      <c r="BK164" t="str">
        <f t="shared" si="228"/>
        <v/>
      </c>
      <c r="BL164" t="str">
        <f t="shared" si="229"/>
        <v/>
      </c>
      <c r="BM164" t="str">
        <f t="shared" si="230"/>
        <v/>
      </c>
      <c r="BP164"/>
      <c r="BR164"/>
    </row>
    <row r="165" spans="1:70" x14ac:dyDescent="0.25">
      <c r="A165" s="1">
        <v>41626</v>
      </c>
      <c r="B165">
        <v>2.75</v>
      </c>
      <c r="C165" s="4">
        <v>42735</v>
      </c>
      <c r="D165">
        <v>1</v>
      </c>
      <c r="E165">
        <f t="shared" si="208"/>
        <v>0.16176470588235295</v>
      </c>
      <c r="F165" s="4"/>
      <c r="G165">
        <v>1</v>
      </c>
      <c r="H165" t="str">
        <f t="shared" ref="H165:Y165" si="282">IF($D165&gt;G165,G165+1,"")</f>
        <v/>
      </c>
      <c r="I165" t="str">
        <f t="shared" si="282"/>
        <v/>
      </c>
      <c r="J165" t="str">
        <f t="shared" si="282"/>
        <v/>
      </c>
      <c r="K165" t="str">
        <f t="shared" si="282"/>
        <v/>
      </c>
      <c r="L165" t="str">
        <f t="shared" si="282"/>
        <v/>
      </c>
      <c r="M165" t="str">
        <f t="shared" si="282"/>
        <v/>
      </c>
      <c r="N165" t="str">
        <f t="shared" si="282"/>
        <v/>
      </c>
      <c r="O165" t="str">
        <f t="shared" si="282"/>
        <v/>
      </c>
      <c r="P165" t="str">
        <f t="shared" si="282"/>
        <v/>
      </c>
      <c r="Q165" t="str">
        <f t="shared" si="282"/>
        <v/>
      </c>
      <c r="R165" t="str">
        <f t="shared" si="282"/>
        <v/>
      </c>
      <c r="S165" t="str">
        <f t="shared" si="282"/>
        <v/>
      </c>
      <c r="T165" t="str">
        <f t="shared" si="282"/>
        <v/>
      </c>
      <c r="U165" t="str">
        <f t="shared" si="282"/>
        <v/>
      </c>
      <c r="V165" t="str">
        <f t="shared" si="282"/>
        <v/>
      </c>
      <c r="W165" t="str">
        <f t="shared" si="282"/>
        <v/>
      </c>
      <c r="X165" t="str">
        <f t="shared" si="282"/>
        <v/>
      </c>
      <c r="Y165" t="str">
        <f t="shared" si="282"/>
        <v/>
      </c>
      <c r="AA165">
        <f t="shared" si="211"/>
        <v>42735</v>
      </c>
      <c r="AB165" t="e">
        <f t="shared" si="260"/>
        <v>#N/A</v>
      </c>
      <c r="AC165" t="e">
        <f t="shared" si="261"/>
        <v>#N/A</v>
      </c>
      <c r="AD165" t="e">
        <f t="shared" si="262"/>
        <v>#N/A</v>
      </c>
      <c r="AE165" t="e">
        <f t="shared" si="244"/>
        <v>#N/A</v>
      </c>
      <c r="AF165" t="e">
        <f t="shared" si="245"/>
        <v>#N/A</v>
      </c>
      <c r="AG165" t="e">
        <f t="shared" si="246"/>
        <v>#N/A</v>
      </c>
      <c r="AH165" t="e">
        <f t="shared" si="247"/>
        <v>#N/A</v>
      </c>
      <c r="AI165" t="e">
        <f t="shared" si="248"/>
        <v>#N/A</v>
      </c>
      <c r="AJ165" t="e">
        <f t="shared" si="249"/>
        <v>#N/A</v>
      </c>
      <c r="AK165" t="e">
        <f t="shared" si="250"/>
        <v>#N/A</v>
      </c>
      <c r="AL165" t="e">
        <f t="shared" si="251"/>
        <v>#N/A</v>
      </c>
      <c r="AM165" t="e">
        <f t="shared" si="252"/>
        <v>#N/A</v>
      </c>
      <c r="AN165" t="e">
        <f t="shared" si="253"/>
        <v>#N/A</v>
      </c>
      <c r="AO165" t="e">
        <f t="shared" si="254"/>
        <v>#N/A</v>
      </c>
      <c r="AP165" t="e">
        <f t="shared" si="255"/>
        <v>#N/A</v>
      </c>
      <c r="AQ165" t="e">
        <f t="shared" si="256"/>
        <v>#N/A</v>
      </c>
      <c r="AR165" t="e">
        <f t="shared" si="257"/>
        <v>#N/A</v>
      </c>
      <c r="AS165" t="e">
        <f t="shared" si="258"/>
        <v>#N/A</v>
      </c>
      <c r="AU165">
        <f t="shared" si="212"/>
        <v>2.75</v>
      </c>
      <c r="AV165" t="str">
        <f t="shared" si="213"/>
        <v/>
      </c>
      <c r="AW165" t="str">
        <f t="shared" si="214"/>
        <v/>
      </c>
      <c r="AX165" t="str">
        <f t="shared" si="215"/>
        <v/>
      </c>
      <c r="AY165" t="str">
        <f t="shared" si="216"/>
        <v/>
      </c>
      <c r="AZ165" t="str">
        <f t="shared" si="217"/>
        <v/>
      </c>
      <c r="BA165" t="str">
        <f t="shared" si="218"/>
        <v/>
      </c>
      <c r="BB165" t="str">
        <f t="shared" si="219"/>
        <v/>
      </c>
      <c r="BC165" t="str">
        <f t="shared" si="220"/>
        <v/>
      </c>
      <c r="BD165" t="str">
        <f t="shared" si="221"/>
        <v/>
      </c>
      <c r="BE165" t="str">
        <f t="shared" si="222"/>
        <v/>
      </c>
      <c r="BF165" t="str">
        <f t="shared" si="223"/>
        <v/>
      </c>
      <c r="BG165" t="str">
        <f t="shared" si="224"/>
        <v/>
      </c>
      <c r="BH165" t="str">
        <f t="shared" si="225"/>
        <v/>
      </c>
      <c r="BI165" t="str">
        <f t="shared" si="226"/>
        <v/>
      </c>
      <c r="BJ165" t="str">
        <f t="shared" si="227"/>
        <v/>
      </c>
      <c r="BK165" t="str">
        <f t="shared" si="228"/>
        <v/>
      </c>
      <c r="BL165" t="str">
        <f t="shared" si="229"/>
        <v/>
      </c>
      <c r="BM165" t="str">
        <f t="shared" si="230"/>
        <v/>
      </c>
      <c r="BP165"/>
      <c r="BR165"/>
    </row>
    <row r="166" spans="1:70" x14ac:dyDescent="0.25">
      <c r="A166" s="1">
        <v>41626</v>
      </c>
      <c r="B166">
        <v>3</v>
      </c>
      <c r="C166" s="4">
        <v>42735</v>
      </c>
      <c r="D166">
        <v>1</v>
      </c>
      <c r="E166">
        <f t="shared" si="208"/>
        <v>0.1764705882352941</v>
      </c>
      <c r="F166" s="4"/>
      <c r="G166">
        <v>1</v>
      </c>
      <c r="H166" t="str">
        <f t="shared" ref="H166:Y166" si="283">IF($D166&gt;G166,G166+1,"")</f>
        <v/>
      </c>
      <c r="I166" t="str">
        <f t="shared" si="283"/>
        <v/>
      </c>
      <c r="J166" t="str">
        <f t="shared" si="283"/>
        <v/>
      </c>
      <c r="K166" t="str">
        <f t="shared" si="283"/>
        <v/>
      </c>
      <c r="L166" t="str">
        <f t="shared" si="283"/>
        <v/>
      </c>
      <c r="M166" t="str">
        <f t="shared" si="283"/>
        <v/>
      </c>
      <c r="N166" t="str">
        <f t="shared" si="283"/>
        <v/>
      </c>
      <c r="O166" t="str">
        <f t="shared" si="283"/>
        <v/>
      </c>
      <c r="P166" t="str">
        <f t="shared" si="283"/>
        <v/>
      </c>
      <c r="Q166" t="str">
        <f t="shared" si="283"/>
        <v/>
      </c>
      <c r="R166" t="str">
        <f t="shared" si="283"/>
        <v/>
      </c>
      <c r="S166" t="str">
        <f t="shared" si="283"/>
        <v/>
      </c>
      <c r="T166" t="str">
        <f t="shared" si="283"/>
        <v/>
      </c>
      <c r="U166" t="str">
        <f t="shared" si="283"/>
        <v/>
      </c>
      <c r="V166" t="str">
        <f t="shared" si="283"/>
        <v/>
      </c>
      <c r="W166" t="str">
        <f t="shared" si="283"/>
        <v/>
      </c>
      <c r="X166" t="str">
        <f t="shared" si="283"/>
        <v/>
      </c>
      <c r="Y166" t="str">
        <f t="shared" si="283"/>
        <v/>
      </c>
      <c r="AA166">
        <f t="shared" si="211"/>
        <v>42735</v>
      </c>
      <c r="AB166" t="e">
        <f t="shared" si="260"/>
        <v>#N/A</v>
      </c>
      <c r="AC166" t="e">
        <f t="shared" si="261"/>
        <v>#N/A</v>
      </c>
      <c r="AD166" t="e">
        <f t="shared" si="262"/>
        <v>#N/A</v>
      </c>
      <c r="AE166" t="e">
        <f t="shared" si="244"/>
        <v>#N/A</v>
      </c>
      <c r="AF166" t="e">
        <f t="shared" si="245"/>
        <v>#N/A</v>
      </c>
      <c r="AG166" t="e">
        <f t="shared" si="246"/>
        <v>#N/A</v>
      </c>
      <c r="AH166" t="e">
        <f t="shared" si="247"/>
        <v>#N/A</v>
      </c>
      <c r="AI166" t="e">
        <f t="shared" si="248"/>
        <v>#N/A</v>
      </c>
      <c r="AJ166" t="e">
        <f t="shared" si="249"/>
        <v>#N/A</v>
      </c>
      <c r="AK166" t="e">
        <f t="shared" si="250"/>
        <v>#N/A</v>
      </c>
      <c r="AL166" t="e">
        <f t="shared" si="251"/>
        <v>#N/A</v>
      </c>
      <c r="AM166" t="e">
        <f t="shared" si="252"/>
        <v>#N/A</v>
      </c>
      <c r="AN166" t="e">
        <f t="shared" si="253"/>
        <v>#N/A</v>
      </c>
      <c r="AO166" t="e">
        <f t="shared" si="254"/>
        <v>#N/A</v>
      </c>
      <c r="AP166" t="e">
        <f t="shared" si="255"/>
        <v>#N/A</v>
      </c>
      <c r="AQ166" t="e">
        <f t="shared" si="256"/>
        <v>#N/A</v>
      </c>
      <c r="AR166" t="e">
        <f t="shared" si="257"/>
        <v>#N/A</v>
      </c>
      <c r="AS166" t="e">
        <f t="shared" si="258"/>
        <v>#N/A</v>
      </c>
      <c r="AU166">
        <f t="shared" si="212"/>
        <v>3</v>
      </c>
      <c r="AV166" t="str">
        <f t="shared" si="213"/>
        <v/>
      </c>
      <c r="AW166" t="str">
        <f t="shared" si="214"/>
        <v/>
      </c>
      <c r="AX166" t="str">
        <f t="shared" si="215"/>
        <v/>
      </c>
      <c r="AY166" t="str">
        <f t="shared" si="216"/>
        <v/>
      </c>
      <c r="AZ166" t="str">
        <f t="shared" si="217"/>
        <v/>
      </c>
      <c r="BA166" t="str">
        <f t="shared" si="218"/>
        <v/>
      </c>
      <c r="BB166" t="str">
        <f t="shared" si="219"/>
        <v/>
      </c>
      <c r="BC166" t="str">
        <f t="shared" si="220"/>
        <v/>
      </c>
      <c r="BD166" t="str">
        <f t="shared" si="221"/>
        <v/>
      </c>
      <c r="BE166" t="str">
        <f t="shared" si="222"/>
        <v/>
      </c>
      <c r="BF166" t="str">
        <f t="shared" si="223"/>
        <v/>
      </c>
      <c r="BG166" t="str">
        <f t="shared" si="224"/>
        <v/>
      </c>
      <c r="BH166" t="str">
        <f t="shared" si="225"/>
        <v/>
      </c>
      <c r="BI166" t="str">
        <f t="shared" si="226"/>
        <v/>
      </c>
      <c r="BJ166" t="str">
        <f t="shared" si="227"/>
        <v/>
      </c>
      <c r="BK166" t="str">
        <f t="shared" si="228"/>
        <v/>
      </c>
      <c r="BL166" t="str">
        <f t="shared" si="229"/>
        <v/>
      </c>
      <c r="BM166" t="str">
        <f t="shared" si="230"/>
        <v/>
      </c>
      <c r="BP166"/>
      <c r="BR166"/>
    </row>
    <row r="167" spans="1:70" x14ac:dyDescent="0.25">
      <c r="A167" s="1">
        <v>41626</v>
      </c>
      <c r="B167">
        <v>3.25</v>
      </c>
      <c r="C167" s="4">
        <v>42735</v>
      </c>
      <c r="D167">
        <v>1</v>
      </c>
      <c r="E167">
        <f t="shared" si="208"/>
        <v>0.19117647058823528</v>
      </c>
      <c r="F167" s="4"/>
      <c r="G167">
        <v>1</v>
      </c>
      <c r="H167" t="str">
        <f t="shared" ref="H167:Y167" si="284">IF($D167&gt;G167,G167+1,"")</f>
        <v/>
      </c>
      <c r="I167" t="str">
        <f t="shared" si="284"/>
        <v/>
      </c>
      <c r="J167" t="str">
        <f t="shared" si="284"/>
        <v/>
      </c>
      <c r="K167" t="str">
        <f t="shared" si="284"/>
        <v/>
      </c>
      <c r="L167" t="str">
        <f t="shared" si="284"/>
        <v/>
      </c>
      <c r="M167" t="str">
        <f t="shared" si="284"/>
        <v/>
      </c>
      <c r="N167" t="str">
        <f t="shared" si="284"/>
        <v/>
      </c>
      <c r="O167" t="str">
        <f t="shared" si="284"/>
        <v/>
      </c>
      <c r="P167" t="str">
        <f t="shared" si="284"/>
        <v/>
      </c>
      <c r="Q167" t="str">
        <f t="shared" si="284"/>
        <v/>
      </c>
      <c r="R167" t="str">
        <f t="shared" si="284"/>
        <v/>
      </c>
      <c r="S167" t="str">
        <f t="shared" si="284"/>
        <v/>
      </c>
      <c r="T167" t="str">
        <f t="shared" si="284"/>
        <v/>
      </c>
      <c r="U167" t="str">
        <f t="shared" si="284"/>
        <v/>
      </c>
      <c r="V167" t="str">
        <f t="shared" si="284"/>
        <v/>
      </c>
      <c r="W167" t="str">
        <f t="shared" si="284"/>
        <v/>
      </c>
      <c r="X167" t="str">
        <f t="shared" si="284"/>
        <v/>
      </c>
      <c r="Y167" t="str">
        <f t="shared" si="284"/>
        <v/>
      </c>
      <c r="AA167">
        <f t="shared" si="211"/>
        <v>42735</v>
      </c>
      <c r="AB167" t="e">
        <f t="shared" si="260"/>
        <v>#N/A</v>
      </c>
      <c r="AC167" t="e">
        <f t="shared" si="261"/>
        <v>#N/A</v>
      </c>
      <c r="AD167" t="e">
        <f t="shared" si="262"/>
        <v>#N/A</v>
      </c>
      <c r="AE167" t="e">
        <f t="shared" si="244"/>
        <v>#N/A</v>
      </c>
      <c r="AF167" t="e">
        <f t="shared" si="245"/>
        <v>#N/A</v>
      </c>
      <c r="AG167" t="e">
        <f t="shared" si="246"/>
        <v>#N/A</v>
      </c>
      <c r="AH167" t="e">
        <f t="shared" si="247"/>
        <v>#N/A</v>
      </c>
      <c r="AI167" t="e">
        <f t="shared" si="248"/>
        <v>#N/A</v>
      </c>
      <c r="AJ167" t="e">
        <f t="shared" si="249"/>
        <v>#N/A</v>
      </c>
      <c r="AK167" t="e">
        <f t="shared" si="250"/>
        <v>#N/A</v>
      </c>
      <c r="AL167" t="e">
        <f t="shared" si="251"/>
        <v>#N/A</v>
      </c>
      <c r="AM167" t="e">
        <f t="shared" si="252"/>
        <v>#N/A</v>
      </c>
      <c r="AN167" t="e">
        <f t="shared" si="253"/>
        <v>#N/A</v>
      </c>
      <c r="AO167" t="e">
        <f t="shared" si="254"/>
        <v>#N/A</v>
      </c>
      <c r="AP167" t="e">
        <f t="shared" si="255"/>
        <v>#N/A</v>
      </c>
      <c r="AQ167" t="e">
        <f t="shared" si="256"/>
        <v>#N/A</v>
      </c>
      <c r="AR167" t="e">
        <f t="shared" si="257"/>
        <v>#N/A</v>
      </c>
      <c r="AS167" t="e">
        <f t="shared" si="258"/>
        <v>#N/A</v>
      </c>
      <c r="AU167">
        <f t="shared" si="212"/>
        <v>3.25</v>
      </c>
      <c r="AV167" t="str">
        <f t="shared" si="213"/>
        <v/>
      </c>
      <c r="AW167" t="str">
        <f t="shared" si="214"/>
        <v/>
      </c>
      <c r="AX167" t="str">
        <f t="shared" si="215"/>
        <v/>
      </c>
      <c r="AY167" t="str">
        <f t="shared" si="216"/>
        <v/>
      </c>
      <c r="AZ167" t="str">
        <f t="shared" si="217"/>
        <v/>
      </c>
      <c r="BA167" t="str">
        <f t="shared" si="218"/>
        <v/>
      </c>
      <c r="BB167" t="str">
        <f t="shared" si="219"/>
        <v/>
      </c>
      <c r="BC167" t="str">
        <f t="shared" si="220"/>
        <v/>
      </c>
      <c r="BD167" t="str">
        <f t="shared" si="221"/>
        <v/>
      </c>
      <c r="BE167" t="str">
        <f t="shared" si="222"/>
        <v/>
      </c>
      <c r="BF167" t="str">
        <f t="shared" si="223"/>
        <v/>
      </c>
      <c r="BG167" t="str">
        <f t="shared" si="224"/>
        <v/>
      </c>
      <c r="BH167" t="str">
        <f t="shared" si="225"/>
        <v/>
      </c>
      <c r="BI167" t="str">
        <f t="shared" si="226"/>
        <v/>
      </c>
      <c r="BJ167" t="str">
        <f t="shared" si="227"/>
        <v/>
      </c>
      <c r="BK167" t="str">
        <f t="shared" si="228"/>
        <v/>
      </c>
      <c r="BL167" t="str">
        <f t="shared" si="229"/>
        <v/>
      </c>
      <c r="BM167" t="str">
        <f t="shared" si="230"/>
        <v/>
      </c>
      <c r="BP167"/>
      <c r="BR167"/>
    </row>
    <row r="168" spans="1:70" x14ac:dyDescent="0.25">
      <c r="A168" s="1">
        <v>41626</v>
      </c>
      <c r="B168">
        <v>4</v>
      </c>
      <c r="C168" s="4">
        <v>42735</v>
      </c>
      <c r="D168">
        <v>1</v>
      </c>
      <c r="E168">
        <f t="shared" si="208"/>
        <v>0.23529411764705882</v>
      </c>
      <c r="F168" s="4"/>
      <c r="G168">
        <v>1</v>
      </c>
      <c r="H168" t="str">
        <f t="shared" ref="H168:Y168" si="285">IF($D168&gt;G168,G168+1,"")</f>
        <v/>
      </c>
      <c r="I168" t="str">
        <f t="shared" si="285"/>
        <v/>
      </c>
      <c r="J168" t="str">
        <f t="shared" si="285"/>
        <v/>
      </c>
      <c r="K168" t="str">
        <f t="shared" si="285"/>
        <v/>
      </c>
      <c r="L168" t="str">
        <f t="shared" si="285"/>
        <v/>
      </c>
      <c r="M168" t="str">
        <f t="shared" si="285"/>
        <v/>
      </c>
      <c r="N168" t="str">
        <f t="shared" si="285"/>
        <v/>
      </c>
      <c r="O168" t="str">
        <f t="shared" si="285"/>
        <v/>
      </c>
      <c r="P168" t="str">
        <f t="shared" si="285"/>
        <v/>
      </c>
      <c r="Q168" t="str">
        <f t="shared" si="285"/>
        <v/>
      </c>
      <c r="R168" t="str">
        <f t="shared" si="285"/>
        <v/>
      </c>
      <c r="S168" t="str">
        <f t="shared" si="285"/>
        <v/>
      </c>
      <c r="T168" t="str">
        <f t="shared" si="285"/>
        <v/>
      </c>
      <c r="U168" t="str">
        <f t="shared" si="285"/>
        <v/>
      </c>
      <c r="V168" t="str">
        <f t="shared" si="285"/>
        <v/>
      </c>
      <c r="W168" t="str">
        <f t="shared" si="285"/>
        <v/>
      </c>
      <c r="X168" t="str">
        <f t="shared" si="285"/>
        <v/>
      </c>
      <c r="Y168" t="str">
        <f t="shared" si="285"/>
        <v/>
      </c>
      <c r="AA168">
        <f t="shared" si="211"/>
        <v>42735</v>
      </c>
      <c r="AB168" t="e">
        <f t="shared" si="260"/>
        <v>#N/A</v>
      </c>
      <c r="AC168" t="e">
        <f t="shared" si="261"/>
        <v>#N/A</v>
      </c>
      <c r="AD168" t="e">
        <f t="shared" si="262"/>
        <v>#N/A</v>
      </c>
      <c r="AE168" t="e">
        <f t="shared" si="244"/>
        <v>#N/A</v>
      </c>
      <c r="AF168" t="e">
        <f t="shared" si="245"/>
        <v>#N/A</v>
      </c>
      <c r="AG168" t="e">
        <f t="shared" si="246"/>
        <v>#N/A</v>
      </c>
      <c r="AH168" t="e">
        <f t="shared" si="247"/>
        <v>#N/A</v>
      </c>
      <c r="AI168" t="e">
        <f t="shared" si="248"/>
        <v>#N/A</v>
      </c>
      <c r="AJ168" t="e">
        <f t="shared" si="249"/>
        <v>#N/A</v>
      </c>
      <c r="AK168" t="e">
        <f t="shared" si="250"/>
        <v>#N/A</v>
      </c>
      <c r="AL168" t="e">
        <f t="shared" si="251"/>
        <v>#N/A</v>
      </c>
      <c r="AM168" t="e">
        <f t="shared" si="252"/>
        <v>#N/A</v>
      </c>
      <c r="AN168" t="e">
        <f t="shared" si="253"/>
        <v>#N/A</v>
      </c>
      <c r="AO168" t="e">
        <f t="shared" si="254"/>
        <v>#N/A</v>
      </c>
      <c r="AP168" t="e">
        <f t="shared" si="255"/>
        <v>#N/A</v>
      </c>
      <c r="AQ168" t="e">
        <f t="shared" si="256"/>
        <v>#N/A</v>
      </c>
      <c r="AR168" t="e">
        <f t="shared" si="257"/>
        <v>#N/A</v>
      </c>
      <c r="AS168" t="e">
        <f t="shared" si="258"/>
        <v>#N/A</v>
      </c>
      <c r="AU168">
        <f t="shared" si="212"/>
        <v>4</v>
      </c>
      <c r="AV168" t="str">
        <f t="shared" si="213"/>
        <v/>
      </c>
      <c r="AW168" t="str">
        <f t="shared" si="214"/>
        <v/>
      </c>
      <c r="AX168" t="str">
        <f t="shared" si="215"/>
        <v/>
      </c>
      <c r="AY168" t="str">
        <f t="shared" si="216"/>
        <v/>
      </c>
      <c r="AZ168" t="str">
        <f t="shared" si="217"/>
        <v/>
      </c>
      <c r="BA168" t="str">
        <f t="shared" si="218"/>
        <v/>
      </c>
      <c r="BB168" t="str">
        <f t="shared" si="219"/>
        <v/>
      </c>
      <c r="BC168" t="str">
        <f t="shared" si="220"/>
        <v/>
      </c>
      <c r="BD168" t="str">
        <f t="shared" si="221"/>
        <v/>
      </c>
      <c r="BE168" t="str">
        <f t="shared" si="222"/>
        <v/>
      </c>
      <c r="BF168" t="str">
        <f t="shared" si="223"/>
        <v/>
      </c>
      <c r="BG168" t="str">
        <f t="shared" si="224"/>
        <v/>
      </c>
      <c r="BH168" t="str">
        <f t="shared" si="225"/>
        <v/>
      </c>
      <c r="BI168" t="str">
        <f t="shared" si="226"/>
        <v/>
      </c>
      <c r="BJ168" t="str">
        <f t="shared" si="227"/>
        <v/>
      </c>
      <c r="BK168" t="str">
        <f t="shared" si="228"/>
        <v/>
      </c>
      <c r="BL168" t="str">
        <f t="shared" si="229"/>
        <v/>
      </c>
      <c r="BM168" t="str">
        <f t="shared" si="230"/>
        <v/>
      </c>
      <c r="BP168"/>
      <c r="BR168"/>
    </row>
    <row r="169" spans="1:70" x14ac:dyDescent="0.25">
      <c r="A169" s="1">
        <v>41626</v>
      </c>
      <c r="B169">
        <v>4.25</v>
      </c>
      <c r="C169" s="4">
        <v>42735</v>
      </c>
      <c r="D169">
        <v>1</v>
      </c>
      <c r="E169">
        <f t="shared" si="208"/>
        <v>0.25</v>
      </c>
      <c r="F169" s="4"/>
      <c r="G169">
        <v>1</v>
      </c>
      <c r="H169" t="str">
        <f t="shared" ref="H169:Y169" si="286">IF($D169&gt;G169,G169+1,"")</f>
        <v/>
      </c>
      <c r="I169" t="str">
        <f t="shared" si="286"/>
        <v/>
      </c>
      <c r="J169" t="str">
        <f t="shared" si="286"/>
        <v/>
      </c>
      <c r="K169" t="str">
        <f t="shared" si="286"/>
        <v/>
      </c>
      <c r="L169" t="str">
        <f t="shared" si="286"/>
        <v/>
      </c>
      <c r="M169" t="str">
        <f t="shared" si="286"/>
        <v/>
      </c>
      <c r="N169" t="str">
        <f t="shared" si="286"/>
        <v/>
      </c>
      <c r="O169" t="str">
        <f t="shared" si="286"/>
        <v/>
      </c>
      <c r="P169" t="str">
        <f t="shared" si="286"/>
        <v/>
      </c>
      <c r="Q169" t="str">
        <f t="shared" si="286"/>
        <v/>
      </c>
      <c r="R169" t="str">
        <f t="shared" si="286"/>
        <v/>
      </c>
      <c r="S169" t="str">
        <f t="shared" si="286"/>
        <v/>
      </c>
      <c r="T169" t="str">
        <f t="shared" si="286"/>
        <v/>
      </c>
      <c r="U169" t="str">
        <f t="shared" si="286"/>
        <v/>
      </c>
      <c r="V169" t="str">
        <f t="shared" si="286"/>
        <v/>
      </c>
      <c r="W169" t="str">
        <f t="shared" si="286"/>
        <v/>
      </c>
      <c r="X169" t="str">
        <f t="shared" si="286"/>
        <v/>
      </c>
      <c r="Y169" t="str">
        <f t="shared" si="286"/>
        <v/>
      </c>
      <c r="AA169">
        <f t="shared" si="211"/>
        <v>42735</v>
      </c>
      <c r="AB169" t="e">
        <f t="shared" si="260"/>
        <v>#N/A</v>
      </c>
      <c r="AC169" t="e">
        <f t="shared" si="261"/>
        <v>#N/A</v>
      </c>
      <c r="AD169" t="e">
        <f t="shared" si="262"/>
        <v>#N/A</v>
      </c>
      <c r="AE169" t="e">
        <f t="shared" si="244"/>
        <v>#N/A</v>
      </c>
      <c r="AF169" t="e">
        <f t="shared" si="245"/>
        <v>#N/A</v>
      </c>
      <c r="AG169" t="e">
        <f t="shared" si="246"/>
        <v>#N/A</v>
      </c>
      <c r="AH169" t="e">
        <f t="shared" si="247"/>
        <v>#N/A</v>
      </c>
      <c r="AI169" t="e">
        <f t="shared" si="248"/>
        <v>#N/A</v>
      </c>
      <c r="AJ169" t="e">
        <f t="shared" si="249"/>
        <v>#N/A</v>
      </c>
      <c r="AK169" t="e">
        <f t="shared" si="250"/>
        <v>#N/A</v>
      </c>
      <c r="AL169" t="e">
        <f t="shared" si="251"/>
        <v>#N/A</v>
      </c>
      <c r="AM169" t="e">
        <f t="shared" si="252"/>
        <v>#N/A</v>
      </c>
      <c r="AN169" t="e">
        <f t="shared" si="253"/>
        <v>#N/A</v>
      </c>
      <c r="AO169" t="e">
        <f t="shared" si="254"/>
        <v>#N/A</v>
      </c>
      <c r="AP169" t="e">
        <f t="shared" si="255"/>
        <v>#N/A</v>
      </c>
      <c r="AQ169" t="e">
        <f t="shared" si="256"/>
        <v>#N/A</v>
      </c>
      <c r="AR169" t="e">
        <f t="shared" si="257"/>
        <v>#N/A</v>
      </c>
      <c r="AS169" t="e">
        <f t="shared" si="258"/>
        <v>#N/A</v>
      </c>
      <c r="AU169">
        <f t="shared" si="212"/>
        <v>4.25</v>
      </c>
      <c r="AV169" t="str">
        <f t="shared" si="213"/>
        <v/>
      </c>
      <c r="AW169" t="str">
        <f t="shared" si="214"/>
        <v/>
      </c>
      <c r="AX169" t="str">
        <f t="shared" si="215"/>
        <v/>
      </c>
      <c r="AY169" t="str">
        <f t="shared" si="216"/>
        <v/>
      </c>
      <c r="AZ169" t="str">
        <f t="shared" si="217"/>
        <v/>
      </c>
      <c r="BA169" t="str">
        <f t="shared" si="218"/>
        <v/>
      </c>
      <c r="BB169" t="str">
        <f t="shared" si="219"/>
        <v/>
      </c>
      <c r="BC169" t="str">
        <f t="shared" si="220"/>
        <v/>
      </c>
      <c r="BD169" t="str">
        <f t="shared" si="221"/>
        <v/>
      </c>
      <c r="BE169" t="str">
        <f t="shared" si="222"/>
        <v/>
      </c>
      <c r="BF169" t="str">
        <f t="shared" si="223"/>
        <v/>
      </c>
      <c r="BG169" t="str">
        <f t="shared" si="224"/>
        <v/>
      </c>
      <c r="BH169" t="str">
        <f t="shared" si="225"/>
        <v/>
      </c>
      <c r="BI169" t="str">
        <f t="shared" si="226"/>
        <v/>
      </c>
      <c r="BJ169" t="str">
        <f t="shared" si="227"/>
        <v/>
      </c>
      <c r="BK169" t="str">
        <f t="shared" si="228"/>
        <v/>
      </c>
      <c r="BL169" t="str">
        <f t="shared" si="229"/>
        <v/>
      </c>
      <c r="BM169" t="str">
        <f t="shared" si="230"/>
        <v/>
      </c>
      <c r="BP169"/>
      <c r="BR169"/>
    </row>
    <row r="170" spans="1:70" x14ac:dyDescent="0.25">
      <c r="A170" s="1">
        <v>41626</v>
      </c>
      <c r="B170">
        <v>3.5</v>
      </c>
      <c r="C170" s="4">
        <v>43100</v>
      </c>
      <c r="D170">
        <v>3</v>
      </c>
      <c r="E170">
        <f t="shared" si="208"/>
        <v>0.61764705882352944</v>
      </c>
      <c r="F170" s="4"/>
      <c r="G170">
        <v>1</v>
      </c>
      <c r="H170">
        <f t="shared" ref="H170:Y170" si="287">IF($D170&gt;G170,G170+1,"")</f>
        <v>2</v>
      </c>
      <c r="I170">
        <f t="shared" si="287"/>
        <v>3</v>
      </c>
      <c r="J170" t="str">
        <f t="shared" si="287"/>
        <v/>
      </c>
      <c r="K170" t="str">
        <f t="shared" si="287"/>
        <v/>
      </c>
      <c r="L170" t="str">
        <f t="shared" si="287"/>
        <v/>
      </c>
      <c r="M170" t="str">
        <f t="shared" si="287"/>
        <v/>
      </c>
      <c r="N170" t="str">
        <f t="shared" si="287"/>
        <v/>
      </c>
      <c r="O170" t="str">
        <f t="shared" si="287"/>
        <v/>
      </c>
      <c r="P170" t="str">
        <f t="shared" si="287"/>
        <v/>
      </c>
      <c r="Q170" t="str">
        <f t="shared" si="287"/>
        <v/>
      </c>
      <c r="R170" t="str">
        <f t="shared" si="287"/>
        <v/>
      </c>
      <c r="S170" t="str">
        <f t="shared" si="287"/>
        <v/>
      </c>
      <c r="T170" t="str">
        <f t="shared" si="287"/>
        <v/>
      </c>
      <c r="U170" t="str">
        <f t="shared" si="287"/>
        <v/>
      </c>
      <c r="V170" t="str">
        <f t="shared" si="287"/>
        <v/>
      </c>
      <c r="W170" t="str">
        <f t="shared" si="287"/>
        <v/>
      </c>
      <c r="X170" t="str">
        <f t="shared" si="287"/>
        <v/>
      </c>
      <c r="Y170" t="str">
        <f t="shared" si="287"/>
        <v/>
      </c>
      <c r="AA170">
        <f t="shared" si="211"/>
        <v>43079.924999999996</v>
      </c>
      <c r="AB170">
        <f t="shared" si="260"/>
        <v>43100</v>
      </c>
      <c r="AC170">
        <f t="shared" si="261"/>
        <v>43120.074999999997</v>
      </c>
      <c r="AD170" t="e">
        <f t="shared" si="262"/>
        <v>#N/A</v>
      </c>
      <c r="AE170" t="e">
        <f t="shared" si="244"/>
        <v>#N/A</v>
      </c>
      <c r="AF170" t="e">
        <f t="shared" si="245"/>
        <v>#N/A</v>
      </c>
      <c r="AG170" t="e">
        <f t="shared" si="246"/>
        <v>#N/A</v>
      </c>
      <c r="AH170" t="e">
        <f t="shared" si="247"/>
        <v>#N/A</v>
      </c>
      <c r="AI170" t="e">
        <f t="shared" si="248"/>
        <v>#N/A</v>
      </c>
      <c r="AJ170" t="e">
        <f t="shared" si="249"/>
        <v>#N/A</v>
      </c>
      <c r="AK170" t="e">
        <f t="shared" si="250"/>
        <v>#N/A</v>
      </c>
      <c r="AL170" t="e">
        <f t="shared" si="251"/>
        <v>#N/A</v>
      </c>
      <c r="AM170" t="e">
        <f t="shared" si="252"/>
        <v>#N/A</v>
      </c>
      <c r="AN170" t="e">
        <f t="shared" si="253"/>
        <v>#N/A</v>
      </c>
      <c r="AO170" t="e">
        <f t="shared" si="254"/>
        <v>#N/A</v>
      </c>
      <c r="AP170" t="e">
        <f t="shared" si="255"/>
        <v>#N/A</v>
      </c>
      <c r="AQ170" t="e">
        <f t="shared" si="256"/>
        <v>#N/A</v>
      </c>
      <c r="AR170" t="e">
        <f t="shared" si="257"/>
        <v>#N/A</v>
      </c>
      <c r="AS170" t="e">
        <f t="shared" si="258"/>
        <v>#N/A</v>
      </c>
      <c r="AU170">
        <f t="shared" si="212"/>
        <v>3.5</v>
      </c>
      <c r="AV170">
        <f t="shared" si="213"/>
        <v>3.5</v>
      </c>
      <c r="AW170">
        <f t="shared" si="214"/>
        <v>3.5</v>
      </c>
      <c r="AX170" t="str">
        <f t="shared" si="215"/>
        <v/>
      </c>
      <c r="AY170" t="str">
        <f t="shared" si="216"/>
        <v/>
      </c>
      <c r="AZ170" t="str">
        <f t="shared" si="217"/>
        <v/>
      </c>
      <c r="BA170" t="str">
        <f t="shared" si="218"/>
        <v/>
      </c>
      <c r="BB170" t="str">
        <f t="shared" si="219"/>
        <v/>
      </c>
      <c r="BC170" t="str">
        <f t="shared" si="220"/>
        <v/>
      </c>
      <c r="BD170" t="str">
        <f t="shared" si="221"/>
        <v/>
      </c>
      <c r="BE170" t="str">
        <f t="shared" si="222"/>
        <v/>
      </c>
      <c r="BF170" t="str">
        <f t="shared" si="223"/>
        <v/>
      </c>
      <c r="BG170" t="str">
        <f t="shared" si="224"/>
        <v/>
      </c>
      <c r="BH170" t="str">
        <f t="shared" si="225"/>
        <v/>
      </c>
      <c r="BI170" t="str">
        <f t="shared" si="226"/>
        <v/>
      </c>
      <c r="BJ170" t="str">
        <f t="shared" si="227"/>
        <v/>
      </c>
      <c r="BK170" t="str">
        <f t="shared" si="228"/>
        <v/>
      </c>
      <c r="BL170" t="str">
        <f t="shared" si="229"/>
        <v/>
      </c>
      <c r="BM170" t="str">
        <f t="shared" si="230"/>
        <v/>
      </c>
      <c r="BP170"/>
      <c r="BR170"/>
    </row>
    <row r="171" spans="1:70" x14ac:dyDescent="0.25">
      <c r="A171" s="1">
        <v>41626</v>
      </c>
      <c r="B171">
        <v>3.75</v>
      </c>
      <c r="C171" s="4">
        <v>43100</v>
      </c>
      <c r="D171">
        <v>2</v>
      </c>
      <c r="E171">
        <f t="shared" si="208"/>
        <v>0.44117647058823528</v>
      </c>
      <c r="F171" s="4"/>
      <c r="G171">
        <v>1</v>
      </c>
      <c r="H171">
        <f t="shared" ref="H171:Y171" si="288">IF($D171&gt;G171,G171+1,"")</f>
        <v>2</v>
      </c>
      <c r="I171" t="str">
        <f t="shared" si="288"/>
        <v/>
      </c>
      <c r="J171" t="str">
        <f t="shared" si="288"/>
        <v/>
      </c>
      <c r="K171" t="str">
        <f t="shared" si="288"/>
        <v/>
      </c>
      <c r="L171" t="str">
        <f t="shared" si="288"/>
        <v/>
      </c>
      <c r="M171" t="str">
        <f t="shared" si="288"/>
        <v/>
      </c>
      <c r="N171" t="str">
        <f t="shared" si="288"/>
        <v/>
      </c>
      <c r="O171" t="str">
        <f t="shared" si="288"/>
        <v/>
      </c>
      <c r="P171" t="str">
        <f t="shared" si="288"/>
        <v/>
      </c>
      <c r="Q171" t="str">
        <f t="shared" si="288"/>
        <v/>
      </c>
      <c r="R171" t="str">
        <f t="shared" si="288"/>
        <v/>
      </c>
      <c r="S171" t="str">
        <f t="shared" si="288"/>
        <v/>
      </c>
      <c r="T171" t="str">
        <f t="shared" si="288"/>
        <v/>
      </c>
      <c r="U171" t="str">
        <f t="shared" si="288"/>
        <v/>
      </c>
      <c r="V171" t="str">
        <f t="shared" si="288"/>
        <v/>
      </c>
      <c r="W171" t="str">
        <f t="shared" si="288"/>
        <v/>
      </c>
      <c r="X171" t="str">
        <f t="shared" si="288"/>
        <v/>
      </c>
      <c r="Y171" t="str">
        <f t="shared" si="288"/>
        <v/>
      </c>
      <c r="AA171">
        <f t="shared" si="211"/>
        <v>43089.962500000001</v>
      </c>
      <c r="AB171">
        <f t="shared" si="260"/>
        <v>43110.037500000006</v>
      </c>
      <c r="AC171" t="e">
        <f t="shared" si="261"/>
        <v>#N/A</v>
      </c>
      <c r="AD171" t="e">
        <f t="shared" si="262"/>
        <v>#N/A</v>
      </c>
      <c r="AE171" t="e">
        <f t="shared" si="244"/>
        <v>#N/A</v>
      </c>
      <c r="AF171" t="e">
        <f t="shared" si="245"/>
        <v>#N/A</v>
      </c>
      <c r="AG171" t="e">
        <f t="shared" si="246"/>
        <v>#N/A</v>
      </c>
      <c r="AH171" t="e">
        <f t="shared" si="247"/>
        <v>#N/A</v>
      </c>
      <c r="AI171" t="e">
        <f t="shared" si="248"/>
        <v>#N/A</v>
      </c>
      <c r="AJ171" t="e">
        <f t="shared" si="249"/>
        <v>#N/A</v>
      </c>
      <c r="AK171" t="e">
        <f t="shared" si="250"/>
        <v>#N/A</v>
      </c>
      <c r="AL171" t="e">
        <f t="shared" si="251"/>
        <v>#N/A</v>
      </c>
      <c r="AM171" t="e">
        <f t="shared" si="252"/>
        <v>#N/A</v>
      </c>
      <c r="AN171" t="e">
        <f t="shared" si="253"/>
        <v>#N/A</v>
      </c>
      <c r="AO171" t="e">
        <f t="shared" si="254"/>
        <v>#N/A</v>
      </c>
      <c r="AP171" t="e">
        <f t="shared" si="255"/>
        <v>#N/A</v>
      </c>
      <c r="AQ171" t="e">
        <f t="shared" si="256"/>
        <v>#N/A</v>
      </c>
      <c r="AR171" t="e">
        <f t="shared" si="257"/>
        <v>#N/A</v>
      </c>
      <c r="AS171" t="e">
        <f t="shared" si="258"/>
        <v>#N/A</v>
      </c>
      <c r="AU171">
        <f t="shared" si="212"/>
        <v>3.75</v>
      </c>
      <c r="AV171">
        <f t="shared" si="213"/>
        <v>3.75</v>
      </c>
      <c r="AW171" t="str">
        <f t="shared" si="214"/>
        <v/>
      </c>
      <c r="AX171" t="str">
        <f t="shared" si="215"/>
        <v/>
      </c>
      <c r="AY171" t="str">
        <f t="shared" si="216"/>
        <v/>
      </c>
      <c r="AZ171" t="str">
        <f t="shared" si="217"/>
        <v/>
      </c>
      <c r="BA171" t="str">
        <f t="shared" si="218"/>
        <v/>
      </c>
      <c r="BB171" t="str">
        <f t="shared" si="219"/>
        <v/>
      </c>
      <c r="BC171" t="str">
        <f t="shared" si="220"/>
        <v/>
      </c>
      <c r="BD171" t="str">
        <f t="shared" si="221"/>
        <v/>
      </c>
      <c r="BE171" t="str">
        <f t="shared" si="222"/>
        <v/>
      </c>
      <c r="BF171" t="str">
        <f t="shared" si="223"/>
        <v/>
      </c>
      <c r="BG171" t="str">
        <f t="shared" si="224"/>
        <v/>
      </c>
      <c r="BH171" t="str">
        <f t="shared" si="225"/>
        <v/>
      </c>
      <c r="BI171" t="str">
        <f t="shared" si="226"/>
        <v/>
      </c>
      <c r="BJ171" t="str">
        <f t="shared" si="227"/>
        <v/>
      </c>
      <c r="BK171" t="str">
        <f t="shared" si="228"/>
        <v/>
      </c>
      <c r="BL171" t="str">
        <f t="shared" si="229"/>
        <v/>
      </c>
      <c r="BM171" t="str">
        <f t="shared" si="230"/>
        <v/>
      </c>
      <c r="BP171"/>
      <c r="BR171"/>
    </row>
    <row r="172" spans="1:70" x14ac:dyDescent="0.25">
      <c r="A172" s="1">
        <v>41626</v>
      </c>
      <c r="B172">
        <v>4</v>
      </c>
      <c r="C172" s="4">
        <v>43100</v>
      </c>
      <c r="D172">
        <v>10</v>
      </c>
      <c r="E172">
        <f t="shared" si="208"/>
        <v>2.3529411764705883</v>
      </c>
      <c r="F172" s="4"/>
      <c r="G172">
        <v>1</v>
      </c>
      <c r="H172">
        <f t="shared" ref="H172:Y172" si="289">IF($D172&gt;G172,G172+1,"")</f>
        <v>2</v>
      </c>
      <c r="I172">
        <f t="shared" si="289"/>
        <v>3</v>
      </c>
      <c r="J172">
        <f t="shared" si="289"/>
        <v>4</v>
      </c>
      <c r="K172">
        <f t="shared" si="289"/>
        <v>5</v>
      </c>
      <c r="L172">
        <f t="shared" si="289"/>
        <v>6</v>
      </c>
      <c r="M172">
        <f t="shared" si="289"/>
        <v>7</v>
      </c>
      <c r="N172">
        <f t="shared" si="289"/>
        <v>8</v>
      </c>
      <c r="O172">
        <f t="shared" si="289"/>
        <v>9</v>
      </c>
      <c r="P172">
        <f t="shared" si="289"/>
        <v>10</v>
      </c>
      <c r="Q172" t="str">
        <f t="shared" si="289"/>
        <v/>
      </c>
      <c r="R172" t="str">
        <f t="shared" si="289"/>
        <v/>
      </c>
      <c r="S172" t="str">
        <f t="shared" si="289"/>
        <v/>
      </c>
      <c r="T172" t="str">
        <f t="shared" si="289"/>
        <v/>
      </c>
      <c r="U172" t="str">
        <f t="shared" si="289"/>
        <v/>
      </c>
      <c r="V172" t="str">
        <f t="shared" si="289"/>
        <v/>
      </c>
      <c r="W172" t="str">
        <f t="shared" si="289"/>
        <v/>
      </c>
      <c r="X172" t="str">
        <f t="shared" si="289"/>
        <v/>
      </c>
      <c r="Y172" t="str">
        <f t="shared" si="289"/>
        <v/>
      </c>
      <c r="AA172">
        <f t="shared" si="211"/>
        <v>43009.662499999999</v>
      </c>
      <c r="AB172">
        <f t="shared" si="260"/>
        <v>43029.737500000003</v>
      </c>
      <c r="AC172">
        <f t="shared" si="261"/>
        <v>43049.8125</v>
      </c>
      <c r="AD172">
        <f t="shared" si="262"/>
        <v>43069.887500000004</v>
      </c>
      <c r="AE172">
        <f t="shared" si="244"/>
        <v>43089.962500000001</v>
      </c>
      <c r="AF172">
        <f t="shared" si="245"/>
        <v>43110.037499999999</v>
      </c>
      <c r="AG172">
        <f t="shared" si="246"/>
        <v>43130.112500000003</v>
      </c>
      <c r="AH172">
        <f t="shared" si="247"/>
        <v>43150.1875</v>
      </c>
      <c r="AI172">
        <f t="shared" si="248"/>
        <v>43170.262500000004</v>
      </c>
      <c r="AJ172">
        <f t="shared" si="249"/>
        <v>43190.337500000001</v>
      </c>
      <c r="AK172" t="e">
        <f t="shared" si="250"/>
        <v>#N/A</v>
      </c>
      <c r="AL172" t="e">
        <f t="shared" si="251"/>
        <v>#N/A</v>
      </c>
      <c r="AM172" t="e">
        <f t="shared" si="252"/>
        <v>#N/A</v>
      </c>
      <c r="AN172" t="e">
        <f t="shared" si="253"/>
        <v>#N/A</v>
      </c>
      <c r="AO172" t="e">
        <f t="shared" si="254"/>
        <v>#N/A</v>
      </c>
      <c r="AP172" t="e">
        <f t="shared" si="255"/>
        <v>#N/A</v>
      </c>
      <c r="AQ172" t="e">
        <f t="shared" si="256"/>
        <v>#N/A</v>
      </c>
      <c r="AR172" t="e">
        <f t="shared" si="257"/>
        <v>#N/A</v>
      </c>
      <c r="AS172" t="e">
        <f t="shared" si="258"/>
        <v>#N/A</v>
      </c>
      <c r="AU172">
        <f t="shared" si="212"/>
        <v>4</v>
      </c>
      <c r="AV172">
        <f t="shared" si="213"/>
        <v>4</v>
      </c>
      <c r="AW172">
        <f t="shared" si="214"/>
        <v>4</v>
      </c>
      <c r="AX172">
        <f t="shared" si="215"/>
        <v>4</v>
      </c>
      <c r="AY172">
        <f t="shared" si="216"/>
        <v>4</v>
      </c>
      <c r="AZ172">
        <f t="shared" si="217"/>
        <v>4</v>
      </c>
      <c r="BA172">
        <f t="shared" si="218"/>
        <v>4</v>
      </c>
      <c r="BB172">
        <f t="shared" si="219"/>
        <v>4</v>
      </c>
      <c r="BC172">
        <f t="shared" si="220"/>
        <v>4</v>
      </c>
      <c r="BD172">
        <f t="shared" si="221"/>
        <v>4</v>
      </c>
      <c r="BE172" t="str">
        <f t="shared" si="222"/>
        <v/>
      </c>
      <c r="BF172" t="str">
        <f t="shared" si="223"/>
        <v/>
      </c>
      <c r="BG172" t="str">
        <f t="shared" si="224"/>
        <v/>
      </c>
      <c r="BH172" t="str">
        <f t="shared" si="225"/>
        <v/>
      </c>
      <c r="BI172" t="str">
        <f t="shared" si="226"/>
        <v/>
      </c>
      <c r="BJ172" t="str">
        <f t="shared" si="227"/>
        <v/>
      </c>
      <c r="BK172" t="str">
        <f t="shared" si="228"/>
        <v/>
      </c>
      <c r="BL172" t="str">
        <f t="shared" si="229"/>
        <v/>
      </c>
      <c r="BM172" t="str">
        <f t="shared" si="230"/>
        <v/>
      </c>
      <c r="BP172"/>
      <c r="BR172"/>
    </row>
    <row r="173" spans="1:70" x14ac:dyDescent="0.25">
      <c r="A173" s="1">
        <v>41626</v>
      </c>
      <c r="B173">
        <v>4.25</v>
      </c>
      <c r="C173" s="4">
        <v>43100</v>
      </c>
      <c r="D173">
        <v>2</v>
      </c>
      <c r="E173">
        <f t="shared" si="208"/>
        <v>0.5</v>
      </c>
      <c r="F173" s="4"/>
      <c r="G173">
        <v>1</v>
      </c>
      <c r="H173">
        <f t="shared" ref="H173:Y173" si="290">IF($D173&gt;G173,G173+1,"")</f>
        <v>2</v>
      </c>
      <c r="I173" t="str">
        <f t="shared" si="290"/>
        <v/>
      </c>
      <c r="J173" t="str">
        <f t="shared" si="290"/>
        <v/>
      </c>
      <c r="K173" t="str">
        <f t="shared" si="290"/>
        <v/>
      </c>
      <c r="L173" t="str">
        <f t="shared" si="290"/>
        <v/>
      </c>
      <c r="M173" t="str">
        <f t="shared" si="290"/>
        <v/>
      </c>
      <c r="N173" t="str">
        <f t="shared" si="290"/>
        <v/>
      </c>
      <c r="O173" t="str">
        <f t="shared" si="290"/>
        <v/>
      </c>
      <c r="P173" t="str">
        <f t="shared" si="290"/>
        <v/>
      </c>
      <c r="Q173" t="str">
        <f t="shared" si="290"/>
        <v/>
      </c>
      <c r="R173" t="str">
        <f t="shared" si="290"/>
        <v/>
      </c>
      <c r="S173" t="str">
        <f t="shared" si="290"/>
        <v/>
      </c>
      <c r="T173" t="str">
        <f t="shared" si="290"/>
        <v/>
      </c>
      <c r="U173" t="str">
        <f t="shared" si="290"/>
        <v/>
      </c>
      <c r="V173" t="str">
        <f t="shared" si="290"/>
        <v/>
      </c>
      <c r="W173" t="str">
        <f t="shared" si="290"/>
        <v/>
      </c>
      <c r="X173" t="str">
        <f t="shared" si="290"/>
        <v/>
      </c>
      <c r="Y173" t="str">
        <f t="shared" si="290"/>
        <v/>
      </c>
      <c r="AA173">
        <f t="shared" si="211"/>
        <v>43089.962500000001</v>
      </c>
      <c r="AB173">
        <f t="shared" si="260"/>
        <v>43110.037500000006</v>
      </c>
      <c r="AC173" t="e">
        <f t="shared" si="261"/>
        <v>#N/A</v>
      </c>
      <c r="AD173" t="e">
        <f t="shared" si="262"/>
        <v>#N/A</v>
      </c>
      <c r="AE173" t="e">
        <f t="shared" si="244"/>
        <v>#N/A</v>
      </c>
      <c r="AF173" t="e">
        <f t="shared" si="245"/>
        <v>#N/A</v>
      </c>
      <c r="AG173" t="e">
        <f t="shared" si="246"/>
        <v>#N/A</v>
      </c>
      <c r="AH173" t="e">
        <f t="shared" si="247"/>
        <v>#N/A</v>
      </c>
      <c r="AI173" t="e">
        <f t="shared" si="248"/>
        <v>#N/A</v>
      </c>
      <c r="AJ173" t="e">
        <f t="shared" si="249"/>
        <v>#N/A</v>
      </c>
      <c r="AK173" t="e">
        <f t="shared" si="250"/>
        <v>#N/A</v>
      </c>
      <c r="AL173" t="e">
        <f t="shared" si="251"/>
        <v>#N/A</v>
      </c>
      <c r="AM173" t="e">
        <f t="shared" si="252"/>
        <v>#N/A</v>
      </c>
      <c r="AN173" t="e">
        <f t="shared" si="253"/>
        <v>#N/A</v>
      </c>
      <c r="AO173" t="e">
        <f t="shared" si="254"/>
        <v>#N/A</v>
      </c>
      <c r="AP173" t="e">
        <f t="shared" si="255"/>
        <v>#N/A</v>
      </c>
      <c r="AQ173" t="e">
        <f t="shared" si="256"/>
        <v>#N/A</v>
      </c>
      <c r="AR173" t="e">
        <f t="shared" si="257"/>
        <v>#N/A</v>
      </c>
      <c r="AS173" t="e">
        <f t="shared" si="258"/>
        <v>#N/A</v>
      </c>
      <c r="AU173">
        <f t="shared" si="212"/>
        <v>4.25</v>
      </c>
      <c r="AV173">
        <f t="shared" si="213"/>
        <v>4.25</v>
      </c>
      <c r="AW173" t="str">
        <f t="shared" si="214"/>
        <v/>
      </c>
      <c r="AX173" t="str">
        <f t="shared" si="215"/>
        <v/>
      </c>
      <c r="AY173" t="str">
        <f t="shared" si="216"/>
        <v/>
      </c>
      <c r="AZ173" t="str">
        <f t="shared" si="217"/>
        <v/>
      </c>
      <c r="BA173" t="str">
        <f t="shared" si="218"/>
        <v/>
      </c>
      <c r="BB173" t="str">
        <f t="shared" si="219"/>
        <v/>
      </c>
      <c r="BC173" t="str">
        <f t="shared" si="220"/>
        <v/>
      </c>
      <c r="BD173" t="str">
        <f t="shared" si="221"/>
        <v/>
      </c>
      <c r="BE173" t="str">
        <f t="shared" si="222"/>
        <v/>
      </c>
      <c r="BF173" t="str">
        <f t="shared" si="223"/>
        <v/>
      </c>
      <c r="BG173" t="str">
        <f t="shared" si="224"/>
        <v/>
      </c>
      <c r="BH173" t="str">
        <f t="shared" si="225"/>
        <v/>
      </c>
      <c r="BI173" t="str">
        <f t="shared" si="226"/>
        <v/>
      </c>
      <c r="BJ173" t="str">
        <f t="shared" si="227"/>
        <v/>
      </c>
      <c r="BK173" t="str">
        <f t="shared" si="228"/>
        <v/>
      </c>
      <c r="BL173" t="str">
        <f t="shared" si="229"/>
        <v/>
      </c>
      <c r="BM173" t="str">
        <f t="shared" si="230"/>
        <v/>
      </c>
      <c r="BP173"/>
      <c r="BR173"/>
    </row>
    <row r="174" spans="1:70" x14ac:dyDescent="0.25">
      <c r="A174" s="1">
        <v>41717</v>
      </c>
      <c r="B174">
        <v>0.25</v>
      </c>
      <c r="C174" s="4">
        <v>42004</v>
      </c>
      <c r="D174">
        <v>15</v>
      </c>
      <c r="E174">
        <f t="shared" si="208"/>
        <v>0.234375</v>
      </c>
      <c r="F174" s="4"/>
      <c r="G174">
        <v>1</v>
      </c>
      <c r="H174">
        <f t="shared" ref="H174:Y174" si="291">IF($D174&gt;G174,G174+1,"")</f>
        <v>2</v>
      </c>
      <c r="I174">
        <f t="shared" si="291"/>
        <v>3</v>
      </c>
      <c r="J174">
        <f t="shared" si="291"/>
        <v>4</v>
      </c>
      <c r="K174">
        <f t="shared" si="291"/>
        <v>5</v>
      </c>
      <c r="L174">
        <f t="shared" si="291"/>
        <v>6</v>
      </c>
      <c r="M174">
        <f t="shared" si="291"/>
        <v>7</v>
      </c>
      <c r="N174">
        <f t="shared" si="291"/>
        <v>8</v>
      </c>
      <c r="O174">
        <f t="shared" si="291"/>
        <v>9</v>
      </c>
      <c r="P174">
        <f t="shared" si="291"/>
        <v>10</v>
      </c>
      <c r="Q174">
        <f t="shared" si="291"/>
        <v>11</v>
      </c>
      <c r="R174">
        <f t="shared" si="291"/>
        <v>12</v>
      </c>
      <c r="S174">
        <f t="shared" si="291"/>
        <v>13</v>
      </c>
      <c r="T174">
        <f t="shared" si="291"/>
        <v>14</v>
      </c>
      <c r="U174">
        <f t="shared" si="291"/>
        <v>15</v>
      </c>
      <c r="V174" t="str">
        <f t="shared" si="291"/>
        <v/>
      </c>
      <c r="W174" t="str">
        <f t="shared" si="291"/>
        <v/>
      </c>
      <c r="X174" t="str">
        <f t="shared" si="291"/>
        <v/>
      </c>
      <c r="Y174" t="str">
        <f t="shared" si="291"/>
        <v/>
      </c>
      <c r="AA174">
        <f t="shared" si="211"/>
        <v>41863.474999999999</v>
      </c>
      <c r="AB174">
        <f t="shared" si="260"/>
        <v>41883.550000000003</v>
      </c>
      <c r="AC174">
        <f t="shared" si="261"/>
        <v>41903.625</v>
      </c>
      <c r="AD174">
        <f t="shared" si="262"/>
        <v>41923.700000000004</v>
      </c>
      <c r="AE174">
        <f t="shared" si="244"/>
        <v>41943.775000000001</v>
      </c>
      <c r="AF174">
        <f t="shared" si="245"/>
        <v>41963.85</v>
      </c>
      <c r="AG174">
        <f t="shared" si="246"/>
        <v>41983.925000000003</v>
      </c>
      <c r="AH174">
        <f t="shared" si="247"/>
        <v>42004</v>
      </c>
      <c r="AI174">
        <f t="shared" si="248"/>
        <v>42024.075000000004</v>
      </c>
      <c r="AJ174">
        <f t="shared" si="249"/>
        <v>42044.15</v>
      </c>
      <c r="AK174">
        <f t="shared" si="250"/>
        <v>42064.224999999999</v>
      </c>
      <c r="AL174">
        <f t="shared" si="251"/>
        <v>42084.3</v>
      </c>
      <c r="AM174">
        <f t="shared" si="252"/>
        <v>42104.375</v>
      </c>
      <c r="AN174">
        <f t="shared" si="253"/>
        <v>42124.450000000004</v>
      </c>
      <c r="AO174">
        <f t="shared" si="254"/>
        <v>42144.525000000001</v>
      </c>
      <c r="AP174" t="e">
        <f t="shared" si="255"/>
        <v>#N/A</v>
      </c>
      <c r="AQ174" t="e">
        <f t="shared" si="256"/>
        <v>#N/A</v>
      </c>
      <c r="AR174" t="e">
        <f t="shared" si="257"/>
        <v>#N/A</v>
      </c>
      <c r="AS174" t="e">
        <f t="shared" si="258"/>
        <v>#N/A</v>
      </c>
      <c r="AU174">
        <f t="shared" si="212"/>
        <v>0.25</v>
      </c>
      <c r="AV174">
        <f t="shared" si="213"/>
        <v>0.25</v>
      </c>
      <c r="AW174">
        <f t="shared" si="214"/>
        <v>0.25</v>
      </c>
      <c r="AX174">
        <f t="shared" si="215"/>
        <v>0.25</v>
      </c>
      <c r="AY174">
        <f t="shared" si="216"/>
        <v>0.25</v>
      </c>
      <c r="AZ174">
        <f t="shared" si="217"/>
        <v>0.25</v>
      </c>
      <c r="BA174">
        <f t="shared" si="218"/>
        <v>0.25</v>
      </c>
      <c r="BB174">
        <f t="shared" si="219"/>
        <v>0.25</v>
      </c>
      <c r="BC174">
        <f t="shared" si="220"/>
        <v>0.25</v>
      </c>
      <c r="BD174">
        <f t="shared" si="221"/>
        <v>0.25</v>
      </c>
      <c r="BE174">
        <f t="shared" si="222"/>
        <v>0.25</v>
      </c>
      <c r="BF174">
        <f t="shared" si="223"/>
        <v>0.25</v>
      </c>
      <c r="BG174">
        <f t="shared" si="224"/>
        <v>0.25</v>
      </c>
      <c r="BH174">
        <f t="shared" si="225"/>
        <v>0.25</v>
      </c>
      <c r="BI174">
        <f t="shared" si="226"/>
        <v>0.25</v>
      </c>
      <c r="BJ174" t="str">
        <f t="shared" si="227"/>
        <v/>
      </c>
      <c r="BK174" t="str">
        <f t="shared" si="228"/>
        <v/>
      </c>
      <c r="BL174" t="str">
        <f t="shared" si="229"/>
        <v/>
      </c>
      <c r="BM174" t="str">
        <f t="shared" si="230"/>
        <v/>
      </c>
      <c r="BP174"/>
      <c r="BR174"/>
    </row>
    <row r="175" spans="1:70" x14ac:dyDescent="0.25">
      <c r="A175" s="1">
        <v>41717</v>
      </c>
      <c r="B175">
        <v>0.5</v>
      </c>
      <c r="C175" s="4">
        <v>42004</v>
      </c>
      <c r="D175">
        <v>1</v>
      </c>
      <c r="E175">
        <f t="shared" si="208"/>
        <v>3.125E-2</v>
      </c>
      <c r="F175" s="4"/>
      <c r="G175">
        <v>1</v>
      </c>
      <c r="H175" t="str">
        <f t="shared" ref="H175:Y175" si="292">IF($D175&gt;G175,G175+1,"")</f>
        <v/>
      </c>
      <c r="I175" t="str">
        <f t="shared" si="292"/>
        <v/>
      </c>
      <c r="J175" t="str">
        <f t="shared" si="292"/>
        <v/>
      </c>
      <c r="K175" t="str">
        <f t="shared" si="292"/>
        <v/>
      </c>
      <c r="L175" t="str">
        <f t="shared" si="292"/>
        <v/>
      </c>
      <c r="M175" t="str">
        <f t="shared" si="292"/>
        <v/>
      </c>
      <c r="N175" t="str">
        <f t="shared" si="292"/>
        <v/>
      </c>
      <c r="O175" t="str">
        <f t="shared" si="292"/>
        <v/>
      </c>
      <c r="P175" t="str">
        <f t="shared" si="292"/>
        <v/>
      </c>
      <c r="Q175" t="str">
        <f t="shared" si="292"/>
        <v/>
      </c>
      <c r="R175" t="str">
        <f t="shared" si="292"/>
        <v/>
      </c>
      <c r="S175" t="str">
        <f t="shared" si="292"/>
        <v/>
      </c>
      <c r="T175" t="str">
        <f t="shared" si="292"/>
        <v/>
      </c>
      <c r="U175" t="str">
        <f t="shared" si="292"/>
        <v/>
      </c>
      <c r="V175" t="str">
        <f t="shared" si="292"/>
        <v/>
      </c>
      <c r="W175" t="str">
        <f t="shared" si="292"/>
        <v/>
      </c>
      <c r="X175" t="str">
        <f t="shared" si="292"/>
        <v/>
      </c>
      <c r="Y175" t="str">
        <f t="shared" si="292"/>
        <v/>
      </c>
      <c r="AA175">
        <f t="shared" si="211"/>
        <v>42004</v>
      </c>
      <c r="AB175" t="e">
        <f t="shared" si="260"/>
        <v>#N/A</v>
      </c>
      <c r="AC175" t="e">
        <f t="shared" si="261"/>
        <v>#N/A</v>
      </c>
      <c r="AD175" t="e">
        <f t="shared" si="262"/>
        <v>#N/A</v>
      </c>
      <c r="AE175" t="e">
        <f t="shared" si="244"/>
        <v>#N/A</v>
      </c>
      <c r="AF175" t="e">
        <f t="shared" si="245"/>
        <v>#N/A</v>
      </c>
      <c r="AG175" t="e">
        <f t="shared" si="246"/>
        <v>#N/A</v>
      </c>
      <c r="AH175" t="e">
        <f t="shared" si="247"/>
        <v>#N/A</v>
      </c>
      <c r="AI175" t="e">
        <f t="shared" si="248"/>
        <v>#N/A</v>
      </c>
      <c r="AJ175" t="e">
        <f t="shared" si="249"/>
        <v>#N/A</v>
      </c>
      <c r="AK175" t="e">
        <f t="shared" si="250"/>
        <v>#N/A</v>
      </c>
      <c r="AL175" t="e">
        <f t="shared" si="251"/>
        <v>#N/A</v>
      </c>
      <c r="AM175" t="e">
        <f t="shared" si="252"/>
        <v>#N/A</v>
      </c>
      <c r="AN175" t="e">
        <f t="shared" si="253"/>
        <v>#N/A</v>
      </c>
      <c r="AO175" t="e">
        <f t="shared" si="254"/>
        <v>#N/A</v>
      </c>
      <c r="AP175" t="e">
        <f t="shared" si="255"/>
        <v>#N/A</v>
      </c>
      <c r="AQ175" t="e">
        <f t="shared" si="256"/>
        <v>#N/A</v>
      </c>
      <c r="AR175" t="e">
        <f t="shared" si="257"/>
        <v>#N/A</v>
      </c>
      <c r="AS175" t="e">
        <f t="shared" si="258"/>
        <v>#N/A</v>
      </c>
      <c r="AU175">
        <f t="shared" si="212"/>
        <v>0.5</v>
      </c>
      <c r="AV175" t="str">
        <f t="shared" si="213"/>
        <v/>
      </c>
      <c r="AW175" t="str">
        <f t="shared" si="214"/>
        <v/>
      </c>
      <c r="AX175" t="str">
        <f t="shared" si="215"/>
        <v/>
      </c>
      <c r="AY175" t="str">
        <f t="shared" si="216"/>
        <v/>
      </c>
      <c r="AZ175" t="str">
        <f t="shared" si="217"/>
        <v/>
      </c>
      <c r="BA175" t="str">
        <f t="shared" si="218"/>
        <v/>
      </c>
      <c r="BB175" t="str">
        <f t="shared" si="219"/>
        <v/>
      </c>
      <c r="BC175" t="str">
        <f t="shared" si="220"/>
        <v/>
      </c>
      <c r="BD175" t="str">
        <f t="shared" si="221"/>
        <v/>
      </c>
      <c r="BE175" t="str">
        <f t="shared" si="222"/>
        <v/>
      </c>
      <c r="BF175" t="str">
        <f t="shared" si="223"/>
        <v/>
      </c>
      <c r="BG175" t="str">
        <f t="shared" si="224"/>
        <v/>
      </c>
      <c r="BH175" t="str">
        <f t="shared" si="225"/>
        <v/>
      </c>
      <c r="BI175" t="str">
        <f t="shared" si="226"/>
        <v/>
      </c>
      <c r="BJ175" t="str">
        <f t="shared" si="227"/>
        <v/>
      </c>
      <c r="BK175" t="str">
        <f t="shared" si="228"/>
        <v/>
      </c>
      <c r="BL175" t="str">
        <f t="shared" si="229"/>
        <v/>
      </c>
      <c r="BM175" t="str">
        <f t="shared" si="230"/>
        <v/>
      </c>
      <c r="BP175"/>
      <c r="BR175"/>
    </row>
    <row r="176" spans="1:70" x14ac:dyDescent="0.25">
      <c r="A176" s="1">
        <v>41717</v>
      </c>
      <c r="B176">
        <v>0.25</v>
      </c>
      <c r="C176" s="4">
        <v>42369</v>
      </c>
      <c r="D176">
        <v>2</v>
      </c>
      <c r="E176">
        <f t="shared" si="208"/>
        <v>3.125E-2</v>
      </c>
      <c r="F176" s="4"/>
      <c r="G176">
        <v>1</v>
      </c>
      <c r="H176">
        <f t="shared" ref="H176:Y176" si="293">IF($D176&gt;G176,G176+1,"")</f>
        <v>2</v>
      </c>
      <c r="I176" t="str">
        <f t="shared" si="293"/>
        <v/>
      </c>
      <c r="J176" t="str">
        <f t="shared" si="293"/>
        <v/>
      </c>
      <c r="K176" t="str">
        <f t="shared" si="293"/>
        <v/>
      </c>
      <c r="L176" t="str">
        <f t="shared" si="293"/>
        <v/>
      </c>
      <c r="M176" t="str">
        <f t="shared" si="293"/>
        <v/>
      </c>
      <c r="N176" t="str">
        <f t="shared" si="293"/>
        <v/>
      </c>
      <c r="O176" t="str">
        <f t="shared" si="293"/>
        <v/>
      </c>
      <c r="P176" t="str">
        <f t="shared" si="293"/>
        <v/>
      </c>
      <c r="Q176" t="str">
        <f t="shared" si="293"/>
        <v/>
      </c>
      <c r="R176" t="str">
        <f t="shared" si="293"/>
        <v/>
      </c>
      <c r="S176" t="str">
        <f t="shared" si="293"/>
        <v/>
      </c>
      <c r="T176" t="str">
        <f t="shared" si="293"/>
        <v/>
      </c>
      <c r="U176" t="str">
        <f t="shared" si="293"/>
        <v/>
      </c>
      <c r="V176" t="str">
        <f t="shared" si="293"/>
        <v/>
      </c>
      <c r="W176" t="str">
        <f t="shared" si="293"/>
        <v/>
      </c>
      <c r="X176" t="str">
        <f t="shared" si="293"/>
        <v/>
      </c>
      <c r="Y176" t="str">
        <f t="shared" si="293"/>
        <v/>
      </c>
      <c r="AA176">
        <f t="shared" si="211"/>
        <v>42358.962500000001</v>
      </c>
      <c r="AB176">
        <f t="shared" si="260"/>
        <v>42379.037500000006</v>
      </c>
      <c r="AC176" t="e">
        <f t="shared" si="261"/>
        <v>#N/A</v>
      </c>
      <c r="AD176" t="e">
        <f t="shared" si="262"/>
        <v>#N/A</v>
      </c>
      <c r="AE176" t="e">
        <f t="shared" si="244"/>
        <v>#N/A</v>
      </c>
      <c r="AF176" t="e">
        <f t="shared" si="245"/>
        <v>#N/A</v>
      </c>
      <c r="AG176" t="e">
        <f t="shared" si="246"/>
        <v>#N/A</v>
      </c>
      <c r="AH176" t="e">
        <f t="shared" si="247"/>
        <v>#N/A</v>
      </c>
      <c r="AI176" t="e">
        <f t="shared" si="248"/>
        <v>#N/A</v>
      </c>
      <c r="AJ176" t="e">
        <f t="shared" si="249"/>
        <v>#N/A</v>
      </c>
      <c r="AK176" t="e">
        <f t="shared" si="250"/>
        <v>#N/A</v>
      </c>
      <c r="AL176" t="e">
        <f t="shared" si="251"/>
        <v>#N/A</v>
      </c>
      <c r="AM176" t="e">
        <f t="shared" si="252"/>
        <v>#N/A</v>
      </c>
      <c r="AN176" t="e">
        <f t="shared" si="253"/>
        <v>#N/A</v>
      </c>
      <c r="AO176" t="e">
        <f t="shared" si="254"/>
        <v>#N/A</v>
      </c>
      <c r="AP176" t="e">
        <f t="shared" si="255"/>
        <v>#N/A</v>
      </c>
      <c r="AQ176" t="e">
        <f t="shared" si="256"/>
        <v>#N/A</v>
      </c>
      <c r="AR176" t="e">
        <f t="shared" si="257"/>
        <v>#N/A</v>
      </c>
      <c r="AS176" t="e">
        <f t="shared" si="258"/>
        <v>#N/A</v>
      </c>
      <c r="AU176">
        <f t="shared" si="212"/>
        <v>0.25</v>
      </c>
      <c r="AV176">
        <f t="shared" si="213"/>
        <v>0.25</v>
      </c>
      <c r="AW176" t="str">
        <f t="shared" si="214"/>
        <v/>
      </c>
      <c r="AX176" t="str">
        <f t="shared" si="215"/>
        <v/>
      </c>
      <c r="AY176" t="str">
        <f t="shared" si="216"/>
        <v/>
      </c>
      <c r="AZ176" t="str">
        <f t="shared" si="217"/>
        <v/>
      </c>
      <c r="BA176" t="str">
        <f t="shared" si="218"/>
        <v/>
      </c>
      <c r="BB176" t="str">
        <f t="shared" si="219"/>
        <v/>
      </c>
      <c r="BC176" t="str">
        <f t="shared" si="220"/>
        <v/>
      </c>
      <c r="BD176" t="str">
        <f t="shared" si="221"/>
        <v/>
      </c>
      <c r="BE176" t="str">
        <f t="shared" si="222"/>
        <v/>
      </c>
      <c r="BF176" t="str">
        <f t="shared" si="223"/>
        <v/>
      </c>
      <c r="BG176" t="str">
        <f t="shared" si="224"/>
        <v/>
      </c>
      <c r="BH176" t="str">
        <f t="shared" si="225"/>
        <v/>
      </c>
      <c r="BI176" t="str">
        <f t="shared" si="226"/>
        <v/>
      </c>
      <c r="BJ176" t="str">
        <f t="shared" si="227"/>
        <v/>
      </c>
      <c r="BK176" t="str">
        <f t="shared" si="228"/>
        <v/>
      </c>
      <c r="BL176" t="str">
        <f t="shared" si="229"/>
        <v/>
      </c>
      <c r="BM176" t="str">
        <f t="shared" si="230"/>
        <v/>
      </c>
      <c r="BP176"/>
      <c r="BR176"/>
    </row>
    <row r="177" spans="1:70" x14ac:dyDescent="0.25">
      <c r="A177" s="1">
        <v>41717</v>
      </c>
      <c r="B177">
        <v>0.5</v>
      </c>
      <c r="C177" s="4">
        <v>42369</v>
      </c>
      <c r="D177">
        <v>2</v>
      </c>
      <c r="E177">
        <f t="shared" si="208"/>
        <v>6.25E-2</v>
      </c>
      <c r="F177" s="4"/>
      <c r="G177">
        <v>1</v>
      </c>
      <c r="H177">
        <f t="shared" ref="H177:Y177" si="294">IF($D177&gt;G177,G177+1,"")</f>
        <v>2</v>
      </c>
      <c r="I177" t="str">
        <f t="shared" si="294"/>
        <v/>
      </c>
      <c r="J177" t="str">
        <f t="shared" si="294"/>
        <v/>
      </c>
      <c r="K177" t="str">
        <f t="shared" si="294"/>
        <v/>
      </c>
      <c r="L177" t="str">
        <f t="shared" si="294"/>
        <v/>
      </c>
      <c r="M177" t="str">
        <f t="shared" si="294"/>
        <v/>
      </c>
      <c r="N177" t="str">
        <f t="shared" si="294"/>
        <v/>
      </c>
      <c r="O177" t="str">
        <f t="shared" si="294"/>
        <v/>
      </c>
      <c r="P177" t="str">
        <f t="shared" si="294"/>
        <v/>
      </c>
      <c r="Q177" t="str">
        <f t="shared" si="294"/>
        <v/>
      </c>
      <c r="R177" t="str">
        <f t="shared" si="294"/>
        <v/>
      </c>
      <c r="S177" t="str">
        <f t="shared" si="294"/>
        <v/>
      </c>
      <c r="T177" t="str">
        <f t="shared" si="294"/>
        <v/>
      </c>
      <c r="U177" t="str">
        <f t="shared" si="294"/>
        <v/>
      </c>
      <c r="V177" t="str">
        <f t="shared" si="294"/>
        <v/>
      </c>
      <c r="W177" t="str">
        <f t="shared" si="294"/>
        <v/>
      </c>
      <c r="X177" t="str">
        <f t="shared" si="294"/>
        <v/>
      </c>
      <c r="Y177" t="str">
        <f t="shared" si="294"/>
        <v/>
      </c>
      <c r="AA177">
        <f t="shared" si="211"/>
        <v>42358.962500000001</v>
      </c>
      <c r="AB177">
        <f t="shared" si="260"/>
        <v>42379.037500000006</v>
      </c>
      <c r="AC177" t="e">
        <f t="shared" si="261"/>
        <v>#N/A</v>
      </c>
      <c r="AD177" t="e">
        <f t="shared" si="262"/>
        <v>#N/A</v>
      </c>
      <c r="AE177" t="e">
        <f t="shared" si="244"/>
        <v>#N/A</v>
      </c>
      <c r="AF177" t="e">
        <f t="shared" si="245"/>
        <v>#N/A</v>
      </c>
      <c r="AG177" t="e">
        <f t="shared" si="246"/>
        <v>#N/A</v>
      </c>
      <c r="AH177" t="e">
        <f t="shared" si="247"/>
        <v>#N/A</v>
      </c>
      <c r="AI177" t="e">
        <f t="shared" si="248"/>
        <v>#N/A</v>
      </c>
      <c r="AJ177" t="e">
        <f t="shared" si="249"/>
        <v>#N/A</v>
      </c>
      <c r="AK177" t="e">
        <f t="shared" si="250"/>
        <v>#N/A</v>
      </c>
      <c r="AL177" t="e">
        <f t="shared" si="251"/>
        <v>#N/A</v>
      </c>
      <c r="AM177" t="e">
        <f t="shared" si="252"/>
        <v>#N/A</v>
      </c>
      <c r="AN177" t="e">
        <f t="shared" si="253"/>
        <v>#N/A</v>
      </c>
      <c r="AO177" t="e">
        <f t="shared" si="254"/>
        <v>#N/A</v>
      </c>
      <c r="AP177" t="e">
        <f t="shared" si="255"/>
        <v>#N/A</v>
      </c>
      <c r="AQ177" t="e">
        <f t="shared" si="256"/>
        <v>#N/A</v>
      </c>
      <c r="AR177" t="e">
        <f t="shared" si="257"/>
        <v>#N/A</v>
      </c>
      <c r="AS177" t="e">
        <f t="shared" si="258"/>
        <v>#N/A</v>
      </c>
      <c r="AU177">
        <f t="shared" si="212"/>
        <v>0.5</v>
      </c>
      <c r="AV177">
        <f t="shared" si="213"/>
        <v>0.5</v>
      </c>
      <c r="AW177" t="str">
        <f t="shared" si="214"/>
        <v/>
      </c>
      <c r="AX177" t="str">
        <f t="shared" si="215"/>
        <v/>
      </c>
      <c r="AY177" t="str">
        <f t="shared" si="216"/>
        <v/>
      </c>
      <c r="AZ177" t="str">
        <f t="shared" si="217"/>
        <v/>
      </c>
      <c r="BA177" t="str">
        <f t="shared" si="218"/>
        <v/>
      </c>
      <c r="BB177" t="str">
        <f t="shared" si="219"/>
        <v/>
      </c>
      <c r="BC177" t="str">
        <f t="shared" si="220"/>
        <v/>
      </c>
      <c r="BD177" t="str">
        <f t="shared" si="221"/>
        <v/>
      </c>
      <c r="BE177" t="str">
        <f t="shared" si="222"/>
        <v/>
      </c>
      <c r="BF177" t="str">
        <f t="shared" si="223"/>
        <v/>
      </c>
      <c r="BG177" t="str">
        <f t="shared" si="224"/>
        <v/>
      </c>
      <c r="BH177" t="str">
        <f t="shared" si="225"/>
        <v/>
      </c>
      <c r="BI177" t="str">
        <f t="shared" si="226"/>
        <v/>
      </c>
      <c r="BJ177" t="str">
        <f t="shared" si="227"/>
        <v/>
      </c>
      <c r="BK177" t="str">
        <f t="shared" si="228"/>
        <v/>
      </c>
      <c r="BL177" t="str">
        <f t="shared" si="229"/>
        <v/>
      </c>
      <c r="BM177" t="str">
        <f t="shared" si="230"/>
        <v/>
      </c>
      <c r="BP177"/>
      <c r="BR177"/>
    </row>
    <row r="178" spans="1:70" x14ac:dyDescent="0.25">
      <c r="A178" s="1">
        <v>41717</v>
      </c>
      <c r="B178">
        <v>0.75</v>
      </c>
      <c r="C178" s="4">
        <v>42369</v>
      </c>
      <c r="D178">
        <v>2</v>
      </c>
      <c r="E178">
        <f t="shared" si="208"/>
        <v>9.375E-2</v>
      </c>
      <c r="F178" s="4"/>
      <c r="G178">
        <v>1</v>
      </c>
      <c r="H178">
        <f t="shared" ref="H178:Y178" si="295">IF($D178&gt;G178,G178+1,"")</f>
        <v>2</v>
      </c>
      <c r="I178" t="str">
        <f t="shared" si="295"/>
        <v/>
      </c>
      <c r="J178" t="str">
        <f t="shared" si="295"/>
        <v/>
      </c>
      <c r="K178" t="str">
        <f t="shared" si="295"/>
        <v/>
      </c>
      <c r="L178" t="str">
        <f t="shared" si="295"/>
        <v/>
      </c>
      <c r="M178" t="str">
        <f t="shared" si="295"/>
        <v/>
      </c>
      <c r="N178" t="str">
        <f t="shared" si="295"/>
        <v/>
      </c>
      <c r="O178" t="str">
        <f t="shared" si="295"/>
        <v/>
      </c>
      <c r="P178" t="str">
        <f t="shared" si="295"/>
        <v/>
      </c>
      <c r="Q178" t="str">
        <f t="shared" si="295"/>
        <v/>
      </c>
      <c r="R178" t="str">
        <f t="shared" si="295"/>
        <v/>
      </c>
      <c r="S178" t="str">
        <f t="shared" si="295"/>
        <v/>
      </c>
      <c r="T178" t="str">
        <f t="shared" si="295"/>
        <v/>
      </c>
      <c r="U178" t="str">
        <f t="shared" si="295"/>
        <v/>
      </c>
      <c r="V178" t="str">
        <f t="shared" si="295"/>
        <v/>
      </c>
      <c r="W178" t="str">
        <f t="shared" si="295"/>
        <v/>
      </c>
      <c r="X178" t="str">
        <f t="shared" si="295"/>
        <v/>
      </c>
      <c r="Y178" t="str">
        <f t="shared" si="295"/>
        <v/>
      </c>
      <c r="AA178">
        <f t="shared" si="211"/>
        <v>42358.962500000001</v>
      </c>
      <c r="AB178">
        <f t="shared" si="260"/>
        <v>42379.037500000006</v>
      </c>
      <c r="AC178" t="e">
        <f t="shared" si="261"/>
        <v>#N/A</v>
      </c>
      <c r="AD178" t="e">
        <f t="shared" si="262"/>
        <v>#N/A</v>
      </c>
      <c r="AE178" t="e">
        <f t="shared" si="244"/>
        <v>#N/A</v>
      </c>
      <c r="AF178" t="e">
        <f t="shared" si="245"/>
        <v>#N/A</v>
      </c>
      <c r="AG178" t="e">
        <f t="shared" si="246"/>
        <v>#N/A</v>
      </c>
      <c r="AH178" t="e">
        <f t="shared" si="247"/>
        <v>#N/A</v>
      </c>
      <c r="AI178" t="e">
        <f t="shared" si="248"/>
        <v>#N/A</v>
      </c>
      <c r="AJ178" t="e">
        <f t="shared" si="249"/>
        <v>#N/A</v>
      </c>
      <c r="AK178" t="e">
        <f t="shared" si="250"/>
        <v>#N/A</v>
      </c>
      <c r="AL178" t="e">
        <f t="shared" si="251"/>
        <v>#N/A</v>
      </c>
      <c r="AM178" t="e">
        <f t="shared" si="252"/>
        <v>#N/A</v>
      </c>
      <c r="AN178" t="e">
        <f t="shared" si="253"/>
        <v>#N/A</v>
      </c>
      <c r="AO178" t="e">
        <f t="shared" si="254"/>
        <v>#N/A</v>
      </c>
      <c r="AP178" t="e">
        <f t="shared" si="255"/>
        <v>#N/A</v>
      </c>
      <c r="AQ178" t="e">
        <f t="shared" si="256"/>
        <v>#N/A</v>
      </c>
      <c r="AR178" t="e">
        <f t="shared" si="257"/>
        <v>#N/A</v>
      </c>
      <c r="AS178" t="e">
        <f t="shared" si="258"/>
        <v>#N/A</v>
      </c>
      <c r="AU178">
        <f t="shared" si="212"/>
        <v>0.75</v>
      </c>
      <c r="AV178">
        <f t="shared" si="213"/>
        <v>0.75</v>
      </c>
      <c r="AW178" t="str">
        <f t="shared" si="214"/>
        <v/>
      </c>
      <c r="AX178" t="str">
        <f t="shared" si="215"/>
        <v/>
      </c>
      <c r="AY178" t="str">
        <f t="shared" si="216"/>
        <v/>
      </c>
      <c r="AZ178" t="str">
        <f t="shared" si="217"/>
        <v/>
      </c>
      <c r="BA178" t="str">
        <f t="shared" si="218"/>
        <v/>
      </c>
      <c r="BB178" t="str">
        <f t="shared" si="219"/>
        <v/>
      </c>
      <c r="BC178" t="str">
        <f t="shared" si="220"/>
        <v/>
      </c>
      <c r="BD178" t="str">
        <f t="shared" si="221"/>
        <v/>
      </c>
      <c r="BE178" t="str">
        <f t="shared" si="222"/>
        <v/>
      </c>
      <c r="BF178" t="str">
        <f t="shared" si="223"/>
        <v/>
      </c>
      <c r="BG178" t="str">
        <f t="shared" si="224"/>
        <v/>
      </c>
      <c r="BH178" t="str">
        <f t="shared" si="225"/>
        <v/>
      </c>
      <c r="BI178" t="str">
        <f t="shared" si="226"/>
        <v/>
      </c>
      <c r="BJ178" t="str">
        <f t="shared" si="227"/>
        <v/>
      </c>
      <c r="BK178" t="str">
        <f t="shared" si="228"/>
        <v/>
      </c>
      <c r="BL178" t="str">
        <f t="shared" si="229"/>
        <v/>
      </c>
      <c r="BM178" t="str">
        <f t="shared" si="230"/>
        <v/>
      </c>
      <c r="BP178"/>
      <c r="BR178"/>
    </row>
    <row r="179" spans="1:70" x14ac:dyDescent="0.25">
      <c r="A179" s="1">
        <v>41717</v>
      </c>
      <c r="B179">
        <v>1</v>
      </c>
      <c r="C179" s="4">
        <v>42369</v>
      </c>
      <c r="D179">
        <v>5</v>
      </c>
      <c r="E179">
        <f t="shared" si="208"/>
        <v>0.3125</v>
      </c>
      <c r="F179" s="4"/>
      <c r="G179">
        <v>1</v>
      </c>
      <c r="H179">
        <f t="shared" ref="H179:Y179" si="296">IF($D179&gt;G179,G179+1,"")</f>
        <v>2</v>
      </c>
      <c r="I179">
        <f t="shared" si="296"/>
        <v>3</v>
      </c>
      <c r="J179">
        <f t="shared" si="296"/>
        <v>4</v>
      </c>
      <c r="K179">
        <f t="shared" si="296"/>
        <v>5</v>
      </c>
      <c r="L179" t="str">
        <f t="shared" si="296"/>
        <v/>
      </c>
      <c r="M179" t="str">
        <f t="shared" si="296"/>
        <v/>
      </c>
      <c r="N179" t="str">
        <f t="shared" si="296"/>
        <v/>
      </c>
      <c r="O179" t="str">
        <f t="shared" si="296"/>
        <v/>
      </c>
      <c r="P179" t="str">
        <f t="shared" si="296"/>
        <v/>
      </c>
      <c r="Q179" t="str">
        <f t="shared" si="296"/>
        <v/>
      </c>
      <c r="R179" t="str">
        <f t="shared" si="296"/>
        <v/>
      </c>
      <c r="S179" t="str">
        <f t="shared" si="296"/>
        <v/>
      </c>
      <c r="T179" t="str">
        <f t="shared" si="296"/>
        <v/>
      </c>
      <c r="U179" t="str">
        <f t="shared" si="296"/>
        <v/>
      </c>
      <c r="V179" t="str">
        <f t="shared" si="296"/>
        <v/>
      </c>
      <c r="W179" t="str">
        <f t="shared" si="296"/>
        <v/>
      </c>
      <c r="X179" t="str">
        <f t="shared" si="296"/>
        <v/>
      </c>
      <c r="Y179" t="str">
        <f t="shared" si="296"/>
        <v/>
      </c>
      <c r="AA179">
        <f t="shared" si="211"/>
        <v>42328.85</v>
      </c>
      <c r="AB179">
        <f t="shared" si="260"/>
        <v>42348.925000000003</v>
      </c>
      <c r="AC179">
        <f t="shared" si="261"/>
        <v>42369</v>
      </c>
      <c r="AD179">
        <f t="shared" si="262"/>
        <v>42389.075000000004</v>
      </c>
      <c r="AE179">
        <f t="shared" si="244"/>
        <v>42409.15</v>
      </c>
      <c r="AF179" t="e">
        <f t="shared" si="245"/>
        <v>#N/A</v>
      </c>
      <c r="AG179" t="e">
        <f t="shared" si="246"/>
        <v>#N/A</v>
      </c>
      <c r="AH179" t="e">
        <f t="shared" si="247"/>
        <v>#N/A</v>
      </c>
      <c r="AI179" t="e">
        <f t="shared" si="248"/>
        <v>#N/A</v>
      </c>
      <c r="AJ179" t="e">
        <f t="shared" si="249"/>
        <v>#N/A</v>
      </c>
      <c r="AK179" t="e">
        <f t="shared" si="250"/>
        <v>#N/A</v>
      </c>
      <c r="AL179" t="e">
        <f t="shared" si="251"/>
        <v>#N/A</v>
      </c>
      <c r="AM179" t="e">
        <f t="shared" si="252"/>
        <v>#N/A</v>
      </c>
      <c r="AN179" t="e">
        <f t="shared" si="253"/>
        <v>#N/A</v>
      </c>
      <c r="AO179" t="e">
        <f t="shared" si="254"/>
        <v>#N/A</v>
      </c>
      <c r="AP179" t="e">
        <f t="shared" si="255"/>
        <v>#N/A</v>
      </c>
      <c r="AQ179" t="e">
        <f t="shared" si="256"/>
        <v>#N/A</v>
      </c>
      <c r="AR179" t="e">
        <f t="shared" si="257"/>
        <v>#N/A</v>
      </c>
      <c r="AS179" t="e">
        <f t="shared" si="258"/>
        <v>#N/A</v>
      </c>
      <c r="AU179">
        <f t="shared" si="212"/>
        <v>1</v>
      </c>
      <c r="AV179">
        <f t="shared" si="213"/>
        <v>1</v>
      </c>
      <c r="AW179">
        <f t="shared" si="214"/>
        <v>1</v>
      </c>
      <c r="AX179">
        <f t="shared" si="215"/>
        <v>1</v>
      </c>
      <c r="AY179">
        <f t="shared" si="216"/>
        <v>1</v>
      </c>
      <c r="AZ179" t="str">
        <f t="shared" si="217"/>
        <v/>
      </c>
      <c r="BA179" t="str">
        <f t="shared" si="218"/>
        <v/>
      </c>
      <c r="BB179" t="str">
        <f t="shared" si="219"/>
        <v/>
      </c>
      <c r="BC179" t="str">
        <f t="shared" si="220"/>
        <v/>
      </c>
      <c r="BD179" t="str">
        <f t="shared" si="221"/>
        <v/>
      </c>
      <c r="BE179" t="str">
        <f t="shared" si="222"/>
        <v/>
      </c>
      <c r="BF179" t="str">
        <f t="shared" si="223"/>
        <v/>
      </c>
      <c r="BG179" t="str">
        <f t="shared" si="224"/>
        <v/>
      </c>
      <c r="BH179" t="str">
        <f t="shared" si="225"/>
        <v/>
      </c>
      <c r="BI179" t="str">
        <f t="shared" si="226"/>
        <v/>
      </c>
      <c r="BJ179" t="str">
        <f t="shared" si="227"/>
        <v/>
      </c>
      <c r="BK179" t="str">
        <f t="shared" si="228"/>
        <v/>
      </c>
      <c r="BL179" t="str">
        <f t="shared" si="229"/>
        <v/>
      </c>
      <c r="BM179" t="str">
        <f t="shared" si="230"/>
        <v/>
      </c>
      <c r="BP179"/>
      <c r="BR179"/>
    </row>
    <row r="180" spans="1:70" x14ac:dyDescent="0.25">
      <c r="A180" s="1">
        <v>41717</v>
      </c>
      <c r="B180">
        <v>1.25</v>
      </c>
      <c r="C180" s="4">
        <v>42369</v>
      </c>
      <c r="D180">
        <v>1</v>
      </c>
      <c r="E180">
        <f t="shared" si="208"/>
        <v>7.8125E-2</v>
      </c>
      <c r="F180" s="4"/>
      <c r="G180">
        <v>1</v>
      </c>
      <c r="H180" t="str">
        <f t="shared" ref="H180:Y180" si="297">IF($D180&gt;G180,G180+1,"")</f>
        <v/>
      </c>
      <c r="I180" t="str">
        <f t="shared" si="297"/>
        <v/>
      </c>
      <c r="J180" t="str">
        <f t="shared" si="297"/>
        <v/>
      </c>
      <c r="K180" t="str">
        <f t="shared" si="297"/>
        <v/>
      </c>
      <c r="L180" t="str">
        <f t="shared" si="297"/>
        <v/>
      </c>
      <c r="M180" t="str">
        <f t="shared" si="297"/>
        <v/>
      </c>
      <c r="N180" t="str">
        <f t="shared" si="297"/>
        <v/>
      </c>
      <c r="O180" t="str">
        <f t="shared" si="297"/>
        <v/>
      </c>
      <c r="P180" t="str">
        <f t="shared" si="297"/>
        <v/>
      </c>
      <c r="Q180" t="str">
        <f t="shared" si="297"/>
        <v/>
      </c>
      <c r="R180" t="str">
        <f t="shared" si="297"/>
        <v/>
      </c>
      <c r="S180" t="str">
        <f t="shared" si="297"/>
        <v/>
      </c>
      <c r="T180" t="str">
        <f t="shared" si="297"/>
        <v/>
      </c>
      <c r="U180" t="str">
        <f t="shared" si="297"/>
        <v/>
      </c>
      <c r="V180" t="str">
        <f t="shared" si="297"/>
        <v/>
      </c>
      <c r="W180" t="str">
        <f t="shared" si="297"/>
        <v/>
      </c>
      <c r="X180" t="str">
        <f t="shared" si="297"/>
        <v/>
      </c>
      <c r="Y180" t="str">
        <f t="shared" si="297"/>
        <v/>
      </c>
      <c r="AA180">
        <f t="shared" si="211"/>
        <v>42369</v>
      </c>
      <c r="AB180" t="e">
        <f t="shared" si="260"/>
        <v>#N/A</v>
      </c>
      <c r="AC180" t="e">
        <f t="shared" si="261"/>
        <v>#N/A</v>
      </c>
      <c r="AD180" t="e">
        <f t="shared" si="262"/>
        <v>#N/A</v>
      </c>
      <c r="AE180" t="e">
        <f t="shared" si="244"/>
        <v>#N/A</v>
      </c>
      <c r="AF180" t="e">
        <f t="shared" si="245"/>
        <v>#N/A</v>
      </c>
      <c r="AG180" t="e">
        <f t="shared" si="246"/>
        <v>#N/A</v>
      </c>
      <c r="AH180" t="e">
        <f t="shared" si="247"/>
        <v>#N/A</v>
      </c>
      <c r="AI180" t="e">
        <f t="shared" si="248"/>
        <v>#N/A</v>
      </c>
      <c r="AJ180" t="e">
        <f t="shared" si="249"/>
        <v>#N/A</v>
      </c>
      <c r="AK180" t="e">
        <f t="shared" si="250"/>
        <v>#N/A</v>
      </c>
      <c r="AL180" t="e">
        <f t="shared" si="251"/>
        <v>#N/A</v>
      </c>
      <c r="AM180" t="e">
        <f t="shared" si="252"/>
        <v>#N/A</v>
      </c>
      <c r="AN180" t="e">
        <f t="shared" si="253"/>
        <v>#N/A</v>
      </c>
      <c r="AO180" t="e">
        <f t="shared" si="254"/>
        <v>#N/A</v>
      </c>
      <c r="AP180" t="e">
        <f t="shared" si="255"/>
        <v>#N/A</v>
      </c>
      <c r="AQ180" t="e">
        <f t="shared" si="256"/>
        <v>#N/A</v>
      </c>
      <c r="AR180" t="e">
        <f t="shared" si="257"/>
        <v>#N/A</v>
      </c>
      <c r="AS180" t="e">
        <f t="shared" si="258"/>
        <v>#N/A</v>
      </c>
      <c r="AU180">
        <f t="shared" si="212"/>
        <v>1.25</v>
      </c>
      <c r="AV180" t="str">
        <f t="shared" si="213"/>
        <v/>
      </c>
      <c r="AW180" t="str">
        <f t="shared" si="214"/>
        <v/>
      </c>
      <c r="AX180" t="str">
        <f t="shared" si="215"/>
        <v/>
      </c>
      <c r="AY180" t="str">
        <f t="shared" si="216"/>
        <v/>
      </c>
      <c r="AZ180" t="str">
        <f t="shared" si="217"/>
        <v/>
      </c>
      <c r="BA180" t="str">
        <f t="shared" si="218"/>
        <v/>
      </c>
      <c r="BB180" t="str">
        <f t="shared" si="219"/>
        <v/>
      </c>
      <c r="BC180" t="str">
        <f t="shared" si="220"/>
        <v/>
      </c>
      <c r="BD180" t="str">
        <f t="shared" si="221"/>
        <v/>
      </c>
      <c r="BE180" t="str">
        <f t="shared" si="222"/>
        <v/>
      </c>
      <c r="BF180" t="str">
        <f t="shared" si="223"/>
        <v/>
      </c>
      <c r="BG180" t="str">
        <f t="shared" si="224"/>
        <v/>
      </c>
      <c r="BH180" t="str">
        <f t="shared" si="225"/>
        <v/>
      </c>
      <c r="BI180" t="str">
        <f t="shared" si="226"/>
        <v/>
      </c>
      <c r="BJ180" t="str">
        <f t="shared" si="227"/>
        <v/>
      </c>
      <c r="BK180" t="str">
        <f t="shared" si="228"/>
        <v/>
      </c>
      <c r="BL180" t="str">
        <f t="shared" si="229"/>
        <v/>
      </c>
      <c r="BM180" t="str">
        <f t="shared" si="230"/>
        <v/>
      </c>
      <c r="BP180"/>
      <c r="BR180"/>
    </row>
    <row r="181" spans="1:70" x14ac:dyDescent="0.25">
      <c r="A181" s="1">
        <v>41717</v>
      </c>
      <c r="B181">
        <v>1.5</v>
      </c>
      <c r="C181" s="4">
        <v>42369</v>
      </c>
      <c r="D181">
        <v>1</v>
      </c>
      <c r="E181">
        <f t="shared" si="208"/>
        <v>9.375E-2</v>
      </c>
      <c r="F181" s="4"/>
      <c r="G181">
        <v>1</v>
      </c>
      <c r="H181" t="str">
        <f t="shared" ref="H181:Y181" si="298">IF($D181&gt;G181,G181+1,"")</f>
        <v/>
      </c>
      <c r="I181" t="str">
        <f t="shared" si="298"/>
        <v/>
      </c>
      <c r="J181" t="str">
        <f t="shared" si="298"/>
        <v/>
      </c>
      <c r="K181" t="str">
        <f t="shared" si="298"/>
        <v/>
      </c>
      <c r="L181" t="str">
        <f t="shared" si="298"/>
        <v/>
      </c>
      <c r="M181" t="str">
        <f t="shared" si="298"/>
        <v/>
      </c>
      <c r="N181" t="str">
        <f t="shared" si="298"/>
        <v/>
      </c>
      <c r="O181" t="str">
        <f t="shared" si="298"/>
        <v/>
      </c>
      <c r="P181" t="str">
        <f t="shared" si="298"/>
        <v/>
      </c>
      <c r="Q181" t="str">
        <f t="shared" si="298"/>
        <v/>
      </c>
      <c r="R181" t="str">
        <f t="shared" si="298"/>
        <v/>
      </c>
      <c r="S181" t="str">
        <f t="shared" si="298"/>
        <v/>
      </c>
      <c r="T181" t="str">
        <f t="shared" si="298"/>
        <v/>
      </c>
      <c r="U181" t="str">
        <f t="shared" si="298"/>
        <v/>
      </c>
      <c r="V181" t="str">
        <f t="shared" si="298"/>
        <v/>
      </c>
      <c r="W181" t="str">
        <f t="shared" si="298"/>
        <v/>
      </c>
      <c r="X181" t="str">
        <f t="shared" si="298"/>
        <v/>
      </c>
      <c r="Y181" t="str">
        <f t="shared" si="298"/>
        <v/>
      </c>
      <c r="AA181">
        <f t="shared" si="211"/>
        <v>42369</v>
      </c>
      <c r="AB181" t="e">
        <f t="shared" si="260"/>
        <v>#N/A</v>
      </c>
      <c r="AC181" t="e">
        <f t="shared" si="261"/>
        <v>#N/A</v>
      </c>
      <c r="AD181" t="e">
        <f t="shared" si="262"/>
        <v>#N/A</v>
      </c>
      <c r="AE181" t="e">
        <f t="shared" si="244"/>
        <v>#N/A</v>
      </c>
      <c r="AF181" t="e">
        <f t="shared" si="245"/>
        <v>#N/A</v>
      </c>
      <c r="AG181" t="e">
        <f t="shared" si="246"/>
        <v>#N/A</v>
      </c>
      <c r="AH181" t="e">
        <f t="shared" si="247"/>
        <v>#N/A</v>
      </c>
      <c r="AI181" t="e">
        <f t="shared" si="248"/>
        <v>#N/A</v>
      </c>
      <c r="AJ181" t="e">
        <f t="shared" si="249"/>
        <v>#N/A</v>
      </c>
      <c r="AK181" t="e">
        <f t="shared" si="250"/>
        <v>#N/A</v>
      </c>
      <c r="AL181" t="e">
        <f t="shared" si="251"/>
        <v>#N/A</v>
      </c>
      <c r="AM181" t="e">
        <f t="shared" si="252"/>
        <v>#N/A</v>
      </c>
      <c r="AN181" t="e">
        <f t="shared" si="253"/>
        <v>#N/A</v>
      </c>
      <c r="AO181" t="e">
        <f t="shared" si="254"/>
        <v>#N/A</v>
      </c>
      <c r="AP181" t="e">
        <f t="shared" si="255"/>
        <v>#N/A</v>
      </c>
      <c r="AQ181" t="e">
        <f t="shared" si="256"/>
        <v>#N/A</v>
      </c>
      <c r="AR181" t="e">
        <f t="shared" si="257"/>
        <v>#N/A</v>
      </c>
      <c r="AS181" t="e">
        <f t="shared" si="258"/>
        <v>#N/A</v>
      </c>
      <c r="AU181">
        <f t="shared" si="212"/>
        <v>1.5</v>
      </c>
      <c r="AV181" t="str">
        <f t="shared" si="213"/>
        <v/>
      </c>
      <c r="AW181" t="str">
        <f t="shared" si="214"/>
        <v/>
      </c>
      <c r="AX181" t="str">
        <f t="shared" si="215"/>
        <v/>
      </c>
      <c r="AY181" t="str">
        <f t="shared" si="216"/>
        <v/>
      </c>
      <c r="AZ181" t="str">
        <f t="shared" si="217"/>
        <v/>
      </c>
      <c r="BA181" t="str">
        <f t="shared" si="218"/>
        <v/>
      </c>
      <c r="BB181" t="str">
        <f t="shared" si="219"/>
        <v/>
      </c>
      <c r="BC181" t="str">
        <f t="shared" si="220"/>
        <v/>
      </c>
      <c r="BD181" t="str">
        <f t="shared" si="221"/>
        <v/>
      </c>
      <c r="BE181" t="str">
        <f t="shared" si="222"/>
        <v/>
      </c>
      <c r="BF181" t="str">
        <f t="shared" si="223"/>
        <v/>
      </c>
      <c r="BG181" t="str">
        <f t="shared" si="224"/>
        <v/>
      </c>
      <c r="BH181" t="str">
        <f t="shared" si="225"/>
        <v/>
      </c>
      <c r="BI181" t="str">
        <f t="shared" si="226"/>
        <v/>
      </c>
      <c r="BJ181" t="str">
        <f t="shared" si="227"/>
        <v/>
      </c>
      <c r="BK181" t="str">
        <f t="shared" si="228"/>
        <v/>
      </c>
      <c r="BL181" t="str">
        <f t="shared" si="229"/>
        <v/>
      </c>
      <c r="BM181" t="str">
        <f t="shared" si="230"/>
        <v/>
      </c>
      <c r="BP181"/>
      <c r="BR181"/>
    </row>
    <row r="182" spans="1:70" x14ac:dyDescent="0.25">
      <c r="A182" s="1">
        <v>41717</v>
      </c>
      <c r="B182">
        <v>2</v>
      </c>
      <c r="C182" s="4">
        <v>42369</v>
      </c>
      <c r="D182">
        <v>1</v>
      </c>
      <c r="E182">
        <f t="shared" si="208"/>
        <v>0.125</v>
      </c>
      <c r="F182" s="4"/>
      <c r="G182">
        <v>1</v>
      </c>
      <c r="H182" t="str">
        <f t="shared" ref="H182:Y182" si="299">IF($D182&gt;G182,G182+1,"")</f>
        <v/>
      </c>
      <c r="I182" t="str">
        <f t="shared" si="299"/>
        <v/>
      </c>
      <c r="J182" t="str">
        <f t="shared" si="299"/>
        <v/>
      </c>
      <c r="K182" t="str">
        <f t="shared" si="299"/>
        <v/>
      </c>
      <c r="L182" t="str">
        <f t="shared" si="299"/>
        <v/>
      </c>
      <c r="M182" t="str">
        <f t="shared" si="299"/>
        <v/>
      </c>
      <c r="N182" t="str">
        <f t="shared" si="299"/>
        <v/>
      </c>
      <c r="O182" t="str">
        <f t="shared" si="299"/>
        <v/>
      </c>
      <c r="P182" t="str">
        <f t="shared" si="299"/>
        <v/>
      </c>
      <c r="Q182" t="str">
        <f t="shared" si="299"/>
        <v/>
      </c>
      <c r="R182" t="str">
        <f t="shared" si="299"/>
        <v/>
      </c>
      <c r="S182" t="str">
        <f t="shared" si="299"/>
        <v/>
      </c>
      <c r="T182" t="str">
        <f t="shared" si="299"/>
        <v/>
      </c>
      <c r="U182" t="str">
        <f t="shared" si="299"/>
        <v/>
      </c>
      <c r="V182" t="str">
        <f t="shared" si="299"/>
        <v/>
      </c>
      <c r="W182" t="str">
        <f t="shared" si="299"/>
        <v/>
      </c>
      <c r="X182" t="str">
        <f t="shared" si="299"/>
        <v/>
      </c>
      <c r="Y182" t="str">
        <f t="shared" si="299"/>
        <v/>
      </c>
      <c r="AA182">
        <f t="shared" si="211"/>
        <v>42369</v>
      </c>
      <c r="AB182" t="e">
        <f t="shared" si="260"/>
        <v>#N/A</v>
      </c>
      <c r="AC182" t="e">
        <f t="shared" si="261"/>
        <v>#N/A</v>
      </c>
      <c r="AD182" t="e">
        <f t="shared" si="262"/>
        <v>#N/A</v>
      </c>
      <c r="AE182" t="e">
        <f t="shared" si="244"/>
        <v>#N/A</v>
      </c>
      <c r="AF182" t="e">
        <f t="shared" si="245"/>
        <v>#N/A</v>
      </c>
      <c r="AG182" t="e">
        <f t="shared" si="246"/>
        <v>#N/A</v>
      </c>
      <c r="AH182" t="e">
        <f t="shared" si="247"/>
        <v>#N/A</v>
      </c>
      <c r="AI182" t="e">
        <f t="shared" si="248"/>
        <v>#N/A</v>
      </c>
      <c r="AJ182" t="e">
        <f t="shared" si="249"/>
        <v>#N/A</v>
      </c>
      <c r="AK182" t="e">
        <f t="shared" si="250"/>
        <v>#N/A</v>
      </c>
      <c r="AL182" t="e">
        <f t="shared" si="251"/>
        <v>#N/A</v>
      </c>
      <c r="AM182" t="e">
        <f t="shared" si="252"/>
        <v>#N/A</v>
      </c>
      <c r="AN182" t="e">
        <f t="shared" si="253"/>
        <v>#N/A</v>
      </c>
      <c r="AO182" t="e">
        <f t="shared" si="254"/>
        <v>#N/A</v>
      </c>
      <c r="AP182" t="e">
        <f t="shared" si="255"/>
        <v>#N/A</v>
      </c>
      <c r="AQ182" t="e">
        <f t="shared" si="256"/>
        <v>#N/A</v>
      </c>
      <c r="AR182" t="e">
        <f t="shared" si="257"/>
        <v>#N/A</v>
      </c>
      <c r="AS182" t="e">
        <f t="shared" si="258"/>
        <v>#N/A</v>
      </c>
      <c r="AU182">
        <f t="shared" si="212"/>
        <v>2</v>
      </c>
      <c r="AV182" t="str">
        <f t="shared" si="213"/>
        <v/>
      </c>
      <c r="AW182" t="str">
        <f t="shared" si="214"/>
        <v/>
      </c>
      <c r="AX182" t="str">
        <f t="shared" si="215"/>
        <v/>
      </c>
      <c r="AY182" t="str">
        <f t="shared" si="216"/>
        <v/>
      </c>
      <c r="AZ182" t="str">
        <f t="shared" si="217"/>
        <v/>
      </c>
      <c r="BA182" t="str">
        <f t="shared" si="218"/>
        <v/>
      </c>
      <c r="BB182" t="str">
        <f t="shared" si="219"/>
        <v/>
      </c>
      <c r="BC182" t="str">
        <f t="shared" si="220"/>
        <v/>
      </c>
      <c r="BD182" t="str">
        <f t="shared" si="221"/>
        <v/>
      </c>
      <c r="BE182" t="str">
        <f t="shared" si="222"/>
        <v/>
      </c>
      <c r="BF182" t="str">
        <f t="shared" si="223"/>
        <v/>
      </c>
      <c r="BG182" t="str">
        <f t="shared" si="224"/>
        <v/>
      </c>
      <c r="BH182" t="str">
        <f t="shared" si="225"/>
        <v/>
      </c>
      <c r="BI182" t="str">
        <f t="shared" si="226"/>
        <v/>
      </c>
      <c r="BJ182" t="str">
        <f t="shared" si="227"/>
        <v/>
      </c>
      <c r="BK182" t="str">
        <f t="shared" si="228"/>
        <v/>
      </c>
      <c r="BL182" t="str">
        <f t="shared" si="229"/>
        <v/>
      </c>
      <c r="BM182" t="str">
        <f t="shared" si="230"/>
        <v/>
      </c>
      <c r="BP182"/>
      <c r="BR182"/>
    </row>
    <row r="183" spans="1:70" x14ac:dyDescent="0.25">
      <c r="A183" s="1">
        <v>41717</v>
      </c>
      <c r="B183">
        <v>2.25</v>
      </c>
      <c r="C183" s="4">
        <v>42369</v>
      </c>
      <c r="D183">
        <v>1</v>
      </c>
      <c r="E183">
        <f t="shared" si="208"/>
        <v>0.140625</v>
      </c>
      <c r="F183" s="4"/>
      <c r="G183">
        <v>1</v>
      </c>
      <c r="H183" t="str">
        <f t="shared" ref="H183:Y183" si="300">IF($D183&gt;G183,G183+1,"")</f>
        <v/>
      </c>
      <c r="I183" t="str">
        <f t="shared" si="300"/>
        <v/>
      </c>
      <c r="J183" t="str">
        <f t="shared" si="300"/>
        <v/>
      </c>
      <c r="K183" t="str">
        <f t="shared" si="300"/>
        <v/>
      </c>
      <c r="L183" t="str">
        <f t="shared" si="300"/>
        <v/>
      </c>
      <c r="M183" t="str">
        <f t="shared" si="300"/>
        <v/>
      </c>
      <c r="N183" t="str">
        <f t="shared" si="300"/>
        <v/>
      </c>
      <c r="O183" t="str">
        <f t="shared" si="300"/>
        <v/>
      </c>
      <c r="P183" t="str">
        <f t="shared" si="300"/>
        <v/>
      </c>
      <c r="Q183" t="str">
        <f t="shared" si="300"/>
        <v/>
      </c>
      <c r="R183" t="str">
        <f t="shared" si="300"/>
        <v/>
      </c>
      <c r="S183" t="str">
        <f t="shared" si="300"/>
        <v/>
      </c>
      <c r="T183" t="str">
        <f t="shared" si="300"/>
        <v/>
      </c>
      <c r="U183" t="str">
        <f t="shared" si="300"/>
        <v/>
      </c>
      <c r="V183" t="str">
        <f t="shared" si="300"/>
        <v/>
      </c>
      <c r="W183" t="str">
        <f t="shared" si="300"/>
        <v/>
      </c>
      <c r="X183" t="str">
        <f t="shared" si="300"/>
        <v/>
      </c>
      <c r="Y183" t="str">
        <f t="shared" si="300"/>
        <v/>
      </c>
      <c r="AA183">
        <f t="shared" si="211"/>
        <v>42369</v>
      </c>
      <c r="AB183" t="e">
        <f t="shared" si="260"/>
        <v>#N/A</v>
      </c>
      <c r="AC183" t="e">
        <f t="shared" si="261"/>
        <v>#N/A</v>
      </c>
      <c r="AD183" t="e">
        <f t="shared" si="262"/>
        <v>#N/A</v>
      </c>
      <c r="AE183" t="e">
        <f t="shared" si="244"/>
        <v>#N/A</v>
      </c>
      <c r="AF183" t="e">
        <f t="shared" si="245"/>
        <v>#N/A</v>
      </c>
      <c r="AG183" t="e">
        <f t="shared" si="246"/>
        <v>#N/A</v>
      </c>
      <c r="AH183" t="e">
        <f t="shared" si="247"/>
        <v>#N/A</v>
      </c>
      <c r="AI183" t="e">
        <f t="shared" si="248"/>
        <v>#N/A</v>
      </c>
      <c r="AJ183" t="e">
        <f t="shared" si="249"/>
        <v>#N/A</v>
      </c>
      <c r="AK183" t="e">
        <f t="shared" si="250"/>
        <v>#N/A</v>
      </c>
      <c r="AL183" t="e">
        <f t="shared" si="251"/>
        <v>#N/A</v>
      </c>
      <c r="AM183" t="e">
        <f t="shared" si="252"/>
        <v>#N/A</v>
      </c>
      <c r="AN183" t="e">
        <f t="shared" si="253"/>
        <v>#N/A</v>
      </c>
      <c r="AO183" t="e">
        <f t="shared" si="254"/>
        <v>#N/A</v>
      </c>
      <c r="AP183" t="e">
        <f t="shared" si="255"/>
        <v>#N/A</v>
      </c>
      <c r="AQ183" t="e">
        <f t="shared" si="256"/>
        <v>#N/A</v>
      </c>
      <c r="AR183" t="e">
        <f t="shared" si="257"/>
        <v>#N/A</v>
      </c>
      <c r="AS183" t="e">
        <f t="shared" si="258"/>
        <v>#N/A</v>
      </c>
      <c r="AU183">
        <f t="shared" si="212"/>
        <v>2.25</v>
      </c>
      <c r="AV183" t="str">
        <f t="shared" si="213"/>
        <v/>
      </c>
      <c r="AW183" t="str">
        <f t="shared" si="214"/>
        <v/>
      </c>
      <c r="AX183" t="str">
        <f t="shared" si="215"/>
        <v/>
      </c>
      <c r="AY183" t="str">
        <f t="shared" si="216"/>
        <v/>
      </c>
      <c r="AZ183" t="str">
        <f t="shared" si="217"/>
        <v/>
      </c>
      <c r="BA183" t="str">
        <f t="shared" si="218"/>
        <v/>
      </c>
      <c r="BB183" t="str">
        <f t="shared" si="219"/>
        <v/>
      </c>
      <c r="BC183" t="str">
        <f t="shared" si="220"/>
        <v/>
      </c>
      <c r="BD183" t="str">
        <f t="shared" si="221"/>
        <v/>
      </c>
      <c r="BE183" t="str">
        <f t="shared" si="222"/>
        <v/>
      </c>
      <c r="BF183" t="str">
        <f t="shared" si="223"/>
        <v/>
      </c>
      <c r="BG183" t="str">
        <f t="shared" si="224"/>
        <v/>
      </c>
      <c r="BH183" t="str">
        <f t="shared" si="225"/>
        <v/>
      </c>
      <c r="BI183" t="str">
        <f t="shared" si="226"/>
        <v/>
      </c>
      <c r="BJ183" t="str">
        <f t="shared" si="227"/>
        <v/>
      </c>
      <c r="BK183" t="str">
        <f t="shared" si="228"/>
        <v/>
      </c>
      <c r="BL183" t="str">
        <f t="shared" si="229"/>
        <v/>
      </c>
      <c r="BM183" t="str">
        <f t="shared" si="230"/>
        <v/>
      </c>
      <c r="BP183"/>
      <c r="BR183"/>
    </row>
    <row r="184" spans="1:70" x14ac:dyDescent="0.25">
      <c r="A184" s="1">
        <v>41717</v>
      </c>
      <c r="B184">
        <v>3</v>
      </c>
      <c r="C184" s="4">
        <v>42369</v>
      </c>
      <c r="D184">
        <v>1</v>
      </c>
      <c r="E184">
        <f t="shared" si="208"/>
        <v>0.1875</v>
      </c>
      <c r="F184" s="4"/>
      <c r="G184">
        <v>1</v>
      </c>
      <c r="H184" t="str">
        <f t="shared" ref="H184:Y184" si="301">IF($D184&gt;G184,G184+1,"")</f>
        <v/>
      </c>
      <c r="I184" t="str">
        <f t="shared" si="301"/>
        <v/>
      </c>
      <c r="J184" t="str">
        <f t="shared" si="301"/>
        <v/>
      </c>
      <c r="K184" t="str">
        <f t="shared" si="301"/>
        <v/>
      </c>
      <c r="L184" t="str">
        <f t="shared" si="301"/>
        <v/>
      </c>
      <c r="M184" t="str">
        <f t="shared" si="301"/>
        <v/>
      </c>
      <c r="N184" t="str">
        <f t="shared" si="301"/>
        <v/>
      </c>
      <c r="O184" t="str">
        <f t="shared" si="301"/>
        <v/>
      </c>
      <c r="P184" t="str">
        <f t="shared" si="301"/>
        <v/>
      </c>
      <c r="Q184" t="str">
        <f t="shared" si="301"/>
        <v/>
      </c>
      <c r="R184" t="str">
        <f t="shared" si="301"/>
        <v/>
      </c>
      <c r="S184" t="str">
        <f t="shared" si="301"/>
        <v/>
      </c>
      <c r="T184" t="str">
        <f t="shared" si="301"/>
        <v/>
      </c>
      <c r="U184" t="str">
        <f t="shared" si="301"/>
        <v/>
      </c>
      <c r="V184" t="str">
        <f t="shared" si="301"/>
        <v/>
      </c>
      <c r="W184" t="str">
        <f t="shared" si="301"/>
        <v/>
      </c>
      <c r="X184" t="str">
        <f t="shared" si="301"/>
        <v/>
      </c>
      <c r="Y184" t="str">
        <f t="shared" si="301"/>
        <v/>
      </c>
      <c r="AA184">
        <f t="shared" si="211"/>
        <v>42369</v>
      </c>
      <c r="AB184" t="e">
        <f t="shared" si="260"/>
        <v>#N/A</v>
      </c>
      <c r="AC184" t="e">
        <f t="shared" si="261"/>
        <v>#N/A</v>
      </c>
      <c r="AD184" t="e">
        <f t="shared" si="262"/>
        <v>#N/A</v>
      </c>
      <c r="AE184" t="e">
        <f t="shared" si="244"/>
        <v>#N/A</v>
      </c>
      <c r="AF184" t="e">
        <f t="shared" si="245"/>
        <v>#N/A</v>
      </c>
      <c r="AG184" t="e">
        <f t="shared" si="246"/>
        <v>#N/A</v>
      </c>
      <c r="AH184" t="e">
        <f t="shared" si="247"/>
        <v>#N/A</v>
      </c>
      <c r="AI184" t="e">
        <f t="shared" si="248"/>
        <v>#N/A</v>
      </c>
      <c r="AJ184" t="e">
        <f t="shared" si="249"/>
        <v>#N/A</v>
      </c>
      <c r="AK184" t="e">
        <f t="shared" si="250"/>
        <v>#N/A</v>
      </c>
      <c r="AL184" t="e">
        <f t="shared" si="251"/>
        <v>#N/A</v>
      </c>
      <c r="AM184" t="e">
        <f t="shared" si="252"/>
        <v>#N/A</v>
      </c>
      <c r="AN184" t="e">
        <f t="shared" si="253"/>
        <v>#N/A</v>
      </c>
      <c r="AO184" t="e">
        <f t="shared" si="254"/>
        <v>#N/A</v>
      </c>
      <c r="AP184" t="e">
        <f t="shared" si="255"/>
        <v>#N/A</v>
      </c>
      <c r="AQ184" t="e">
        <f t="shared" si="256"/>
        <v>#N/A</v>
      </c>
      <c r="AR184" t="e">
        <f t="shared" si="257"/>
        <v>#N/A</v>
      </c>
      <c r="AS184" t="e">
        <f t="shared" si="258"/>
        <v>#N/A</v>
      </c>
      <c r="AU184">
        <f t="shared" si="212"/>
        <v>3</v>
      </c>
      <c r="AV184" t="str">
        <f t="shared" si="213"/>
        <v/>
      </c>
      <c r="AW184" t="str">
        <f t="shared" si="214"/>
        <v/>
      </c>
      <c r="AX184" t="str">
        <f t="shared" si="215"/>
        <v/>
      </c>
      <c r="AY184" t="str">
        <f t="shared" si="216"/>
        <v/>
      </c>
      <c r="AZ184" t="str">
        <f t="shared" si="217"/>
        <v/>
      </c>
      <c r="BA184" t="str">
        <f t="shared" si="218"/>
        <v/>
      </c>
      <c r="BB184" t="str">
        <f t="shared" si="219"/>
        <v/>
      </c>
      <c r="BC184" t="str">
        <f t="shared" si="220"/>
        <v/>
      </c>
      <c r="BD184" t="str">
        <f t="shared" si="221"/>
        <v/>
      </c>
      <c r="BE184" t="str">
        <f t="shared" si="222"/>
        <v/>
      </c>
      <c r="BF184" t="str">
        <f t="shared" si="223"/>
        <v/>
      </c>
      <c r="BG184" t="str">
        <f t="shared" si="224"/>
        <v/>
      </c>
      <c r="BH184" t="str">
        <f t="shared" si="225"/>
        <v/>
      </c>
      <c r="BI184" t="str">
        <f t="shared" si="226"/>
        <v/>
      </c>
      <c r="BJ184" t="str">
        <f t="shared" si="227"/>
        <v/>
      </c>
      <c r="BK184" t="str">
        <f t="shared" si="228"/>
        <v/>
      </c>
      <c r="BL184" t="str">
        <f t="shared" si="229"/>
        <v/>
      </c>
      <c r="BM184" t="str">
        <f t="shared" si="230"/>
        <v/>
      </c>
      <c r="BP184"/>
      <c r="BR184"/>
    </row>
    <row r="185" spans="1:70" x14ac:dyDescent="0.25">
      <c r="A185" s="1">
        <v>41717</v>
      </c>
      <c r="B185">
        <v>0.75</v>
      </c>
      <c r="C185" s="4">
        <v>42735</v>
      </c>
      <c r="D185">
        <v>1</v>
      </c>
      <c r="E185">
        <f t="shared" si="208"/>
        <v>4.6875E-2</v>
      </c>
      <c r="F185" s="4"/>
      <c r="G185">
        <v>1</v>
      </c>
      <c r="H185" t="str">
        <f t="shared" ref="H185:Y185" si="302">IF($D185&gt;G185,G185+1,"")</f>
        <v/>
      </c>
      <c r="I185" t="str">
        <f t="shared" si="302"/>
        <v/>
      </c>
      <c r="J185" t="str">
        <f t="shared" si="302"/>
        <v/>
      </c>
      <c r="K185" t="str">
        <f t="shared" si="302"/>
        <v/>
      </c>
      <c r="L185" t="str">
        <f t="shared" si="302"/>
        <v/>
      </c>
      <c r="M185" t="str">
        <f t="shared" si="302"/>
        <v/>
      </c>
      <c r="N185" t="str">
        <f t="shared" si="302"/>
        <v/>
      </c>
      <c r="O185" t="str">
        <f t="shared" si="302"/>
        <v/>
      </c>
      <c r="P185" t="str">
        <f t="shared" si="302"/>
        <v/>
      </c>
      <c r="Q185" t="str">
        <f t="shared" si="302"/>
        <v/>
      </c>
      <c r="R185" t="str">
        <f t="shared" si="302"/>
        <v/>
      </c>
      <c r="S185" t="str">
        <f t="shared" si="302"/>
        <v/>
      </c>
      <c r="T185" t="str">
        <f t="shared" si="302"/>
        <v/>
      </c>
      <c r="U185" t="str">
        <f t="shared" si="302"/>
        <v/>
      </c>
      <c r="V185" t="str">
        <f t="shared" si="302"/>
        <v/>
      </c>
      <c r="W185" t="str">
        <f t="shared" si="302"/>
        <v/>
      </c>
      <c r="X185" t="str">
        <f t="shared" si="302"/>
        <v/>
      </c>
      <c r="Y185" t="str">
        <f t="shared" si="302"/>
        <v/>
      </c>
      <c r="AA185">
        <f t="shared" si="211"/>
        <v>42735</v>
      </c>
      <c r="AB185" t="e">
        <f t="shared" si="260"/>
        <v>#N/A</v>
      </c>
      <c r="AC185" t="e">
        <f t="shared" si="261"/>
        <v>#N/A</v>
      </c>
      <c r="AD185" t="e">
        <f t="shared" si="262"/>
        <v>#N/A</v>
      </c>
      <c r="AE185" t="e">
        <f t="shared" si="244"/>
        <v>#N/A</v>
      </c>
      <c r="AF185" t="e">
        <f t="shared" si="245"/>
        <v>#N/A</v>
      </c>
      <c r="AG185" t="e">
        <f t="shared" si="246"/>
        <v>#N/A</v>
      </c>
      <c r="AH185" t="e">
        <f t="shared" si="247"/>
        <v>#N/A</v>
      </c>
      <c r="AI185" t="e">
        <f t="shared" si="248"/>
        <v>#N/A</v>
      </c>
      <c r="AJ185" t="e">
        <f t="shared" si="249"/>
        <v>#N/A</v>
      </c>
      <c r="AK185" t="e">
        <f t="shared" si="250"/>
        <v>#N/A</v>
      </c>
      <c r="AL185" t="e">
        <f t="shared" si="251"/>
        <v>#N/A</v>
      </c>
      <c r="AM185" t="e">
        <f t="shared" si="252"/>
        <v>#N/A</v>
      </c>
      <c r="AN185" t="e">
        <f t="shared" si="253"/>
        <v>#N/A</v>
      </c>
      <c r="AO185" t="e">
        <f t="shared" si="254"/>
        <v>#N/A</v>
      </c>
      <c r="AP185" t="e">
        <f t="shared" si="255"/>
        <v>#N/A</v>
      </c>
      <c r="AQ185" t="e">
        <f t="shared" si="256"/>
        <v>#N/A</v>
      </c>
      <c r="AR185" t="e">
        <f t="shared" si="257"/>
        <v>#N/A</v>
      </c>
      <c r="AS185" t="e">
        <f t="shared" si="258"/>
        <v>#N/A</v>
      </c>
      <c r="AU185">
        <f t="shared" si="212"/>
        <v>0.75</v>
      </c>
      <c r="AV185" t="str">
        <f t="shared" si="213"/>
        <v/>
      </c>
      <c r="AW185" t="str">
        <f t="shared" si="214"/>
        <v/>
      </c>
      <c r="AX185" t="str">
        <f t="shared" si="215"/>
        <v/>
      </c>
      <c r="AY185" t="str">
        <f t="shared" si="216"/>
        <v/>
      </c>
      <c r="AZ185" t="str">
        <f t="shared" si="217"/>
        <v/>
      </c>
      <c r="BA185" t="str">
        <f t="shared" si="218"/>
        <v/>
      </c>
      <c r="BB185" t="str">
        <f t="shared" si="219"/>
        <v/>
      </c>
      <c r="BC185" t="str">
        <f t="shared" si="220"/>
        <v/>
      </c>
      <c r="BD185" t="str">
        <f t="shared" si="221"/>
        <v/>
      </c>
      <c r="BE185" t="str">
        <f t="shared" si="222"/>
        <v/>
      </c>
      <c r="BF185" t="str">
        <f t="shared" si="223"/>
        <v/>
      </c>
      <c r="BG185" t="str">
        <f t="shared" si="224"/>
        <v/>
      </c>
      <c r="BH185" t="str">
        <f t="shared" si="225"/>
        <v/>
      </c>
      <c r="BI185" t="str">
        <f t="shared" si="226"/>
        <v/>
      </c>
      <c r="BJ185" t="str">
        <f t="shared" si="227"/>
        <v/>
      </c>
      <c r="BK185" t="str">
        <f t="shared" si="228"/>
        <v/>
      </c>
      <c r="BL185" t="str">
        <f t="shared" si="229"/>
        <v/>
      </c>
      <c r="BM185" t="str">
        <f t="shared" si="230"/>
        <v/>
      </c>
      <c r="BP185"/>
      <c r="BR185"/>
    </row>
    <row r="186" spans="1:70" x14ac:dyDescent="0.25">
      <c r="A186" s="1">
        <v>41717</v>
      </c>
      <c r="B186">
        <v>1.25</v>
      </c>
      <c r="C186" s="4">
        <v>42735</v>
      </c>
      <c r="D186">
        <v>1</v>
      </c>
      <c r="E186">
        <f t="shared" si="208"/>
        <v>7.8125E-2</v>
      </c>
      <c r="F186" s="4"/>
      <c r="G186">
        <v>1</v>
      </c>
      <c r="H186" t="str">
        <f t="shared" ref="H186:Y186" si="303">IF($D186&gt;G186,G186+1,"")</f>
        <v/>
      </c>
      <c r="I186" t="str">
        <f t="shared" si="303"/>
        <v/>
      </c>
      <c r="J186" t="str">
        <f t="shared" si="303"/>
        <v/>
      </c>
      <c r="K186" t="str">
        <f t="shared" si="303"/>
        <v/>
      </c>
      <c r="L186" t="str">
        <f t="shared" si="303"/>
        <v/>
      </c>
      <c r="M186" t="str">
        <f t="shared" si="303"/>
        <v/>
      </c>
      <c r="N186" t="str">
        <f t="shared" si="303"/>
        <v/>
      </c>
      <c r="O186" t="str">
        <f t="shared" si="303"/>
        <v/>
      </c>
      <c r="P186" t="str">
        <f t="shared" si="303"/>
        <v/>
      </c>
      <c r="Q186" t="str">
        <f t="shared" si="303"/>
        <v/>
      </c>
      <c r="R186" t="str">
        <f t="shared" si="303"/>
        <v/>
      </c>
      <c r="S186" t="str">
        <f t="shared" si="303"/>
        <v/>
      </c>
      <c r="T186" t="str">
        <f t="shared" si="303"/>
        <v/>
      </c>
      <c r="U186" t="str">
        <f t="shared" si="303"/>
        <v/>
      </c>
      <c r="V186" t="str">
        <f t="shared" si="303"/>
        <v/>
      </c>
      <c r="W186" t="str">
        <f t="shared" si="303"/>
        <v/>
      </c>
      <c r="X186" t="str">
        <f t="shared" si="303"/>
        <v/>
      </c>
      <c r="Y186" t="str">
        <f t="shared" si="303"/>
        <v/>
      </c>
      <c r="AA186">
        <f t="shared" si="211"/>
        <v>42735</v>
      </c>
      <c r="AB186" t="e">
        <f t="shared" si="260"/>
        <v>#N/A</v>
      </c>
      <c r="AC186" t="e">
        <f t="shared" si="261"/>
        <v>#N/A</v>
      </c>
      <c r="AD186" t="e">
        <f t="shared" si="262"/>
        <v>#N/A</v>
      </c>
      <c r="AE186" t="e">
        <f t="shared" si="244"/>
        <v>#N/A</v>
      </c>
      <c r="AF186" t="e">
        <f t="shared" si="245"/>
        <v>#N/A</v>
      </c>
      <c r="AG186" t="e">
        <f t="shared" si="246"/>
        <v>#N/A</v>
      </c>
      <c r="AH186" t="e">
        <f t="shared" si="247"/>
        <v>#N/A</v>
      </c>
      <c r="AI186" t="e">
        <f t="shared" si="248"/>
        <v>#N/A</v>
      </c>
      <c r="AJ186" t="e">
        <f t="shared" si="249"/>
        <v>#N/A</v>
      </c>
      <c r="AK186" t="e">
        <f t="shared" si="250"/>
        <v>#N/A</v>
      </c>
      <c r="AL186" t="e">
        <f t="shared" si="251"/>
        <v>#N/A</v>
      </c>
      <c r="AM186" t="e">
        <f t="shared" si="252"/>
        <v>#N/A</v>
      </c>
      <c r="AN186" t="e">
        <f t="shared" si="253"/>
        <v>#N/A</v>
      </c>
      <c r="AO186" t="e">
        <f t="shared" si="254"/>
        <v>#N/A</v>
      </c>
      <c r="AP186" t="e">
        <f t="shared" si="255"/>
        <v>#N/A</v>
      </c>
      <c r="AQ186" t="e">
        <f t="shared" si="256"/>
        <v>#N/A</v>
      </c>
      <c r="AR186" t="e">
        <f t="shared" si="257"/>
        <v>#N/A</v>
      </c>
      <c r="AS186" t="e">
        <f t="shared" si="258"/>
        <v>#N/A</v>
      </c>
      <c r="AU186">
        <f t="shared" si="212"/>
        <v>1.25</v>
      </c>
      <c r="AV186" t="str">
        <f t="shared" si="213"/>
        <v/>
      </c>
      <c r="AW186" t="str">
        <f t="shared" si="214"/>
        <v/>
      </c>
      <c r="AX186" t="str">
        <f t="shared" si="215"/>
        <v/>
      </c>
      <c r="AY186" t="str">
        <f t="shared" si="216"/>
        <v/>
      </c>
      <c r="AZ186" t="str">
        <f t="shared" si="217"/>
        <v/>
      </c>
      <c r="BA186" t="str">
        <f t="shared" si="218"/>
        <v/>
      </c>
      <c r="BB186" t="str">
        <f t="shared" si="219"/>
        <v/>
      </c>
      <c r="BC186" t="str">
        <f t="shared" si="220"/>
        <v/>
      </c>
      <c r="BD186" t="str">
        <f t="shared" si="221"/>
        <v/>
      </c>
      <c r="BE186" t="str">
        <f t="shared" si="222"/>
        <v/>
      </c>
      <c r="BF186" t="str">
        <f t="shared" si="223"/>
        <v/>
      </c>
      <c r="BG186" t="str">
        <f t="shared" si="224"/>
        <v/>
      </c>
      <c r="BH186" t="str">
        <f t="shared" si="225"/>
        <v/>
      </c>
      <c r="BI186" t="str">
        <f t="shared" si="226"/>
        <v/>
      </c>
      <c r="BJ186" t="str">
        <f t="shared" si="227"/>
        <v/>
      </c>
      <c r="BK186" t="str">
        <f t="shared" si="228"/>
        <v/>
      </c>
      <c r="BL186" t="str">
        <f t="shared" si="229"/>
        <v/>
      </c>
      <c r="BM186" t="str">
        <f t="shared" si="230"/>
        <v/>
      </c>
      <c r="BP186"/>
      <c r="BR186"/>
    </row>
    <row r="187" spans="1:70" x14ac:dyDescent="0.25">
      <c r="A187" s="1">
        <v>41717</v>
      </c>
      <c r="B187">
        <v>1.75</v>
      </c>
      <c r="C187" s="4">
        <v>42735</v>
      </c>
      <c r="D187">
        <v>2</v>
      </c>
      <c r="E187">
        <f t="shared" si="208"/>
        <v>0.21875</v>
      </c>
      <c r="F187" s="4"/>
      <c r="G187">
        <v>1</v>
      </c>
      <c r="H187">
        <f t="shared" ref="H187:Y187" si="304">IF($D187&gt;G187,G187+1,"")</f>
        <v>2</v>
      </c>
      <c r="I187" t="str">
        <f t="shared" si="304"/>
        <v/>
      </c>
      <c r="J187" t="str">
        <f t="shared" si="304"/>
        <v/>
      </c>
      <c r="K187" t="str">
        <f t="shared" si="304"/>
        <v/>
      </c>
      <c r="L187" t="str">
        <f t="shared" si="304"/>
        <v/>
      </c>
      <c r="M187" t="str">
        <f t="shared" si="304"/>
        <v/>
      </c>
      <c r="N187" t="str">
        <f t="shared" si="304"/>
        <v/>
      </c>
      <c r="O187" t="str">
        <f t="shared" si="304"/>
        <v/>
      </c>
      <c r="P187" t="str">
        <f t="shared" si="304"/>
        <v/>
      </c>
      <c r="Q187" t="str">
        <f t="shared" si="304"/>
        <v/>
      </c>
      <c r="R187" t="str">
        <f t="shared" si="304"/>
        <v/>
      </c>
      <c r="S187" t="str">
        <f t="shared" si="304"/>
        <v/>
      </c>
      <c r="T187" t="str">
        <f t="shared" si="304"/>
        <v/>
      </c>
      <c r="U187" t="str">
        <f t="shared" si="304"/>
        <v/>
      </c>
      <c r="V187" t="str">
        <f t="shared" si="304"/>
        <v/>
      </c>
      <c r="W187" t="str">
        <f t="shared" si="304"/>
        <v/>
      </c>
      <c r="X187" t="str">
        <f t="shared" si="304"/>
        <v/>
      </c>
      <c r="Y187" t="str">
        <f t="shared" si="304"/>
        <v/>
      </c>
      <c r="AA187">
        <f t="shared" si="211"/>
        <v>42724.962500000001</v>
      </c>
      <c r="AB187">
        <f t="shared" si="260"/>
        <v>42745.037500000006</v>
      </c>
      <c r="AC187" t="e">
        <f t="shared" si="261"/>
        <v>#N/A</v>
      </c>
      <c r="AD187" t="e">
        <f t="shared" si="262"/>
        <v>#N/A</v>
      </c>
      <c r="AE187" t="e">
        <f t="shared" si="244"/>
        <v>#N/A</v>
      </c>
      <c r="AF187" t="e">
        <f t="shared" si="245"/>
        <v>#N/A</v>
      </c>
      <c r="AG187" t="e">
        <f t="shared" si="246"/>
        <v>#N/A</v>
      </c>
      <c r="AH187" t="e">
        <f t="shared" si="247"/>
        <v>#N/A</v>
      </c>
      <c r="AI187" t="e">
        <f t="shared" si="248"/>
        <v>#N/A</v>
      </c>
      <c r="AJ187" t="e">
        <f t="shared" si="249"/>
        <v>#N/A</v>
      </c>
      <c r="AK187" t="e">
        <f t="shared" si="250"/>
        <v>#N/A</v>
      </c>
      <c r="AL187" t="e">
        <f t="shared" si="251"/>
        <v>#N/A</v>
      </c>
      <c r="AM187" t="e">
        <f t="shared" si="252"/>
        <v>#N/A</v>
      </c>
      <c r="AN187" t="e">
        <f t="shared" si="253"/>
        <v>#N/A</v>
      </c>
      <c r="AO187" t="e">
        <f t="shared" si="254"/>
        <v>#N/A</v>
      </c>
      <c r="AP187" t="e">
        <f t="shared" si="255"/>
        <v>#N/A</v>
      </c>
      <c r="AQ187" t="e">
        <f t="shared" si="256"/>
        <v>#N/A</v>
      </c>
      <c r="AR187" t="e">
        <f t="shared" si="257"/>
        <v>#N/A</v>
      </c>
      <c r="AS187" t="e">
        <f t="shared" si="258"/>
        <v>#N/A</v>
      </c>
      <c r="AU187">
        <f t="shared" si="212"/>
        <v>1.75</v>
      </c>
      <c r="AV187">
        <f t="shared" si="213"/>
        <v>1.75</v>
      </c>
      <c r="AW187" t="str">
        <f t="shared" si="214"/>
        <v/>
      </c>
      <c r="AX187" t="str">
        <f t="shared" si="215"/>
        <v/>
      </c>
      <c r="AY187" t="str">
        <f t="shared" si="216"/>
        <v/>
      </c>
      <c r="AZ187" t="str">
        <f t="shared" si="217"/>
        <v/>
      </c>
      <c r="BA187" t="str">
        <f t="shared" si="218"/>
        <v/>
      </c>
      <c r="BB187" t="str">
        <f t="shared" si="219"/>
        <v/>
      </c>
      <c r="BC187" t="str">
        <f t="shared" si="220"/>
        <v/>
      </c>
      <c r="BD187" t="str">
        <f t="shared" si="221"/>
        <v/>
      </c>
      <c r="BE187" t="str">
        <f t="shared" si="222"/>
        <v/>
      </c>
      <c r="BF187" t="str">
        <f t="shared" si="223"/>
        <v/>
      </c>
      <c r="BG187" t="str">
        <f t="shared" si="224"/>
        <v/>
      </c>
      <c r="BH187" t="str">
        <f t="shared" si="225"/>
        <v/>
      </c>
      <c r="BI187" t="str">
        <f t="shared" si="226"/>
        <v/>
      </c>
      <c r="BJ187" t="str">
        <f t="shared" si="227"/>
        <v/>
      </c>
      <c r="BK187" t="str">
        <f t="shared" si="228"/>
        <v/>
      </c>
      <c r="BL187" t="str">
        <f t="shared" si="229"/>
        <v/>
      </c>
      <c r="BM187" t="str">
        <f t="shared" si="230"/>
        <v/>
      </c>
      <c r="BP187"/>
      <c r="BR187"/>
    </row>
    <row r="188" spans="1:70" x14ac:dyDescent="0.25">
      <c r="A188" s="1">
        <v>41717</v>
      </c>
      <c r="B188">
        <v>2</v>
      </c>
      <c r="C188" s="4">
        <v>42735</v>
      </c>
      <c r="D188">
        <v>3</v>
      </c>
      <c r="E188">
        <f t="shared" si="208"/>
        <v>0.375</v>
      </c>
      <c r="F188" s="4"/>
      <c r="G188">
        <v>1</v>
      </c>
      <c r="H188">
        <f t="shared" ref="H188:Y188" si="305">IF($D188&gt;G188,G188+1,"")</f>
        <v>2</v>
      </c>
      <c r="I188">
        <f t="shared" si="305"/>
        <v>3</v>
      </c>
      <c r="J188" t="str">
        <f t="shared" si="305"/>
        <v/>
      </c>
      <c r="K188" t="str">
        <f t="shared" si="305"/>
        <v/>
      </c>
      <c r="L188" t="str">
        <f t="shared" si="305"/>
        <v/>
      </c>
      <c r="M188" t="str">
        <f t="shared" si="305"/>
        <v/>
      </c>
      <c r="N188" t="str">
        <f t="shared" si="305"/>
        <v/>
      </c>
      <c r="O188" t="str">
        <f t="shared" si="305"/>
        <v/>
      </c>
      <c r="P188" t="str">
        <f t="shared" si="305"/>
        <v/>
      </c>
      <c r="Q188" t="str">
        <f t="shared" si="305"/>
        <v/>
      </c>
      <c r="R188" t="str">
        <f t="shared" si="305"/>
        <v/>
      </c>
      <c r="S188" t="str">
        <f t="shared" si="305"/>
        <v/>
      </c>
      <c r="T188" t="str">
        <f t="shared" si="305"/>
        <v/>
      </c>
      <c r="U188" t="str">
        <f t="shared" si="305"/>
        <v/>
      </c>
      <c r="V188" t="str">
        <f t="shared" si="305"/>
        <v/>
      </c>
      <c r="W188" t="str">
        <f t="shared" si="305"/>
        <v/>
      </c>
      <c r="X188" t="str">
        <f t="shared" si="305"/>
        <v/>
      </c>
      <c r="Y188" t="str">
        <f t="shared" si="305"/>
        <v/>
      </c>
      <c r="AA188">
        <f t="shared" si="211"/>
        <v>42714.924999999996</v>
      </c>
      <c r="AB188">
        <f t="shared" si="260"/>
        <v>42735</v>
      </c>
      <c r="AC188">
        <f t="shared" si="261"/>
        <v>42755.074999999997</v>
      </c>
      <c r="AD188" t="e">
        <f t="shared" si="262"/>
        <v>#N/A</v>
      </c>
      <c r="AE188" t="e">
        <f t="shared" si="244"/>
        <v>#N/A</v>
      </c>
      <c r="AF188" t="e">
        <f t="shared" si="245"/>
        <v>#N/A</v>
      </c>
      <c r="AG188" t="e">
        <f t="shared" si="246"/>
        <v>#N/A</v>
      </c>
      <c r="AH188" t="e">
        <f t="shared" si="247"/>
        <v>#N/A</v>
      </c>
      <c r="AI188" t="e">
        <f t="shared" si="248"/>
        <v>#N/A</v>
      </c>
      <c r="AJ188" t="e">
        <f t="shared" si="249"/>
        <v>#N/A</v>
      </c>
      <c r="AK188" t="e">
        <f t="shared" si="250"/>
        <v>#N/A</v>
      </c>
      <c r="AL188" t="e">
        <f t="shared" si="251"/>
        <v>#N/A</v>
      </c>
      <c r="AM188" t="e">
        <f t="shared" si="252"/>
        <v>#N/A</v>
      </c>
      <c r="AN188" t="e">
        <f t="shared" si="253"/>
        <v>#N/A</v>
      </c>
      <c r="AO188" t="e">
        <f t="shared" si="254"/>
        <v>#N/A</v>
      </c>
      <c r="AP188" t="e">
        <f t="shared" si="255"/>
        <v>#N/A</v>
      </c>
      <c r="AQ188" t="e">
        <f t="shared" si="256"/>
        <v>#N/A</v>
      </c>
      <c r="AR188" t="e">
        <f t="shared" si="257"/>
        <v>#N/A</v>
      </c>
      <c r="AS188" t="e">
        <f t="shared" si="258"/>
        <v>#N/A</v>
      </c>
      <c r="AU188">
        <f t="shared" si="212"/>
        <v>2</v>
      </c>
      <c r="AV188">
        <f t="shared" si="213"/>
        <v>2</v>
      </c>
      <c r="AW188">
        <f t="shared" si="214"/>
        <v>2</v>
      </c>
      <c r="AX188" t="str">
        <f t="shared" si="215"/>
        <v/>
      </c>
      <c r="AY188" t="str">
        <f t="shared" si="216"/>
        <v/>
      </c>
      <c r="AZ188" t="str">
        <f t="shared" si="217"/>
        <v/>
      </c>
      <c r="BA188" t="str">
        <f t="shared" si="218"/>
        <v/>
      </c>
      <c r="BB188" t="str">
        <f t="shared" si="219"/>
        <v/>
      </c>
      <c r="BC188" t="str">
        <f t="shared" si="220"/>
        <v/>
      </c>
      <c r="BD188" t="str">
        <f t="shared" si="221"/>
        <v/>
      </c>
      <c r="BE188" t="str">
        <f t="shared" si="222"/>
        <v/>
      </c>
      <c r="BF188" t="str">
        <f t="shared" si="223"/>
        <v/>
      </c>
      <c r="BG188" t="str">
        <f t="shared" si="224"/>
        <v/>
      </c>
      <c r="BH188" t="str">
        <f t="shared" si="225"/>
        <v/>
      </c>
      <c r="BI188" t="str">
        <f t="shared" si="226"/>
        <v/>
      </c>
      <c r="BJ188" t="str">
        <f t="shared" si="227"/>
        <v/>
      </c>
      <c r="BK188" t="str">
        <f t="shared" si="228"/>
        <v/>
      </c>
      <c r="BL188" t="str">
        <f t="shared" si="229"/>
        <v/>
      </c>
      <c r="BM188" t="str">
        <f t="shared" si="230"/>
        <v/>
      </c>
      <c r="BP188"/>
      <c r="BR188"/>
    </row>
    <row r="189" spans="1:70" x14ac:dyDescent="0.25">
      <c r="A189" s="1">
        <v>41717</v>
      </c>
      <c r="B189">
        <v>2.25</v>
      </c>
      <c r="C189" s="4">
        <v>42735</v>
      </c>
      <c r="D189">
        <v>2</v>
      </c>
      <c r="E189">
        <f t="shared" si="208"/>
        <v>0.28125</v>
      </c>
      <c r="F189" s="4"/>
      <c r="G189">
        <v>1</v>
      </c>
      <c r="H189">
        <f t="shared" ref="H189:Y189" si="306">IF($D189&gt;G189,G189+1,"")</f>
        <v>2</v>
      </c>
      <c r="I189" t="str">
        <f t="shared" si="306"/>
        <v/>
      </c>
      <c r="J189" t="str">
        <f t="shared" si="306"/>
        <v/>
      </c>
      <c r="K189" t="str">
        <f t="shared" si="306"/>
        <v/>
      </c>
      <c r="L189" t="str">
        <f t="shared" si="306"/>
        <v/>
      </c>
      <c r="M189" t="str">
        <f t="shared" si="306"/>
        <v/>
      </c>
      <c r="N189" t="str">
        <f t="shared" si="306"/>
        <v/>
      </c>
      <c r="O189" t="str">
        <f t="shared" si="306"/>
        <v/>
      </c>
      <c r="P189" t="str">
        <f t="shared" si="306"/>
        <v/>
      </c>
      <c r="Q189" t="str">
        <f t="shared" si="306"/>
        <v/>
      </c>
      <c r="R189" t="str">
        <f t="shared" si="306"/>
        <v/>
      </c>
      <c r="S189" t="str">
        <f t="shared" si="306"/>
        <v/>
      </c>
      <c r="T189" t="str">
        <f t="shared" si="306"/>
        <v/>
      </c>
      <c r="U189" t="str">
        <f t="shared" si="306"/>
        <v/>
      </c>
      <c r="V189" t="str">
        <f t="shared" si="306"/>
        <v/>
      </c>
      <c r="W189" t="str">
        <f t="shared" si="306"/>
        <v/>
      </c>
      <c r="X189" t="str">
        <f t="shared" si="306"/>
        <v/>
      </c>
      <c r="Y189" t="str">
        <f t="shared" si="306"/>
        <v/>
      </c>
      <c r="AA189">
        <f t="shared" si="211"/>
        <v>42724.962500000001</v>
      </c>
      <c r="AB189">
        <f t="shared" si="260"/>
        <v>42745.037500000006</v>
      </c>
      <c r="AC189" t="e">
        <f t="shared" si="261"/>
        <v>#N/A</v>
      </c>
      <c r="AD189" t="e">
        <f t="shared" si="262"/>
        <v>#N/A</v>
      </c>
      <c r="AE189" t="e">
        <f t="shared" si="244"/>
        <v>#N/A</v>
      </c>
      <c r="AF189" t="e">
        <f t="shared" si="245"/>
        <v>#N/A</v>
      </c>
      <c r="AG189" t="e">
        <f t="shared" si="246"/>
        <v>#N/A</v>
      </c>
      <c r="AH189" t="e">
        <f t="shared" si="247"/>
        <v>#N/A</v>
      </c>
      <c r="AI189" t="e">
        <f t="shared" si="248"/>
        <v>#N/A</v>
      </c>
      <c r="AJ189" t="e">
        <f t="shared" si="249"/>
        <v>#N/A</v>
      </c>
      <c r="AK189" t="e">
        <f t="shared" si="250"/>
        <v>#N/A</v>
      </c>
      <c r="AL189" t="e">
        <f t="shared" si="251"/>
        <v>#N/A</v>
      </c>
      <c r="AM189" t="e">
        <f t="shared" si="252"/>
        <v>#N/A</v>
      </c>
      <c r="AN189" t="e">
        <f t="shared" si="253"/>
        <v>#N/A</v>
      </c>
      <c r="AO189" t="e">
        <f t="shared" si="254"/>
        <v>#N/A</v>
      </c>
      <c r="AP189" t="e">
        <f t="shared" si="255"/>
        <v>#N/A</v>
      </c>
      <c r="AQ189" t="e">
        <f t="shared" si="256"/>
        <v>#N/A</v>
      </c>
      <c r="AR189" t="e">
        <f t="shared" si="257"/>
        <v>#N/A</v>
      </c>
      <c r="AS189" t="e">
        <f t="shared" si="258"/>
        <v>#N/A</v>
      </c>
      <c r="AU189">
        <f t="shared" si="212"/>
        <v>2.25</v>
      </c>
      <c r="AV189">
        <f t="shared" si="213"/>
        <v>2.25</v>
      </c>
      <c r="AW189" t="str">
        <f t="shared" si="214"/>
        <v/>
      </c>
      <c r="AX189" t="str">
        <f t="shared" si="215"/>
        <v/>
      </c>
      <c r="AY189" t="str">
        <f t="shared" si="216"/>
        <v/>
      </c>
      <c r="AZ189" t="str">
        <f t="shared" si="217"/>
        <v/>
      </c>
      <c r="BA189" t="str">
        <f t="shared" si="218"/>
        <v/>
      </c>
      <c r="BB189" t="str">
        <f t="shared" si="219"/>
        <v/>
      </c>
      <c r="BC189" t="str">
        <f t="shared" si="220"/>
        <v/>
      </c>
      <c r="BD189" t="str">
        <f t="shared" si="221"/>
        <v/>
      </c>
      <c r="BE189" t="str">
        <f t="shared" si="222"/>
        <v/>
      </c>
      <c r="BF189" t="str">
        <f t="shared" si="223"/>
        <v/>
      </c>
      <c r="BG189" t="str">
        <f t="shared" si="224"/>
        <v/>
      </c>
      <c r="BH189" t="str">
        <f t="shared" si="225"/>
        <v/>
      </c>
      <c r="BI189" t="str">
        <f t="shared" si="226"/>
        <v/>
      </c>
      <c r="BJ189" t="str">
        <f t="shared" si="227"/>
        <v/>
      </c>
      <c r="BK189" t="str">
        <f t="shared" si="228"/>
        <v/>
      </c>
      <c r="BL189" t="str">
        <f t="shared" si="229"/>
        <v/>
      </c>
      <c r="BM189" t="str">
        <f t="shared" si="230"/>
        <v/>
      </c>
      <c r="BP189"/>
      <c r="BR189"/>
    </row>
    <row r="190" spans="1:70" x14ac:dyDescent="0.25">
      <c r="A190" s="1">
        <v>41717</v>
      </c>
      <c r="B190">
        <v>2.5</v>
      </c>
      <c r="C190" s="4">
        <v>42735</v>
      </c>
      <c r="D190">
        <v>1</v>
      </c>
      <c r="E190">
        <f t="shared" si="208"/>
        <v>0.15625</v>
      </c>
      <c r="F190" s="4"/>
      <c r="G190">
        <v>1</v>
      </c>
      <c r="H190" t="str">
        <f t="shared" ref="H190:Y190" si="307">IF($D190&gt;G190,G190+1,"")</f>
        <v/>
      </c>
      <c r="I190" t="str">
        <f t="shared" si="307"/>
        <v/>
      </c>
      <c r="J190" t="str">
        <f t="shared" si="307"/>
        <v/>
      </c>
      <c r="K190" t="str">
        <f t="shared" si="307"/>
        <v/>
      </c>
      <c r="L190" t="str">
        <f t="shared" si="307"/>
        <v/>
      </c>
      <c r="M190" t="str">
        <f t="shared" si="307"/>
        <v/>
      </c>
      <c r="N190" t="str">
        <f t="shared" si="307"/>
        <v/>
      </c>
      <c r="O190" t="str">
        <f t="shared" si="307"/>
        <v/>
      </c>
      <c r="P190" t="str">
        <f t="shared" si="307"/>
        <v/>
      </c>
      <c r="Q190" t="str">
        <f t="shared" si="307"/>
        <v/>
      </c>
      <c r="R190" t="str">
        <f t="shared" si="307"/>
        <v/>
      </c>
      <c r="S190" t="str">
        <f t="shared" si="307"/>
        <v/>
      </c>
      <c r="T190" t="str">
        <f t="shared" si="307"/>
        <v/>
      </c>
      <c r="U190" t="str">
        <f t="shared" si="307"/>
        <v/>
      </c>
      <c r="V190" t="str">
        <f t="shared" si="307"/>
        <v/>
      </c>
      <c r="W190" t="str">
        <f t="shared" si="307"/>
        <v/>
      </c>
      <c r="X190" t="str">
        <f t="shared" si="307"/>
        <v/>
      </c>
      <c r="Y190" t="str">
        <f t="shared" si="307"/>
        <v/>
      </c>
      <c r="AA190">
        <f t="shared" si="211"/>
        <v>42735</v>
      </c>
      <c r="AB190" t="e">
        <f t="shared" si="260"/>
        <v>#N/A</v>
      </c>
      <c r="AC190" t="e">
        <f t="shared" si="261"/>
        <v>#N/A</v>
      </c>
      <c r="AD190" t="e">
        <f t="shared" si="262"/>
        <v>#N/A</v>
      </c>
      <c r="AE190" t="e">
        <f t="shared" si="244"/>
        <v>#N/A</v>
      </c>
      <c r="AF190" t="e">
        <f t="shared" si="245"/>
        <v>#N/A</v>
      </c>
      <c r="AG190" t="e">
        <f t="shared" si="246"/>
        <v>#N/A</v>
      </c>
      <c r="AH190" t="e">
        <f t="shared" si="247"/>
        <v>#N/A</v>
      </c>
      <c r="AI190" t="e">
        <f t="shared" si="248"/>
        <v>#N/A</v>
      </c>
      <c r="AJ190" t="e">
        <f t="shared" si="249"/>
        <v>#N/A</v>
      </c>
      <c r="AK190" t="e">
        <f t="shared" si="250"/>
        <v>#N/A</v>
      </c>
      <c r="AL190" t="e">
        <f t="shared" si="251"/>
        <v>#N/A</v>
      </c>
      <c r="AM190" t="e">
        <f t="shared" si="252"/>
        <v>#N/A</v>
      </c>
      <c r="AN190" t="e">
        <f t="shared" si="253"/>
        <v>#N/A</v>
      </c>
      <c r="AO190" t="e">
        <f t="shared" si="254"/>
        <v>#N/A</v>
      </c>
      <c r="AP190" t="e">
        <f t="shared" si="255"/>
        <v>#N/A</v>
      </c>
      <c r="AQ190" t="e">
        <f t="shared" si="256"/>
        <v>#N/A</v>
      </c>
      <c r="AR190" t="e">
        <f t="shared" si="257"/>
        <v>#N/A</v>
      </c>
      <c r="AS190" t="e">
        <f t="shared" si="258"/>
        <v>#N/A</v>
      </c>
      <c r="AU190">
        <f t="shared" si="212"/>
        <v>2.5</v>
      </c>
      <c r="AV190" t="str">
        <f t="shared" si="213"/>
        <v/>
      </c>
      <c r="AW190" t="str">
        <f t="shared" si="214"/>
        <v/>
      </c>
      <c r="AX190" t="str">
        <f t="shared" si="215"/>
        <v/>
      </c>
      <c r="AY190" t="str">
        <f t="shared" si="216"/>
        <v/>
      </c>
      <c r="AZ190" t="str">
        <f t="shared" si="217"/>
        <v/>
      </c>
      <c r="BA190" t="str">
        <f t="shared" si="218"/>
        <v/>
      </c>
      <c r="BB190" t="str">
        <f t="shared" si="219"/>
        <v/>
      </c>
      <c r="BC190" t="str">
        <f t="shared" si="220"/>
        <v/>
      </c>
      <c r="BD190" t="str">
        <f t="shared" si="221"/>
        <v/>
      </c>
      <c r="BE190" t="str">
        <f t="shared" si="222"/>
        <v/>
      </c>
      <c r="BF190" t="str">
        <f t="shared" si="223"/>
        <v/>
      </c>
      <c r="BG190" t="str">
        <f t="shared" si="224"/>
        <v/>
      </c>
      <c r="BH190" t="str">
        <f t="shared" si="225"/>
        <v/>
      </c>
      <c r="BI190" t="str">
        <f t="shared" si="226"/>
        <v/>
      </c>
      <c r="BJ190" t="str">
        <f t="shared" si="227"/>
        <v/>
      </c>
      <c r="BK190" t="str">
        <f t="shared" si="228"/>
        <v/>
      </c>
      <c r="BL190" t="str">
        <f t="shared" si="229"/>
        <v/>
      </c>
      <c r="BM190" t="str">
        <f t="shared" si="230"/>
        <v/>
      </c>
      <c r="BP190"/>
      <c r="BR190"/>
    </row>
    <row r="191" spans="1:70" x14ac:dyDescent="0.25">
      <c r="A191" s="1">
        <v>41717</v>
      </c>
      <c r="B191">
        <v>2.75</v>
      </c>
      <c r="C191" s="4">
        <v>42735</v>
      </c>
      <c r="D191">
        <v>2</v>
      </c>
      <c r="E191">
        <f t="shared" si="208"/>
        <v>0.34375</v>
      </c>
      <c r="F191" s="4"/>
      <c r="G191">
        <v>1</v>
      </c>
      <c r="H191">
        <f t="shared" ref="H191:Y191" si="308">IF($D191&gt;G191,G191+1,"")</f>
        <v>2</v>
      </c>
      <c r="I191" t="str">
        <f t="shared" si="308"/>
        <v/>
      </c>
      <c r="J191" t="str">
        <f t="shared" si="308"/>
        <v/>
      </c>
      <c r="K191" t="str">
        <f t="shared" si="308"/>
        <v/>
      </c>
      <c r="L191" t="str">
        <f t="shared" si="308"/>
        <v/>
      </c>
      <c r="M191" t="str">
        <f t="shared" si="308"/>
        <v/>
      </c>
      <c r="N191" t="str">
        <f t="shared" si="308"/>
        <v/>
      </c>
      <c r="O191" t="str">
        <f t="shared" si="308"/>
        <v/>
      </c>
      <c r="P191" t="str">
        <f t="shared" si="308"/>
        <v/>
      </c>
      <c r="Q191" t="str">
        <f t="shared" si="308"/>
        <v/>
      </c>
      <c r="R191" t="str">
        <f t="shared" si="308"/>
        <v/>
      </c>
      <c r="S191" t="str">
        <f t="shared" si="308"/>
        <v/>
      </c>
      <c r="T191" t="str">
        <f t="shared" si="308"/>
        <v/>
      </c>
      <c r="U191" t="str">
        <f t="shared" si="308"/>
        <v/>
      </c>
      <c r="V191" t="str">
        <f t="shared" si="308"/>
        <v/>
      </c>
      <c r="W191" t="str">
        <f t="shared" si="308"/>
        <v/>
      </c>
      <c r="X191" t="str">
        <f t="shared" si="308"/>
        <v/>
      </c>
      <c r="Y191" t="str">
        <f t="shared" si="308"/>
        <v/>
      </c>
      <c r="AA191">
        <f t="shared" si="211"/>
        <v>42724.962500000001</v>
      </c>
      <c r="AB191">
        <f t="shared" si="260"/>
        <v>42745.037500000006</v>
      </c>
      <c r="AC191" t="e">
        <f t="shared" si="261"/>
        <v>#N/A</v>
      </c>
      <c r="AD191" t="e">
        <f t="shared" si="262"/>
        <v>#N/A</v>
      </c>
      <c r="AE191" t="e">
        <f t="shared" si="244"/>
        <v>#N/A</v>
      </c>
      <c r="AF191" t="e">
        <f t="shared" si="245"/>
        <v>#N/A</v>
      </c>
      <c r="AG191" t="e">
        <f t="shared" si="246"/>
        <v>#N/A</v>
      </c>
      <c r="AH191" t="e">
        <f t="shared" si="247"/>
        <v>#N/A</v>
      </c>
      <c r="AI191" t="e">
        <f t="shared" si="248"/>
        <v>#N/A</v>
      </c>
      <c r="AJ191" t="e">
        <f t="shared" si="249"/>
        <v>#N/A</v>
      </c>
      <c r="AK191" t="e">
        <f t="shared" si="250"/>
        <v>#N/A</v>
      </c>
      <c r="AL191" t="e">
        <f t="shared" si="251"/>
        <v>#N/A</v>
      </c>
      <c r="AM191" t="e">
        <f t="shared" si="252"/>
        <v>#N/A</v>
      </c>
      <c r="AN191" t="e">
        <f t="shared" si="253"/>
        <v>#N/A</v>
      </c>
      <c r="AO191" t="e">
        <f t="shared" si="254"/>
        <v>#N/A</v>
      </c>
      <c r="AP191" t="e">
        <f t="shared" si="255"/>
        <v>#N/A</v>
      </c>
      <c r="AQ191" t="e">
        <f t="shared" si="256"/>
        <v>#N/A</v>
      </c>
      <c r="AR191" t="e">
        <f t="shared" si="257"/>
        <v>#N/A</v>
      </c>
      <c r="AS191" t="e">
        <f t="shared" si="258"/>
        <v>#N/A</v>
      </c>
      <c r="AU191">
        <f t="shared" si="212"/>
        <v>2.75</v>
      </c>
      <c r="AV191">
        <f t="shared" si="213"/>
        <v>2.75</v>
      </c>
      <c r="AW191" t="str">
        <f t="shared" si="214"/>
        <v/>
      </c>
      <c r="AX191" t="str">
        <f t="shared" si="215"/>
        <v/>
      </c>
      <c r="AY191" t="str">
        <f t="shared" si="216"/>
        <v/>
      </c>
      <c r="AZ191" t="str">
        <f t="shared" si="217"/>
        <v/>
      </c>
      <c r="BA191" t="str">
        <f t="shared" si="218"/>
        <v/>
      </c>
      <c r="BB191" t="str">
        <f t="shared" si="219"/>
        <v/>
      </c>
      <c r="BC191" t="str">
        <f t="shared" si="220"/>
        <v/>
      </c>
      <c r="BD191" t="str">
        <f t="shared" si="221"/>
        <v/>
      </c>
      <c r="BE191" t="str">
        <f t="shared" si="222"/>
        <v/>
      </c>
      <c r="BF191" t="str">
        <f t="shared" si="223"/>
        <v/>
      </c>
      <c r="BG191" t="str">
        <f t="shared" si="224"/>
        <v/>
      </c>
      <c r="BH191" t="str">
        <f t="shared" si="225"/>
        <v/>
      </c>
      <c r="BI191" t="str">
        <f t="shared" si="226"/>
        <v/>
      </c>
      <c r="BJ191" t="str">
        <f t="shared" si="227"/>
        <v/>
      </c>
      <c r="BK191" t="str">
        <f t="shared" si="228"/>
        <v/>
      </c>
      <c r="BL191" t="str">
        <f t="shared" si="229"/>
        <v/>
      </c>
      <c r="BM191" t="str">
        <f t="shared" si="230"/>
        <v/>
      </c>
      <c r="BP191"/>
      <c r="BR191"/>
    </row>
    <row r="192" spans="1:70" x14ac:dyDescent="0.25">
      <c r="A192" s="1">
        <v>41717</v>
      </c>
      <c r="B192">
        <v>3</v>
      </c>
      <c r="C192" s="4">
        <v>42735</v>
      </c>
      <c r="D192">
        <v>1</v>
      </c>
      <c r="E192">
        <f t="shared" si="208"/>
        <v>0.1875</v>
      </c>
      <c r="F192" s="4"/>
      <c r="G192">
        <v>1</v>
      </c>
      <c r="H192" t="str">
        <f t="shared" ref="H192:Y192" si="309">IF($D192&gt;G192,G192+1,"")</f>
        <v/>
      </c>
      <c r="I192" t="str">
        <f t="shared" si="309"/>
        <v/>
      </c>
      <c r="J192" t="str">
        <f t="shared" si="309"/>
        <v/>
      </c>
      <c r="K192" t="str">
        <f t="shared" si="309"/>
        <v/>
      </c>
      <c r="L192" t="str">
        <f t="shared" si="309"/>
        <v/>
      </c>
      <c r="M192" t="str">
        <f t="shared" si="309"/>
        <v/>
      </c>
      <c r="N192" t="str">
        <f t="shared" si="309"/>
        <v/>
      </c>
      <c r="O192" t="str">
        <f t="shared" si="309"/>
        <v/>
      </c>
      <c r="P192" t="str">
        <f t="shared" si="309"/>
        <v/>
      </c>
      <c r="Q192" t="str">
        <f t="shared" si="309"/>
        <v/>
      </c>
      <c r="R192" t="str">
        <f t="shared" si="309"/>
        <v/>
      </c>
      <c r="S192" t="str">
        <f t="shared" si="309"/>
        <v/>
      </c>
      <c r="T192" t="str">
        <f t="shared" si="309"/>
        <v/>
      </c>
      <c r="U192" t="str">
        <f t="shared" si="309"/>
        <v/>
      </c>
      <c r="V192" t="str">
        <f t="shared" si="309"/>
        <v/>
      </c>
      <c r="W192" t="str">
        <f t="shared" si="309"/>
        <v/>
      </c>
      <c r="X192" t="str">
        <f t="shared" si="309"/>
        <v/>
      </c>
      <c r="Y192" t="str">
        <f t="shared" si="309"/>
        <v/>
      </c>
      <c r="AA192">
        <f t="shared" si="211"/>
        <v>42735</v>
      </c>
      <c r="AB192" t="e">
        <f t="shared" si="260"/>
        <v>#N/A</v>
      </c>
      <c r="AC192" t="e">
        <f t="shared" si="261"/>
        <v>#N/A</v>
      </c>
      <c r="AD192" t="e">
        <f t="shared" si="262"/>
        <v>#N/A</v>
      </c>
      <c r="AE192" t="e">
        <f t="shared" si="244"/>
        <v>#N/A</v>
      </c>
      <c r="AF192" t="e">
        <f t="shared" si="245"/>
        <v>#N/A</v>
      </c>
      <c r="AG192" t="e">
        <f t="shared" si="246"/>
        <v>#N/A</v>
      </c>
      <c r="AH192" t="e">
        <f t="shared" si="247"/>
        <v>#N/A</v>
      </c>
      <c r="AI192" t="e">
        <f t="shared" si="248"/>
        <v>#N/A</v>
      </c>
      <c r="AJ192" t="e">
        <f t="shared" si="249"/>
        <v>#N/A</v>
      </c>
      <c r="AK192" t="e">
        <f t="shared" si="250"/>
        <v>#N/A</v>
      </c>
      <c r="AL192" t="e">
        <f t="shared" si="251"/>
        <v>#N/A</v>
      </c>
      <c r="AM192" t="e">
        <f t="shared" si="252"/>
        <v>#N/A</v>
      </c>
      <c r="AN192" t="e">
        <f t="shared" si="253"/>
        <v>#N/A</v>
      </c>
      <c r="AO192" t="e">
        <f t="shared" si="254"/>
        <v>#N/A</v>
      </c>
      <c r="AP192" t="e">
        <f t="shared" si="255"/>
        <v>#N/A</v>
      </c>
      <c r="AQ192" t="e">
        <f t="shared" si="256"/>
        <v>#N/A</v>
      </c>
      <c r="AR192" t="e">
        <f t="shared" si="257"/>
        <v>#N/A</v>
      </c>
      <c r="AS192" t="e">
        <f t="shared" si="258"/>
        <v>#N/A</v>
      </c>
      <c r="AU192">
        <f t="shared" si="212"/>
        <v>3</v>
      </c>
      <c r="AV192" t="str">
        <f t="shared" si="213"/>
        <v/>
      </c>
      <c r="AW192" t="str">
        <f t="shared" si="214"/>
        <v/>
      </c>
      <c r="AX192" t="str">
        <f t="shared" si="215"/>
        <v/>
      </c>
      <c r="AY192" t="str">
        <f t="shared" si="216"/>
        <v/>
      </c>
      <c r="AZ192" t="str">
        <f t="shared" si="217"/>
        <v/>
      </c>
      <c r="BA192" t="str">
        <f t="shared" si="218"/>
        <v/>
      </c>
      <c r="BB192" t="str">
        <f t="shared" si="219"/>
        <v/>
      </c>
      <c r="BC192" t="str">
        <f t="shared" si="220"/>
        <v/>
      </c>
      <c r="BD192" t="str">
        <f t="shared" si="221"/>
        <v/>
      </c>
      <c r="BE192" t="str">
        <f t="shared" si="222"/>
        <v/>
      </c>
      <c r="BF192" t="str">
        <f t="shared" si="223"/>
        <v/>
      </c>
      <c r="BG192" t="str">
        <f t="shared" si="224"/>
        <v/>
      </c>
      <c r="BH192" t="str">
        <f t="shared" si="225"/>
        <v/>
      </c>
      <c r="BI192" t="str">
        <f t="shared" si="226"/>
        <v/>
      </c>
      <c r="BJ192" t="str">
        <f t="shared" si="227"/>
        <v/>
      </c>
      <c r="BK192" t="str">
        <f t="shared" si="228"/>
        <v/>
      </c>
      <c r="BL192" t="str">
        <f t="shared" si="229"/>
        <v/>
      </c>
      <c r="BM192" t="str">
        <f t="shared" si="230"/>
        <v/>
      </c>
      <c r="BP192"/>
      <c r="BR192"/>
    </row>
    <row r="193" spans="1:70" x14ac:dyDescent="0.25">
      <c r="A193" s="1">
        <v>41717</v>
      </c>
      <c r="B193">
        <v>3.5</v>
      </c>
      <c r="C193" s="4">
        <v>42735</v>
      </c>
      <c r="D193">
        <v>1</v>
      </c>
      <c r="E193">
        <f t="shared" si="208"/>
        <v>0.21875</v>
      </c>
      <c r="F193" s="4"/>
      <c r="G193">
        <v>1</v>
      </c>
      <c r="H193" t="str">
        <f t="shared" ref="H193:Y193" si="310">IF($D193&gt;G193,G193+1,"")</f>
        <v/>
      </c>
      <c r="I193" t="str">
        <f t="shared" si="310"/>
        <v/>
      </c>
      <c r="J193" t="str">
        <f t="shared" si="310"/>
        <v/>
      </c>
      <c r="K193" t="str">
        <f t="shared" si="310"/>
        <v/>
      </c>
      <c r="L193" t="str">
        <f t="shared" si="310"/>
        <v/>
      </c>
      <c r="M193" t="str">
        <f t="shared" si="310"/>
        <v/>
      </c>
      <c r="N193" t="str">
        <f t="shared" si="310"/>
        <v/>
      </c>
      <c r="O193" t="str">
        <f t="shared" si="310"/>
        <v/>
      </c>
      <c r="P193" t="str">
        <f t="shared" si="310"/>
        <v/>
      </c>
      <c r="Q193" t="str">
        <f t="shared" si="310"/>
        <v/>
      </c>
      <c r="R193" t="str">
        <f t="shared" si="310"/>
        <v/>
      </c>
      <c r="S193" t="str">
        <f t="shared" si="310"/>
        <v/>
      </c>
      <c r="T193" t="str">
        <f t="shared" si="310"/>
        <v/>
      </c>
      <c r="U193" t="str">
        <f t="shared" si="310"/>
        <v/>
      </c>
      <c r="V193" t="str">
        <f t="shared" si="310"/>
        <v/>
      </c>
      <c r="W193" t="str">
        <f t="shared" si="310"/>
        <v/>
      </c>
      <c r="X193" t="str">
        <f t="shared" si="310"/>
        <v/>
      </c>
      <c r="Y193" t="str">
        <f t="shared" si="310"/>
        <v/>
      </c>
      <c r="AA193">
        <f t="shared" si="211"/>
        <v>42735</v>
      </c>
      <c r="AB193" t="e">
        <f t="shared" si="260"/>
        <v>#N/A</v>
      </c>
      <c r="AC193" t="e">
        <f t="shared" si="261"/>
        <v>#N/A</v>
      </c>
      <c r="AD193" t="e">
        <f t="shared" si="262"/>
        <v>#N/A</v>
      </c>
      <c r="AE193" t="e">
        <f t="shared" si="244"/>
        <v>#N/A</v>
      </c>
      <c r="AF193" t="e">
        <f t="shared" si="245"/>
        <v>#N/A</v>
      </c>
      <c r="AG193" t="e">
        <f t="shared" si="246"/>
        <v>#N/A</v>
      </c>
      <c r="AH193" t="e">
        <f t="shared" si="247"/>
        <v>#N/A</v>
      </c>
      <c r="AI193" t="e">
        <f t="shared" si="248"/>
        <v>#N/A</v>
      </c>
      <c r="AJ193" t="e">
        <f t="shared" si="249"/>
        <v>#N/A</v>
      </c>
      <c r="AK193" t="e">
        <f t="shared" si="250"/>
        <v>#N/A</v>
      </c>
      <c r="AL193" t="e">
        <f t="shared" si="251"/>
        <v>#N/A</v>
      </c>
      <c r="AM193" t="e">
        <f t="shared" si="252"/>
        <v>#N/A</v>
      </c>
      <c r="AN193" t="e">
        <f t="shared" si="253"/>
        <v>#N/A</v>
      </c>
      <c r="AO193" t="e">
        <f t="shared" si="254"/>
        <v>#N/A</v>
      </c>
      <c r="AP193" t="e">
        <f t="shared" si="255"/>
        <v>#N/A</v>
      </c>
      <c r="AQ193" t="e">
        <f t="shared" si="256"/>
        <v>#N/A</v>
      </c>
      <c r="AR193" t="e">
        <f t="shared" si="257"/>
        <v>#N/A</v>
      </c>
      <c r="AS193" t="e">
        <f t="shared" si="258"/>
        <v>#N/A</v>
      </c>
      <c r="AU193">
        <f t="shared" si="212"/>
        <v>3.5</v>
      </c>
      <c r="AV193" t="str">
        <f t="shared" si="213"/>
        <v/>
      </c>
      <c r="AW193" t="str">
        <f t="shared" si="214"/>
        <v/>
      </c>
      <c r="AX193" t="str">
        <f t="shared" si="215"/>
        <v/>
      </c>
      <c r="AY193" t="str">
        <f t="shared" si="216"/>
        <v/>
      </c>
      <c r="AZ193" t="str">
        <f t="shared" si="217"/>
        <v/>
      </c>
      <c r="BA193" t="str">
        <f t="shared" si="218"/>
        <v/>
      </c>
      <c r="BB193" t="str">
        <f t="shared" si="219"/>
        <v/>
      </c>
      <c r="BC193" t="str">
        <f t="shared" si="220"/>
        <v/>
      </c>
      <c r="BD193" t="str">
        <f t="shared" si="221"/>
        <v/>
      </c>
      <c r="BE193" t="str">
        <f t="shared" si="222"/>
        <v/>
      </c>
      <c r="BF193" t="str">
        <f t="shared" si="223"/>
        <v/>
      </c>
      <c r="BG193" t="str">
        <f t="shared" si="224"/>
        <v/>
      </c>
      <c r="BH193" t="str">
        <f t="shared" si="225"/>
        <v/>
      </c>
      <c r="BI193" t="str">
        <f t="shared" si="226"/>
        <v/>
      </c>
      <c r="BJ193" t="str">
        <f t="shared" si="227"/>
        <v/>
      </c>
      <c r="BK193" t="str">
        <f t="shared" si="228"/>
        <v/>
      </c>
      <c r="BL193" t="str">
        <f t="shared" si="229"/>
        <v/>
      </c>
      <c r="BM193" t="str">
        <f t="shared" si="230"/>
        <v/>
      </c>
      <c r="BP193"/>
      <c r="BR193"/>
    </row>
    <row r="194" spans="1:70" x14ac:dyDescent="0.25">
      <c r="A194" s="1">
        <v>41717</v>
      </c>
      <c r="B194">
        <v>4</v>
      </c>
      <c r="C194" s="4">
        <v>42735</v>
      </c>
      <c r="D194">
        <v>1</v>
      </c>
      <c r="E194">
        <f t="shared" ref="E194:E228" si="311">D194/SUMIFS(D:D,A:A,A194,C:C,C194)*B194</f>
        <v>0.25</v>
      </c>
      <c r="F194" s="4"/>
      <c r="G194">
        <v>1</v>
      </c>
      <c r="H194" t="str">
        <f t="shared" ref="H194:Y194" si="312">IF($D194&gt;G194,G194+1,"")</f>
        <v/>
      </c>
      <c r="I194" t="str">
        <f t="shared" si="312"/>
        <v/>
      </c>
      <c r="J194" t="str">
        <f t="shared" si="312"/>
        <v/>
      </c>
      <c r="K194" t="str">
        <f t="shared" si="312"/>
        <v/>
      </c>
      <c r="L194" t="str">
        <f t="shared" si="312"/>
        <v/>
      </c>
      <c r="M194" t="str">
        <f t="shared" si="312"/>
        <v/>
      </c>
      <c r="N194" t="str">
        <f t="shared" si="312"/>
        <v/>
      </c>
      <c r="O194" t="str">
        <f t="shared" si="312"/>
        <v/>
      </c>
      <c r="P194" t="str">
        <f t="shared" si="312"/>
        <v/>
      </c>
      <c r="Q194" t="str">
        <f t="shared" si="312"/>
        <v/>
      </c>
      <c r="R194" t="str">
        <f t="shared" si="312"/>
        <v/>
      </c>
      <c r="S194" t="str">
        <f t="shared" si="312"/>
        <v/>
      </c>
      <c r="T194" t="str">
        <f t="shared" si="312"/>
        <v/>
      </c>
      <c r="U194" t="str">
        <f t="shared" si="312"/>
        <v/>
      </c>
      <c r="V194" t="str">
        <f t="shared" si="312"/>
        <v/>
      </c>
      <c r="W194" t="str">
        <f t="shared" si="312"/>
        <v/>
      </c>
      <c r="X194" t="str">
        <f t="shared" si="312"/>
        <v/>
      </c>
      <c r="Y194" t="str">
        <f t="shared" si="312"/>
        <v/>
      </c>
      <c r="AA194">
        <f t="shared" si="211"/>
        <v>42735</v>
      </c>
      <c r="AB194" t="e">
        <f t="shared" si="260"/>
        <v>#N/A</v>
      </c>
      <c r="AC194" t="e">
        <f t="shared" si="261"/>
        <v>#N/A</v>
      </c>
      <c r="AD194" t="e">
        <f t="shared" si="262"/>
        <v>#N/A</v>
      </c>
      <c r="AE194" t="e">
        <f t="shared" si="244"/>
        <v>#N/A</v>
      </c>
      <c r="AF194" t="e">
        <f t="shared" si="245"/>
        <v>#N/A</v>
      </c>
      <c r="AG194" t="e">
        <f t="shared" si="246"/>
        <v>#N/A</v>
      </c>
      <c r="AH194" t="e">
        <f t="shared" si="247"/>
        <v>#N/A</v>
      </c>
      <c r="AI194" t="e">
        <f t="shared" si="248"/>
        <v>#N/A</v>
      </c>
      <c r="AJ194" t="e">
        <f t="shared" si="249"/>
        <v>#N/A</v>
      </c>
      <c r="AK194" t="e">
        <f t="shared" si="250"/>
        <v>#N/A</v>
      </c>
      <c r="AL194" t="e">
        <f t="shared" si="251"/>
        <v>#N/A</v>
      </c>
      <c r="AM194" t="e">
        <f t="shared" si="252"/>
        <v>#N/A</v>
      </c>
      <c r="AN194" t="e">
        <f t="shared" si="253"/>
        <v>#N/A</v>
      </c>
      <c r="AO194" t="e">
        <f t="shared" si="254"/>
        <v>#N/A</v>
      </c>
      <c r="AP194" t="e">
        <f t="shared" si="255"/>
        <v>#N/A</v>
      </c>
      <c r="AQ194" t="e">
        <f t="shared" si="256"/>
        <v>#N/A</v>
      </c>
      <c r="AR194" t="e">
        <f t="shared" si="257"/>
        <v>#N/A</v>
      </c>
      <c r="AS194" t="e">
        <f t="shared" si="258"/>
        <v>#N/A</v>
      </c>
      <c r="AU194">
        <f t="shared" si="212"/>
        <v>4</v>
      </c>
      <c r="AV194" t="str">
        <f t="shared" si="213"/>
        <v/>
      </c>
      <c r="AW194" t="str">
        <f t="shared" si="214"/>
        <v/>
      </c>
      <c r="AX194" t="str">
        <f t="shared" si="215"/>
        <v/>
      </c>
      <c r="AY194" t="str">
        <f t="shared" si="216"/>
        <v/>
      </c>
      <c r="AZ194" t="str">
        <f t="shared" si="217"/>
        <v/>
      </c>
      <c r="BA194" t="str">
        <f t="shared" si="218"/>
        <v/>
      </c>
      <c r="BB194" t="str">
        <f t="shared" si="219"/>
        <v/>
      </c>
      <c r="BC194" t="str">
        <f t="shared" si="220"/>
        <v/>
      </c>
      <c r="BD194" t="str">
        <f t="shared" si="221"/>
        <v/>
      </c>
      <c r="BE194" t="str">
        <f t="shared" si="222"/>
        <v/>
      </c>
      <c r="BF194" t="str">
        <f t="shared" si="223"/>
        <v/>
      </c>
      <c r="BG194" t="str">
        <f t="shared" si="224"/>
        <v/>
      </c>
      <c r="BH194" t="str">
        <f t="shared" si="225"/>
        <v/>
      </c>
      <c r="BI194" t="str">
        <f t="shared" si="226"/>
        <v/>
      </c>
      <c r="BJ194" t="str">
        <f t="shared" si="227"/>
        <v/>
      </c>
      <c r="BK194" t="str">
        <f t="shared" si="228"/>
        <v/>
      </c>
      <c r="BL194" t="str">
        <f t="shared" si="229"/>
        <v/>
      </c>
      <c r="BM194" t="str">
        <f t="shared" si="230"/>
        <v/>
      </c>
      <c r="BP194"/>
      <c r="BR194"/>
    </row>
    <row r="195" spans="1:70" x14ac:dyDescent="0.25">
      <c r="A195" s="1">
        <v>41717</v>
      </c>
      <c r="B195">
        <v>4.25</v>
      </c>
      <c r="C195" s="4">
        <v>42735</v>
      </c>
      <c r="D195">
        <v>1</v>
      </c>
      <c r="E195">
        <f t="shared" si="311"/>
        <v>0.265625</v>
      </c>
      <c r="F195" s="4"/>
      <c r="G195">
        <v>1</v>
      </c>
      <c r="H195" t="str">
        <f t="shared" ref="H195:Y195" si="313">IF($D195&gt;G195,G195+1,"")</f>
        <v/>
      </c>
      <c r="I195" t="str">
        <f t="shared" si="313"/>
        <v/>
      </c>
      <c r="J195" t="str">
        <f t="shared" si="313"/>
        <v/>
      </c>
      <c r="K195" t="str">
        <f t="shared" si="313"/>
        <v/>
      </c>
      <c r="L195" t="str">
        <f t="shared" si="313"/>
        <v/>
      </c>
      <c r="M195" t="str">
        <f t="shared" si="313"/>
        <v/>
      </c>
      <c r="N195" t="str">
        <f t="shared" si="313"/>
        <v/>
      </c>
      <c r="O195" t="str">
        <f t="shared" si="313"/>
        <v/>
      </c>
      <c r="P195" t="str">
        <f t="shared" si="313"/>
        <v/>
      </c>
      <c r="Q195" t="str">
        <f t="shared" si="313"/>
        <v/>
      </c>
      <c r="R195" t="str">
        <f t="shared" si="313"/>
        <v/>
      </c>
      <c r="S195" t="str">
        <f t="shared" si="313"/>
        <v/>
      </c>
      <c r="T195" t="str">
        <f t="shared" si="313"/>
        <v/>
      </c>
      <c r="U195" t="str">
        <f t="shared" si="313"/>
        <v/>
      </c>
      <c r="V195" t="str">
        <f t="shared" si="313"/>
        <v/>
      </c>
      <c r="W195" t="str">
        <f t="shared" si="313"/>
        <v/>
      </c>
      <c r="X195" t="str">
        <f t="shared" si="313"/>
        <v/>
      </c>
      <c r="Y195" t="str">
        <f t="shared" si="313"/>
        <v/>
      </c>
      <c r="AA195">
        <f t="shared" ref="AA195:AA228" si="314">IF(G195="",NA(),$C195-$Z$1*$D195/2+G195*$Z$1-$Z$1/2)</f>
        <v>42735</v>
      </c>
      <c r="AB195" t="e">
        <f t="shared" si="260"/>
        <v>#N/A</v>
      </c>
      <c r="AC195" t="e">
        <f t="shared" si="261"/>
        <v>#N/A</v>
      </c>
      <c r="AD195" t="e">
        <f t="shared" si="262"/>
        <v>#N/A</v>
      </c>
      <c r="AE195" t="e">
        <f t="shared" si="244"/>
        <v>#N/A</v>
      </c>
      <c r="AF195" t="e">
        <f t="shared" si="245"/>
        <v>#N/A</v>
      </c>
      <c r="AG195" t="e">
        <f t="shared" si="246"/>
        <v>#N/A</v>
      </c>
      <c r="AH195" t="e">
        <f t="shared" si="247"/>
        <v>#N/A</v>
      </c>
      <c r="AI195" t="e">
        <f t="shared" si="248"/>
        <v>#N/A</v>
      </c>
      <c r="AJ195" t="e">
        <f t="shared" si="249"/>
        <v>#N/A</v>
      </c>
      <c r="AK195" t="e">
        <f t="shared" si="250"/>
        <v>#N/A</v>
      </c>
      <c r="AL195" t="e">
        <f t="shared" si="251"/>
        <v>#N/A</v>
      </c>
      <c r="AM195" t="e">
        <f t="shared" si="252"/>
        <v>#N/A</v>
      </c>
      <c r="AN195" t="e">
        <f t="shared" si="253"/>
        <v>#N/A</v>
      </c>
      <c r="AO195" t="e">
        <f t="shared" si="254"/>
        <v>#N/A</v>
      </c>
      <c r="AP195" t="e">
        <f t="shared" si="255"/>
        <v>#N/A</v>
      </c>
      <c r="AQ195" t="e">
        <f t="shared" si="256"/>
        <v>#N/A</v>
      </c>
      <c r="AR195" t="e">
        <f t="shared" si="257"/>
        <v>#N/A</v>
      </c>
      <c r="AS195" t="e">
        <f t="shared" si="258"/>
        <v>#N/A</v>
      </c>
      <c r="AU195">
        <f t="shared" ref="AU195:AU228" si="315">IFERROR(IF(AA195,$B195,0),"")</f>
        <v>4.25</v>
      </c>
      <c r="AV195" t="str">
        <f t="shared" ref="AV195:AV228" si="316">IFERROR(IF(AB195,$B195,0),"")</f>
        <v/>
      </c>
      <c r="AW195" t="str">
        <f t="shared" ref="AW195:AW228" si="317">IFERROR(IF(AC195,$B195,0),"")</f>
        <v/>
      </c>
      <c r="AX195" t="str">
        <f t="shared" ref="AX195:AX228" si="318">IFERROR(IF(AD195,$B195,0),"")</f>
        <v/>
      </c>
      <c r="AY195" t="str">
        <f t="shared" ref="AY195:AY228" si="319">IFERROR(IF(AE195,$B195,0),"")</f>
        <v/>
      </c>
      <c r="AZ195" t="str">
        <f t="shared" ref="AZ195:AZ228" si="320">IFERROR(IF(AF195,$B195,0),"")</f>
        <v/>
      </c>
      <c r="BA195" t="str">
        <f t="shared" ref="BA195:BA228" si="321">IFERROR(IF(AG195,$B195,0),"")</f>
        <v/>
      </c>
      <c r="BB195" t="str">
        <f t="shared" ref="BB195:BB228" si="322">IFERROR(IF(AH195,$B195,0),"")</f>
        <v/>
      </c>
      <c r="BC195" t="str">
        <f t="shared" ref="BC195:BC228" si="323">IFERROR(IF(AI195,$B195,0),"")</f>
        <v/>
      </c>
      <c r="BD195" t="str">
        <f t="shared" ref="BD195:BD228" si="324">IFERROR(IF(AJ195,$B195,0),"")</f>
        <v/>
      </c>
      <c r="BE195" t="str">
        <f t="shared" ref="BE195:BE228" si="325">IFERROR(IF(AK195,$B195,0),"")</f>
        <v/>
      </c>
      <c r="BF195" t="str">
        <f t="shared" ref="BF195:BF228" si="326">IFERROR(IF(AL195,$B195,0),"")</f>
        <v/>
      </c>
      <c r="BG195" t="str">
        <f t="shared" ref="BG195:BG228" si="327">IFERROR(IF(AM195,$B195,0),"")</f>
        <v/>
      </c>
      <c r="BH195" t="str">
        <f t="shared" ref="BH195:BH228" si="328">IFERROR(IF(AN195,$B195,0),"")</f>
        <v/>
      </c>
      <c r="BI195" t="str">
        <f t="shared" ref="BI195:BI228" si="329">IFERROR(IF(AO195,$B195,0),"")</f>
        <v/>
      </c>
      <c r="BJ195" t="str">
        <f t="shared" ref="BJ195:BJ228" si="330">IFERROR(IF(AP195,$B195,0),"")</f>
        <v/>
      </c>
      <c r="BK195" t="str">
        <f t="shared" ref="BK195:BK228" si="331">IFERROR(IF(AQ195,$B195,0),"")</f>
        <v/>
      </c>
      <c r="BL195" t="str">
        <f t="shared" ref="BL195:BL228" si="332">IFERROR(IF(AR195,$B195,0),"")</f>
        <v/>
      </c>
      <c r="BM195" t="str">
        <f t="shared" ref="BM195:BM228" si="333">IFERROR(IF(AS195,$B195,0),"")</f>
        <v/>
      </c>
      <c r="BP195"/>
      <c r="BR195"/>
    </row>
    <row r="196" spans="1:70" x14ac:dyDescent="0.25">
      <c r="A196" s="1">
        <v>41717</v>
      </c>
      <c r="B196">
        <v>3.5</v>
      </c>
      <c r="C196" s="4">
        <v>43100</v>
      </c>
      <c r="D196">
        <v>4</v>
      </c>
      <c r="E196">
        <f t="shared" si="311"/>
        <v>0.875</v>
      </c>
      <c r="F196" s="4"/>
      <c r="G196">
        <v>1</v>
      </c>
      <c r="H196">
        <f t="shared" ref="H196:Y196" si="334">IF($D196&gt;G196,G196+1,"")</f>
        <v>2</v>
      </c>
      <c r="I196">
        <f t="shared" si="334"/>
        <v>3</v>
      </c>
      <c r="J196">
        <f t="shared" si="334"/>
        <v>4</v>
      </c>
      <c r="K196" t="str">
        <f t="shared" si="334"/>
        <v/>
      </c>
      <c r="L196" t="str">
        <f t="shared" si="334"/>
        <v/>
      </c>
      <c r="M196" t="str">
        <f t="shared" si="334"/>
        <v/>
      </c>
      <c r="N196" t="str">
        <f t="shared" si="334"/>
        <v/>
      </c>
      <c r="O196" t="str">
        <f t="shared" si="334"/>
        <v/>
      </c>
      <c r="P196" t="str">
        <f t="shared" si="334"/>
        <v/>
      </c>
      <c r="Q196" t="str">
        <f t="shared" si="334"/>
        <v/>
      </c>
      <c r="R196" t="str">
        <f t="shared" si="334"/>
        <v/>
      </c>
      <c r="S196" t="str">
        <f t="shared" si="334"/>
        <v/>
      </c>
      <c r="T196" t="str">
        <f t="shared" si="334"/>
        <v/>
      </c>
      <c r="U196" t="str">
        <f t="shared" si="334"/>
        <v/>
      </c>
      <c r="V196" t="str">
        <f t="shared" si="334"/>
        <v/>
      </c>
      <c r="W196" t="str">
        <f t="shared" si="334"/>
        <v/>
      </c>
      <c r="X196" t="str">
        <f t="shared" si="334"/>
        <v/>
      </c>
      <c r="Y196" t="str">
        <f t="shared" si="334"/>
        <v/>
      </c>
      <c r="AA196">
        <f t="shared" si="314"/>
        <v>43069.887499999997</v>
      </c>
      <c r="AB196">
        <f t="shared" si="260"/>
        <v>43089.962500000001</v>
      </c>
      <c r="AC196">
        <f t="shared" si="261"/>
        <v>43110.037499999999</v>
      </c>
      <c r="AD196">
        <f t="shared" si="262"/>
        <v>43130.112500000003</v>
      </c>
      <c r="AE196" t="e">
        <f t="shared" si="244"/>
        <v>#N/A</v>
      </c>
      <c r="AF196" t="e">
        <f t="shared" si="245"/>
        <v>#N/A</v>
      </c>
      <c r="AG196" t="e">
        <f t="shared" si="246"/>
        <v>#N/A</v>
      </c>
      <c r="AH196" t="e">
        <f t="shared" si="247"/>
        <v>#N/A</v>
      </c>
      <c r="AI196" t="e">
        <f t="shared" si="248"/>
        <v>#N/A</v>
      </c>
      <c r="AJ196" t="e">
        <f t="shared" si="249"/>
        <v>#N/A</v>
      </c>
      <c r="AK196" t="e">
        <f t="shared" si="250"/>
        <v>#N/A</v>
      </c>
      <c r="AL196" t="e">
        <f t="shared" si="251"/>
        <v>#N/A</v>
      </c>
      <c r="AM196" t="e">
        <f t="shared" si="252"/>
        <v>#N/A</v>
      </c>
      <c r="AN196" t="e">
        <f t="shared" si="253"/>
        <v>#N/A</v>
      </c>
      <c r="AO196" t="e">
        <f t="shared" si="254"/>
        <v>#N/A</v>
      </c>
      <c r="AP196" t="e">
        <f t="shared" si="255"/>
        <v>#N/A</v>
      </c>
      <c r="AQ196" t="e">
        <f t="shared" si="256"/>
        <v>#N/A</v>
      </c>
      <c r="AR196" t="e">
        <f t="shared" si="257"/>
        <v>#N/A</v>
      </c>
      <c r="AS196" t="e">
        <f t="shared" si="258"/>
        <v>#N/A</v>
      </c>
      <c r="AU196">
        <f t="shared" si="315"/>
        <v>3.5</v>
      </c>
      <c r="AV196">
        <f t="shared" si="316"/>
        <v>3.5</v>
      </c>
      <c r="AW196">
        <f t="shared" si="317"/>
        <v>3.5</v>
      </c>
      <c r="AX196">
        <f t="shared" si="318"/>
        <v>3.5</v>
      </c>
      <c r="AY196" t="str">
        <f t="shared" si="319"/>
        <v/>
      </c>
      <c r="AZ196" t="str">
        <f t="shared" si="320"/>
        <v/>
      </c>
      <c r="BA196" t="str">
        <f t="shared" si="321"/>
        <v/>
      </c>
      <c r="BB196" t="str">
        <f t="shared" si="322"/>
        <v/>
      </c>
      <c r="BC196" t="str">
        <f t="shared" si="323"/>
        <v/>
      </c>
      <c r="BD196" t="str">
        <f t="shared" si="324"/>
        <v/>
      </c>
      <c r="BE196" t="str">
        <f t="shared" si="325"/>
        <v/>
      </c>
      <c r="BF196" t="str">
        <f t="shared" si="326"/>
        <v/>
      </c>
      <c r="BG196" t="str">
        <f t="shared" si="327"/>
        <v/>
      </c>
      <c r="BH196" t="str">
        <f t="shared" si="328"/>
        <v/>
      </c>
      <c r="BI196" t="str">
        <f t="shared" si="329"/>
        <v/>
      </c>
      <c r="BJ196" t="str">
        <f t="shared" si="330"/>
        <v/>
      </c>
      <c r="BK196" t="str">
        <f t="shared" si="331"/>
        <v/>
      </c>
      <c r="BL196" t="str">
        <f t="shared" si="332"/>
        <v/>
      </c>
      <c r="BM196" t="str">
        <f t="shared" si="333"/>
        <v/>
      </c>
      <c r="BP196"/>
      <c r="BR196"/>
    </row>
    <row r="197" spans="1:70" x14ac:dyDescent="0.25">
      <c r="A197" s="1">
        <v>41717</v>
      </c>
      <c r="B197">
        <v>3.75</v>
      </c>
      <c r="C197" s="4">
        <v>43100</v>
      </c>
      <c r="D197">
        <v>2</v>
      </c>
      <c r="E197">
        <f t="shared" si="311"/>
        <v>0.46875</v>
      </c>
      <c r="F197" s="4"/>
      <c r="G197">
        <v>1</v>
      </c>
      <c r="H197">
        <f t="shared" ref="H197:Y197" si="335">IF($D197&gt;G197,G197+1,"")</f>
        <v>2</v>
      </c>
      <c r="I197" t="str">
        <f t="shared" si="335"/>
        <v/>
      </c>
      <c r="J197" t="str">
        <f t="shared" si="335"/>
        <v/>
      </c>
      <c r="K197" t="str">
        <f t="shared" si="335"/>
        <v/>
      </c>
      <c r="L197" t="str">
        <f t="shared" si="335"/>
        <v/>
      </c>
      <c r="M197" t="str">
        <f t="shared" si="335"/>
        <v/>
      </c>
      <c r="N197" t="str">
        <f t="shared" si="335"/>
        <v/>
      </c>
      <c r="O197" t="str">
        <f t="shared" si="335"/>
        <v/>
      </c>
      <c r="P197" t="str">
        <f t="shared" si="335"/>
        <v/>
      </c>
      <c r="Q197" t="str">
        <f t="shared" si="335"/>
        <v/>
      </c>
      <c r="R197" t="str">
        <f t="shared" si="335"/>
        <v/>
      </c>
      <c r="S197" t="str">
        <f t="shared" si="335"/>
        <v/>
      </c>
      <c r="T197" t="str">
        <f t="shared" si="335"/>
        <v/>
      </c>
      <c r="U197" t="str">
        <f t="shared" si="335"/>
        <v/>
      </c>
      <c r="V197" t="str">
        <f t="shared" si="335"/>
        <v/>
      </c>
      <c r="W197" t="str">
        <f t="shared" si="335"/>
        <v/>
      </c>
      <c r="X197" t="str">
        <f t="shared" si="335"/>
        <v/>
      </c>
      <c r="Y197" t="str">
        <f t="shared" si="335"/>
        <v/>
      </c>
      <c r="AA197">
        <f t="shared" si="314"/>
        <v>43089.962500000001</v>
      </c>
      <c r="AB197">
        <f t="shared" si="260"/>
        <v>43110.037500000006</v>
      </c>
      <c r="AC197" t="e">
        <f t="shared" si="261"/>
        <v>#N/A</v>
      </c>
      <c r="AD197" t="e">
        <f t="shared" si="262"/>
        <v>#N/A</v>
      </c>
      <c r="AE197" t="e">
        <f t="shared" si="244"/>
        <v>#N/A</v>
      </c>
      <c r="AF197" t="e">
        <f t="shared" si="245"/>
        <v>#N/A</v>
      </c>
      <c r="AG197" t="e">
        <f t="shared" si="246"/>
        <v>#N/A</v>
      </c>
      <c r="AH197" t="e">
        <f t="shared" si="247"/>
        <v>#N/A</v>
      </c>
      <c r="AI197" t="e">
        <f t="shared" si="248"/>
        <v>#N/A</v>
      </c>
      <c r="AJ197" t="e">
        <f t="shared" si="249"/>
        <v>#N/A</v>
      </c>
      <c r="AK197" t="e">
        <f t="shared" si="250"/>
        <v>#N/A</v>
      </c>
      <c r="AL197" t="e">
        <f t="shared" si="251"/>
        <v>#N/A</v>
      </c>
      <c r="AM197" t="e">
        <f t="shared" si="252"/>
        <v>#N/A</v>
      </c>
      <c r="AN197" t="e">
        <f t="shared" si="253"/>
        <v>#N/A</v>
      </c>
      <c r="AO197" t="e">
        <f t="shared" si="254"/>
        <v>#N/A</v>
      </c>
      <c r="AP197" t="e">
        <f t="shared" si="255"/>
        <v>#N/A</v>
      </c>
      <c r="AQ197" t="e">
        <f t="shared" si="256"/>
        <v>#N/A</v>
      </c>
      <c r="AR197" t="e">
        <f t="shared" si="257"/>
        <v>#N/A</v>
      </c>
      <c r="AS197" t="e">
        <f t="shared" si="258"/>
        <v>#N/A</v>
      </c>
      <c r="AU197">
        <f t="shared" si="315"/>
        <v>3.75</v>
      </c>
      <c r="AV197">
        <f t="shared" si="316"/>
        <v>3.75</v>
      </c>
      <c r="AW197" t="str">
        <f t="shared" si="317"/>
        <v/>
      </c>
      <c r="AX197" t="str">
        <f t="shared" si="318"/>
        <v/>
      </c>
      <c r="AY197" t="str">
        <f t="shared" si="319"/>
        <v/>
      </c>
      <c r="AZ197" t="str">
        <f t="shared" si="320"/>
        <v/>
      </c>
      <c r="BA197" t="str">
        <f t="shared" si="321"/>
        <v/>
      </c>
      <c r="BB197" t="str">
        <f t="shared" si="322"/>
        <v/>
      </c>
      <c r="BC197" t="str">
        <f t="shared" si="323"/>
        <v/>
      </c>
      <c r="BD197" t="str">
        <f t="shared" si="324"/>
        <v/>
      </c>
      <c r="BE197" t="str">
        <f t="shared" si="325"/>
        <v/>
      </c>
      <c r="BF197" t="str">
        <f t="shared" si="326"/>
        <v/>
      </c>
      <c r="BG197" t="str">
        <f t="shared" si="327"/>
        <v/>
      </c>
      <c r="BH197" t="str">
        <f t="shared" si="328"/>
        <v/>
      </c>
      <c r="BI197" t="str">
        <f t="shared" si="329"/>
        <v/>
      </c>
      <c r="BJ197" t="str">
        <f t="shared" si="330"/>
        <v/>
      </c>
      <c r="BK197" t="str">
        <f t="shared" si="331"/>
        <v/>
      </c>
      <c r="BL197" t="str">
        <f t="shared" si="332"/>
        <v/>
      </c>
      <c r="BM197" t="str">
        <f t="shared" si="333"/>
        <v/>
      </c>
      <c r="BP197"/>
      <c r="BR197"/>
    </row>
    <row r="198" spans="1:70" x14ac:dyDescent="0.25">
      <c r="A198" s="1">
        <v>41717</v>
      </c>
      <c r="B198">
        <v>4</v>
      </c>
      <c r="C198" s="4">
        <v>43100</v>
      </c>
      <c r="D198">
        <v>8</v>
      </c>
      <c r="E198">
        <f t="shared" si="311"/>
        <v>2</v>
      </c>
      <c r="F198" s="4"/>
      <c r="G198">
        <v>1</v>
      </c>
      <c r="H198">
        <f t="shared" ref="H198:Y198" si="336">IF($D198&gt;G198,G198+1,"")</f>
        <v>2</v>
      </c>
      <c r="I198">
        <f t="shared" si="336"/>
        <v>3</v>
      </c>
      <c r="J198">
        <f t="shared" si="336"/>
        <v>4</v>
      </c>
      <c r="K198">
        <f t="shared" si="336"/>
        <v>5</v>
      </c>
      <c r="L198">
        <f t="shared" si="336"/>
        <v>6</v>
      </c>
      <c r="M198">
        <f t="shared" si="336"/>
        <v>7</v>
      </c>
      <c r="N198">
        <f t="shared" si="336"/>
        <v>8</v>
      </c>
      <c r="O198" t="str">
        <f t="shared" si="336"/>
        <v/>
      </c>
      <c r="P198" t="str">
        <f t="shared" si="336"/>
        <v/>
      </c>
      <c r="Q198" t="str">
        <f t="shared" si="336"/>
        <v/>
      </c>
      <c r="R198" t="str">
        <f t="shared" si="336"/>
        <v/>
      </c>
      <c r="S198" t="str">
        <f t="shared" si="336"/>
        <v/>
      </c>
      <c r="T198" t="str">
        <f t="shared" si="336"/>
        <v/>
      </c>
      <c r="U198" t="str">
        <f t="shared" si="336"/>
        <v/>
      </c>
      <c r="V198" t="str">
        <f t="shared" si="336"/>
        <v/>
      </c>
      <c r="W198" t="str">
        <f t="shared" si="336"/>
        <v/>
      </c>
      <c r="X198" t="str">
        <f t="shared" si="336"/>
        <v/>
      </c>
      <c r="Y198" t="str">
        <f t="shared" si="336"/>
        <v/>
      </c>
      <c r="AA198">
        <f t="shared" si="314"/>
        <v>43029.737499999996</v>
      </c>
      <c r="AB198">
        <f t="shared" si="260"/>
        <v>43049.8125</v>
      </c>
      <c r="AC198">
        <f t="shared" si="261"/>
        <v>43069.887499999997</v>
      </c>
      <c r="AD198">
        <f t="shared" si="262"/>
        <v>43089.962500000001</v>
      </c>
      <c r="AE198">
        <f t="shared" si="244"/>
        <v>43110.037499999999</v>
      </c>
      <c r="AF198">
        <f t="shared" si="245"/>
        <v>43130.112499999996</v>
      </c>
      <c r="AG198">
        <f t="shared" si="246"/>
        <v>43150.1875</v>
      </c>
      <c r="AH198">
        <f t="shared" si="247"/>
        <v>43170.262499999997</v>
      </c>
      <c r="AI198" t="e">
        <f t="shared" si="248"/>
        <v>#N/A</v>
      </c>
      <c r="AJ198" t="e">
        <f t="shared" si="249"/>
        <v>#N/A</v>
      </c>
      <c r="AK198" t="e">
        <f t="shared" si="250"/>
        <v>#N/A</v>
      </c>
      <c r="AL198" t="e">
        <f t="shared" si="251"/>
        <v>#N/A</v>
      </c>
      <c r="AM198" t="e">
        <f t="shared" si="252"/>
        <v>#N/A</v>
      </c>
      <c r="AN198" t="e">
        <f t="shared" si="253"/>
        <v>#N/A</v>
      </c>
      <c r="AO198" t="e">
        <f t="shared" si="254"/>
        <v>#N/A</v>
      </c>
      <c r="AP198" t="e">
        <f t="shared" si="255"/>
        <v>#N/A</v>
      </c>
      <c r="AQ198" t="e">
        <f t="shared" si="256"/>
        <v>#N/A</v>
      </c>
      <c r="AR198" t="e">
        <f t="shared" si="257"/>
        <v>#N/A</v>
      </c>
      <c r="AS198" t="e">
        <f t="shared" si="258"/>
        <v>#N/A</v>
      </c>
      <c r="AU198">
        <f t="shared" si="315"/>
        <v>4</v>
      </c>
      <c r="AV198">
        <f t="shared" si="316"/>
        <v>4</v>
      </c>
      <c r="AW198">
        <f t="shared" si="317"/>
        <v>4</v>
      </c>
      <c r="AX198">
        <f t="shared" si="318"/>
        <v>4</v>
      </c>
      <c r="AY198">
        <f t="shared" si="319"/>
        <v>4</v>
      </c>
      <c r="AZ198">
        <f t="shared" si="320"/>
        <v>4</v>
      </c>
      <c r="BA198">
        <f t="shared" si="321"/>
        <v>4</v>
      </c>
      <c r="BB198">
        <f t="shared" si="322"/>
        <v>4</v>
      </c>
      <c r="BC198" t="str">
        <f t="shared" si="323"/>
        <v/>
      </c>
      <c r="BD198" t="str">
        <f t="shared" si="324"/>
        <v/>
      </c>
      <c r="BE198" t="str">
        <f t="shared" si="325"/>
        <v/>
      </c>
      <c r="BF198" t="str">
        <f t="shared" si="326"/>
        <v/>
      </c>
      <c r="BG198" t="str">
        <f t="shared" si="327"/>
        <v/>
      </c>
      <c r="BH198" t="str">
        <f t="shared" si="328"/>
        <v/>
      </c>
      <c r="BI198" t="str">
        <f t="shared" si="329"/>
        <v/>
      </c>
      <c r="BJ198" t="str">
        <f t="shared" si="330"/>
        <v/>
      </c>
      <c r="BK198" t="str">
        <f t="shared" si="331"/>
        <v/>
      </c>
      <c r="BL198" t="str">
        <f t="shared" si="332"/>
        <v/>
      </c>
      <c r="BM198" t="str">
        <f t="shared" si="333"/>
        <v/>
      </c>
      <c r="BP198"/>
      <c r="BR198"/>
    </row>
    <row r="199" spans="1:70" x14ac:dyDescent="0.25">
      <c r="A199" s="1">
        <v>41717</v>
      </c>
      <c r="B199">
        <v>4.25</v>
      </c>
      <c r="C199" s="4">
        <v>43100</v>
      </c>
      <c r="D199">
        <v>2</v>
      </c>
      <c r="E199">
        <f t="shared" si="311"/>
        <v>0.53125</v>
      </c>
      <c r="F199" s="4"/>
      <c r="G199">
        <v>1</v>
      </c>
      <c r="H199">
        <f t="shared" ref="H199:Y199" si="337">IF($D199&gt;G199,G199+1,"")</f>
        <v>2</v>
      </c>
      <c r="I199" t="str">
        <f t="shared" si="337"/>
        <v/>
      </c>
      <c r="J199" t="str">
        <f t="shared" si="337"/>
        <v/>
      </c>
      <c r="K199" t="str">
        <f t="shared" si="337"/>
        <v/>
      </c>
      <c r="L199" t="str">
        <f t="shared" si="337"/>
        <v/>
      </c>
      <c r="M199" t="str">
        <f t="shared" si="337"/>
        <v/>
      </c>
      <c r="N199" t="str">
        <f t="shared" si="337"/>
        <v/>
      </c>
      <c r="O199" t="str">
        <f t="shared" si="337"/>
        <v/>
      </c>
      <c r="P199" t="str">
        <f t="shared" si="337"/>
        <v/>
      </c>
      <c r="Q199" t="str">
        <f t="shared" si="337"/>
        <v/>
      </c>
      <c r="R199" t="str">
        <f t="shared" si="337"/>
        <v/>
      </c>
      <c r="S199" t="str">
        <f t="shared" si="337"/>
        <v/>
      </c>
      <c r="T199" t="str">
        <f t="shared" si="337"/>
        <v/>
      </c>
      <c r="U199" t="str">
        <f t="shared" si="337"/>
        <v/>
      </c>
      <c r="V199" t="str">
        <f t="shared" si="337"/>
        <v/>
      </c>
      <c r="W199" t="str">
        <f t="shared" si="337"/>
        <v/>
      </c>
      <c r="X199" t="str">
        <f t="shared" si="337"/>
        <v/>
      </c>
      <c r="Y199" t="str">
        <f t="shared" si="337"/>
        <v/>
      </c>
      <c r="AA199">
        <f t="shared" si="314"/>
        <v>43089.962500000001</v>
      </c>
      <c r="AB199">
        <f t="shared" si="260"/>
        <v>43110.037500000006</v>
      </c>
      <c r="AC199" t="e">
        <f t="shared" si="261"/>
        <v>#N/A</v>
      </c>
      <c r="AD199" t="e">
        <f t="shared" si="262"/>
        <v>#N/A</v>
      </c>
      <c r="AE199" t="e">
        <f t="shared" si="244"/>
        <v>#N/A</v>
      </c>
      <c r="AF199" t="e">
        <f t="shared" si="245"/>
        <v>#N/A</v>
      </c>
      <c r="AG199" t="e">
        <f t="shared" si="246"/>
        <v>#N/A</v>
      </c>
      <c r="AH199" t="e">
        <f t="shared" si="247"/>
        <v>#N/A</v>
      </c>
      <c r="AI199" t="e">
        <f t="shared" si="248"/>
        <v>#N/A</v>
      </c>
      <c r="AJ199" t="e">
        <f t="shared" si="249"/>
        <v>#N/A</v>
      </c>
      <c r="AK199" t="e">
        <f t="shared" si="250"/>
        <v>#N/A</v>
      </c>
      <c r="AL199" t="e">
        <f t="shared" si="251"/>
        <v>#N/A</v>
      </c>
      <c r="AM199" t="e">
        <f t="shared" si="252"/>
        <v>#N/A</v>
      </c>
      <c r="AN199" t="e">
        <f t="shared" si="253"/>
        <v>#N/A</v>
      </c>
      <c r="AO199" t="e">
        <f t="shared" si="254"/>
        <v>#N/A</v>
      </c>
      <c r="AP199" t="e">
        <f t="shared" si="255"/>
        <v>#N/A</v>
      </c>
      <c r="AQ199" t="e">
        <f t="shared" si="256"/>
        <v>#N/A</v>
      </c>
      <c r="AR199" t="e">
        <f t="shared" si="257"/>
        <v>#N/A</v>
      </c>
      <c r="AS199" t="e">
        <f t="shared" si="258"/>
        <v>#N/A</v>
      </c>
      <c r="AU199">
        <f t="shared" si="315"/>
        <v>4.25</v>
      </c>
      <c r="AV199">
        <f t="shared" si="316"/>
        <v>4.25</v>
      </c>
      <c r="AW199" t="str">
        <f t="shared" si="317"/>
        <v/>
      </c>
      <c r="AX199" t="str">
        <f t="shared" si="318"/>
        <v/>
      </c>
      <c r="AY199" t="str">
        <f t="shared" si="319"/>
        <v/>
      </c>
      <c r="AZ199" t="str">
        <f t="shared" si="320"/>
        <v/>
      </c>
      <c r="BA199" t="str">
        <f t="shared" si="321"/>
        <v/>
      </c>
      <c r="BB199" t="str">
        <f t="shared" si="322"/>
        <v/>
      </c>
      <c r="BC199" t="str">
        <f t="shared" si="323"/>
        <v/>
      </c>
      <c r="BD199" t="str">
        <f t="shared" si="324"/>
        <v/>
      </c>
      <c r="BE199" t="str">
        <f t="shared" si="325"/>
        <v/>
      </c>
      <c r="BF199" t="str">
        <f t="shared" si="326"/>
        <v/>
      </c>
      <c r="BG199" t="str">
        <f t="shared" si="327"/>
        <v/>
      </c>
      <c r="BH199" t="str">
        <f t="shared" si="328"/>
        <v/>
      </c>
      <c r="BI199" t="str">
        <f t="shared" si="329"/>
        <v/>
      </c>
      <c r="BJ199" t="str">
        <f t="shared" si="330"/>
        <v/>
      </c>
      <c r="BK199" t="str">
        <f t="shared" si="331"/>
        <v/>
      </c>
      <c r="BL199" t="str">
        <f t="shared" si="332"/>
        <v/>
      </c>
      <c r="BM199" t="str">
        <f t="shared" si="333"/>
        <v/>
      </c>
      <c r="BP199"/>
      <c r="BR199"/>
    </row>
    <row r="200" spans="1:70" x14ac:dyDescent="0.25">
      <c r="A200" s="1">
        <v>41808</v>
      </c>
      <c r="B200">
        <v>0.25</v>
      </c>
      <c r="C200" s="4">
        <v>42004</v>
      </c>
      <c r="D200">
        <v>15</v>
      </c>
      <c r="E200">
        <f t="shared" si="311"/>
        <v>0.234375</v>
      </c>
      <c r="F200" s="4"/>
      <c r="G200">
        <v>1</v>
      </c>
      <c r="H200">
        <f t="shared" ref="H200:Y200" si="338">IF($D200&gt;G200,G200+1,"")</f>
        <v>2</v>
      </c>
      <c r="I200">
        <f t="shared" si="338"/>
        <v>3</v>
      </c>
      <c r="J200">
        <f t="shared" si="338"/>
        <v>4</v>
      </c>
      <c r="K200">
        <f t="shared" si="338"/>
        <v>5</v>
      </c>
      <c r="L200">
        <f t="shared" si="338"/>
        <v>6</v>
      </c>
      <c r="M200">
        <f t="shared" si="338"/>
        <v>7</v>
      </c>
      <c r="N200">
        <f t="shared" si="338"/>
        <v>8</v>
      </c>
      <c r="O200">
        <f t="shared" si="338"/>
        <v>9</v>
      </c>
      <c r="P200">
        <f t="shared" si="338"/>
        <v>10</v>
      </c>
      <c r="Q200">
        <f t="shared" si="338"/>
        <v>11</v>
      </c>
      <c r="R200">
        <f t="shared" si="338"/>
        <v>12</v>
      </c>
      <c r="S200">
        <f t="shared" si="338"/>
        <v>13</v>
      </c>
      <c r="T200">
        <f t="shared" si="338"/>
        <v>14</v>
      </c>
      <c r="U200">
        <f t="shared" si="338"/>
        <v>15</v>
      </c>
      <c r="V200" t="str">
        <f t="shared" si="338"/>
        <v/>
      </c>
      <c r="W200" t="str">
        <f t="shared" si="338"/>
        <v/>
      </c>
      <c r="X200" t="str">
        <f t="shared" si="338"/>
        <v/>
      </c>
      <c r="Y200" t="str">
        <f t="shared" si="338"/>
        <v/>
      </c>
      <c r="AA200">
        <f t="shared" si="314"/>
        <v>41863.474999999999</v>
      </c>
      <c r="AB200">
        <f t="shared" si="260"/>
        <v>41883.550000000003</v>
      </c>
      <c r="AC200">
        <f t="shared" si="261"/>
        <v>41903.625</v>
      </c>
      <c r="AD200">
        <f t="shared" si="262"/>
        <v>41923.700000000004</v>
      </c>
      <c r="AE200">
        <f t="shared" si="244"/>
        <v>41943.775000000001</v>
      </c>
      <c r="AF200">
        <f t="shared" si="245"/>
        <v>41963.85</v>
      </c>
      <c r="AG200">
        <f t="shared" si="246"/>
        <v>41983.925000000003</v>
      </c>
      <c r="AH200">
        <f t="shared" si="247"/>
        <v>42004</v>
      </c>
      <c r="AI200">
        <f t="shared" si="248"/>
        <v>42024.075000000004</v>
      </c>
      <c r="AJ200">
        <f t="shared" si="249"/>
        <v>42044.15</v>
      </c>
      <c r="AK200">
        <f t="shared" si="250"/>
        <v>42064.224999999999</v>
      </c>
      <c r="AL200">
        <f t="shared" si="251"/>
        <v>42084.3</v>
      </c>
      <c r="AM200">
        <f t="shared" si="252"/>
        <v>42104.375</v>
      </c>
      <c r="AN200">
        <f t="shared" si="253"/>
        <v>42124.450000000004</v>
      </c>
      <c r="AO200">
        <f t="shared" si="254"/>
        <v>42144.525000000001</v>
      </c>
      <c r="AP200" t="e">
        <f t="shared" si="255"/>
        <v>#N/A</v>
      </c>
      <c r="AQ200" t="e">
        <f t="shared" si="256"/>
        <v>#N/A</v>
      </c>
      <c r="AR200" t="e">
        <f t="shared" si="257"/>
        <v>#N/A</v>
      </c>
      <c r="AS200" t="e">
        <f t="shared" si="258"/>
        <v>#N/A</v>
      </c>
      <c r="AU200">
        <f t="shared" si="315"/>
        <v>0.25</v>
      </c>
      <c r="AV200">
        <f t="shared" si="316"/>
        <v>0.25</v>
      </c>
      <c r="AW200">
        <f t="shared" si="317"/>
        <v>0.25</v>
      </c>
      <c r="AX200">
        <f t="shared" si="318"/>
        <v>0.25</v>
      </c>
      <c r="AY200">
        <f t="shared" si="319"/>
        <v>0.25</v>
      </c>
      <c r="AZ200">
        <f t="shared" si="320"/>
        <v>0.25</v>
      </c>
      <c r="BA200">
        <f t="shared" si="321"/>
        <v>0.25</v>
      </c>
      <c r="BB200">
        <f t="shared" si="322"/>
        <v>0.25</v>
      </c>
      <c r="BC200">
        <f t="shared" si="323"/>
        <v>0.25</v>
      </c>
      <c r="BD200">
        <f t="shared" si="324"/>
        <v>0.25</v>
      </c>
      <c r="BE200">
        <f t="shared" si="325"/>
        <v>0.25</v>
      </c>
      <c r="BF200">
        <f t="shared" si="326"/>
        <v>0.25</v>
      </c>
      <c r="BG200">
        <f t="shared" si="327"/>
        <v>0.25</v>
      </c>
      <c r="BH200">
        <f t="shared" si="328"/>
        <v>0.25</v>
      </c>
      <c r="BI200">
        <f t="shared" si="329"/>
        <v>0.25</v>
      </c>
      <c r="BJ200" t="str">
        <f t="shared" si="330"/>
        <v/>
      </c>
      <c r="BK200" t="str">
        <f t="shared" si="331"/>
        <v/>
      </c>
      <c r="BL200" t="str">
        <f t="shared" si="332"/>
        <v/>
      </c>
      <c r="BM200" t="str">
        <f t="shared" si="333"/>
        <v/>
      </c>
      <c r="BP200"/>
      <c r="BR200"/>
    </row>
    <row r="201" spans="1:70" x14ac:dyDescent="0.25">
      <c r="A201" s="1">
        <v>41808</v>
      </c>
      <c r="B201">
        <v>0.5</v>
      </c>
      <c r="C201" s="4">
        <v>42004</v>
      </c>
      <c r="D201">
        <v>1</v>
      </c>
      <c r="E201">
        <f t="shared" si="311"/>
        <v>3.125E-2</v>
      </c>
      <c r="F201" s="4"/>
      <c r="G201">
        <v>1</v>
      </c>
      <c r="H201" t="str">
        <f t="shared" ref="H201:Y201" si="339">IF($D201&gt;G201,G201+1,"")</f>
        <v/>
      </c>
      <c r="I201" t="str">
        <f t="shared" si="339"/>
        <v/>
      </c>
      <c r="J201" t="str">
        <f t="shared" si="339"/>
        <v/>
      </c>
      <c r="K201" t="str">
        <f t="shared" si="339"/>
        <v/>
      </c>
      <c r="L201" t="str">
        <f t="shared" si="339"/>
        <v/>
      </c>
      <c r="M201" t="str">
        <f t="shared" si="339"/>
        <v/>
      </c>
      <c r="N201" t="str">
        <f t="shared" si="339"/>
        <v/>
      </c>
      <c r="O201" t="str">
        <f t="shared" si="339"/>
        <v/>
      </c>
      <c r="P201" t="str">
        <f t="shared" si="339"/>
        <v/>
      </c>
      <c r="Q201" t="str">
        <f t="shared" si="339"/>
        <v/>
      </c>
      <c r="R201" t="str">
        <f t="shared" si="339"/>
        <v/>
      </c>
      <c r="S201" t="str">
        <f t="shared" si="339"/>
        <v/>
      </c>
      <c r="T201" t="str">
        <f t="shared" si="339"/>
        <v/>
      </c>
      <c r="U201" t="str">
        <f t="shared" si="339"/>
        <v/>
      </c>
      <c r="V201" t="str">
        <f t="shared" si="339"/>
        <v/>
      </c>
      <c r="W201" t="str">
        <f t="shared" si="339"/>
        <v/>
      </c>
      <c r="X201" t="str">
        <f t="shared" si="339"/>
        <v/>
      </c>
      <c r="Y201" t="str">
        <f t="shared" si="339"/>
        <v/>
      </c>
      <c r="AA201">
        <f t="shared" si="314"/>
        <v>42004</v>
      </c>
      <c r="AB201" t="e">
        <f t="shared" si="260"/>
        <v>#N/A</v>
      </c>
      <c r="AC201" t="e">
        <f t="shared" si="261"/>
        <v>#N/A</v>
      </c>
      <c r="AD201" t="e">
        <f t="shared" si="262"/>
        <v>#N/A</v>
      </c>
      <c r="AE201" t="e">
        <f t="shared" si="244"/>
        <v>#N/A</v>
      </c>
      <c r="AF201" t="e">
        <f t="shared" si="245"/>
        <v>#N/A</v>
      </c>
      <c r="AG201" t="e">
        <f t="shared" si="246"/>
        <v>#N/A</v>
      </c>
      <c r="AH201" t="e">
        <f t="shared" si="247"/>
        <v>#N/A</v>
      </c>
      <c r="AI201" t="e">
        <f t="shared" si="248"/>
        <v>#N/A</v>
      </c>
      <c r="AJ201" t="e">
        <f t="shared" si="249"/>
        <v>#N/A</v>
      </c>
      <c r="AK201" t="e">
        <f t="shared" si="250"/>
        <v>#N/A</v>
      </c>
      <c r="AL201" t="e">
        <f t="shared" si="251"/>
        <v>#N/A</v>
      </c>
      <c r="AM201" t="e">
        <f t="shared" si="252"/>
        <v>#N/A</v>
      </c>
      <c r="AN201" t="e">
        <f t="shared" si="253"/>
        <v>#N/A</v>
      </c>
      <c r="AO201" t="e">
        <f t="shared" si="254"/>
        <v>#N/A</v>
      </c>
      <c r="AP201" t="e">
        <f t="shared" si="255"/>
        <v>#N/A</v>
      </c>
      <c r="AQ201" t="e">
        <f t="shared" si="256"/>
        <v>#N/A</v>
      </c>
      <c r="AR201" t="e">
        <f t="shared" si="257"/>
        <v>#N/A</v>
      </c>
      <c r="AS201" t="e">
        <f t="shared" si="258"/>
        <v>#N/A</v>
      </c>
      <c r="AU201">
        <f t="shared" si="315"/>
        <v>0.5</v>
      </c>
      <c r="AV201" t="str">
        <f t="shared" si="316"/>
        <v/>
      </c>
      <c r="AW201" t="str">
        <f t="shared" si="317"/>
        <v/>
      </c>
      <c r="AX201" t="str">
        <f t="shared" si="318"/>
        <v/>
      </c>
      <c r="AY201" t="str">
        <f t="shared" si="319"/>
        <v/>
      </c>
      <c r="AZ201" t="str">
        <f t="shared" si="320"/>
        <v/>
      </c>
      <c r="BA201" t="str">
        <f t="shared" si="321"/>
        <v/>
      </c>
      <c r="BB201" t="str">
        <f t="shared" si="322"/>
        <v/>
      </c>
      <c r="BC201" t="str">
        <f t="shared" si="323"/>
        <v/>
      </c>
      <c r="BD201" t="str">
        <f t="shared" si="324"/>
        <v/>
      </c>
      <c r="BE201" t="str">
        <f t="shared" si="325"/>
        <v/>
      </c>
      <c r="BF201" t="str">
        <f t="shared" si="326"/>
        <v/>
      </c>
      <c r="BG201" t="str">
        <f t="shared" si="327"/>
        <v/>
      </c>
      <c r="BH201" t="str">
        <f t="shared" si="328"/>
        <v/>
      </c>
      <c r="BI201" t="str">
        <f t="shared" si="329"/>
        <v/>
      </c>
      <c r="BJ201" t="str">
        <f t="shared" si="330"/>
        <v/>
      </c>
      <c r="BK201" t="str">
        <f t="shared" si="331"/>
        <v/>
      </c>
      <c r="BL201" t="str">
        <f t="shared" si="332"/>
        <v/>
      </c>
      <c r="BM201" t="str">
        <f t="shared" si="333"/>
        <v/>
      </c>
      <c r="BP201"/>
      <c r="BR201"/>
    </row>
    <row r="202" spans="1:70" x14ac:dyDescent="0.25">
      <c r="A202" s="1">
        <v>41808</v>
      </c>
      <c r="B202">
        <v>0.25</v>
      </c>
      <c r="C202" s="4">
        <v>42369</v>
      </c>
      <c r="D202">
        <v>3</v>
      </c>
      <c r="E202">
        <f t="shared" si="311"/>
        <v>4.6875E-2</v>
      </c>
      <c r="F202" s="4"/>
      <c r="G202">
        <v>1</v>
      </c>
      <c r="H202">
        <f t="shared" ref="H202:Y202" si="340">IF($D202&gt;G202,G202+1,"")</f>
        <v>2</v>
      </c>
      <c r="I202">
        <f t="shared" si="340"/>
        <v>3</v>
      </c>
      <c r="J202" t="str">
        <f t="shared" si="340"/>
        <v/>
      </c>
      <c r="K202" t="str">
        <f t="shared" si="340"/>
        <v/>
      </c>
      <c r="L202" t="str">
        <f t="shared" si="340"/>
        <v/>
      </c>
      <c r="M202" t="str">
        <f t="shared" si="340"/>
        <v/>
      </c>
      <c r="N202" t="str">
        <f t="shared" si="340"/>
        <v/>
      </c>
      <c r="O202" t="str">
        <f t="shared" si="340"/>
        <v/>
      </c>
      <c r="P202" t="str">
        <f t="shared" si="340"/>
        <v/>
      </c>
      <c r="Q202" t="str">
        <f t="shared" si="340"/>
        <v/>
      </c>
      <c r="R202" t="str">
        <f t="shared" si="340"/>
        <v/>
      </c>
      <c r="S202" t="str">
        <f t="shared" si="340"/>
        <v/>
      </c>
      <c r="T202" t="str">
        <f t="shared" si="340"/>
        <v/>
      </c>
      <c r="U202" t="str">
        <f t="shared" si="340"/>
        <v/>
      </c>
      <c r="V202" t="str">
        <f t="shared" si="340"/>
        <v/>
      </c>
      <c r="W202" t="str">
        <f t="shared" si="340"/>
        <v/>
      </c>
      <c r="X202" t="str">
        <f t="shared" si="340"/>
        <v/>
      </c>
      <c r="Y202" t="str">
        <f t="shared" si="340"/>
        <v/>
      </c>
      <c r="AA202">
        <f t="shared" si="314"/>
        <v>42348.924999999996</v>
      </c>
      <c r="AB202">
        <f t="shared" si="260"/>
        <v>42369</v>
      </c>
      <c r="AC202">
        <f t="shared" si="261"/>
        <v>42389.074999999997</v>
      </c>
      <c r="AD202" t="e">
        <f t="shared" si="262"/>
        <v>#N/A</v>
      </c>
      <c r="AE202" t="e">
        <f t="shared" si="244"/>
        <v>#N/A</v>
      </c>
      <c r="AF202" t="e">
        <f t="shared" si="245"/>
        <v>#N/A</v>
      </c>
      <c r="AG202" t="e">
        <f t="shared" si="246"/>
        <v>#N/A</v>
      </c>
      <c r="AH202" t="e">
        <f t="shared" si="247"/>
        <v>#N/A</v>
      </c>
      <c r="AI202" t="e">
        <f t="shared" si="248"/>
        <v>#N/A</v>
      </c>
      <c r="AJ202" t="e">
        <f t="shared" si="249"/>
        <v>#N/A</v>
      </c>
      <c r="AK202" t="e">
        <f t="shared" si="250"/>
        <v>#N/A</v>
      </c>
      <c r="AL202" t="e">
        <f t="shared" si="251"/>
        <v>#N/A</v>
      </c>
      <c r="AM202" t="e">
        <f t="shared" si="252"/>
        <v>#N/A</v>
      </c>
      <c r="AN202" t="e">
        <f t="shared" si="253"/>
        <v>#N/A</v>
      </c>
      <c r="AO202" t="e">
        <f t="shared" si="254"/>
        <v>#N/A</v>
      </c>
      <c r="AP202" t="e">
        <f t="shared" si="255"/>
        <v>#N/A</v>
      </c>
      <c r="AQ202" t="e">
        <f t="shared" si="256"/>
        <v>#N/A</v>
      </c>
      <c r="AR202" t="e">
        <f t="shared" si="257"/>
        <v>#N/A</v>
      </c>
      <c r="AS202" t="e">
        <f t="shared" si="258"/>
        <v>#N/A</v>
      </c>
      <c r="AU202">
        <f t="shared" si="315"/>
        <v>0.25</v>
      </c>
      <c r="AV202">
        <f t="shared" si="316"/>
        <v>0.25</v>
      </c>
      <c r="AW202">
        <f t="shared" si="317"/>
        <v>0.25</v>
      </c>
      <c r="AX202" t="str">
        <f t="shared" si="318"/>
        <v/>
      </c>
      <c r="AY202" t="str">
        <f t="shared" si="319"/>
        <v/>
      </c>
      <c r="AZ202" t="str">
        <f t="shared" si="320"/>
        <v/>
      </c>
      <c r="BA202" t="str">
        <f t="shared" si="321"/>
        <v/>
      </c>
      <c r="BB202" t="str">
        <f t="shared" si="322"/>
        <v/>
      </c>
      <c r="BC202" t="str">
        <f t="shared" si="323"/>
        <v/>
      </c>
      <c r="BD202" t="str">
        <f t="shared" si="324"/>
        <v/>
      </c>
      <c r="BE202" t="str">
        <f t="shared" si="325"/>
        <v/>
      </c>
      <c r="BF202" t="str">
        <f t="shared" si="326"/>
        <v/>
      </c>
      <c r="BG202" t="str">
        <f t="shared" si="327"/>
        <v/>
      </c>
      <c r="BH202" t="str">
        <f t="shared" si="328"/>
        <v/>
      </c>
      <c r="BI202" t="str">
        <f t="shared" si="329"/>
        <v/>
      </c>
      <c r="BJ202" t="str">
        <f t="shared" si="330"/>
        <v/>
      </c>
      <c r="BK202" t="str">
        <f t="shared" si="331"/>
        <v/>
      </c>
      <c r="BL202" t="str">
        <f t="shared" si="332"/>
        <v/>
      </c>
      <c r="BM202" t="str">
        <f t="shared" si="333"/>
        <v/>
      </c>
      <c r="BP202"/>
      <c r="BR202"/>
    </row>
    <row r="203" spans="1:70" x14ac:dyDescent="0.25">
      <c r="A203" s="1">
        <v>41808</v>
      </c>
      <c r="B203">
        <v>0.5</v>
      </c>
      <c r="C203" s="4">
        <v>42369</v>
      </c>
      <c r="D203">
        <v>1</v>
      </c>
      <c r="E203">
        <f t="shared" si="311"/>
        <v>3.125E-2</v>
      </c>
      <c r="F203" s="4"/>
      <c r="G203">
        <v>1</v>
      </c>
      <c r="H203" t="str">
        <f t="shared" ref="H203:Y203" si="341">IF($D203&gt;G203,G203+1,"")</f>
        <v/>
      </c>
      <c r="I203" t="str">
        <f t="shared" si="341"/>
        <v/>
      </c>
      <c r="J203" t="str">
        <f t="shared" si="341"/>
        <v/>
      </c>
      <c r="K203" t="str">
        <f t="shared" si="341"/>
        <v/>
      </c>
      <c r="L203" t="str">
        <f t="shared" si="341"/>
        <v/>
      </c>
      <c r="M203" t="str">
        <f t="shared" si="341"/>
        <v/>
      </c>
      <c r="N203" t="str">
        <f t="shared" si="341"/>
        <v/>
      </c>
      <c r="O203" t="str">
        <f t="shared" si="341"/>
        <v/>
      </c>
      <c r="P203" t="str">
        <f t="shared" si="341"/>
        <v/>
      </c>
      <c r="Q203" t="str">
        <f t="shared" si="341"/>
        <v/>
      </c>
      <c r="R203" t="str">
        <f t="shared" si="341"/>
        <v/>
      </c>
      <c r="S203" t="str">
        <f t="shared" si="341"/>
        <v/>
      </c>
      <c r="T203" t="str">
        <f t="shared" si="341"/>
        <v/>
      </c>
      <c r="U203" t="str">
        <f t="shared" si="341"/>
        <v/>
      </c>
      <c r="V203" t="str">
        <f t="shared" si="341"/>
        <v/>
      </c>
      <c r="W203" t="str">
        <f t="shared" si="341"/>
        <v/>
      </c>
      <c r="X203" t="str">
        <f t="shared" si="341"/>
        <v/>
      </c>
      <c r="Y203" t="str">
        <f t="shared" si="341"/>
        <v/>
      </c>
      <c r="AA203">
        <f t="shared" si="314"/>
        <v>42369</v>
      </c>
      <c r="AB203" t="e">
        <f t="shared" si="260"/>
        <v>#N/A</v>
      </c>
      <c r="AC203" t="e">
        <f t="shared" si="261"/>
        <v>#N/A</v>
      </c>
      <c r="AD203" t="e">
        <f t="shared" si="262"/>
        <v>#N/A</v>
      </c>
      <c r="AE203" t="e">
        <f t="shared" si="244"/>
        <v>#N/A</v>
      </c>
      <c r="AF203" t="e">
        <f t="shared" si="245"/>
        <v>#N/A</v>
      </c>
      <c r="AG203" t="e">
        <f t="shared" si="246"/>
        <v>#N/A</v>
      </c>
      <c r="AH203" t="e">
        <f t="shared" si="247"/>
        <v>#N/A</v>
      </c>
      <c r="AI203" t="e">
        <f t="shared" si="248"/>
        <v>#N/A</v>
      </c>
      <c r="AJ203" t="e">
        <f t="shared" si="249"/>
        <v>#N/A</v>
      </c>
      <c r="AK203" t="e">
        <f t="shared" si="250"/>
        <v>#N/A</v>
      </c>
      <c r="AL203" t="e">
        <f t="shared" si="251"/>
        <v>#N/A</v>
      </c>
      <c r="AM203" t="e">
        <f t="shared" si="252"/>
        <v>#N/A</v>
      </c>
      <c r="AN203" t="e">
        <f t="shared" si="253"/>
        <v>#N/A</v>
      </c>
      <c r="AO203" t="e">
        <f t="shared" si="254"/>
        <v>#N/A</v>
      </c>
      <c r="AP203" t="e">
        <f t="shared" si="255"/>
        <v>#N/A</v>
      </c>
      <c r="AQ203" t="e">
        <f t="shared" si="256"/>
        <v>#N/A</v>
      </c>
      <c r="AR203" t="e">
        <f t="shared" si="257"/>
        <v>#N/A</v>
      </c>
      <c r="AS203" t="e">
        <f t="shared" si="258"/>
        <v>#N/A</v>
      </c>
      <c r="AU203">
        <f t="shared" si="315"/>
        <v>0.5</v>
      </c>
      <c r="AV203" t="str">
        <f t="shared" si="316"/>
        <v/>
      </c>
      <c r="AW203" t="str">
        <f t="shared" si="317"/>
        <v/>
      </c>
      <c r="AX203" t="str">
        <f t="shared" si="318"/>
        <v/>
      </c>
      <c r="AY203" t="str">
        <f t="shared" si="319"/>
        <v/>
      </c>
      <c r="AZ203" t="str">
        <f t="shared" si="320"/>
        <v/>
      </c>
      <c r="BA203" t="str">
        <f t="shared" si="321"/>
        <v/>
      </c>
      <c r="BB203" t="str">
        <f t="shared" si="322"/>
        <v/>
      </c>
      <c r="BC203" t="str">
        <f t="shared" si="323"/>
        <v/>
      </c>
      <c r="BD203" t="str">
        <f t="shared" si="324"/>
        <v/>
      </c>
      <c r="BE203" t="str">
        <f t="shared" si="325"/>
        <v/>
      </c>
      <c r="BF203" t="str">
        <f t="shared" si="326"/>
        <v/>
      </c>
      <c r="BG203" t="str">
        <f t="shared" si="327"/>
        <v/>
      </c>
      <c r="BH203" t="str">
        <f t="shared" si="328"/>
        <v/>
      </c>
      <c r="BI203" t="str">
        <f t="shared" si="329"/>
        <v/>
      </c>
      <c r="BJ203" t="str">
        <f t="shared" si="330"/>
        <v/>
      </c>
      <c r="BK203" t="str">
        <f t="shared" si="331"/>
        <v/>
      </c>
      <c r="BL203" t="str">
        <f t="shared" si="332"/>
        <v/>
      </c>
      <c r="BM203" t="str">
        <f t="shared" si="333"/>
        <v/>
      </c>
      <c r="BP203"/>
      <c r="BR203"/>
    </row>
    <row r="204" spans="1:70" x14ac:dyDescent="0.25">
      <c r="A204" s="1">
        <v>41808</v>
      </c>
      <c r="B204">
        <v>0.75</v>
      </c>
      <c r="C204" s="4">
        <v>42369</v>
      </c>
      <c r="D204">
        <v>1</v>
      </c>
      <c r="E204">
        <f t="shared" si="311"/>
        <v>4.6875E-2</v>
      </c>
      <c r="F204" s="4"/>
      <c r="G204">
        <v>1</v>
      </c>
      <c r="H204" t="str">
        <f t="shared" ref="H204:Y204" si="342">IF($D204&gt;G204,G204+1,"")</f>
        <v/>
      </c>
      <c r="I204" t="str">
        <f t="shared" si="342"/>
        <v/>
      </c>
      <c r="J204" t="str">
        <f t="shared" si="342"/>
        <v/>
      </c>
      <c r="K204" t="str">
        <f t="shared" si="342"/>
        <v/>
      </c>
      <c r="L204" t="str">
        <f t="shared" si="342"/>
        <v/>
      </c>
      <c r="M204" t="str">
        <f t="shared" si="342"/>
        <v/>
      </c>
      <c r="N204" t="str">
        <f t="shared" si="342"/>
        <v/>
      </c>
      <c r="O204" t="str">
        <f t="shared" si="342"/>
        <v/>
      </c>
      <c r="P204" t="str">
        <f t="shared" si="342"/>
        <v/>
      </c>
      <c r="Q204" t="str">
        <f t="shared" si="342"/>
        <v/>
      </c>
      <c r="R204" t="str">
        <f t="shared" si="342"/>
        <v/>
      </c>
      <c r="S204" t="str">
        <f t="shared" si="342"/>
        <v/>
      </c>
      <c r="T204" t="str">
        <f t="shared" si="342"/>
        <v/>
      </c>
      <c r="U204" t="str">
        <f t="shared" si="342"/>
        <v/>
      </c>
      <c r="V204" t="str">
        <f t="shared" si="342"/>
        <v/>
      </c>
      <c r="W204" t="str">
        <f t="shared" si="342"/>
        <v/>
      </c>
      <c r="X204" t="str">
        <f t="shared" si="342"/>
        <v/>
      </c>
      <c r="Y204" t="str">
        <f t="shared" si="342"/>
        <v/>
      </c>
      <c r="AA204">
        <f t="shared" si="314"/>
        <v>42369</v>
      </c>
      <c r="AB204" t="e">
        <f t="shared" si="260"/>
        <v>#N/A</v>
      </c>
      <c r="AC204" t="e">
        <f t="shared" si="261"/>
        <v>#N/A</v>
      </c>
      <c r="AD204" t="e">
        <f t="shared" si="262"/>
        <v>#N/A</v>
      </c>
      <c r="AE204" t="e">
        <f t="shared" si="244"/>
        <v>#N/A</v>
      </c>
      <c r="AF204" t="e">
        <f t="shared" si="245"/>
        <v>#N/A</v>
      </c>
      <c r="AG204" t="e">
        <f t="shared" si="246"/>
        <v>#N/A</v>
      </c>
      <c r="AH204" t="e">
        <f t="shared" si="247"/>
        <v>#N/A</v>
      </c>
      <c r="AI204" t="e">
        <f t="shared" si="248"/>
        <v>#N/A</v>
      </c>
      <c r="AJ204" t="e">
        <f t="shared" si="249"/>
        <v>#N/A</v>
      </c>
      <c r="AK204" t="e">
        <f t="shared" si="250"/>
        <v>#N/A</v>
      </c>
      <c r="AL204" t="e">
        <f t="shared" si="251"/>
        <v>#N/A</v>
      </c>
      <c r="AM204" t="e">
        <f t="shared" si="252"/>
        <v>#N/A</v>
      </c>
      <c r="AN204" t="e">
        <f t="shared" si="253"/>
        <v>#N/A</v>
      </c>
      <c r="AO204" t="e">
        <f t="shared" si="254"/>
        <v>#N/A</v>
      </c>
      <c r="AP204" t="e">
        <f t="shared" si="255"/>
        <v>#N/A</v>
      </c>
      <c r="AQ204" t="e">
        <f t="shared" si="256"/>
        <v>#N/A</v>
      </c>
      <c r="AR204" t="e">
        <f t="shared" si="257"/>
        <v>#N/A</v>
      </c>
      <c r="AS204" t="e">
        <f t="shared" si="258"/>
        <v>#N/A</v>
      </c>
      <c r="AU204">
        <f t="shared" si="315"/>
        <v>0.75</v>
      </c>
      <c r="AV204" t="str">
        <f t="shared" si="316"/>
        <v/>
      </c>
      <c r="AW204" t="str">
        <f t="shared" si="317"/>
        <v/>
      </c>
      <c r="AX204" t="str">
        <f t="shared" si="318"/>
        <v/>
      </c>
      <c r="AY204" t="str">
        <f t="shared" si="319"/>
        <v/>
      </c>
      <c r="AZ204" t="str">
        <f t="shared" si="320"/>
        <v/>
      </c>
      <c r="BA204" t="str">
        <f t="shared" si="321"/>
        <v/>
      </c>
      <c r="BB204" t="str">
        <f t="shared" si="322"/>
        <v/>
      </c>
      <c r="BC204" t="str">
        <f t="shared" si="323"/>
        <v/>
      </c>
      <c r="BD204" t="str">
        <f t="shared" si="324"/>
        <v/>
      </c>
      <c r="BE204" t="str">
        <f t="shared" si="325"/>
        <v/>
      </c>
      <c r="BF204" t="str">
        <f t="shared" si="326"/>
        <v/>
      </c>
      <c r="BG204" t="str">
        <f t="shared" si="327"/>
        <v/>
      </c>
      <c r="BH204" t="str">
        <f t="shared" si="328"/>
        <v/>
      </c>
      <c r="BI204" t="str">
        <f t="shared" si="329"/>
        <v/>
      </c>
      <c r="BJ204" t="str">
        <f t="shared" si="330"/>
        <v/>
      </c>
      <c r="BK204" t="str">
        <f t="shared" si="331"/>
        <v/>
      </c>
      <c r="BL204" t="str">
        <f t="shared" si="332"/>
        <v/>
      </c>
      <c r="BM204" t="str">
        <f t="shared" si="333"/>
        <v/>
      </c>
      <c r="BP204"/>
      <c r="BR204"/>
    </row>
    <row r="205" spans="1:70" x14ac:dyDescent="0.25">
      <c r="A205" s="1">
        <v>41808</v>
      </c>
      <c r="B205">
        <v>1</v>
      </c>
      <c r="C205" s="4">
        <v>42369</v>
      </c>
      <c r="D205">
        <v>3</v>
      </c>
      <c r="E205">
        <f t="shared" si="311"/>
        <v>0.1875</v>
      </c>
      <c r="F205" s="4"/>
      <c r="G205">
        <v>1</v>
      </c>
      <c r="H205">
        <f t="shared" ref="H205:Y205" si="343">IF($D205&gt;G205,G205+1,"")</f>
        <v>2</v>
      </c>
      <c r="I205">
        <f t="shared" si="343"/>
        <v>3</v>
      </c>
      <c r="J205" t="str">
        <f t="shared" si="343"/>
        <v/>
      </c>
      <c r="K205" t="str">
        <f t="shared" si="343"/>
        <v/>
      </c>
      <c r="L205" t="str">
        <f t="shared" si="343"/>
        <v/>
      </c>
      <c r="M205" t="str">
        <f t="shared" si="343"/>
        <v/>
      </c>
      <c r="N205" t="str">
        <f t="shared" si="343"/>
        <v/>
      </c>
      <c r="O205" t="str">
        <f t="shared" si="343"/>
        <v/>
      </c>
      <c r="P205" t="str">
        <f t="shared" si="343"/>
        <v/>
      </c>
      <c r="Q205" t="str">
        <f t="shared" si="343"/>
        <v/>
      </c>
      <c r="R205" t="str">
        <f t="shared" si="343"/>
        <v/>
      </c>
      <c r="S205" t="str">
        <f t="shared" si="343"/>
        <v/>
      </c>
      <c r="T205" t="str">
        <f t="shared" si="343"/>
        <v/>
      </c>
      <c r="U205" t="str">
        <f t="shared" si="343"/>
        <v/>
      </c>
      <c r="V205" t="str">
        <f t="shared" si="343"/>
        <v/>
      </c>
      <c r="W205" t="str">
        <f t="shared" si="343"/>
        <v/>
      </c>
      <c r="X205" t="str">
        <f t="shared" si="343"/>
        <v/>
      </c>
      <c r="Y205" t="str">
        <f t="shared" si="343"/>
        <v/>
      </c>
      <c r="AA205">
        <f t="shared" si="314"/>
        <v>42348.924999999996</v>
      </c>
      <c r="AB205">
        <f t="shared" si="260"/>
        <v>42369</v>
      </c>
      <c r="AC205">
        <f t="shared" si="261"/>
        <v>42389.074999999997</v>
      </c>
      <c r="AD205" t="e">
        <f t="shared" si="262"/>
        <v>#N/A</v>
      </c>
      <c r="AE205" t="e">
        <f t="shared" si="244"/>
        <v>#N/A</v>
      </c>
      <c r="AF205" t="e">
        <f t="shared" si="245"/>
        <v>#N/A</v>
      </c>
      <c r="AG205" t="e">
        <f t="shared" si="246"/>
        <v>#N/A</v>
      </c>
      <c r="AH205" t="e">
        <f t="shared" si="247"/>
        <v>#N/A</v>
      </c>
      <c r="AI205" t="e">
        <f t="shared" si="248"/>
        <v>#N/A</v>
      </c>
      <c r="AJ205" t="e">
        <f t="shared" si="249"/>
        <v>#N/A</v>
      </c>
      <c r="AK205" t="e">
        <f t="shared" si="250"/>
        <v>#N/A</v>
      </c>
      <c r="AL205" t="e">
        <f t="shared" si="251"/>
        <v>#N/A</v>
      </c>
      <c r="AM205" t="e">
        <f t="shared" si="252"/>
        <v>#N/A</v>
      </c>
      <c r="AN205" t="e">
        <f t="shared" si="253"/>
        <v>#N/A</v>
      </c>
      <c r="AO205" t="e">
        <f t="shared" si="254"/>
        <v>#N/A</v>
      </c>
      <c r="AP205" t="e">
        <f t="shared" si="255"/>
        <v>#N/A</v>
      </c>
      <c r="AQ205" t="e">
        <f t="shared" si="256"/>
        <v>#N/A</v>
      </c>
      <c r="AR205" t="e">
        <f t="shared" si="257"/>
        <v>#N/A</v>
      </c>
      <c r="AS205" t="e">
        <f t="shared" si="258"/>
        <v>#N/A</v>
      </c>
      <c r="AU205">
        <f t="shared" si="315"/>
        <v>1</v>
      </c>
      <c r="AV205">
        <f t="shared" si="316"/>
        <v>1</v>
      </c>
      <c r="AW205">
        <f t="shared" si="317"/>
        <v>1</v>
      </c>
      <c r="AX205" t="str">
        <f t="shared" si="318"/>
        <v/>
      </c>
      <c r="AY205" t="str">
        <f t="shared" si="319"/>
        <v/>
      </c>
      <c r="AZ205" t="str">
        <f t="shared" si="320"/>
        <v/>
      </c>
      <c r="BA205" t="str">
        <f t="shared" si="321"/>
        <v/>
      </c>
      <c r="BB205" t="str">
        <f t="shared" si="322"/>
        <v/>
      </c>
      <c r="BC205" t="str">
        <f t="shared" si="323"/>
        <v/>
      </c>
      <c r="BD205" t="str">
        <f t="shared" si="324"/>
        <v/>
      </c>
      <c r="BE205" t="str">
        <f t="shared" si="325"/>
        <v/>
      </c>
      <c r="BF205" t="str">
        <f t="shared" si="326"/>
        <v/>
      </c>
      <c r="BG205" t="str">
        <f t="shared" si="327"/>
        <v/>
      </c>
      <c r="BH205" t="str">
        <f t="shared" si="328"/>
        <v/>
      </c>
      <c r="BI205" t="str">
        <f t="shared" si="329"/>
        <v/>
      </c>
      <c r="BJ205" t="str">
        <f t="shared" si="330"/>
        <v/>
      </c>
      <c r="BK205" t="str">
        <f t="shared" si="331"/>
        <v/>
      </c>
      <c r="BL205" t="str">
        <f t="shared" si="332"/>
        <v/>
      </c>
      <c r="BM205" t="str">
        <f t="shared" si="333"/>
        <v/>
      </c>
      <c r="BP205"/>
      <c r="BR205"/>
    </row>
    <row r="206" spans="1:70" x14ac:dyDescent="0.25">
      <c r="A206" s="1">
        <v>41808</v>
      </c>
      <c r="B206">
        <v>1.25</v>
      </c>
      <c r="C206" s="4">
        <v>42369</v>
      </c>
      <c r="D206">
        <v>3</v>
      </c>
      <c r="E206">
        <f t="shared" si="311"/>
        <v>0.234375</v>
      </c>
      <c r="F206" s="4"/>
      <c r="G206">
        <v>1</v>
      </c>
      <c r="H206">
        <f t="shared" ref="H206:Y206" si="344">IF($D206&gt;G206,G206+1,"")</f>
        <v>2</v>
      </c>
      <c r="I206">
        <f t="shared" si="344"/>
        <v>3</v>
      </c>
      <c r="J206" t="str">
        <f t="shared" si="344"/>
        <v/>
      </c>
      <c r="K206" t="str">
        <f t="shared" si="344"/>
        <v/>
      </c>
      <c r="L206" t="str">
        <f t="shared" si="344"/>
        <v/>
      </c>
      <c r="M206" t="str">
        <f t="shared" si="344"/>
        <v/>
      </c>
      <c r="N206" t="str">
        <f t="shared" si="344"/>
        <v/>
      </c>
      <c r="O206" t="str">
        <f t="shared" si="344"/>
        <v/>
      </c>
      <c r="P206" t="str">
        <f t="shared" si="344"/>
        <v/>
      </c>
      <c r="Q206" t="str">
        <f t="shared" si="344"/>
        <v/>
      </c>
      <c r="R206" t="str">
        <f t="shared" si="344"/>
        <v/>
      </c>
      <c r="S206" t="str">
        <f t="shared" si="344"/>
        <v/>
      </c>
      <c r="T206" t="str">
        <f t="shared" si="344"/>
        <v/>
      </c>
      <c r="U206" t="str">
        <f t="shared" si="344"/>
        <v/>
      </c>
      <c r="V206" t="str">
        <f t="shared" si="344"/>
        <v/>
      </c>
      <c r="W206" t="str">
        <f t="shared" si="344"/>
        <v/>
      </c>
      <c r="X206" t="str">
        <f t="shared" si="344"/>
        <v/>
      </c>
      <c r="Y206" t="str">
        <f t="shared" si="344"/>
        <v/>
      </c>
      <c r="AA206">
        <f t="shared" si="314"/>
        <v>42348.924999999996</v>
      </c>
      <c r="AB206">
        <f t="shared" si="260"/>
        <v>42369</v>
      </c>
      <c r="AC206">
        <f t="shared" si="261"/>
        <v>42389.074999999997</v>
      </c>
      <c r="AD206" t="e">
        <f t="shared" si="262"/>
        <v>#N/A</v>
      </c>
      <c r="AE206" t="e">
        <f t="shared" si="244"/>
        <v>#N/A</v>
      </c>
      <c r="AF206" t="e">
        <f t="shared" si="245"/>
        <v>#N/A</v>
      </c>
      <c r="AG206" t="e">
        <f t="shared" si="246"/>
        <v>#N/A</v>
      </c>
      <c r="AH206" t="e">
        <f t="shared" si="247"/>
        <v>#N/A</v>
      </c>
      <c r="AI206" t="e">
        <f t="shared" si="248"/>
        <v>#N/A</v>
      </c>
      <c r="AJ206" t="e">
        <f t="shared" si="249"/>
        <v>#N/A</v>
      </c>
      <c r="AK206" t="e">
        <f t="shared" si="250"/>
        <v>#N/A</v>
      </c>
      <c r="AL206" t="e">
        <f t="shared" si="251"/>
        <v>#N/A</v>
      </c>
      <c r="AM206" t="e">
        <f t="shared" si="252"/>
        <v>#N/A</v>
      </c>
      <c r="AN206" t="e">
        <f t="shared" si="253"/>
        <v>#N/A</v>
      </c>
      <c r="AO206" t="e">
        <f t="shared" si="254"/>
        <v>#N/A</v>
      </c>
      <c r="AP206" t="e">
        <f t="shared" si="255"/>
        <v>#N/A</v>
      </c>
      <c r="AQ206" t="e">
        <f t="shared" si="256"/>
        <v>#N/A</v>
      </c>
      <c r="AR206" t="e">
        <f t="shared" si="257"/>
        <v>#N/A</v>
      </c>
      <c r="AS206" t="e">
        <f t="shared" si="258"/>
        <v>#N/A</v>
      </c>
      <c r="AU206">
        <f t="shared" si="315"/>
        <v>1.25</v>
      </c>
      <c r="AV206">
        <f t="shared" si="316"/>
        <v>1.25</v>
      </c>
      <c r="AW206">
        <f t="shared" si="317"/>
        <v>1.25</v>
      </c>
      <c r="AX206" t="str">
        <f t="shared" si="318"/>
        <v/>
      </c>
      <c r="AY206" t="str">
        <f t="shared" si="319"/>
        <v/>
      </c>
      <c r="AZ206" t="str">
        <f t="shared" si="320"/>
        <v/>
      </c>
      <c r="BA206" t="str">
        <f t="shared" si="321"/>
        <v/>
      </c>
      <c r="BB206" t="str">
        <f t="shared" si="322"/>
        <v/>
      </c>
      <c r="BC206" t="str">
        <f t="shared" si="323"/>
        <v/>
      </c>
      <c r="BD206" t="str">
        <f t="shared" si="324"/>
        <v/>
      </c>
      <c r="BE206" t="str">
        <f t="shared" si="325"/>
        <v/>
      </c>
      <c r="BF206" t="str">
        <f t="shared" si="326"/>
        <v/>
      </c>
      <c r="BG206" t="str">
        <f t="shared" si="327"/>
        <v/>
      </c>
      <c r="BH206" t="str">
        <f t="shared" si="328"/>
        <v/>
      </c>
      <c r="BI206" t="str">
        <f t="shared" si="329"/>
        <v/>
      </c>
      <c r="BJ206" t="str">
        <f t="shared" si="330"/>
        <v/>
      </c>
      <c r="BK206" t="str">
        <f t="shared" si="331"/>
        <v/>
      </c>
      <c r="BL206" t="str">
        <f t="shared" si="332"/>
        <v/>
      </c>
      <c r="BM206" t="str">
        <f t="shared" si="333"/>
        <v/>
      </c>
      <c r="BP206"/>
      <c r="BR206"/>
    </row>
    <row r="207" spans="1:70" x14ac:dyDescent="0.25">
      <c r="A207" s="1">
        <v>41808</v>
      </c>
      <c r="B207">
        <v>1.5</v>
      </c>
      <c r="C207" s="4">
        <v>42369</v>
      </c>
      <c r="D207">
        <v>1</v>
      </c>
      <c r="E207">
        <f t="shared" si="311"/>
        <v>9.375E-2</v>
      </c>
      <c r="F207" s="4"/>
      <c r="G207">
        <v>1</v>
      </c>
      <c r="H207" t="str">
        <f t="shared" ref="H207:Y207" si="345">IF($D207&gt;G207,G207+1,"")</f>
        <v/>
      </c>
      <c r="I207" t="str">
        <f t="shared" si="345"/>
        <v/>
      </c>
      <c r="J207" t="str">
        <f t="shared" si="345"/>
        <v/>
      </c>
      <c r="K207" t="str">
        <f t="shared" si="345"/>
        <v/>
      </c>
      <c r="L207" t="str">
        <f t="shared" si="345"/>
        <v/>
      </c>
      <c r="M207" t="str">
        <f t="shared" si="345"/>
        <v/>
      </c>
      <c r="N207" t="str">
        <f t="shared" si="345"/>
        <v/>
      </c>
      <c r="O207" t="str">
        <f t="shared" si="345"/>
        <v/>
      </c>
      <c r="P207" t="str">
        <f t="shared" si="345"/>
        <v/>
      </c>
      <c r="Q207" t="str">
        <f t="shared" si="345"/>
        <v/>
      </c>
      <c r="R207" t="str">
        <f t="shared" si="345"/>
        <v/>
      </c>
      <c r="S207" t="str">
        <f t="shared" si="345"/>
        <v/>
      </c>
      <c r="T207" t="str">
        <f t="shared" si="345"/>
        <v/>
      </c>
      <c r="U207" t="str">
        <f t="shared" si="345"/>
        <v/>
      </c>
      <c r="V207" t="str">
        <f t="shared" si="345"/>
        <v/>
      </c>
      <c r="W207" t="str">
        <f t="shared" si="345"/>
        <v/>
      </c>
      <c r="X207" t="str">
        <f t="shared" si="345"/>
        <v/>
      </c>
      <c r="Y207" t="str">
        <f t="shared" si="345"/>
        <v/>
      </c>
      <c r="AA207">
        <f t="shared" si="314"/>
        <v>42369</v>
      </c>
      <c r="AB207" t="e">
        <f t="shared" si="260"/>
        <v>#N/A</v>
      </c>
      <c r="AC207" t="e">
        <f t="shared" si="261"/>
        <v>#N/A</v>
      </c>
      <c r="AD207" t="e">
        <f t="shared" si="262"/>
        <v>#N/A</v>
      </c>
      <c r="AE207" t="e">
        <f t="shared" si="244"/>
        <v>#N/A</v>
      </c>
      <c r="AF207" t="e">
        <f t="shared" si="245"/>
        <v>#N/A</v>
      </c>
      <c r="AG207" t="e">
        <f t="shared" si="246"/>
        <v>#N/A</v>
      </c>
      <c r="AH207" t="e">
        <f t="shared" si="247"/>
        <v>#N/A</v>
      </c>
      <c r="AI207" t="e">
        <f t="shared" si="248"/>
        <v>#N/A</v>
      </c>
      <c r="AJ207" t="e">
        <f t="shared" si="249"/>
        <v>#N/A</v>
      </c>
      <c r="AK207" t="e">
        <f t="shared" si="250"/>
        <v>#N/A</v>
      </c>
      <c r="AL207" t="e">
        <f t="shared" si="251"/>
        <v>#N/A</v>
      </c>
      <c r="AM207" t="e">
        <f t="shared" si="252"/>
        <v>#N/A</v>
      </c>
      <c r="AN207" t="e">
        <f t="shared" si="253"/>
        <v>#N/A</v>
      </c>
      <c r="AO207" t="e">
        <f t="shared" si="254"/>
        <v>#N/A</v>
      </c>
      <c r="AP207" t="e">
        <f t="shared" si="255"/>
        <v>#N/A</v>
      </c>
      <c r="AQ207" t="e">
        <f t="shared" si="256"/>
        <v>#N/A</v>
      </c>
      <c r="AR207" t="e">
        <f t="shared" si="257"/>
        <v>#N/A</v>
      </c>
      <c r="AS207" t="e">
        <f t="shared" si="258"/>
        <v>#N/A</v>
      </c>
      <c r="AU207">
        <f t="shared" si="315"/>
        <v>1.5</v>
      </c>
      <c r="AV207" t="str">
        <f t="shared" si="316"/>
        <v/>
      </c>
      <c r="AW207" t="str">
        <f t="shared" si="317"/>
        <v/>
      </c>
      <c r="AX207" t="str">
        <f t="shared" si="318"/>
        <v/>
      </c>
      <c r="AY207" t="str">
        <f t="shared" si="319"/>
        <v/>
      </c>
      <c r="AZ207" t="str">
        <f t="shared" si="320"/>
        <v/>
      </c>
      <c r="BA207" t="str">
        <f t="shared" si="321"/>
        <v/>
      </c>
      <c r="BB207" t="str">
        <f t="shared" si="322"/>
        <v/>
      </c>
      <c r="BC207" t="str">
        <f t="shared" si="323"/>
        <v/>
      </c>
      <c r="BD207" t="str">
        <f t="shared" si="324"/>
        <v/>
      </c>
      <c r="BE207" t="str">
        <f t="shared" si="325"/>
        <v/>
      </c>
      <c r="BF207" t="str">
        <f t="shared" si="326"/>
        <v/>
      </c>
      <c r="BG207" t="str">
        <f t="shared" si="327"/>
        <v/>
      </c>
      <c r="BH207" t="str">
        <f t="shared" si="328"/>
        <v/>
      </c>
      <c r="BI207" t="str">
        <f t="shared" si="329"/>
        <v/>
      </c>
      <c r="BJ207" t="str">
        <f t="shared" si="330"/>
        <v/>
      </c>
      <c r="BK207" t="str">
        <f t="shared" si="331"/>
        <v/>
      </c>
      <c r="BL207" t="str">
        <f t="shared" si="332"/>
        <v/>
      </c>
      <c r="BM207" t="str">
        <f t="shared" si="333"/>
        <v/>
      </c>
      <c r="BP207"/>
      <c r="BR207"/>
    </row>
    <row r="208" spans="1:70" x14ac:dyDescent="0.25">
      <c r="A208" s="1">
        <v>41808</v>
      </c>
      <c r="B208">
        <v>1.75</v>
      </c>
      <c r="C208" s="4">
        <v>42369</v>
      </c>
      <c r="D208">
        <v>1</v>
      </c>
      <c r="E208">
        <f t="shared" si="311"/>
        <v>0.109375</v>
      </c>
      <c r="F208" s="4"/>
      <c r="G208">
        <v>1</v>
      </c>
      <c r="H208" t="str">
        <f t="shared" ref="H208:Y208" si="346">IF($D208&gt;G208,G208+1,"")</f>
        <v/>
      </c>
      <c r="I208" t="str">
        <f t="shared" si="346"/>
        <v/>
      </c>
      <c r="J208" t="str">
        <f t="shared" si="346"/>
        <v/>
      </c>
      <c r="K208" t="str">
        <f t="shared" si="346"/>
        <v/>
      </c>
      <c r="L208" t="str">
        <f t="shared" si="346"/>
        <v/>
      </c>
      <c r="M208" t="str">
        <f t="shared" si="346"/>
        <v/>
      </c>
      <c r="N208" t="str">
        <f t="shared" si="346"/>
        <v/>
      </c>
      <c r="O208" t="str">
        <f t="shared" si="346"/>
        <v/>
      </c>
      <c r="P208" t="str">
        <f t="shared" si="346"/>
        <v/>
      </c>
      <c r="Q208" t="str">
        <f t="shared" si="346"/>
        <v/>
      </c>
      <c r="R208" t="str">
        <f t="shared" si="346"/>
        <v/>
      </c>
      <c r="S208" t="str">
        <f t="shared" si="346"/>
        <v/>
      </c>
      <c r="T208" t="str">
        <f t="shared" si="346"/>
        <v/>
      </c>
      <c r="U208" t="str">
        <f t="shared" si="346"/>
        <v/>
      </c>
      <c r="V208" t="str">
        <f t="shared" si="346"/>
        <v/>
      </c>
      <c r="W208" t="str">
        <f t="shared" si="346"/>
        <v/>
      </c>
      <c r="X208" t="str">
        <f t="shared" si="346"/>
        <v/>
      </c>
      <c r="Y208" t="str">
        <f t="shared" si="346"/>
        <v/>
      </c>
      <c r="AA208">
        <f t="shared" si="314"/>
        <v>42369</v>
      </c>
      <c r="AB208" t="e">
        <f t="shared" si="260"/>
        <v>#N/A</v>
      </c>
      <c r="AC208" t="e">
        <f t="shared" si="261"/>
        <v>#N/A</v>
      </c>
      <c r="AD208" t="e">
        <f t="shared" si="262"/>
        <v>#N/A</v>
      </c>
      <c r="AE208" t="e">
        <f t="shared" ref="AE208:AE228" si="347">IF(K208="",NA(),$C208-$Z$1*$D208/2+K208*$Z$1-$Z$1/2)</f>
        <v>#N/A</v>
      </c>
      <c r="AF208" t="e">
        <f t="shared" ref="AF208:AF228" si="348">IF(L208="",NA(),$C208-$Z$1*$D208/2+L208*$Z$1-$Z$1/2)</f>
        <v>#N/A</v>
      </c>
      <c r="AG208" t="e">
        <f t="shared" ref="AG208:AG228" si="349">IF(M208="",NA(),$C208-$Z$1*$D208/2+M208*$Z$1-$Z$1/2)</f>
        <v>#N/A</v>
      </c>
      <c r="AH208" t="e">
        <f t="shared" ref="AH208:AH228" si="350">IF(N208="",NA(),$C208-$Z$1*$D208/2+N208*$Z$1-$Z$1/2)</f>
        <v>#N/A</v>
      </c>
      <c r="AI208" t="e">
        <f t="shared" ref="AI208:AI228" si="351">IF(O208="",NA(),$C208-$Z$1*$D208/2+O208*$Z$1-$Z$1/2)</f>
        <v>#N/A</v>
      </c>
      <c r="AJ208" t="e">
        <f t="shared" ref="AJ208:AJ228" si="352">IF(P208="",NA(),$C208-$Z$1*$D208/2+P208*$Z$1-$Z$1/2)</f>
        <v>#N/A</v>
      </c>
      <c r="AK208" t="e">
        <f t="shared" ref="AK208:AK228" si="353">IF(Q208="",NA(),$C208-$Z$1*$D208/2+Q208*$Z$1-$Z$1/2)</f>
        <v>#N/A</v>
      </c>
      <c r="AL208" t="e">
        <f t="shared" ref="AL208:AL228" si="354">IF(R208="",NA(),$C208-$Z$1*$D208/2+R208*$Z$1-$Z$1/2)</f>
        <v>#N/A</v>
      </c>
      <c r="AM208" t="e">
        <f t="shared" ref="AM208:AM228" si="355">IF(S208="",NA(),$C208-$Z$1*$D208/2+S208*$Z$1-$Z$1/2)</f>
        <v>#N/A</v>
      </c>
      <c r="AN208" t="e">
        <f t="shared" ref="AN208:AN228" si="356">IF(T208="",NA(),$C208-$Z$1*$D208/2+T208*$Z$1-$Z$1/2)</f>
        <v>#N/A</v>
      </c>
      <c r="AO208" t="e">
        <f t="shared" ref="AO208:AO228" si="357">IF(U208="",NA(),$C208-$Z$1*$D208/2+U208*$Z$1-$Z$1/2)</f>
        <v>#N/A</v>
      </c>
      <c r="AP208" t="e">
        <f t="shared" ref="AP208:AP228" si="358">IF(V208="",NA(),$C208-$Z$1*$D208/2+V208*$Z$1-$Z$1/2)</f>
        <v>#N/A</v>
      </c>
      <c r="AQ208" t="e">
        <f t="shared" ref="AQ208:AQ228" si="359">IF(W208="",NA(),$C208-$Z$1*$D208/2+W208*$Z$1-$Z$1/2)</f>
        <v>#N/A</v>
      </c>
      <c r="AR208" t="e">
        <f t="shared" ref="AR208:AR228" si="360">IF(X208="",NA(),$C208-$Z$1*$D208/2+X208*$Z$1-$Z$1/2)</f>
        <v>#N/A</v>
      </c>
      <c r="AS208" t="e">
        <f t="shared" ref="AS208:AS228" si="361">IF(Y208="",NA(),$C208-$Z$1*$D208/2+Y208*$Z$1-$Z$1/2)</f>
        <v>#N/A</v>
      </c>
      <c r="AU208">
        <f t="shared" si="315"/>
        <v>1.75</v>
      </c>
      <c r="AV208" t="str">
        <f t="shared" si="316"/>
        <v/>
      </c>
      <c r="AW208" t="str">
        <f t="shared" si="317"/>
        <v/>
      </c>
      <c r="AX208" t="str">
        <f t="shared" si="318"/>
        <v/>
      </c>
      <c r="AY208" t="str">
        <f t="shared" si="319"/>
        <v/>
      </c>
      <c r="AZ208" t="str">
        <f t="shared" si="320"/>
        <v/>
      </c>
      <c r="BA208" t="str">
        <f t="shared" si="321"/>
        <v/>
      </c>
      <c r="BB208" t="str">
        <f t="shared" si="322"/>
        <v/>
      </c>
      <c r="BC208" t="str">
        <f t="shared" si="323"/>
        <v/>
      </c>
      <c r="BD208" t="str">
        <f t="shared" si="324"/>
        <v/>
      </c>
      <c r="BE208" t="str">
        <f t="shared" si="325"/>
        <v/>
      </c>
      <c r="BF208" t="str">
        <f t="shared" si="326"/>
        <v/>
      </c>
      <c r="BG208" t="str">
        <f t="shared" si="327"/>
        <v/>
      </c>
      <c r="BH208" t="str">
        <f t="shared" si="328"/>
        <v/>
      </c>
      <c r="BI208" t="str">
        <f t="shared" si="329"/>
        <v/>
      </c>
      <c r="BJ208" t="str">
        <f t="shared" si="330"/>
        <v/>
      </c>
      <c r="BK208" t="str">
        <f t="shared" si="331"/>
        <v/>
      </c>
      <c r="BL208" t="str">
        <f t="shared" si="332"/>
        <v/>
      </c>
      <c r="BM208" t="str">
        <f t="shared" si="333"/>
        <v/>
      </c>
      <c r="BP208"/>
      <c r="BR208"/>
    </row>
    <row r="209" spans="1:70" x14ac:dyDescent="0.25">
      <c r="A209" s="1">
        <v>41808</v>
      </c>
      <c r="B209">
        <v>2</v>
      </c>
      <c r="C209" s="4">
        <v>42369</v>
      </c>
      <c r="D209">
        <v>1</v>
      </c>
      <c r="E209">
        <f t="shared" si="311"/>
        <v>0.125</v>
      </c>
      <c r="F209" s="4"/>
      <c r="G209">
        <v>1</v>
      </c>
      <c r="H209" t="str">
        <f t="shared" ref="H209:Y209" si="362">IF($D209&gt;G209,G209+1,"")</f>
        <v/>
      </c>
      <c r="I209" t="str">
        <f t="shared" si="362"/>
        <v/>
      </c>
      <c r="J209" t="str">
        <f t="shared" si="362"/>
        <v/>
      </c>
      <c r="K209" t="str">
        <f t="shared" si="362"/>
        <v/>
      </c>
      <c r="L209" t="str">
        <f t="shared" si="362"/>
        <v/>
      </c>
      <c r="M209" t="str">
        <f t="shared" si="362"/>
        <v/>
      </c>
      <c r="N209" t="str">
        <f t="shared" si="362"/>
        <v/>
      </c>
      <c r="O209" t="str">
        <f t="shared" si="362"/>
        <v/>
      </c>
      <c r="P209" t="str">
        <f t="shared" si="362"/>
        <v/>
      </c>
      <c r="Q209" t="str">
        <f t="shared" si="362"/>
        <v/>
      </c>
      <c r="R209" t="str">
        <f t="shared" si="362"/>
        <v/>
      </c>
      <c r="S209" t="str">
        <f t="shared" si="362"/>
        <v/>
      </c>
      <c r="T209" t="str">
        <f t="shared" si="362"/>
        <v/>
      </c>
      <c r="U209" t="str">
        <f t="shared" si="362"/>
        <v/>
      </c>
      <c r="V209" t="str">
        <f t="shared" si="362"/>
        <v/>
      </c>
      <c r="W209" t="str">
        <f t="shared" si="362"/>
        <v/>
      </c>
      <c r="X209" t="str">
        <f t="shared" si="362"/>
        <v/>
      </c>
      <c r="Y209" t="str">
        <f t="shared" si="362"/>
        <v/>
      </c>
      <c r="AA209">
        <f t="shared" si="314"/>
        <v>42369</v>
      </c>
      <c r="AB209" t="e">
        <f t="shared" ref="AB209:AB228" si="363">IF(H209="",NA(),$C209-$Z$1*$D209/2+H209*$Z$1-$Z$1/2)</f>
        <v>#N/A</v>
      </c>
      <c r="AC209" t="e">
        <f t="shared" ref="AC209:AC228" si="364">IF(I209="",NA(),$C209-$Z$1*$D209/2+I209*$Z$1-$Z$1/2)</f>
        <v>#N/A</v>
      </c>
      <c r="AD209" t="e">
        <f t="shared" ref="AD209:AD228" si="365">IF(J209="",NA(),$C209-$Z$1*$D209/2+J209*$Z$1-$Z$1/2)</f>
        <v>#N/A</v>
      </c>
      <c r="AE209" t="e">
        <f t="shared" si="347"/>
        <v>#N/A</v>
      </c>
      <c r="AF209" t="e">
        <f t="shared" si="348"/>
        <v>#N/A</v>
      </c>
      <c r="AG209" t="e">
        <f t="shared" si="349"/>
        <v>#N/A</v>
      </c>
      <c r="AH209" t="e">
        <f t="shared" si="350"/>
        <v>#N/A</v>
      </c>
      <c r="AI209" t="e">
        <f t="shared" si="351"/>
        <v>#N/A</v>
      </c>
      <c r="AJ209" t="e">
        <f t="shared" si="352"/>
        <v>#N/A</v>
      </c>
      <c r="AK209" t="e">
        <f t="shared" si="353"/>
        <v>#N/A</v>
      </c>
      <c r="AL209" t="e">
        <f t="shared" si="354"/>
        <v>#N/A</v>
      </c>
      <c r="AM209" t="e">
        <f t="shared" si="355"/>
        <v>#N/A</v>
      </c>
      <c r="AN209" t="e">
        <f t="shared" si="356"/>
        <v>#N/A</v>
      </c>
      <c r="AO209" t="e">
        <f t="shared" si="357"/>
        <v>#N/A</v>
      </c>
      <c r="AP209" t="e">
        <f t="shared" si="358"/>
        <v>#N/A</v>
      </c>
      <c r="AQ209" t="e">
        <f t="shared" si="359"/>
        <v>#N/A</v>
      </c>
      <c r="AR209" t="e">
        <f t="shared" si="360"/>
        <v>#N/A</v>
      </c>
      <c r="AS209" t="e">
        <f t="shared" si="361"/>
        <v>#N/A</v>
      </c>
      <c r="AU209">
        <f t="shared" si="315"/>
        <v>2</v>
      </c>
      <c r="AV209" t="str">
        <f t="shared" si="316"/>
        <v/>
      </c>
      <c r="AW209" t="str">
        <f t="shared" si="317"/>
        <v/>
      </c>
      <c r="AX209" t="str">
        <f t="shared" si="318"/>
        <v/>
      </c>
      <c r="AY209" t="str">
        <f t="shared" si="319"/>
        <v/>
      </c>
      <c r="AZ209" t="str">
        <f t="shared" si="320"/>
        <v/>
      </c>
      <c r="BA209" t="str">
        <f t="shared" si="321"/>
        <v/>
      </c>
      <c r="BB209" t="str">
        <f t="shared" si="322"/>
        <v/>
      </c>
      <c r="BC209" t="str">
        <f t="shared" si="323"/>
        <v/>
      </c>
      <c r="BD209" t="str">
        <f t="shared" si="324"/>
        <v/>
      </c>
      <c r="BE209" t="str">
        <f t="shared" si="325"/>
        <v/>
      </c>
      <c r="BF209" t="str">
        <f t="shared" si="326"/>
        <v/>
      </c>
      <c r="BG209" t="str">
        <f t="shared" si="327"/>
        <v/>
      </c>
      <c r="BH209" t="str">
        <f t="shared" si="328"/>
        <v/>
      </c>
      <c r="BI209" t="str">
        <f t="shared" si="329"/>
        <v/>
      </c>
      <c r="BJ209" t="str">
        <f t="shared" si="330"/>
        <v/>
      </c>
      <c r="BK209" t="str">
        <f t="shared" si="331"/>
        <v/>
      </c>
      <c r="BL209" t="str">
        <f t="shared" si="332"/>
        <v/>
      </c>
      <c r="BM209" t="str">
        <f t="shared" si="333"/>
        <v/>
      </c>
      <c r="BP209"/>
      <c r="BR209"/>
    </row>
    <row r="210" spans="1:70" x14ac:dyDescent="0.25">
      <c r="A210" s="1">
        <v>41808</v>
      </c>
      <c r="B210">
        <v>2.25</v>
      </c>
      <c r="C210" s="4">
        <v>42369</v>
      </c>
      <c r="D210">
        <v>1</v>
      </c>
      <c r="E210">
        <f t="shared" si="311"/>
        <v>0.140625</v>
      </c>
      <c r="F210" s="4"/>
      <c r="G210">
        <v>1</v>
      </c>
      <c r="H210" t="str">
        <f t="shared" ref="H210:Y210" si="366">IF($D210&gt;G210,G210+1,"")</f>
        <v/>
      </c>
      <c r="I210" t="str">
        <f t="shared" si="366"/>
        <v/>
      </c>
      <c r="J210" t="str">
        <f t="shared" si="366"/>
        <v/>
      </c>
      <c r="K210" t="str">
        <f t="shared" si="366"/>
        <v/>
      </c>
      <c r="L210" t="str">
        <f t="shared" si="366"/>
        <v/>
      </c>
      <c r="M210" t="str">
        <f t="shared" si="366"/>
        <v/>
      </c>
      <c r="N210" t="str">
        <f t="shared" si="366"/>
        <v/>
      </c>
      <c r="O210" t="str">
        <f t="shared" si="366"/>
        <v/>
      </c>
      <c r="P210" t="str">
        <f t="shared" si="366"/>
        <v/>
      </c>
      <c r="Q210" t="str">
        <f t="shared" si="366"/>
        <v/>
      </c>
      <c r="R210" t="str">
        <f t="shared" si="366"/>
        <v/>
      </c>
      <c r="S210" t="str">
        <f t="shared" si="366"/>
        <v/>
      </c>
      <c r="T210" t="str">
        <f t="shared" si="366"/>
        <v/>
      </c>
      <c r="U210" t="str">
        <f t="shared" si="366"/>
        <v/>
      </c>
      <c r="V210" t="str">
        <f t="shared" si="366"/>
        <v/>
      </c>
      <c r="W210" t="str">
        <f t="shared" si="366"/>
        <v/>
      </c>
      <c r="X210" t="str">
        <f t="shared" si="366"/>
        <v/>
      </c>
      <c r="Y210" t="str">
        <f t="shared" si="366"/>
        <v/>
      </c>
      <c r="AA210">
        <f t="shared" si="314"/>
        <v>42369</v>
      </c>
      <c r="AB210" t="e">
        <f t="shared" si="363"/>
        <v>#N/A</v>
      </c>
      <c r="AC210" t="e">
        <f t="shared" si="364"/>
        <v>#N/A</v>
      </c>
      <c r="AD210" t="e">
        <f t="shared" si="365"/>
        <v>#N/A</v>
      </c>
      <c r="AE210" t="e">
        <f t="shared" si="347"/>
        <v>#N/A</v>
      </c>
      <c r="AF210" t="e">
        <f t="shared" si="348"/>
        <v>#N/A</v>
      </c>
      <c r="AG210" t="e">
        <f t="shared" si="349"/>
        <v>#N/A</v>
      </c>
      <c r="AH210" t="e">
        <f t="shared" si="350"/>
        <v>#N/A</v>
      </c>
      <c r="AI210" t="e">
        <f t="shared" si="351"/>
        <v>#N/A</v>
      </c>
      <c r="AJ210" t="e">
        <f t="shared" si="352"/>
        <v>#N/A</v>
      </c>
      <c r="AK210" t="e">
        <f t="shared" si="353"/>
        <v>#N/A</v>
      </c>
      <c r="AL210" t="e">
        <f t="shared" si="354"/>
        <v>#N/A</v>
      </c>
      <c r="AM210" t="e">
        <f t="shared" si="355"/>
        <v>#N/A</v>
      </c>
      <c r="AN210" t="e">
        <f t="shared" si="356"/>
        <v>#N/A</v>
      </c>
      <c r="AO210" t="e">
        <f t="shared" si="357"/>
        <v>#N/A</v>
      </c>
      <c r="AP210" t="e">
        <f t="shared" si="358"/>
        <v>#N/A</v>
      </c>
      <c r="AQ210" t="e">
        <f t="shared" si="359"/>
        <v>#N/A</v>
      </c>
      <c r="AR210" t="e">
        <f t="shared" si="360"/>
        <v>#N/A</v>
      </c>
      <c r="AS210" t="e">
        <f t="shared" si="361"/>
        <v>#N/A</v>
      </c>
      <c r="AU210">
        <f t="shared" si="315"/>
        <v>2.25</v>
      </c>
      <c r="AV210" t="str">
        <f t="shared" si="316"/>
        <v/>
      </c>
      <c r="AW210" t="str">
        <f t="shared" si="317"/>
        <v/>
      </c>
      <c r="AX210" t="str">
        <f t="shared" si="318"/>
        <v/>
      </c>
      <c r="AY210" t="str">
        <f t="shared" si="319"/>
        <v/>
      </c>
      <c r="AZ210" t="str">
        <f t="shared" si="320"/>
        <v/>
      </c>
      <c r="BA210" t="str">
        <f t="shared" si="321"/>
        <v/>
      </c>
      <c r="BB210" t="str">
        <f t="shared" si="322"/>
        <v/>
      </c>
      <c r="BC210" t="str">
        <f t="shared" si="323"/>
        <v/>
      </c>
      <c r="BD210" t="str">
        <f t="shared" si="324"/>
        <v/>
      </c>
      <c r="BE210" t="str">
        <f t="shared" si="325"/>
        <v/>
      </c>
      <c r="BF210" t="str">
        <f t="shared" si="326"/>
        <v/>
      </c>
      <c r="BG210" t="str">
        <f t="shared" si="327"/>
        <v/>
      </c>
      <c r="BH210" t="str">
        <f t="shared" si="328"/>
        <v/>
      </c>
      <c r="BI210" t="str">
        <f t="shared" si="329"/>
        <v/>
      </c>
      <c r="BJ210" t="str">
        <f t="shared" si="330"/>
        <v/>
      </c>
      <c r="BK210" t="str">
        <f t="shared" si="331"/>
        <v/>
      </c>
      <c r="BL210" t="str">
        <f t="shared" si="332"/>
        <v/>
      </c>
      <c r="BM210" t="str">
        <f t="shared" si="333"/>
        <v/>
      </c>
      <c r="BP210"/>
      <c r="BR210"/>
    </row>
    <row r="211" spans="1:70" x14ac:dyDescent="0.25">
      <c r="A211" s="1">
        <v>41808</v>
      </c>
      <c r="B211">
        <v>3</v>
      </c>
      <c r="C211" s="4">
        <v>42369</v>
      </c>
      <c r="D211">
        <v>1</v>
      </c>
      <c r="E211">
        <f t="shared" si="311"/>
        <v>0.1875</v>
      </c>
      <c r="F211" s="4"/>
      <c r="G211">
        <v>1</v>
      </c>
      <c r="H211" t="str">
        <f t="shared" ref="H211:Y211" si="367">IF($D211&gt;G211,G211+1,"")</f>
        <v/>
      </c>
      <c r="I211" t="str">
        <f t="shared" si="367"/>
        <v/>
      </c>
      <c r="J211" t="str">
        <f t="shared" si="367"/>
        <v/>
      </c>
      <c r="K211" t="str">
        <f t="shared" si="367"/>
        <v/>
      </c>
      <c r="L211" t="str">
        <f t="shared" si="367"/>
        <v/>
      </c>
      <c r="M211" t="str">
        <f t="shared" si="367"/>
        <v/>
      </c>
      <c r="N211" t="str">
        <f t="shared" si="367"/>
        <v/>
      </c>
      <c r="O211" t="str">
        <f t="shared" si="367"/>
        <v/>
      </c>
      <c r="P211" t="str">
        <f t="shared" si="367"/>
        <v/>
      </c>
      <c r="Q211" t="str">
        <f t="shared" si="367"/>
        <v/>
      </c>
      <c r="R211" t="str">
        <f t="shared" si="367"/>
        <v/>
      </c>
      <c r="S211" t="str">
        <f t="shared" si="367"/>
        <v/>
      </c>
      <c r="T211" t="str">
        <f t="shared" si="367"/>
        <v/>
      </c>
      <c r="U211" t="str">
        <f t="shared" si="367"/>
        <v/>
      </c>
      <c r="V211" t="str">
        <f t="shared" si="367"/>
        <v/>
      </c>
      <c r="W211" t="str">
        <f t="shared" si="367"/>
        <v/>
      </c>
      <c r="X211" t="str">
        <f t="shared" si="367"/>
        <v/>
      </c>
      <c r="Y211" t="str">
        <f t="shared" si="367"/>
        <v/>
      </c>
      <c r="AA211">
        <f t="shared" si="314"/>
        <v>42369</v>
      </c>
      <c r="AB211" t="e">
        <f t="shared" si="363"/>
        <v>#N/A</v>
      </c>
      <c r="AC211" t="e">
        <f t="shared" si="364"/>
        <v>#N/A</v>
      </c>
      <c r="AD211" t="e">
        <f t="shared" si="365"/>
        <v>#N/A</v>
      </c>
      <c r="AE211" t="e">
        <f t="shared" si="347"/>
        <v>#N/A</v>
      </c>
      <c r="AF211" t="e">
        <f t="shared" si="348"/>
        <v>#N/A</v>
      </c>
      <c r="AG211" t="e">
        <f t="shared" si="349"/>
        <v>#N/A</v>
      </c>
      <c r="AH211" t="e">
        <f t="shared" si="350"/>
        <v>#N/A</v>
      </c>
      <c r="AI211" t="e">
        <f t="shared" si="351"/>
        <v>#N/A</v>
      </c>
      <c r="AJ211" t="e">
        <f t="shared" si="352"/>
        <v>#N/A</v>
      </c>
      <c r="AK211" t="e">
        <f t="shared" si="353"/>
        <v>#N/A</v>
      </c>
      <c r="AL211" t="e">
        <f t="shared" si="354"/>
        <v>#N/A</v>
      </c>
      <c r="AM211" t="e">
        <f t="shared" si="355"/>
        <v>#N/A</v>
      </c>
      <c r="AN211" t="e">
        <f t="shared" si="356"/>
        <v>#N/A</v>
      </c>
      <c r="AO211" t="e">
        <f t="shared" si="357"/>
        <v>#N/A</v>
      </c>
      <c r="AP211" t="e">
        <f t="shared" si="358"/>
        <v>#N/A</v>
      </c>
      <c r="AQ211" t="e">
        <f t="shared" si="359"/>
        <v>#N/A</v>
      </c>
      <c r="AR211" t="e">
        <f t="shared" si="360"/>
        <v>#N/A</v>
      </c>
      <c r="AS211" t="e">
        <f t="shared" si="361"/>
        <v>#N/A</v>
      </c>
      <c r="AU211">
        <f t="shared" si="315"/>
        <v>3</v>
      </c>
      <c r="AV211" t="str">
        <f t="shared" si="316"/>
        <v/>
      </c>
      <c r="AW211" t="str">
        <f t="shared" si="317"/>
        <v/>
      </c>
      <c r="AX211" t="str">
        <f t="shared" si="318"/>
        <v/>
      </c>
      <c r="AY211" t="str">
        <f t="shared" si="319"/>
        <v/>
      </c>
      <c r="AZ211" t="str">
        <f t="shared" si="320"/>
        <v/>
      </c>
      <c r="BA211" t="str">
        <f t="shared" si="321"/>
        <v/>
      </c>
      <c r="BB211" t="str">
        <f t="shared" si="322"/>
        <v/>
      </c>
      <c r="BC211" t="str">
        <f t="shared" si="323"/>
        <v/>
      </c>
      <c r="BD211" t="str">
        <f t="shared" si="324"/>
        <v/>
      </c>
      <c r="BE211" t="str">
        <f t="shared" si="325"/>
        <v/>
      </c>
      <c r="BF211" t="str">
        <f t="shared" si="326"/>
        <v/>
      </c>
      <c r="BG211" t="str">
        <f t="shared" si="327"/>
        <v/>
      </c>
      <c r="BH211" t="str">
        <f t="shared" si="328"/>
        <v/>
      </c>
      <c r="BI211" t="str">
        <f t="shared" si="329"/>
        <v/>
      </c>
      <c r="BJ211" t="str">
        <f t="shared" si="330"/>
        <v/>
      </c>
      <c r="BK211" t="str">
        <f t="shared" si="331"/>
        <v/>
      </c>
      <c r="BL211" t="str">
        <f t="shared" si="332"/>
        <v/>
      </c>
      <c r="BM211" t="str">
        <f t="shared" si="333"/>
        <v/>
      </c>
      <c r="BP211"/>
      <c r="BR211"/>
    </row>
    <row r="212" spans="1:70" x14ac:dyDescent="0.25">
      <c r="A212" s="1">
        <v>41808</v>
      </c>
      <c r="B212">
        <v>0.5</v>
      </c>
      <c r="C212" s="4">
        <v>42735</v>
      </c>
      <c r="D212">
        <v>1</v>
      </c>
      <c r="E212">
        <f t="shared" si="311"/>
        <v>3.125E-2</v>
      </c>
      <c r="F212" s="4"/>
      <c r="G212">
        <v>1</v>
      </c>
      <c r="H212" t="str">
        <f t="shared" ref="H212:Y212" si="368">IF($D212&gt;G212,G212+1,"")</f>
        <v/>
      </c>
      <c r="I212" t="str">
        <f t="shared" si="368"/>
        <v/>
      </c>
      <c r="J212" t="str">
        <f t="shared" si="368"/>
        <v/>
      </c>
      <c r="K212" t="str">
        <f t="shared" si="368"/>
        <v/>
      </c>
      <c r="L212" t="str">
        <f t="shared" si="368"/>
        <v/>
      </c>
      <c r="M212" t="str">
        <f t="shared" si="368"/>
        <v/>
      </c>
      <c r="N212" t="str">
        <f t="shared" si="368"/>
        <v/>
      </c>
      <c r="O212" t="str">
        <f t="shared" si="368"/>
        <v/>
      </c>
      <c r="P212" t="str">
        <f t="shared" si="368"/>
        <v/>
      </c>
      <c r="Q212" t="str">
        <f t="shared" si="368"/>
        <v/>
      </c>
      <c r="R212" t="str">
        <f t="shared" si="368"/>
        <v/>
      </c>
      <c r="S212" t="str">
        <f t="shared" si="368"/>
        <v/>
      </c>
      <c r="T212" t="str">
        <f t="shared" si="368"/>
        <v/>
      </c>
      <c r="U212" t="str">
        <f t="shared" si="368"/>
        <v/>
      </c>
      <c r="V212" t="str">
        <f t="shared" si="368"/>
        <v/>
      </c>
      <c r="W212" t="str">
        <f t="shared" si="368"/>
        <v/>
      </c>
      <c r="X212" t="str">
        <f t="shared" si="368"/>
        <v/>
      </c>
      <c r="Y212" t="str">
        <f t="shared" si="368"/>
        <v/>
      </c>
      <c r="AA212">
        <f t="shared" si="314"/>
        <v>42735</v>
      </c>
      <c r="AB212" t="e">
        <f t="shared" si="363"/>
        <v>#N/A</v>
      </c>
      <c r="AC212" t="e">
        <f t="shared" si="364"/>
        <v>#N/A</v>
      </c>
      <c r="AD212" t="e">
        <f t="shared" si="365"/>
        <v>#N/A</v>
      </c>
      <c r="AE212" t="e">
        <f t="shared" si="347"/>
        <v>#N/A</v>
      </c>
      <c r="AF212" t="e">
        <f t="shared" si="348"/>
        <v>#N/A</v>
      </c>
      <c r="AG212" t="e">
        <f t="shared" si="349"/>
        <v>#N/A</v>
      </c>
      <c r="AH212" t="e">
        <f t="shared" si="350"/>
        <v>#N/A</v>
      </c>
      <c r="AI212" t="e">
        <f t="shared" si="351"/>
        <v>#N/A</v>
      </c>
      <c r="AJ212" t="e">
        <f t="shared" si="352"/>
        <v>#N/A</v>
      </c>
      <c r="AK212" t="e">
        <f t="shared" si="353"/>
        <v>#N/A</v>
      </c>
      <c r="AL212" t="e">
        <f t="shared" si="354"/>
        <v>#N/A</v>
      </c>
      <c r="AM212" t="e">
        <f t="shared" si="355"/>
        <v>#N/A</v>
      </c>
      <c r="AN212" t="e">
        <f t="shared" si="356"/>
        <v>#N/A</v>
      </c>
      <c r="AO212" t="e">
        <f t="shared" si="357"/>
        <v>#N/A</v>
      </c>
      <c r="AP212" t="e">
        <f t="shared" si="358"/>
        <v>#N/A</v>
      </c>
      <c r="AQ212" t="e">
        <f t="shared" si="359"/>
        <v>#N/A</v>
      </c>
      <c r="AR212" t="e">
        <f t="shared" si="360"/>
        <v>#N/A</v>
      </c>
      <c r="AS212" t="e">
        <f t="shared" si="361"/>
        <v>#N/A</v>
      </c>
      <c r="AU212">
        <f t="shared" si="315"/>
        <v>0.5</v>
      </c>
      <c r="AV212" t="str">
        <f t="shared" si="316"/>
        <v/>
      </c>
      <c r="AW212" t="str">
        <f t="shared" si="317"/>
        <v/>
      </c>
      <c r="AX212" t="str">
        <f t="shared" si="318"/>
        <v/>
      </c>
      <c r="AY212" t="str">
        <f t="shared" si="319"/>
        <v/>
      </c>
      <c r="AZ212" t="str">
        <f t="shared" si="320"/>
        <v/>
      </c>
      <c r="BA212" t="str">
        <f t="shared" si="321"/>
        <v/>
      </c>
      <c r="BB212" t="str">
        <f t="shared" si="322"/>
        <v/>
      </c>
      <c r="BC212" t="str">
        <f t="shared" si="323"/>
        <v/>
      </c>
      <c r="BD212" t="str">
        <f t="shared" si="324"/>
        <v/>
      </c>
      <c r="BE212" t="str">
        <f t="shared" si="325"/>
        <v/>
      </c>
      <c r="BF212" t="str">
        <f t="shared" si="326"/>
        <v/>
      </c>
      <c r="BG212" t="str">
        <f t="shared" si="327"/>
        <v/>
      </c>
      <c r="BH212" t="str">
        <f t="shared" si="328"/>
        <v/>
      </c>
      <c r="BI212" t="str">
        <f t="shared" si="329"/>
        <v/>
      </c>
      <c r="BJ212" t="str">
        <f t="shared" si="330"/>
        <v/>
      </c>
      <c r="BK212" t="str">
        <f t="shared" si="331"/>
        <v/>
      </c>
      <c r="BL212" t="str">
        <f t="shared" si="332"/>
        <v/>
      </c>
      <c r="BM212" t="str">
        <f t="shared" si="333"/>
        <v/>
      </c>
      <c r="BP212"/>
      <c r="BR212"/>
    </row>
    <row r="213" spans="1:70" x14ac:dyDescent="0.25">
      <c r="A213" s="1">
        <v>41808</v>
      </c>
      <c r="B213">
        <v>1</v>
      </c>
      <c r="C213" s="4">
        <v>42735</v>
      </c>
      <c r="D213">
        <v>1</v>
      </c>
      <c r="E213">
        <f t="shared" si="311"/>
        <v>6.25E-2</v>
      </c>
      <c r="F213" s="4"/>
      <c r="G213">
        <v>1</v>
      </c>
      <c r="H213" t="str">
        <f t="shared" ref="H213:Y213" si="369">IF($D213&gt;G213,G213+1,"")</f>
        <v/>
      </c>
      <c r="I213" t="str">
        <f t="shared" si="369"/>
        <v/>
      </c>
      <c r="J213" t="str">
        <f t="shared" si="369"/>
        <v/>
      </c>
      <c r="K213" t="str">
        <f t="shared" si="369"/>
        <v/>
      </c>
      <c r="L213" t="str">
        <f t="shared" si="369"/>
        <v/>
      </c>
      <c r="M213" t="str">
        <f t="shared" si="369"/>
        <v/>
      </c>
      <c r="N213" t="str">
        <f t="shared" si="369"/>
        <v/>
      </c>
      <c r="O213" t="str">
        <f t="shared" si="369"/>
        <v/>
      </c>
      <c r="P213" t="str">
        <f t="shared" si="369"/>
        <v/>
      </c>
      <c r="Q213" t="str">
        <f t="shared" si="369"/>
        <v/>
      </c>
      <c r="R213" t="str">
        <f t="shared" si="369"/>
        <v/>
      </c>
      <c r="S213" t="str">
        <f t="shared" si="369"/>
        <v/>
      </c>
      <c r="T213" t="str">
        <f t="shared" si="369"/>
        <v/>
      </c>
      <c r="U213" t="str">
        <f t="shared" si="369"/>
        <v/>
      </c>
      <c r="V213" t="str">
        <f t="shared" si="369"/>
        <v/>
      </c>
      <c r="W213" t="str">
        <f t="shared" si="369"/>
        <v/>
      </c>
      <c r="X213" t="str">
        <f t="shared" si="369"/>
        <v/>
      </c>
      <c r="Y213" t="str">
        <f t="shared" si="369"/>
        <v/>
      </c>
      <c r="AA213">
        <f t="shared" si="314"/>
        <v>42735</v>
      </c>
      <c r="AB213" t="e">
        <f t="shared" si="363"/>
        <v>#N/A</v>
      </c>
      <c r="AC213" t="e">
        <f t="shared" si="364"/>
        <v>#N/A</v>
      </c>
      <c r="AD213" t="e">
        <f t="shared" si="365"/>
        <v>#N/A</v>
      </c>
      <c r="AE213" t="e">
        <f t="shared" si="347"/>
        <v>#N/A</v>
      </c>
      <c r="AF213" t="e">
        <f t="shared" si="348"/>
        <v>#N/A</v>
      </c>
      <c r="AG213" t="e">
        <f t="shared" si="349"/>
        <v>#N/A</v>
      </c>
      <c r="AH213" t="e">
        <f t="shared" si="350"/>
        <v>#N/A</v>
      </c>
      <c r="AI213" t="e">
        <f t="shared" si="351"/>
        <v>#N/A</v>
      </c>
      <c r="AJ213" t="e">
        <f t="shared" si="352"/>
        <v>#N/A</v>
      </c>
      <c r="AK213" t="e">
        <f t="shared" si="353"/>
        <v>#N/A</v>
      </c>
      <c r="AL213" t="e">
        <f t="shared" si="354"/>
        <v>#N/A</v>
      </c>
      <c r="AM213" t="e">
        <f t="shared" si="355"/>
        <v>#N/A</v>
      </c>
      <c r="AN213" t="e">
        <f t="shared" si="356"/>
        <v>#N/A</v>
      </c>
      <c r="AO213" t="e">
        <f t="shared" si="357"/>
        <v>#N/A</v>
      </c>
      <c r="AP213" t="e">
        <f t="shared" si="358"/>
        <v>#N/A</v>
      </c>
      <c r="AQ213" t="e">
        <f t="shared" si="359"/>
        <v>#N/A</v>
      </c>
      <c r="AR213" t="e">
        <f t="shared" si="360"/>
        <v>#N/A</v>
      </c>
      <c r="AS213" t="e">
        <f t="shared" si="361"/>
        <v>#N/A</v>
      </c>
      <c r="AU213">
        <f t="shared" si="315"/>
        <v>1</v>
      </c>
      <c r="AV213" t="str">
        <f t="shared" si="316"/>
        <v/>
      </c>
      <c r="AW213" t="str">
        <f t="shared" si="317"/>
        <v/>
      </c>
      <c r="AX213" t="str">
        <f t="shared" si="318"/>
        <v/>
      </c>
      <c r="AY213" t="str">
        <f t="shared" si="319"/>
        <v/>
      </c>
      <c r="AZ213" t="str">
        <f t="shared" si="320"/>
        <v/>
      </c>
      <c r="BA213" t="str">
        <f t="shared" si="321"/>
        <v/>
      </c>
      <c r="BB213" t="str">
        <f t="shared" si="322"/>
        <v/>
      </c>
      <c r="BC213" t="str">
        <f t="shared" si="323"/>
        <v/>
      </c>
      <c r="BD213" t="str">
        <f t="shared" si="324"/>
        <v/>
      </c>
      <c r="BE213" t="str">
        <f t="shared" si="325"/>
        <v/>
      </c>
      <c r="BF213" t="str">
        <f t="shared" si="326"/>
        <v/>
      </c>
      <c r="BG213" t="str">
        <f t="shared" si="327"/>
        <v/>
      </c>
      <c r="BH213" t="str">
        <f t="shared" si="328"/>
        <v/>
      </c>
      <c r="BI213" t="str">
        <f t="shared" si="329"/>
        <v/>
      </c>
      <c r="BJ213" t="str">
        <f t="shared" si="330"/>
        <v/>
      </c>
      <c r="BK213" t="str">
        <f t="shared" si="331"/>
        <v/>
      </c>
      <c r="BL213" t="str">
        <f t="shared" si="332"/>
        <v/>
      </c>
      <c r="BM213" t="str">
        <f t="shared" si="333"/>
        <v/>
      </c>
      <c r="BP213"/>
      <c r="BR213"/>
    </row>
    <row r="214" spans="1:70" x14ac:dyDescent="0.25">
      <c r="A214" s="1">
        <v>41808</v>
      </c>
      <c r="B214">
        <v>1.25</v>
      </c>
      <c r="C214" s="4">
        <v>42735</v>
      </c>
      <c r="D214">
        <v>1</v>
      </c>
      <c r="E214">
        <f t="shared" si="311"/>
        <v>7.8125E-2</v>
      </c>
      <c r="F214" s="4"/>
      <c r="G214">
        <v>1</v>
      </c>
      <c r="H214" t="str">
        <f t="shared" ref="H214:Y214" si="370">IF($D214&gt;G214,G214+1,"")</f>
        <v/>
      </c>
      <c r="I214" t="str">
        <f t="shared" si="370"/>
        <v/>
      </c>
      <c r="J214" t="str">
        <f t="shared" si="370"/>
        <v/>
      </c>
      <c r="K214" t="str">
        <f t="shared" si="370"/>
        <v/>
      </c>
      <c r="L214" t="str">
        <f t="shared" si="370"/>
        <v/>
      </c>
      <c r="M214" t="str">
        <f t="shared" si="370"/>
        <v/>
      </c>
      <c r="N214" t="str">
        <f t="shared" si="370"/>
        <v/>
      </c>
      <c r="O214" t="str">
        <f t="shared" si="370"/>
        <v/>
      </c>
      <c r="P214" t="str">
        <f t="shared" si="370"/>
        <v/>
      </c>
      <c r="Q214" t="str">
        <f t="shared" si="370"/>
        <v/>
      </c>
      <c r="R214" t="str">
        <f t="shared" si="370"/>
        <v/>
      </c>
      <c r="S214" t="str">
        <f t="shared" si="370"/>
        <v/>
      </c>
      <c r="T214" t="str">
        <f t="shared" si="370"/>
        <v/>
      </c>
      <c r="U214" t="str">
        <f t="shared" si="370"/>
        <v/>
      </c>
      <c r="V214" t="str">
        <f t="shared" si="370"/>
        <v/>
      </c>
      <c r="W214" t="str">
        <f t="shared" si="370"/>
        <v/>
      </c>
      <c r="X214" t="str">
        <f t="shared" si="370"/>
        <v/>
      </c>
      <c r="Y214" t="str">
        <f t="shared" si="370"/>
        <v/>
      </c>
      <c r="AA214">
        <f t="shared" si="314"/>
        <v>42735</v>
      </c>
      <c r="AB214" t="e">
        <f t="shared" si="363"/>
        <v>#N/A</v>
      </c>
      <c r="AC214" t="e">
        <f t="shared" si="364"/>
        <v>#N/A</v>
      </c>
      <c r="AD214" t="e">
        <f t="shared" si="365"/>
        <v>#N/A</v>
      </c>
      <c r="AE214" t="e">
        <f t="shared" si="347"/>
        <v>#N/A</v>
      </c>
      <c r="AF214" t="e">
        <f t="shared" si="348"/>
        <v>#N/A</v>
      </c>
      <c r="AG214" t="e">
        <f t="shared" si="349"/>
        <v>#N/A</v>
      </c>
      <c r="AH214" t="e">
        <f t="shared" si="350"/>
        <v>#N/A</v>
      </c>
      <c r="AI214" t="e">
        <f t="shared" si="351"/>
        <v>#N/A</v>
      </c>
      <c r="AJ214" t="e">
        <f t="shared" si="352"/>
        <v>#N/A</v>
      </c>
      <c r="AK214" t="e">
        <f t="shared" si="353"/>
        <v>#N/A</v>
      </c>
      <c r="AL214" t="e">
        <f t="shared" si="354"/>
        <v>#N/A</v>
      </c>
      <c r="AM214" t="e">
        <f t="shared" si="355"/>
        <v>#N/A</v>
      </c>
      <c r="AN214" t="e">
        <f t="shared" si="356"/>
        <v>#N/A</v>
      </c>
      <c r="AO214" t="e">
        <f t="shared" si="357"/>
        <v>#N/A</v>
      </c>
      <c r="AP214" t="e">
        <f t="shared" si="358"/>
        <v>#N/A</v>
      </c>
      <c r="AQ214" t="e">
        <f t="shared" si="359"/>
        <v>#N/A</v>
      </c>
      <c r="AR214" t="e">
        <f t="shared" si="360"/>
        <v>#N/A</v>
      </c>
      <c r="AS214" t="e">
        <f t="shared" si="361"/>
        <v>#N/A</v>
      </c>
      <c r="AU214">
        <f t="shared" si="315"/>
        <v>1.25</v>
      </c>
      <c r="AV214" t="str">
        <f t="shared" si="316"/>
        <v/>
      </c>
      <c r="AW214" t="str">
        <f t="shared" si="317"/>
        <v/>
      </c>
      <c r="AX214" t="str">
        <f t="shared" si="318"/>
        <v/>
      </c>
      <c r="AY214" t="str">
        <f t="shared" si="319"/>
        <v/>
      </c>
      <c r="AZ214" t="str">
        <f t="shared" si="320"/>
        <v/>
      </c>
      <c r="BA214" t="str">
        <f t="shared" si="321"/>
        <v/>
      </c>
      <c r="BB214" t="str">
        <f t="shared" si="322"/>
        <v/>
      </c>
      <c r="BC214" t="str">
        <f t="shared" si="323"/>
        <v/>
      </c>
      <c r="BD214" t="str">
        <f t="shared" si="324"/>
        <v/>
      </c>
      <c r="BE214" t="str">
        <f t="shared" si="325"/>
        <v/>
      </c>
      <c r="BF214" t="str">
        <f t="shared" si="326"/>
        <v/>
      </c>
      <c r="BG214" t="str">
        <f t="shared" si="327"/>
        <v/>
      </c>
      <c r="BH214" t="str">
        <f t="shared" si="328"/>
        <v/>
      </c>
      <c r="BI214" t="str">
        <f t="shared" si="329"/>
        <v/>
      </c>
      <c r="BJ214" t="str">
        <f t="shared" si="330"/>
        <v/>
      </c>
      <c r="BK214" t="str">
        <f t="shared" si="331"/>
        <v/>
      </c>
      <c r="BL214" t="str">
        <f t="shared" si="332"/>
        <v/>
      </c>
      <c r="BM214" t="str">
        <f t="shared" si="333"/>
        <v/>
      </c>
      <c r="BP214"/>
      <c r="BR214"/>
    </row>
    <row r="215" spans="1:70" x14ac:dyDescent="0.25">
      <c r="A215" s="1">
        <v>41808</v>
      </c>
      <c r="B215">
        <v>2</v>
      </c>
      <c r="C215" s="4">
        <v>42735</v>
      </c>
      <c r="D215">
        <v>2</v>
      </c>
      <c r="E215">
        <f t="shared" si="311"/>
        <v>0.25</v>
      </c>
      <c r="F215" s="4"/>
      <c r="G215">
        <v>1</v>
      </c>
      <c r="H215">
        <f t="shared" ref="H215:Y215" si="371">IF($D215&gt;G215,G215+1,"")</f>
        <v>2</v>
      </c>
      <c r="I215" t="str">
        <f t="shared" si="371"/>
        <v/>
      </c>
      <c r="J215" t="str">
        <f t="shared" si="371"/>
        <v/>
      </c>
      <c r="K215" t="str">
        <f t="shared" si="371"/>
        <v/>
      </c>
      <c r="L215" t="str">
        <f t="shared" si="371"/>
        <v/>
      </c>
      <c r="M215" t="str">
        <f t="shared" si="371"/>
        <v/>
      </c>
      <c r="N215" t="str">
        <f t="shared" si="371"/>
        <v/>
      </c>
      <c r="O215" t="str">
        <f t="shared" si="371"/>
        <v/>
      </c>
      <c r="P215" t="str">
        <f t="shared" si="371"/>
        <v/>
      </c>
      <c r="Q215" t="str">
        <f t="shared" si="371"/>
        <v/>
      </c>
      <c r="R215" t="str">
        <f t="shared" si="371"/>
        <v/>
      </c>
      <c r="S215" t="str">
        <f t="shared" si="371"/>
        <v/>
      </c>
      <c r="T215" t="str">
        <f t="shared" si="371"/>
        <v/>
      </c>
      <c r="U215" t="str">
        <f t="shared" si="371"/>
        <v/>
      </c>
      <c r="V215" t="str">
        <f t="shared" si="371"/>
        <v/>
      </c>
      <c r="W215" t="str">
        <f t="shared" si="371"/>
        <v/>
      </c>
      <c r="X215" t="str">
        <f t="shared" si="371"/>
        <v/>
      </c>
      <c r="Y215" t="str">
        <f t="shared" si="371"/>
        <v/>
      </c>
      <c r="AA215">
        <f t="shared" si="314"/>
        <v>42724.962500000001</v>
      </c>
      <c r="AB215">
        <f t="shared" si="363"/>
        <v>42745.037500000006</v>
      </c>
      <c r="AC215" t="e">
        <f t="shared" si="364"/>
        <v>#N/A</v>
      </c>
      <c r="AD215" t="e">
        <f t="shared" si="365"/>
        <v>#N/A</v>
      </c>
      <c r="AE215" t="e">
        <f t="shared" si="347"/>
        <v>#N/A</v>
      </c>
      <c r="AF215" t="e">
        <f t="shared" si="348"/>
        <v>#N/A</v>
      </c>
      <c r="AG215" t="e">
        <f t="shared" si="349"/>
        <v>#N/A</v>
      </c>
      <c r="AH215" t="e">
        <f t="shared" si="350"/>
        <v>#N/A</v>
      </c>
      <c r="AI215" t="e">
        <f t="shared" si="351"/>
        <v>#N/A</v>
      </c>
      <c r="AJ215" t="e">
        <f t="shared" si="352"/>
        <v>#N/A</v>
      </c>
      <c r="AK215" t="e">
        <f t="shared" si="353"/>
        <v>#N/A</v>
      </c>
      <c r="AL215" t="e">
        <f t="shared" si="354"/>
        <v>#N/A</v>
      </c>
      <c r="AM215" t="e">
        <f t="shared" si="355"/>
        <v>#N/A</v>
      </c>
      <c r="AN215" t="e">
        <f t="shared" si="356"/>
        <v>#N/A</v>
      </c>
      <c r="AO215" t="e">
        <f t="shared" si="357"/>
        <v>#N/A</v>
      </c>
      <c r="AP215" t="e">
        <f t="shared" si="358"/>
        <v>#N/A</v>
      </c>
      <c r="AQ215" t="e">
        <f t="shared" si="359"/>
        <v>#N/A</v>
      </c>
      <c r="AR215" t="e">
        <f t="shared" si="360"/>
        <v>#N/A</v>
      </c>
      <c r="AS215" t="e">
        <f t="shared" si="361"/>
        <v>#N/A</v>
      </c>
      <c r="AU215">
        <f t="shared" si="315"/>
        <v>2</v>
      </c>
      <c r="AV215">
        <f t="shared" si="316"/>
        <v>2</v>
      </c>
      <c r="AW215" t="str">
        <f t="shared" si="317"/>
        <v/>
      </c>
      <c r="AX215" t="str">
        <f t="shared" si="318"/>
        <v/>
      </c>
      <c r="AY215" t="str">
        <f t="shared" si="319"/>
        <v/>
      </c>
      <c r="AZ215" t="str">
        <f t="shared" si="320"/>
        <v/>
      </c>
      <c r="BA215" t="str">
        <f t="shared" si="321"/>
        <v/>
      </c>
      <c r="BB215" t="str">
        <f t="shared" si="322"/>
        <v/>
      </c>
      <c r="BC215" t="str">
        <f t="shared" si="323"/>
        <v/>
      </c>
      <c r="BD215" t="str">
        <f t="shared" si="324"/>
        <v/>
      </c>
      <c r="BE215" t="str">
        <f t="shared" si="325"/>
        <v/>
      </c>
      <c r="BF215" t="str">
        <f t="shared" si="326"/>
        <v/>
      </c>
      <c r="BG215" t="str">
        <f t="shared" si="327"/>
        <v/>
      </c>
      <c r="BH215" t="str">
        <f t="shared" si="328"/>
        <v/>
      </c>
      <c r="BI215" t="str">
        <f t="shared" si="329"/>
        <v/>
      </c>
      <c r="BJ215" t="str">
        <f t="shared" si="330"/>
        <v/>
      </c>
      <c r="BK215" t="str">
        <f t="shared" si="331"/>
        <v/>
      </c>
      <c r="BL215" t="str">
        <f t="shared" si="332"/>
        <v/>
      </c>
      <c r="BM215" t="str">
        <f t="shared" si="333"/>
        <v/>
      </c>
      <c r="BP215"/>
      <c r="BR215"/>
    </row>
    <row r="216" spans="1:70" x14ac:dyDescent="0.25">
      <c r="A216" s="1">
        <v>41808</v>
      </c>
      <c r="B216">
        <v>2.25</v>
      </c>
      <c r="C216" s="4">
        <v>42735</v>
      </c>
      <c r="D216">
        <v>2</v>
      </c>
      <c r="E216">
        <f t="shared" si="311"/>
        <v>0.28125</v>
      </c>
      <c r="F216" s="4"/>
      <c r="G216">
        <v>1</v>
      </c>
      <c r="H216">
        <f t="shared" ref="H216:Y216" si="372">IF($D216&gt;G216,G216+1,"")</f>
        <v>2</v>
      </c>
      <c r="I216" t="str">
        <f t="shared" si="372"/>
        <v/>
      </c>
      <c r="J216" t="str">
        <f t="shared" si="372"/>
        <v/>
      </c>
      <c r="K216" t="str">
        <f t="shared" si="372"/>
        <v/>
      </c>
      <c r="L216" t="str">
        <f t="shared" si="372"/>
        <v/>
      </c>
      <c r="M216" t="str">
        <f t="shared" si="372"/>
        <v/>
      </c>
      <c r="N216" t="str">
        <f t="shared" si="372"/>
        <v/>
      </c>
      <c r="O216" t="str">
        <f t="shared" si="372"/>
        <v/>
      </c>
      <c r="P216" t="str">
        <f t="shared" si="372"/>
        <v/>
      </c>
      <c r="Q216" t="str">
        <f t="shared" si="372"/>
        <v/>
      </c>
      <c r="R216" t="str">
        <f t="shared" si="372"/>
        <v/>
      </c>
      <c r="S216" t="str">
        <f t="shared" si="372"/>
        <v/>
      </c>
      <c r="T216" t="str">
        <f t="shared" si="372"/>
        <v/>
      </c>
      <c r="U216" t="str">
        <f t="shared" si="372"/>
        <v/>
      </c>
      <c r="V216" t="str">
        <f t="shared" si="372"/>
        <v/>
      </c>
      <c r="W216" t="str">
        <f t="shared" si="372"/>
        <v/>
      </c>
      <c r="X216" t="str">
        <f t="shared" si="372"/>
        <v/>
      </c>
      <c r="Y216" t="str">
        <f t="shared" si="372"/>
        <v/>
      </c>
      <c r="AA216">
        <f t="shared" si="314"/>
        <v>42724.962500000001</v>
      </c>
      <c r="AB216">
        <f t="shared" si="363"/>
        <v>42745.037500000006</v>
      </c>
      <c r="AC216" t="e">
        <f t="shared" si="364"/>
        <v>#N/A</v>
      </c>
      <c r="AD216" t="e">
        <f t="shared" si="365"/>
        <v>#N/A</v>
      </c>
      <c r="AE216" t="e">
        <f t="shared" si="347"/>
        <v>#N/A</v>
      </c>
      <c r="AF216" t="e">
        <f t="shared" si="348"/>
        <v>#N/A</v>
      </c>
      <c r="AG216" t="e">
        <f t="shared" si="349"/>
        <v>#N/A</v>
      </c>
      <c r="AH216" t="e">
        <f t="shared" si="350"/>
        <v>#N/A</v>
      </c>
      <c r="AI216" t="e">
        <f t="shared" si="351"/>
        <v>#N/A</v>
      </c>
      <c r="AJ216" t="e">
        <f t="shared" si="352"/>
        <v>#N/A</v>
      </c>
      <c r="AK216" t="e">
        <f t="shared" si="353"/>
        <v>#N/A</v>
      </c>
      <c r="AL216" t="e">
        <f t="shared" si="354"/>
        <v>#N/A</v>
      </c>
      <c r="AM216" t="e">
        <f t="shared" si="355"/>
        <v>#N/A</v>
      </c>
      <c r="AN216" t="e">
        <f t="shared" si="356"/>
        <v>#N/A</v>
      </c>
      <c r="AO216" t="e">
        <f t="shared" si="357"/>
        <v>#N/A</v>
      </c>
      <c r="AP216" t="e">
        <f t="shared" si="358"/>
        <v>#N/A</v>
      </c>
      <c r="AQ216" t="e">
        <f t="shared" si="359"/>
        <v>#N/A</v>
      </c>
      <c r="AR216" t="e">
        <f t="shared" si="360"/>
        <v>#N/A</v>
      </c>
      <c r="AS216" t="e">
        <f t="shared" si="361"/>
        <v>#N/A</v>
      </c>
      <c r="AU216">
        <f t="shared" si="315"/>
        <v>2.25</v>
      </c>
      <c r="AV216">
        <f t="shared" si="316"/>
        <v>2.25</v>
      </c>
      <c r="AW216" t="str">
        <f t="shared" si="317"/>
        <v/>
      </c>
      <c r="AX216" t="str">
        <f t="shared" si="318"/>
        <v/>
      </c>
      <c r="AY216" t="str">
        <f t="shared" si="319"/>
        <v/>
      </c>
      <c r="AZ216" t="str">
        <f t="shared" si="320"/>
        <v/>
      </c>
      <c r="BA216" t="str">
        <f t="shared" si="321"/>
        <v/>
      </c>
      <c r="BB216" t="str">
        <f t="shared" si="322"/>
        <v/>
      </c>
      <c r="BC216" t="str">
        <f t="shared" si="323"/>
        <v/>
      </c>
      <c r="BD216" t="str">
        <f t="shared" si="324"/>
        <v/>
      </c>
      <c r="BE216" t="str">
        <f t="shared" si="325"/>
        <v/>
      </c>
      <c r="BF216" t="str">
        <f t="shared" si="326"/>
        <v/>
      </c>
      <c r="BG216" t="str">
        <f t="shared" si="327"/>
        <v/>
      </c>
      <c r="BH216" t="str">
        <f t="shared" si="328"/>
        <v/>
      </c>
      <c r="BI216" t="str">
        <f t="shared" si="329"/>
        <v/>
      </c>
      <c r="BJ216" t="str">
        <f t="shared" si="330"/>
        <v/>
      </c>
      <c r="BK216" t="str">
        <f t="shared" si="331"/>
        <v/>
      </c>
      <c r="BL216" t="str">
        <f t="shared" si="332"/>
        <v/>
      </c>
      <c r="BM216" t="str">
        <f t="shared" si="333"/>
        <v/>
      </c>
      <c r="BP216"/>
      <c r="BR216"/>
    </row>
    <row r="217" spans="1:70" x14ac:dyDescent="0.25">
      <c r="A217" s="1">
        <v>41808</v>
      </c>
      <c r="B217">
        <v>2.5</v>
      </c>
      <c r="C217" s="4">
        <v>42735</v>
      </c>
      <c r="D217">
        <v>2</v>
      </c>
      <c r="E217">
        <f t="shared" si="311"/>
        <v>0.3125</v>
      </c>
      <c r="F217" s="4"/>
      <c r="G217">
        <v>1</v>
      </c>
      <c r="H217">
        <f t="shared" ref="H217:Y217" si="373">IF($D217&gt;G217,G217+1,"")</f>
        <v>2</v>
      </c>
      <c r="I217" t="str">
        <f t="shared" si="373"/>
        <v/>
      </c>
      <c r="J217" t="str">
        <f t="shared" si="373"/>
        <v/>
      </c>
      <c r="K217" t="str">
        <f t="shared" si="373"/>
        <v/>
      </c>
      <c r="L217" t="str">
        <f t="shared" si="373"/>
        <v/>
      </c>
      <c r="M217" t="str">
        <f t="shared" si="373"/>
        <v/>
      </c>
      <c r="N217" t="str">
        <f t="shared" si="373"/>
        <v/>
      </c>
      <c r="O217" t="str">
        <f t="shared" si="373"/>
        <v/>
      </c>
      <c r="P217" t="str">
        <f t="shared" si="373"/>
        <v/>
      </c>
      <c r="Q217" t="str">
        <f t="shared" si="373"/>
        <v/>
      </c>
      <c r="R217" t="str">
        <f t="shared" si="373"/>
        <v/>
      </c>
      <c r="S217" t="str">
        <f t="shared" si="373"/>
        <v/>
      </c>
      <c r="T217" t="str">
        <f t="shared" si="373"/>
        <v/>
      </c>
      <c r="U217" t="str">
        <f t="shared" si="373"/>
        <v/>
      </c>
      <c r="V217" t="str">
        <f t="shared" si="373"/>
        <v/>
      </c>
      <c r="W217" t="str">
        <f t="shared" si="373"/>
        <v/>
      </c>
      <c r="X217" t="str">
        <f t="shared" si="373"/>
        <v/>
      </c>
      <c r="Y217" t="str">
        <f t="shared" si="373"/>
        <v/>
      </c>
      <c r="AA217">
        <f t="shared" si="314"/>
        <v>42724.962500000001</v>
      </c>
      <c r="AB217">
        <f t="shared" si="363"/>
        <v>42745.037500000006</v>
      </c>
      <c r="AC217" t="e">
        <f t="shared" si="364"/>
        <v>#N/A</v>
      </c>
      <c r="AD217" t="e">
        <f t="shared" si="365"/>
        <v>#N/A</v>
      </c>
      <c r="AE217" t="e">
        <f t="shared" si="347"/>
        <v>#N/A</v>
      </c>
      <c r="AF217" t="e">
        <f t="shared" si="348"/>
        <v>#N/A</v>
      </c>
      <c r="AG217" t="e">
        <f t="shared" si="349"/>
        <v>#N/A</v>
      </c>
      <c r="AH217" t="e">
        <f t="shared" si="350"/>
        <v>#N/A</v>
      </c>
      <c r="AI217" t="e">
        <f t="shared" si="351"/>
        <v>#N/A</v>
      </c>
      <c r="AJ217" t="e">
        <f t="shared" si="352"/>
        <v>#N/A</v>
      </c>
      <c r="AK217" t="e">
        <f t="shared" si="353"/>
        <v>#N/A</v>
      </c>
      <c r="AL217" t="e">
        <f t="shared" si="354"/>
        <v>#N/A</v>
      </c>
      <c r="AM217" t="e">
        <f t="shared" si="355"/>
        <v>#N/A</v>
      </c>
      <c r="AN217" t="e">
        <f t="shared" si="356"/>
        <v>#N/A</v>
      </c>
      <c r="AO217" t="e">
        <f t="shared" si="357"/>
        <v>#N/A</v>
      </c>
      <c r="AP217" t="e">
        <f t="shared" si="358"/>
        <v>#N/A</v>
      </c>
      <c r="AQ217" t="e">
        <f t="shared" si="359"/>
        <v>#N/A</v>
      </c>
      <c r="AR217" t="e">
        <f t="shared" si="360"/>
        <v>#N/A</v>
      </c>
      <c r="AS217" t="e">
        <f t="shared" si="361"/>
        <v>#N/A</v>
      </c>
      <c r="AU217">
        <f t="shared" si="315"/>
        <v>2.5</v>
      </c>
      <c r="AV217">
        <f t="shared" si="316"/>
        <v>2.5</v>
      </c>
      <c r="AW217" t="str">
        <f t="shared" si="317"/>
        <v/>
      </c>
      <c r="AX217" t="str">
        <f t="shared" si="318"/>
        <v/>
      </c>
      <c r="AY217" t="str">
        <f t="shared" si="319"/>
        <v/>
      </c>
      <c r="AZ217" t="str">
        <f t="shared" si="320"/>
        <v/>
      </c>
      <c r="BA217" t="str">
        <f t="shared" si="321"/>
        <v/>
      </c>
      <c r="BB217" t="str">
        <f t="shared" si="322"/>
        <v/>
      </c>
      <c r="BC217" t="str">
        <f t="shared" si="323"/>
        <v/>
      </c>
      <c r="BD217" t="str">
        <f t="shared" si="324"/>
        <v/>
      </c>
      <c r="BE217" t="str">
        <f t="shared" si="325"/>
        <v/>
      </c>
      <c r="BF217" t="str">
        <f t="shared" si="326"/>
        <v/>
      </c>
      <c r="BG217" t="str">
        <f t="shared" si="327"/>
        <v/>
      </c>
      <c r="BH217" t="str">
        <f t="shared" si="328"/>
        <v/>
      </c>
      <c r="BI217" t="str">
        <f t="shared" si="329"/>
        <v/>
      </c>
      <c r="BJ217" t="str">
        <f t="shared" si="330"/>
        <v/>
      </c>
      <c r="BK217" t="str">
        <f t="shared" si="331"/>
        <v/>
      </c>
      <c r="BL217" t="str">
        <f t="shared" si="332"/>
        <v/>
      </c>
      <c r="BM217" t="str">
        <f t="shared" si="333"/>
        <v/>
      </c>
      <c r="BP217"/>
      <c r="BR217"/>
    </row>
    <row r="218" spans="1:70" x14ac:dyDescent="0.25">
      <c r="A218" s="1">
        <v>41808</v>
      </c>
      <c r="B218">
        <v>2.75</v>
      </c>
      <c r="C218" s="4">
        <v>42735</v>
      </c>
      <c r="D218">
        <v>1</v>
      </c>
      <c r="E218">
        <f t="shared" si="311"/>
        <v>0.171875</v>
      </c>
      <c r="F218" s="4"/>
      <c r="G218">
        <v>1</v>
      </c>
      <c r="H218" t="str">
        <f t="shared" ref="H218:Y218" si="374">IF($D218&gt;G218,G218+1,"")</f>
        <v/>
      </c>
      <c r="I218" t="str">
        <f t="shared" si="374"/>
        <v/>
      </c>
      <c r="J218" t="str">
        <f t="shared" si="374"/>
        <v/>
      </c>
      <c r="K218" t="str">
        <f t="shared" si="374"/>
        <v/>
      </c>
      <c r="L218" t="str">
        <f t="shared" si="374"/>
        <v/>
      </c>
      <c r="M218" t="str">
        <f t="shared" si="374"/>
        <v/>
      </c>
      <c r="N218" t="str">
        <f t="shared" si="374"/>
        <v/>
      </c>
      <c r="O218" t="str">
        <f t="shared" si="374"/>
        <v/>
      </c>
      <c r="P218" t="str">
        <f t="shared" si="374"/>
        <v/>
      </c>
      <c r="Q218" t="str">
        <f t="shared" si="374"/>
        <v/>
      </c>
      <c r="R218" t="str">
        <f t="shared" si="374"/>
        <v/>
      </c>
      <c r="S218" t="str">
        <f t="shared" si="374"/>
        <v/>
      </c>
      <c r="T218" t="str">
        <f t="shared" si="374"/>
        <v/>
      </c>
      <c r="U218" t="str">
        <f t="shared" si="374"/>
        <v/>
      </c>
      <c r="V218" t="str">
        <f t="shared" si="374"/>
        <v/>
      </c>
      <c r="W218" t="str">
        <f t="shared" si="374"/>
        <v/>
      </c>
      <c r="X218" t="str">
        <f t="shared" si="374"/>
        <v/>
      </c>
      <c r="Y218" t="str">
        <f t="shared" si="374"/>
        <v/>
      </c>
      <c r="AA218">
        <f t="shared" si="314"/>
        <v>42735</v>
      </c>
      <c r="AB218" t="e">
        <f t="shared" si="363"/>
        <v>#N/A</v>
      </c>
      <c r="AC218" t="e">
        <f t="shared" si="364"/>
        <v>#N/A</v>
      </c>
      <c r="AD218" t="e">
        <f t="shared" si="365"/>
        <v>#N/A</v>
      </c>
      <c r="AE218" t="e">
        <f t="shared" si="347"/>
        <v>#N/A</v>
      </c>
      <c r="AF218" t="e">
        <f t="shared" si="348"/>
        <v>#N/A</v>
      </c>
      <c r="AG218" t="e">
        <f t="shared" si="349"/>
        <v>#N/A</v>
      </c>
      <c r="AH218" t="e">
        <f t="shared" si="350"/>
        <v>#N/A</v>
      </c>
      <c r="AI218" t="e">
        <f t="shared" si="351"/>
        <v>#N/A</v>
      </c>
      <c r="AJ218" t="e">
        <f t="shared" si="352"/>
        <v>#N/A</v>
      </c>
      <c r="AK218" t="e">
        <f t="shared" si="353"/>
        <v>#N/A</v>
      </c>
      <c r="AL218" t="e">
        <f t="shared" si="354"/>
        <v>#N/A</v>
      </c>
      <c r="AM218" t="e">
        <f t="shared" si="355"/>
        <v>#N/A</v>
      </c>
      <c r="AN218" t="e">
        <f t="shared" si="356"/>
        <v>#N/A</v>
      </c>
      <c r="AO218" t="e">
        <f t="shared" si="357"/>
        <v>#N/A</v>
      </c>
      <c r="AP218" t="e">
        <f t="shared" si="358"/>
        <v>#N/A</v>
      </c>
      <c r="AQ218" t="e">
        <f t="shared" si="359"/>
        <v>#N/A</v>
      </c>
      <c r="AR218" t="e">
        <f t="shared" si="360"/>
        <v>#N/A</v>
      </c>
      <c r="AS218" t="e">
        <f t="shared" si="361"/>
        <v>#N/A</v>
      </c>
      <c r="AU218">
        <f t="shared" si="315"/>
        <v>2.75</v>
      </c>
      <c r="AV218" t="str">
        <f t="shared" si="316"/>
        <v/>
      </c>
      <c r="AW218" t="str">
        <f t="shared" si="317"/>
        <v/>
      </c>
      <c r="AX218" t="str">
        <f t="shared" si="318"/>
        <v/>
      </c>
      <c r="AY218" t="str">
        <f t="shared" si="319"/>
        <v/>
      </c>
      <c r="AZ218" t="str">
        <f t="shared" si="320"/>
        <v/>
      </c>
      <c r="BA218" t="str">
        <f t="shared" si="321"/>
        <v/>
      </c>
      <c r="BB218" t="str">
        <f t="shared" si="322"/>
        <v/>
      </c>
      <c r="BC218" t="str">
        <f t="shared" si="323"/>
        <v/>
      </c>
      <c r="BD218" t="str">
        <f t="shared" si="324"/>
        <v/>
      </c>
      <c r="BE218" t="str">
        <f t="shared" si="325"/>
        <v/>
      </c>
      <c r="BF218" t="str">
        <f t="shared" si="326"/>
        <v/>
      </c>
      <c r="BG218" t="str">
        <f t="shared" si="327"/>
        <v/>
      </c>
      <c r="BH218" t="str">
        <f t="shared" si="328"/>
        <v/>
      </c>
      <c r="BI218" t="str">
        <f t="shared" si="329"/>
        <v/>
      </c>
      <c r="BJ218" t="str">
        <f t="shared" si="330"/>
        <v/>
      </c>
      <c r="BK218" t="str">
        <f t="shared" si="331"/>
        <v/>
      </c>
      <c r="BL218" t="str">
        <f t="shared" si="332"/>
        <v/>
      </c>
      <c r="BM218" t="str">
        <f t="shared" si="333"/>
        <v/>
      </c>
      <c r="BP218"/>
      <c r="BR218"/>
    </row>
    <row r="219" spans="1:70" x14ac:dyDescent="0.25">
      <c r="A219" s="1">
        <v>41808</v>
      </c>
      <c r="B219">
        <v>3</v>
      </c>
      <c r="C219" s="4">
        <v>42735</v>
      </c>
      <c r="D219">
        <v>2</v>
      </c>
      <c r="E219">
        <f t="shared" si="311"/>
        <v>0.375</v>
      </c>
      <c r="F219" s="4"/>
      <c r="G219">
        <v>1</v>
      </c>
      <c r="H219">
        <f t="shared" ref="H219:Y219" si="375">IF($D219&gt;G219,G219+1,"")</f>
        <v>2</v>
      </c>
      <c r="I219" t="str">
        <f t="shared" si="375"/>
        <v/>
      </c>
      <c r="J219" t="str">
        <f t="shared" si="375"/>
        <v/>
      </c>
      <c r="K219" t="str">
        <f t="shared" si="375"/>
        <v/>
      </c>
      <c r="L219" t="str">
        <f t="shared" si="375"/>
        <v/>
      </c>
      <c r="M219" t="str">
        <f t="shared" si="375"/>
        <v/>
      </c>
      <c r="N219" t="str">
        <f t="shared" si="375"/>
        <v/>
      </c>
      <c r="O219" t="str">
        <f t="shared" si="375"/>
        <v/>
      </c>
      <c r="P219" t="str">
        <f t="shared" si="375"/>
        <v/>
      </c>
      <c r="Q219" t="str">
        <f t="shared" si="375"/>
        <v/>
      </c>
      <c r="R219" t="str">
        <f t="shared" si="375"/>
        <v/>
      </c>
      <c r="S219" t="str">
        <f t="shared" si="375"/>
        <v/>
      </c>
      <c r="T219" t="str">
        <f t="shared" si="375"/>
        <v/>
      </c>
      <c r="U219" t="str">
        <f t="shared" si="375"/>
        <v/>
      </c>
      <c r="V219" t="str">
        <f t="shared" si="375"/>
        <v/>
      </c>
      <c r="W219" t="str">
        <f t="shared" si="375"/>
        <v/>
      </c>
      <c r="X219" t="str">
        <f t="shared" si="375"/>
        <v/>
      </c>
      <c r="Y219" t="str">
        <f t="shared" si="375"/>
        <v/>
      </c>
      <c r="AA219">
        <f t="shared" si="314"/>
        <v>42724.962500000001</v>
      </c>
      <c r="AB219">
        <f t="shared" si="363"/>
        <v>42745.037500000006</v>
      </c>
      <c r="AC219" t="e">
        <f t="shared" si="364"/>
        <v>#N/A</v>
      </c>
      <c r="AD219" t="e">
        <f t="shared" si="365"/>
        <v>#N/A</v>
      </c>
      <c r="AE219" t="e">
        <f t="shared" si="347"/>
        <v>#N/A</v>
      </c>
      <c r="AF219" t="e">
        <f t="shared" si="348"/>
        <v>#N/A</v>
      </c>
      <c r="AG219" t="e">
        <f t="shared" si="349"/>
        <v>#N/A</v>
      </c>
      <c r="AH219" t="e">
        <f t="shared" si="350"/>
        <v>#N/A</v>
      </c>
      <c r="AI219" t="e">
        <f t="shared" si="351"/>
        <v>#N/A</v>
      </c>
      <c r="AJ219" t="e">
        <f t="shared" si="352"/>
        <v>#N/A</v>
      </c>
      <c r="AK219" t="e">
        <f t="shared" si="353"/>
        <v>#N/A</v>
      </c>
      <c r="AL219" t="e">
        <f t="shared" si="354"/>
        <v>#N/A</v>
      </c>
      <c r="AM219" t="e">
        <f t="shared" si="355"/>
        <v>#N/A</v>
      </c>
      <c r="AN219" t="e">
        <f t="shared" si="356"/>
        <v>#N/A</v>
      </c>
      <c r="AO219" t="e">
        <f t="shared" si="357"/>
        <v>#N/A</v>
      </c>
      <c r="AP219" t="e">
        <f t="shared" si="358"/>
        <v>#N/A</v>
      </c>
      <c r="AQ219" t="e">
        <f t="shared" si="359"/>
        <v>#N/A</v>
      </c>
      <c r="AR219" t="e">
        <f t="shared" si="360"/>
        <v>#N/A</v>
      </c>
      <c r="AS219" t="e">
        <f t="shared" si="361"/>
        <v>#N/A</v>
      </c>
      <c r="AU219">
        <f t="shared" si="315"/>
        <v>3</v>
      </c>
      <c r="AV219">
        <f t="shared" si="316"/>
        <v>3</v>
      </c>
      <c r="AW219" t="str">
        <f t="shared" si="317"/>
        <v/>
      </c>
      <c r="AX219" t="str">
        <f t="shared" si="318"/>
        <v/>
      </c>
      <c r="AY219" t="str">
        <f t="shared" si="319"/>
        <v/>
      </c>
      <c r="AZ219" t="str">
        <f t="shared" si="320"/>
        <v/>
      </c>
      <c r="BA219" t="str">
        <f t="shared" si="321"/>
        <v/>
      </c>
      <c r="BB219" t="str">
        <f t="shared" si="322"/>
        <v/>
      </c>
      <c r="BC219" t="str">
        <f t="shared" si="323"/>
        <v/>
      </c>
      <c r="BD219" t="str">
        <f t="shared" si="324"/>
        <v/>
      </c>
      <c r="BE219" t="str">
        <f t="shared" si="325"/>
        <v/>
      </c>
      <c r="BF219" t="str">
        <f t="shared" si="326"/>
        <v/>
      </c>
      <c r="BG219" t="str">
        <f t="shared" si="327"/>
        <v/>
      </c>
      <c r="BH219" t="str">
        <f t="shared" si="328"/>
        <v/>
      </c>
      <c r="BI219" t="str">
        <f t="shared" si="329"/>
        <v/>
      </c>
      <c r="BJ219" t="str">
        <f t="shared" si="330"/>
        <v/>
      </c>
      <c r="BK219" t="str">
        <f t="shared" si="331"/>
        <v/>
      </c>
      <c r="BL219" t="str">
        <f t="shared" si="332"/>
        <v/>
      </c>
      <c r="BM219" t="str">
        <f t="shared" si="333"/>
        <v/>
      </c>
      <c r="BP219"/>
      <c r="BR219"/>
    </row>
    <row r="220" spans="1:70" x14ac:dyDescent="0.25">
      <c r="A220" s="1">
        <v>41808</v>
      </c>
      <c r="B220">
        <v>3.5</v>
      </c>
      <c r="C220" s="4">
        <v>42735</v>
      </c>
      <c r="D220">
        <v>1</v>
      </c>
      <c r="E220">
        <f t="shared" si="311"/>
        <v>0.21875</v>
      </c>
      <c r="F220" s="4"/>
      <c r="G220">
        <v>1</v>
      </c>
      <c r="H220" t="str">
        <f t="shared" ref="H220:Y220" si="376">IF($D220&gt;G220,G220+1,"")</f>
        <v/>
      </c>
      <c r="I220" t="str">
        <f t="shared" si="376"/>
        <v/>
      </c>
      <c r="J220" t="str">
        <f t="shared" si="376"/>
        <v/>
      </c>
      <c r="K220" t="str">
        <f t="shared" si="376"/>
        <v/>
      </c>
      <c r="L220" t="str">
        <f t="shared" si="376"/>
        <v/>
      </c>
      <c r="M220" t="str">
        <f t="shared" si="376"/>
        <v/>
      </c>
      <c r="N220" t="str">
        <f t="shared" si="376"/>
        <v/>
      </c>
      <c r="O220" t="str">
        <f t="shared" si="376"/>
        <v/>
      </c>
      <c r="P220" t="str">
        <f t="shared" si="376"/>
        <v/>
      </c>
      <c r="Q220" t="str">
        <f t="shared" si="376"/>
        <v/>
      </c>
      <c r="R220" t="str">
        <f t="shared" si="376"/>
        <v/>
      </c>
      <c r="S220" t="str">
        <f t="shared" si="376"/>
        <v/>
      </c>
      <c r="T220" t="str">
        <f t="shared" si="376"/>
        <v/>
      </c>
      <c r="U220" t="str">
        <f t="shared" si="376"/>
        <v/>
      </c>
      <c r="V220" t="str">
        <f t="shared" si="376"/>
        <v/>
      </c>
      <c r="W220" t="str">
        <f t="shared" si="376"/>
        <v/>
      </c>
      <c r="X220" t="str">
        <f t="shared" si="376"/>
        <v/>
      </c>
      <c r="Y220" t="str">
        <f t="shared" si="376"/>
        <v/>
      </c>
      <c r="AA220">
        <f t="shared" si="314"/>
        <v>42735</v>
      </c>
      <c r="AB220" t="e">
        <f t="shared" si="363"/>
        <v>#N/A</v>
      </c>
      <c r="AC220" t="e">
        <f t="shared" si="364"/>
        <v>#N/A</v>
      </c>
      <c r="AD220" t="e">
        <f t="shared" si="365"/>
        <v>#N/A</v>
      </c>
      <c r="AE220" t="e">
        <f t="shared" si="347"/>
        <v>#N/A</v>
      </c>
      <c r="AF220" t="e">
        <f t="shared" si="348"/>
        <v>#N/A</v>
      </c>
      <c r="AG220" t="e">
        <f t="shared" si="349"/>
        <v>#N/A</v>
      </c>
      <c r="AH220" t="e">
        <f t="shared" si="350"/>
        <v>#N/A</v>
      </c>
      <c r="AI220" t="e">
        <f t="shared" si="351"/>
        <v>#N/A</v>
      </c>
      <c r="AJ220" t="e">
        <f t="shared" si="352"/>
        <v>#N/A</v>
      </c>
      <c r="AK220" t="e">
        <f t="shared" si="353"/>
        <v>#N/A</v>
      </c>
      <c r="AL220" t="e">
        <f t="shared" si="354"/>
        <v>#N/A</v>
      </c>
      <c r="AM220" t="e">
        <f t="shared" si="355"/>
        <v>#N/A</v>
      </c>
      <c r="AN220" t="e">
        <f t="shared" si="356"/>
        <v>#N/A</v>
      </c>
      <c r="AO220" t="e">
        <f t="shared" si="357"/>
        <v>#N/A</v>
      </c>
      <c r="AP220" t="e">
        <f t="shared" si="358"/>
        <v>#N/A</v>
      </c>
      <c r="AQ220" t="e">
        <f t="shared" si="359"/>
        <v>#N/A</v>
      </c>
      <c r="AR220" t="e">
        <f t="shared" si="360"/>
        <v>#N/A</v>
      </c>
      <c r="AS220" t="e">
        <f t="shared" si="361"/>
        <v>#N/A</v>
      </c>
      <c r="AU220">
        <f t="shared" si="315"/>
        <v>3.5</v>
      </c>
      <c r="AV220" t="str">
        <f t="shared" si="316"/>
        <v/>
      </c>
      <c r="AW220" t="str">
        <f t="shared" si="317"/>
        <v/>
      </c>
      <c r="AX220" t="str">
        <f t="shared" si="318"/>
        <v/>
      </c>
      <c r="AY220" t="str">
        <f t="shared" si="319"/>
        <v/>
      </c>
      <c r="AZ220" t="str">
        <f t="shared" si="320"/>
        <v/>
      </c>
      <c r="BA220" t="str">
        <f t="shared" si="321"/>
        <v/>
      </c>
      <c r="BB220" t="str">
        <f t="shared" si="322"/>
        <v/>
      </c>
      <c r="BC220" t="str">
        <f t="shared" si="323"/>
        <v/>
      </c>
      <c r="BD220" t="str">
        <f t="shared" si="324"/>
        <v/>
      </c>
      <c r="BE220" t="str">
        <f t="shared" si="325"/>
        <v/>
      </c>
      <c r="BF220" t="str">
        <f t="shared" si="326"/>
        <v/>
      </c>
      <c r="BG220" t="str">
        <f t="shared" si="327"/>
        <v/>
      </c>
      <c r="BH220" t="str">
        <f t="shared" si="328"/>
        <v/>
      </c>
      <c r="BI220" t="str">
        <f t="shared" si="329"/>
        <v/>
      </c>
      <c r="BJ220" t="str">
        <f t="shared" si="330"/>
        <v/>
      </c>
      <c r="BK220" t="str">
        <f t="shared" si="331"/>
        <v/>
      </c>
      <c r="BL220" t="str">
        <f t="shared" si="332"/>
        <v/>
      </c>
      <c r="BM220" t="str">
        <f t="shared" si="333"/>
        <v/>
      </c>
      <c r="BP220"/>
      <c r="BR220"/>
    </row>
    <row r="221" spans="1:70" x14ac:dyDescent="0.25">
      <c r="A221" s="1">
        <v>41808</v>
      </c>
      <c r="B221">
        <v>3.75</v>
      </c>
      <c r="C221" s="4">
        <v>42735</v>
      </c>
      <c r="D221">
        <v>1</v>
      </c>
      <c r="E221">
        <f t="shared" si="311"/>
        <v>0.234375</v>
      </c>
      <c r="F221" s="4"/>
      <c r="G221">
        <v>1</v>
      </c>
      <c r="H221" t="str">
        <f t="shared" ref="H221:Y221" si="377">IF($D221&gt;G221,G221+1,"")</f>
        <v/>
      </c>
      <c r="I221" t="str">
        <f t="shared" si="377"/>
        <v/>
      </c>
      <c r="J221" t="str">
        <f t="shared" si="377"/>
        <v/>
      </c>
      <c r="K221" t="str">
        <f t="shared" si="377"/>
        <v/>
      </c>
      <c r="L221" t="str">
        <f t="shared" si="377"/>
        <v/>
      </c>
      <c r="M221" t="str">
        <f t="shared" si="377"/>
        <v/>
      </c>
      <c r="N221" t="str">
        <f t="shared" si="377"/>
        <v/>
      </c>
      <c r="O221" t="str">
        <f t="shared" si="377"/>
        <v/>
      </c>
      <c r="P221" t="str">
        <f t="shared" si="377"/>
        <v/>
      </c>
      <c r="Q221" t="str">
        <f t="shared" si="377"/>
        <v/>
      </c>
      <c r="R221" t="str">
        <f t="shared" si="377"/>
        <v/>
      </c>
      <c r="S221" t="str">
        <f t="shared" si="377"/>
        <v/>
      </c>
      <c r="T221" t="str">
        <f t="shared" si="377"/>
        <v/>
      </c>
      <c r="U221" t="str">
        <f t="shared" si="377"/>
        <v/>
      </c>
      <c r="V221" t="str">
        <f t="shared" si="377"/>
        <v/>
      </c>
      <c r="W221" t="str">
        <f t="shared" si="377"/>
        <v/>
      </c>
      <c r="X221" t="str">
        <f t="shared" si="377"/>
        <v/>
      </c>
      <c r="Y221" t="str">
        <f t="shared" si="377"/>
        <v/>
      </c>
      <c r="AA221">
        <f t="shared" si="314"/>
        <v>42735</v>
      </c>
      <c r="AB221" t="e">
        <f t="shared" si="363"/>
        <v>#N/A</v>
      </c>
      <c r="AC221" t="e">
        <f t="shared" si="364"/>
        <v>#N/A</v>
      </c>
      <c r="AD221" t="e">
        <f t="shared" si="365"/>
        <v>#N/A</v>
      </c>
      <c r="AE221" t="e">
        <f t="shared" si="347"/>
        <v>#N/A</v>
      </c>
      <c r="AF221" t="e">
        <f t="shared" si="348"/>
        <v>#N/A</v>
      </c>
      <c r="AG221" t="e">
        <f t="shared" si="349"/>
        <v>#N/A</v>
      </c>
      <c r="AH221" t="e">
        <f t="shared" si="350"/>
        <v>#N/A</v>
      </c>
      <c r="AI221" t="e">
        <f t="shared" si="351"/>
        <v>#N/A</v>
      </c>
      <c r="AJ221" t="e">
        <f t="shared" si="352"/>
        <v>#N/A</v>
      </c>
      <c r="AK221" t="e">
        <f t="shared" si="353"/>
        <v>#N/A</v>
      </c>
      <c r="AL221" t="e">
        <f t="shared" si="354"/>
        <v>#N/A</v>
      </c>
      <c r="AM221" t="e">
        <f t="shared" si="355"/>
        <v>#N/A</v>
      </c>
      <c r="AN221" t="e">
        <f t="shared" si="356"/>
        <v>#N/A</v>
      </c>
      <c r="AO221" t="e">
        <f t="shared" si="357"/>
        <v>#N/A</v>
      </c>
      <c r="AP221" t="e">
        <f t="shared" si="358"/>
        <v>#N/A</v>
      </c>
      <c r="AQ221" t="e">
        <f t="shared" si="359"/>
        <v>#N/A</v>
      </c>
      <c r="AR221" t="e">
        <f t="shared" si="360"/>
        <v>#N/A</v>
      </c>
      <c r="AS221" t="e">
        <f t="shared" si="361"/>
        <v>#N/A</v>
      </c>
      <c r="AU221">
        <f t="shared" si="315"/>
        <v>3.75</v>
      </c>
      <c r="AV221" t="str">
        <f t="shared" si="316"/>
        <v/>
      </c>
      <c r="AW221" t="str">
        <f t="shared" si="317"/>
        <v/>
      </c>
      <c r="AX221" t="str">
        <f t="shared" si="318"/>
        <v/>
      </c>
      <c r="AY221" t="str">
        <f t="shared" si="319"/>
        <v/>
      </c>
      <c r="AZ221" t="str">
        <f t="shared" si="320"/>
        <v/>
      </c>
      <c r="BA221" t="str">
        <f t="shared" si="321"/>
        <v/>
      </c>
      <c r="BB221" t="str">
        <f t="shared" si="322"/>
        <v/>
      </c>
      <c r="BC221" t="str">
        <f t="shared" si="323"/>
        <v/>
      </c>
      <c r="BD221" t="str">
        <f t="shared" si="324"/>
        <v/>
      </c>
      <c r="BE221" t="str">
        <f t="shared" si="325"/>
        <v/>
      </c>
      <c r="BF221" t="str">
        <f t="shared" si="326"/>
        <v/>
      </c>
      <c r="BG221" t="str">
        <f t="shared" si="327"/>
        <v/>
      </c>
      <c r="BH221" t="str">
        <f t="shared" si="328"/>
        <v/>
      </c>
      <c r="BI221" t="str">
        <f t="shared" si="329"/>
        <v/>
      </c>
      <c r="BJ221" t="str">
        <f t="shared" si="330"/>
        <v/>
      </c>
      <c r="BK221" t="str">
        <f t="shared" si="331"/>
        <v/>
      </c>
      <c r="BL221" t="str">
        <f t="shared" si="332"/>
        <v/>
      </c>
      <c r="BM221" t="str">
        <f t="shared" si="333"/>
        <v/>
      </c>
      <c r="BP221"/>
      <c r="BR221"/>
    </row>
    <row r="222" spans="1:70" x14ac:dyDescent="0.25">
      <c r="A222" s="1">
        <v>41808</v>
      </c>
      <c r="B222">
        <v>4</v>
      </c>
      <c r="C222" s="4">
        <v>42735</v>
      </c>
      <c r="D222">
        <v>1</v>
      </c>
      <c r="E222">
        <f t="shared" si="311"/>
        <v>0.25</v>
      </c>
      <c r="F222" s="4"/>
      <c r="G222">
        <v>1</v>
      </c>
      <c r="H222" t="str">
        <f t="shared" ref="H222:Y222" si="378">IF($D222&gt;G222,G222+1,"")</f>
        <v/>
      </c>
      <c r="I222" t="str">
        <f t="shared" si="378"/>
        <v/>
      </c>
      <c r="J222" t="str">
        <f t="shared" si="378"/>
        <v/>
      </c>
      <c r="K222" t="str">
        <f t="shared" si="378"/>
        <v/>
      </c>
      <c r="L222" t="str">
        <f t="shared" si="378"/>
        <v/>
      </c>
      <c r="M222" t="str">
        <f t="shared" si="378"/>
        <v/>
      </c>
      <c r="N222" t="str">
        <f t="shared" si="378"/>
        <v/>
      </c>
      <c r="O222" t="str">
        <f t="shared" si="378"/>
        <v/>
      </c>
      <c r="P222" t="str">
        <f t="shared" si="378"/>
        <v/>
      </c>
      <c r="Q222" t="str">
        <f t="shared" si="378"/>
        <v/>
      </c>
      <c r="R222" t="str">
        <f t="shared" si="378"/>
        <v/>
      </c>
      <c r="S222" t="str">
        <f t="shared" si="378"/>
        <v/>
      </c>
      <c r="T222" t="str">
        <f t="shared" si="378"/>
        <v/>
      </c>
      <c r="U222" t="str">
        <f t="shared" si="378"/>
        <v/>
      </c>
      <c r="V222" t="str">
        <f t="shared" si="378"/>
        <v/>
      </c>
      <c r="W222" t="str">
        <f t="shared" si="378"/>
        <v/>
      </c>
      <c r="X222" t="str">
        <f t="shared" si="378"/>
        <v/>
      </c>
      <c r="Y222" t="str">
        <f t="shared" si="378"/>
        <v/>
      </c>
      <c r="AA222">
        <f t="shared" si="314"/>
        <v>42735</v>
      </c>
      <c r="AB222" t="e">
        <f t="shared" si="363"/>
        <v>#N/A</v>
      </c>
      <c r="AC222" t="e">
        <f t="shared" si="364"/>
        <v>#N/A</v>
      </c>
      <c r="AD222" t="e">
        <f t="shared" si="365"/>
        <v>#N/A</v>
      </c>
      <c r="AE222" t="e">
        <f t="shared" si="347"/>
        <v>#N/A</v>
      </c>
      <c r="AF222" t="e">
        <f t="shared" si="348"/>
        <v>#N/A</v>
      </c>
      <c r="AG222" t="e">
        <f t="shared" si="349"/>
        <v>#N/A</v>
      </c>
      <c r="AH222" t="e">
        <f t="shared" si="350"/>
        <v>#N/A</v>
      </c>
      <c r="AI222" t="e">
        <f t="shared" si="351"/>
        <v>#N/A</v>
      </c>
      <c r="AJ222" t="e">
        <f t="shared" si="352"/>
        <v>#N/A</v>
      </c>
      <c r="AK222" t="e">
        <f t="shared" si="353"/>
        <v>#N/A</v>
      </c>
      <c r="AL222" t="e">
        <f t="shared" si="354"/>
        <v>#N/A</v>
      </c>
      <c r="AM222" t="e">
        <f t="shared" si="355"/>
        <v>#N/A</v>
      </c>
      <c r="AN222" t="e">
        <f t="shared" si="356"/>
        <v>#N/A</v>
      </c>
      <c r="AO222" t="e">
        <f t="shared" si="357"/>
        <v>#N/A</v>
      </c>
      <c r="AP222" t="e">
        <f t="shared" si="358"/>
        <v>#N/A</v>
      </c>
      <c r="AQ222" t="e">
        <f t="shared" si="359"/>
        <v>#N/A</v>
      </c>
      <c r="AR222" t="e">
        <f t="shared" si="360"/>
        <v>#N/A</v>
      </c>
      <c r="AS222" t="e">
        <f t="shared" si="361"/>
        <v>#N/A</v>
      </c>
      <c r="AU222">
        <f t="shared" si="315"/>
        <v>4</v>
      </c>
      <c r="AV222" t="str">
        <f t="shared" si="316"/>
        <v/>
      </c>
      <c r="AW222" t="str">
        <f t="shared" si="317"/>
        <v/>
      </c>
      <c r="AX222" t="str">
        <f t="shared" si="318"/>
        <v/>
      </c>
      <c r="AY222" t="str">
        <f t="shared" si="319"/>
        <v/>
      </c>
      <c r="AZ222" t="str">
        <f t="shared" si="320"/>
        <v/>
      </c>
      <c r="BA222" t="str">
        <f t="shared" si="321"/>
        <v/>
      </c>
      <c r="BB222" t="str">
        <f t="shared" si="322"/>
        <v/>
      </c>
      <c r="BC222" t="str">
        <f t="shared" si="323"/>
        <v/>
      </c>
      <c r="BD222" t="str">
        <f t="shared" si="324"/>
        <v/>
      </c>
      <c r="BE222" t="str">
        <f t="shared" si="325"/>
        <v/>
      </c>
      <c r="BF222" t="str">
        <f t="shared" si="326"/>
        <v/>
      </c>
      <c r="BG222" t="str">
        <f t="shared" si="327"/>
        <v/>
      </c>
      <c r="BH222" t="str">
        <f t="shared" si="328"/>
        <v/>
      </c>
      <c r="BI222" t="str">
        <f t="shared" si="329"/>
        <v/>
      </c>
      <c r="BJ222" t="str">
        <f t="shared" si="330"/>
        <v/>
      </c>
      <c r="BK222" t="str">
        <f t="shared" si="331"/>
        <v/>
      </c>
      <c r="BL222" t="str">
        <f t="shared" si="332"/>
        <v/>
      </c>
      <c r="BM222" t="str">
        <f t="shared" si="333"/>
        <v/>
      </c>
      <c r="BP222"/>
      <c r="BR222"/>
    </row>
    <row r="223" spans="1:70" x14ac:dyDescent="0.25">
      <c r="A223" s="1">
        <v>41808</v>
      </c>
      <c r="B223">
        <v>4.25</v>
      </c>
      <c r="C223" s="4">
        <v>42735</v>
      </c>
      <c r="D223">
        <v>1</v>
      </c>
      <c r="E223">
        <f t="shared" si="311"/>
        <v>0.265625</v>
      </c>
      <c r="F223" s="4"/>
      <c r="G223">
        <v>1</v>
      </c>
      <c r="H223" t="str">
        <f t="shared" ref="H223:Y223" si="379">IF($D223&gt;G223,G223+1,"")</f>
        <v/>
      </c>
      <c r="I223" t="str">
        <f t="shared" si="379"/>
        <v/>
      </c>
      <c r="J223" t="str">
        <f t="shared" si="379"/>
        <v/>
      </c>
      <c r="K223" t="str">
        <f t="shared" si="379"/>
        <v/>
      </c>
      <c r="L223" t="str">
        <f t="shared" si="379"/>
        <v/>
      </c>
      <c r="M223" t="str">
        <f t="shared" si="379"/>
        <v/>
      </c>
      <c r="N223" t="str">
        <f t="shared" si="379"/>
        <v/>
      </c>
      <c r="O223" t="str">
        <f t="shared" si="379"/>
        <v/>
      </c>
      <c r="P223" t="str">
        <f t="shared" si="379"/>
        <v/>
      </c>
      <c r="Q223" t="str">
        <f t="shared" si="379"/>
        <v/>
      </c>
      <c r="R223" t="str">
        <f t="shared" si="379"/>
        <v/>
      </c>
      <c r="S223" t="str">
        <f t="shared" si="379"/>
        <v/>
      </c>
      <c r="T223" t="str">
        <f t="shared" si="379"/>
        <v/>
      </c>
      <c r="U223" t="str">
        <f t="shared" si="379"/>
        <v/>
      </c>
      <c r="V223" t="str">
        <f t="shared" si="379"/>
        <v/>
      </c>
      <c r="W223" t="str">
        <f t="shared" si="379"/>
        <v/>
      </c>
      <c r="X223" t="str">
        <f t="shared" si="379"/>
        <v/>
      </c>
      <c r="Y223" t="str">
        <f t="shared" si="379"/>
        <v/>
      </c>
      <c r="AA223">
        <f t="shared" si="314"/>
        <v>42735</v>
      </c>
      <c r="AB223" t="e">
        <f t="shared" si="363"/>
        <v>#N/A</v>
      </c>
      <c r="AC223" t="e">
        <f t="shared" si="364"/>
        <v>#N/A</v>
      </c>
      <c r="AD223" t="e">
        <f t="shared" si="365"/>
        <v>#N/A</v>
      </c>
      <c r="AE223" t="e">
        <f t="shared" si="347"/>
        <v>#N/A</v>
      </c>
      <c r="AF223" t="e">
        <f t="shared" si="348"/>
        <v>#N/A</v>
      </c>
      <c r="AG223" t="e">
        <f t="shared" si="349"/>
        <v>#N/A</v>
      </c>
      <c r="AH223" t="e">
        <f t="shared" si="350"/>
        <v>#N/A</v>
      </c>
      <c r="AI223" t="e">
        <f t="shared" si="351"/>
        <v>#N/A</v>
      </c>
      <c r="AJ223" t="e">
        <f t="shared" si="352"/>
        <v>#N/A</v>
      </c>
      <c r="AK223" t="e">
        <f t="shared" si="353"/>
        <v>#N/A</v>
      </c>
      <c r="AL223" t="e">
        <f t="shared" si="354"/>
        <v>#N/A</v>
      </c>
      <c r="AM223" t="e">
        <f t="shared" si="355"/>
        <v>#N/A</v>
      </c>
      <c r="AN223" t="e">
        <f t="shared" si="356"/>
        <v>#N/A</v>
      </c>
      <c r="AO223" t="e">
        <f t="shared" si="357"/>
        <v>#N/A</v>
      </c>
      <c r="AP223" t="e">
        <f t="shared" si="358"/>
        <v>#N/A</v>
      </c>
      <c r="AQ223" t="e">
        <f t="shared" si="359"/>
        <v>#N/A</v>
      </c>
      <c r="AR223" t="e">
        <f t="shared" si="360"/>
        <v>#N/A</v>
      </c>
      <c r="AS223" t="e">
        <f t="shared" si="361"/>
        <v>#N/A</v>
      </c>
      <c r="AU223">
        <f t="shared" si="315"/>
        <v>4.25</v>
      </c>
      <c r="AV223" t="str">
        <f t="shared" si="316"/>
        <v/>
      </c>
      <c r="AW223" t="str">
        <f t="shared" si="317"/>
        <v/>
      </c>
      <c r="AX223" t="str">
        <f t="shared" si="318"/>
        <v/>
      </c>
      <c r="AY223" t="str">
        <f t="shared" si="319"/>
        <v/>
      </c>
      <c r="AZ223" t="str">
        <f t="shared" si="320"/>
        <v/>
      </c>
      <c r="BA223" t="str">
        <f t="shared" si="321"/>
        <v/>
      </c>
      <c r="BB223" t="str">
        <f t="shared" si="322"/>
        <v/>
      </c>
      <c r="BC223" t="str">
        <f t="shared" si="323"/>
        <v/>
      </c>
      <c r="BD223" t="str">
        <f t="shared" si="324"/>
        <v/>
      </c>
      <c r="BE223" t="str">
        <f t="shared" si="325"/>
        <v/>
      </c>
      <c r="BF223" t="str">
        <f t="shared" si="326"/>
        <v/>
      </c>
      <c r="BG223" t="str">
        <f t="shared" si="327"/>
        <v/>
      </c>
      <c r="BH223" t="str">
        <f t="shared" si="328"/>
        <v/>
      </c>
      <c r="BI223" t="str">
        <f t="shared" si="329"/>
        <v/>
      </c>
      <c r="BJ223" t="str">
        <f t="shared" si="330"/>
        <v/>
      </c>
      <c r="BK223" t="str">
        <f t="shared" si="331"/>
        <v/>
      </c>
      <c r="BL223" t="str">
        <f t="shared" si="332"/>
        <v/>
      </c>
      <c r="BM223" t="str">
        <f t="shared" si="333"/>
        <v/>
      </c>
      <c r="BP223"/>
      <c r="BR223"/>
    </row>
    <row r="224" spans="1:70" x14ac:dyDescent="0.25">
      <c r="A224" s="1">
        <v>41808</v>
      </c>
      <c r="B224">
        <v>3.25</v>
      </c>
      <c r="C224" s="4">
        <v>43100</v>
      </c>
      <c r="D224">
        <v>1</v>
      </c>
      <c r="E224">
        <f t="shared" si="311"/>
        <v>0.203125</v>
      </c>
      <c r="F224" s="4"/>
      <c r="G224">
        <v>1</v>
      </c>
      <c r="H224" t="str">
        <f t="shared" ref="H224:Y224" si="380">IF($D224&gt;G224,G224+1,"")</f>
        <v/>
      </c>
      <c r="I224" t="str">
        <f t="shared" si="380"/>
        <v/>
      </c>
      <c r="J224" t="str">
        <f t="shared" si="380"/>
        <v/>
      </c>
      <c r="K224" t="str">
        <f t="shared" si="380"/>
        <v/>
      </c>
      <c r="L224" t="str">
        <f t="shared" si="380"/>
        <v/>
      </c>
      <c r="M224" t="str">
        <f t="shared" si="380"/>
        <v/>
      </c>
      <c r="N224" t="str">
        <f t="shared" si="380"/>
        <v/>
      </c>
      <c r="O224" t="str">
        <f t="shared" si="380"/>
        <v/>
      </c>
      <c r="P224" t="str">
        <f t="shared" si="380"/>
        <v/>
      </c>
      <c r="Q224" t="str">
        <f t="shared" si="380"/>
        <v/>
      </c>
      <c r="R224" t="str">
        <f t="shared" si="380"/>
        <v/>
      </c>
      <c r="S224" t="str">
        <f t="shared" si="380"/>
        <v/>
      </c>
      <c r="T224" t="str">
        <f t="shared" si="380"/>
        <v/>
      </c>
      <c r="U224" t="str">
        <f t="shared" si="380"/>
        <v/>
      </c>
      <c r="V224" t="str">
        <f t="shared" si="380"/>
        <v/>
      </c>
      <c r="W224" t="str">
        <f t="shared" si="380"/>
        <v/>
      </c>
      <c r="X224" t="str">
        <f t="shared" si="380"/>
        <v/>
      </c>
      <c r="Y224" t="str">
        <f t="shared" si="380"/>
        <v/>
      </c>
      <c r="AA224">
        <f t="shared" si="314"/>
        <v>43100</v>
      </c>
      <c r="AB224" t="e">
        <f t="shared" si="363"/>
        <v>#N/A</v>
      </c>
      <c r="AC224" t="e">
        <f t="shared" si="364"/>
        <v>#N/A</v>
      </c>
      <c r="AD224" t="e">
        <f t="shared" si="365"/>
        <v>#N/A</v>
      </c>
      <c r="AE224" t="e">
        <f t="shared" si="347"/>
        <v>#N/A</v>
      </c>
      <c r="AF224" t="e">
        <f t="shared" si="348"/>
        <v>#N/A</v>
      </c>
      <c r="AG224" t="e">
        <f t="shared" si="349"/>
        <v>#N/A</v>
      </c>
      <c r="AH224" t="e">
        <f t="shared" si="350"/>
        <v>#N/A</v>
      </c>
      <c r="AI224" t="e">
        <f t="shared" si="351"/>
        <v>#N/A</v>
      </c>
      <c r="AJ224" t="e">
        <f t="shared" si="352"/>
        <v>#N/A</v>
      </c>
      <c r="AK224" t="e">
        <f t="shared" si="353"/>
        <v>#N/A</v>
      </c>
      <c r="AL224" t="e">
        <f t="shared" si="354"/>
        <v>#N/A</v>
      </c>
      <c r="AM224" t="e">
        <f t="shared" si="355"/>
        <v>#N/A</v>
      </c>
      <c r="AN224" t="e">
        <f t="shared" si="356"/>
        <v>#N/A</v>
      </c>
      <c r="AO224" t="e">
        <f t="shared" si="357"/>
        <v>#N/A</v>
      </c>
      <c r="AP224" t="e">
        <f t="shared" si="358"/>
        <v>#N/A</v>
      </c>
      <c r="AQ224" t="e">
        <f t="shared" si="359"/>
        <v>#N/A</v>
      </c>
      <c r="AR224" t="e">
        <f t="shared" si="360"/>
        <v>#N/A</v>
      </c>
      <c r="AS224" t="e">
        <f t="shared" si="361"/>
        <v>#N/A</v>
      </c>
      <c r="AU224">
        <f t="shared" si="315"/>
        <v>3.25</v>
      </c>
      <c r="AV224" t="str">
        <f t="shared" si="316"/>
        <v/>
      </c>
      <c r="AW224" t="str">
        <f t="shared" si="317"/>
        <v/>
      </c>
      <c r="AX224" t="str">
        <f t="shared" si="318"/>
        <v/>
      </c>
      <c r="AY224" t="str">
        <f t="shared" si="319"/>
        <v/>
      </c>
      <c r="AZ224" t="str">
        <f t="shared" si="320"/>
        <v/>
      </c>
      <c r="BA224" t="str">
        <f t="shared" si="321"/>
        <v/>
      </c>
      <c r="BB224" t="str">
        <f t="shared" si="322"/>
        <v/>
      </c>
      <c r="BC224" t="str">
        <f t="shared" si="323"/>
        <v/>
      </c>
      <c r="BD224" t="str">
        <f t="shared" si="324"/>
        <v/>
      </c>
      <c r="BE224" t="str">
        <f t="shared" si="325"/>
        <v/>
      </c>
      <c r="BF224" t="str">
        <f t="shared" si="326"/>
        <v/>
      </c>
      <c r="BG224" t="str">
        <f t="shared" si="327"/>
        <v/>
      </c>
      <c r="BH224" t="str">
        <f t="shared" si="328"/>
        <v/>
      </c>
      <c r="BI224" t="str">
        <f t="shared" si="329"/>
        <v/>
      </c>
      <c r="BJ224" t="str">
        <f t="shared" si="330"/>
        <v/>
      </c>
      <c r="BK224" t="str">
        <f t="shared" si="331"/>
        <v/>
      </c>
      <c r="BL224" t="str">
        <f t="shared" si="332"/>
        <v/>
      </c>
      <c r="BM224" t="str">
        <f t="shared" si="333"/>
        <v/>
      </c>
      <c r="BP224"/>
      <c r="BR224"/>
    </row>
    <row r="225" spans="1:70" x14ac:dyDescent="0.25">
      <c r="A225" s="1">
        <v>41808</v>
      </c>
      <c r="B225">
        <v>3.5</v>
      </c>
      <c r="C225" s="4">
        <v>43100</v>
      </c>
      <c r="D225">
        <v>3</v>
      </c>
      <c r="E225">
        <f t="shared" si="311"/>
        <v>0.65625</v>
      </c>
      <c r="F225" s="4"/>
      <c r="G225">
        <v>1</v>
      </c>
      <c r="H225">
        <f t="shared" ref="H225:Y225" si="381">IF($D225&gt;G225,G225+1,"")</f>
        <v>2</v>
      </c>
      <c r="I225">
        <f t="shared" si="381"/>
        <v>3</v>
      </c>
      <c r="J225" t="str">
        <f t="shared" si="381"/>
        <v/>
      </c>
      <c r="K225" t="str">
        <f t="shared" si="381"/>
        <v/>
      </c>
      <c r="L225" t="str">
        <f t="shared" si="381"/>
        <v/>
      </c>
      <c r="M225" t="str">
        <f t="shared" si="381"/>
        <v/>
      </c>
      <c r="N225" t="str">
        <f t="shared" si="381"/>
        <v/>
      </c>
      <c r="O225" t="str">
        <f t="shared" si="381"/>
        <v/>
      </c>
      <c r="P225" t="str">
        <f t="shared" si="381"/>
        <v/>
      </c>
      <c r="Q225" t="str">
        <f t="shared" si="381"/>
        <v/>
      </c>
      <c r="R225" t="str">
        <f t="shared" si="381"/>
        <v/>
      </c>
      <c r="S225" t="str">
        <f t="shared" si="381"/>
        <v/>
      </c>
      <c r="T225" t="str">
        <f t="shared" si="381"/>
        <v/>
      </c>
      <c r="U225" t="str">
        <f t="shared" si="381"/>
        <v/>
      </c>
      <c r="V225" t="str">
        <f t="shared" si="381"/>
        <v/>
      </c>
      <c r="W225" t="str">
        <f t="shared" si="381"/>
        <v/>
      </c>
      <c r="X225" t="str">
        <f t="shared" si="381"/>
        <v/>
      </c>
      <c r="Y225" t="str">
        <f t="shared" si="381"/>
        <v/>
      </c>
      <c r="AA225">
        <f t="shared" si="314"/>
        <v>43079.924999999996</v>
      </c>
      <c r="AB225">
        <f t="shared" si="363"/>
        <v>43100</v>
      </c>
      <c r="AC225">
        <f t="shared" si="364"/>
        <v>43120.074999999997</v>
      </c>
      <c r="AD225" t="e">
        <f t="shared" si="365"/>
        <v>#N/A</v>
      </c>
      <c r="AE225" t="e">
        <f t="shared" si="347"/>
        <v>#N/A</v>
      </c>
      <c r="AF225" t="e">
        <f t="shared" si="348"/>
        <v>#N/A</v>
      </c>
      <c r="AG225" t="e">
        <f t="shared" si="349"/>
        <v>#N/A</v>
      </c>
      <c r="AH225" t="e">
        <f t="shared" si="350"/>
        <v>#N/A</v>
      </c>
      <c r="AI225" t="e">
        <f t="shared" si="351"/>
        <v>#N/A</v>
      </c>
      <c r="AJ225" t="e">
        <f t="shared" si="352"/>
        <v>#N/A</v>
      </c>
      <c r="AK225" t="e">
        <f t="shared" si="353"/>
        <v>#N/A</v>
      </c>
      <c r="AL225" t="e">
        <f t="shared" si="354"/>
        <v>#N/A</v>
      </c>
      <c r="AM225" t="e">
        <f t="shared" si="355"/>
        <v>#N/A</v>
      </c>
      <c r="AN225" t="e">
        <f t="shared" si="356"/>
        <v>#N/A</v>
      </c>
      <c r="AO225" t="e">
        <f t="shared" si="357"/>
        <v>#N/A</v>
      </c>
      <c r="AP225" t="e">
        <f t="shared" si="358"/>
        <v>#N/A</v>
      </c>
      <c r="AQ225" t="e">
        <f t="shared" si="359"/>
        <v>#N/A</v>
      </c>
      <c r="AR225" t="e">
        <f t="shared" si="360"/>
        <v>#N/A</v>
      </c>
      <c r="AS225" t="e">
        <f t="shared" si="361"/>
        <v>#N/A</v>
      </c>
      <c r="AU225">
        <f t="shared" si="315"/>
        <v>3.5</v>
      </c>
      <c r="AV225">
        <f t="shared" si="316"/>
        <v>3.5</v>
      </c>
      <c r="AW225">
        <f t="shared" si="317"/>
        <v>3.5</v>
      </c>
      <c r="AX225" t="str">
        <f t="shared" si="318"/>
        <v/>
      </c>
      <c r="AY225" t="str">
        <f t="shared" si="319"/>
        <v/>
      </c>
      <c r="AZ225" t="str">
        <f t="shared" si="320"/>
        <v/>
      </c>
      <c r="BA225" t="str">
        <f t="shared" si="321"/>
        <v/>
      </c>
      <c r="BB225" t="str">
        <f t="shared" si="322"/>
        <v/>
      </c>
      <c r="BC225" t="str">
        <f t="shared" si="323"/>
        <v/>
      </c>
      <c r="BD225" t="str">
        <f t="shared" si="324"/>
        <v/>
      </c>
      <c r="BE225" t="str">
        <f t="shared" si="325"/>
        <v/>
      </c>
      <c r="BF225" t="str">
        <f t="shared" si="326"/>
        <v/>
      </c>
      <c r="BG225" t="str">
        <f t="shared" si="327"/>
        <v/>
      </c>
      <c r="BH225" t="str">
        <f t="shared" si="328"/>
        <v/>
      </c>
      <c r="BI225" t="str">
        <f t="shared" si="329"/>
        <v/>
      </c>
      <c r="BJ225" t="str">
        <f t="shared" si="330"/>
        <v/>
      </c>
      <c r="BK225" t="str">
        <f t="shared" si="331"/>
        <v/>
      </c>
      <c r="BL225" t="str">
        <f t="shared" si="332"/>
        <v/>
      </c>
      <c r="BM225" t="str">
        <f t="shared" si="333"/>
        <v/>
      </c>
      <c r="BP225"/>
      <c r="BR225"/>
    </row>
    <row r="226" spans="1:70" x14ac:dyDescent="0.25">
      <c r="A226" s="1">
        <v>41808</v>
      </c>
      <c r="B226">
        <v>3.75</v>
      </c>
      <c r="C226" s="4">
        <v>43100</v>
      </c>
      <c r="D226">
        <v>7</v>
      </c>
      <c r="E226">
        <f t="shared" si="311"/>
        <v>1.640625</v>
      </c>
      <c r="F226" s="4"/>
      <c r="G226">
        <v>1</v>
      </c>
      <c r="H226">
        <f t="shared" ref="H226:Y226" si="382">IF($D226&gt;G226,G226+1,"")</f>
        <v>2</v>
      </c>
      <c r="I226">
        <f t="shared" si="382"/>
        <v>3</v>
      </c>
      <c r="J226">
        <f t="shared" si="382"/>
        <v>4</v>
      </c>
      <c r="K226">
        <f t="shared" si="382"/>
        <v>5</v>
      </c>
      <c r="L226">
        <f t="shared" si="382"/>
        <v>6</v>
      </c>
      <c r="M226">
        <f t="shared" si="382"/>
        <v>7</v>
      </c>
      <c r="N226" t="str">
        <f t="shared" si="382"/>
        <v/>
      </c>
      <c r="O226" t="str">
        <f t="shared" si="382"/>
        <v/>
      </c>
      <c r="P226" t="str">
        <f t="shared" si="382"/>
        <v/>
      </c>
      <c r="Q226" t="str">
        <f t="shared" si="382"/>
        <v/>
      </c>
      <c r="R226" t="str">
        <f t="shared" si="382"/>
        <v/>
      </c>
      <c r="S226" t="str">
        <f t="shared" si="382"/>
        <v/>
      </c>
      <c r="T226" t="str">
        <f t="shared" si="382"/>
        <v/>
      </c>
      <c r="U226" t="str">
        <f t="shared" si="382"/>
        <v/>
      </c>
      <c r="V226" t="str">
        <f t="shared" si="382"/>
        <v/>
      </c>
      <c r="W226" t="str">
        <f t="shared" si="382"/>
        <v/>
      </c>
      <c r="X226" t="str">
        <f t="shared" si="382"/>
        <v/>
      </c>
      <c r="Y226" t="str">
        <f t="shared" si="382"/>
        <v/>
      </c>
      <c r="AA226">
        <f t="shared" si="314"/>
        <v>43039.775000000001</v>
      </c>
      <c r="AB226">
        <f t="shared" si="363"/>
        <v>43059.850000000006</v>
      </c>
      <c r="AC226">
        <f t="shared" si="364"/>
        <v>43079.925000000003</v>
      </c>
      <c r="AD226">
        <f t="shared" si="365"/>
        <v>43100.000000000007</v>
      </c>
      <c r="AE226">
        <f t="shared" si="347"/>
        <v>43120.075000000004</v>
      </c>
      <c r="AF226">
        <f t="shared" si="348"/>
        <v>43140.15</v>
      </c>
      <c r="AG226">
        <f t="shared" si="349"/>
        <v>43160.225000000006</v>
      </c>
      <c r="AH226" t="e">
        <f t="shared" si="350"/>
        <v>#N/A</v>
      </c>
      <c r="AI226" t="e">
        <f t="shared" si="351"/>
        <v>#N/A</v>
      </c>
      <c r="AJ226" t="e">
        <f t="shared" si="352"/>
        <v>#N/A</v>
      </c>
      <c r="AK226" t="e">
        <f t="shared" si="353"/>
        <v>#N/A</v>
      </c>
      <c r="AL226" t="e">
        <f t="shared" si="354"/>
        <v>#N/A</v>
      </c>
      <c r="AM226" t="e">
        <f t="shared" si="355"/>
        <v>#N/A</v>
      </c>
      <c r="AN226" t="e">
        <f t="shared" si="356"/>
        <v>#N/A</v>
      </c>
      <c r="AO226" t="e">
        <f t="shared" si="357"/>
        <v>#N/A</v>
      </c>
      <c r="AP226" t="e">
        <f t="shared" si="358"/>
        <v>#N/A</v>
      </c>
      <c r="AQ226" t="e">
        <f t="shared" si="359"/>
        <v>#N/A</v>
      </c>
      <c r="AR226" t="e">
        <f t="shared" si="360"/>
        <v>#N/A</v>
      </c>
      <c r="AS226" t="e">
        <f t="shared" si="361"/>
        <v>#N/A</v>
      </c>
      <c r="AU226">
        <f t="shared" si="315"/>
        <v>3.75</v>
      </c>
      <c r="AV226">
        <f t="shared" si="316"/>
        <v>3.75</v>
      </c>
      <c r="AW226">
        <f t="shared" si="317"/>
        <v>3.75</v>
      </c>
      <c r="AX226">
        <f t="shared" si="318"/>
        <v>3.75</v>
      </c>
      <c r="AY226">
        <f t="shared" si="319"/>
        <v>3.75</v>
      </c>
      <c r="AZ226">
        <f t="shared" si="320"/>
        <v>3.75</v>
      </c>
      <c r="BA226">
        <f t="shared" si="321"/>
        <v>3.75</v>
      </c>
      <c r="BB226" t="str">
        <f t="shared" si="322"/>
        <v/>
      </c>
      <c r="BC226" t="str">
        <f t="shared" si="323"/>
        <v/>
      </c>
      <c r="BD226" t="str">
        <f t="shared" si="324"/>
        <v/>
      </c>
      <c r="BE226" t="str">
        <f t="shared" si="325"/>
        <v/>
      </c>
      <c r="BF226" t="str">
        <f t="shared" si="326"/>
        <v/>
      </c>
      <c r="BG226" t="str">
        <f t="shared" si="327"/>
        <v/>
      </c>
      <c r="BH226" t="str">
        <f t="shared" si="328"/>
        <v/>
      </c>
      <c r="BI226" t="str">
        <f t="shared" si="329"/>
        <v/>
      </c>
      <c r="BJ226" t="str">
        <f t="shared" si="330"/>
        <v/>
      </c>
      <c r="BK226" t="str">
        <f t="shared" si="331"/>
        <v/>
      </c>
      <c r="BL226" t="str">
        <f t="shared" si="332"/>
        <v/>
      </c>
      <c r="BM226" t="str">
        <f t="shared" si="333"/>
        <v/>
      </c>
      <c r="BP226"/>
      <c r="BR226"/>
    </row>
    <row r="227" spans="1:70" x14ac:dyDescent="0.25">
      <c r="A227" s="1">
        <v>41808</v>
      </c>
      <c r="B227">
        <v>4</v>
      </c>
      <c r="C227" s="4">
        <v>43100</v>
      </c>
      <c r="D227">
        <v>3</v>
      </c>
      <c r="E227">
        <f t="shared" si="311"/>
        <v>0.75</v>
      </c>
      <c r="F227" s="4"/>
      <c r="G227">
        <v>1</v>
      </c>
      <c r="H227">
        <f t="shared" ref="H227:Y227" si="383">IF($D227&gt;G227,G227+1,"")</f>
        <v>2</v>
      </c>
      <c r="I227">
        <f t="shared" si="383"/>
        <v>3</v>
      </c>
      <c r="J227" t="str">
        <f t="shared" si="383"/>
        <v/>
      </c>
      <c r="K227" t="str">
        <f t="shared" si="383"/>
        <v/>
      </c>
      <c r="L227" t="str">
        <f t="shared" si="383"/>
        <v/>
      </c>
      <c r="M227" t="str">
        <f t="shared" si="383"/>
        <v/>
      </c>
      <c r="N227" t="str">
        <f t="shared" si="383"/>
        <v/>
      </c>
      <c r="O227" t="str">
        <f t="shared" si="383"/>
        <v/>
      </c>
      <c r="P227" t="str">
        <f t="shared" si="383"/>
        <v/>
      </c>
      <c r="Q227" t="str">
        <f t="shared" si="383"/>
        <v/>
      </c>
      <c r="R227" t="str">
        <f t="shared" si="383"/>
        <v/>
      </c>
      <c r="S227" t="str">
        <f t="shared" si="383"/>
        <v/>
      </c>
      <c r="T227" t="str">
        <f t="shared" si="383"/>
        <v/>
      </c>
      <c r="U227" t="str">
        <f t="shared" si="383"/>
        <v/>
      </c>
      <c r="V227" t="str">
        <f t="shared" si="383"/>
        <v/>
      </c>
      <c r="W227" t="str">
        <f t="shared" si="383"/>
        <v/>
      </c>
      <c r="X227" t="str">
        <f t="shared" si="383"/>
        <v/>
      </c>
      <c r="Y227" t="str">
        <f t="shared" si="383"/>
        <v/>
      </c>
      <c r="AA227">
        <f t="shared" si="314"/>
        <v>43079.924999999996</v>
      </c>
      <c r="AB227">
        <f t="shared" si="363"/>
        <v>43100</v>
      </c>
      <c r="AC227">
        <f t="shared" si="364"/>
        <v>43120.074999999997</v>
      </c>
      <c r="AD227" t="e">
        <f t="shared" si="365"/>
        <v>#N/A</v>
      </c>
      <c r="AE227" t="e">
        <f t="shared" si="347"/>
        <v>#N/A</v>
      </c>
      <c r="AF227" t="e">
        <f t="shared" si="348"/>
        <v>#N/A</v>
      </c>
      <c r="AG227" t="e">
        <f t="shared" si="349"/>
        <v>#N/A</v>
      </c>
      <c r="AH227" t="e">
        <f t="shared" si="350"/>
        <v>#N/A</v>
      </c>
      <c r="AI227" t="e">
        <f t="shared" si="351"/>
        <v>#N/A</v>
      </c>
      <c r="AJ227" t="e">
        <f t="shared" si="352"/>
        <v>#N/A</v>
      </c>
      <c r="AK227" t="e">
        <f t="shared" si="353"/>
        <v>#N/A</v>
      </c>
      <c r="AL227" t="e">
        <f t="shared" si="354"/>
        <v>#N/A</v>
      </c>
      <c r="AM227" t="e">
        <f t="shared" si="355"/>
        <v>#N/A</v>
      </c>
      <c r="AN227" t="e">
        <f t="shared" si="356"/>
        <v>#N/A</v>
      </c>
      <c r="AO227" t="e">
        <f t="shared" si="357"/>
        <v>#N/A</v>
      </c>
      <c r="AP227" t="e">
        <f t="shared" si="358"/>
        <v>#N/A</v>
      </c>
      <c r="AQ227" t="e">
        <f t="shared" si="359"/>
        <v>#N/A</v>
      </c>
      <c r="AR227" t="e">
        <f t="shared" si="360"/>
        <v>#N/A</v>
      </c>
      <c r="AS227" t="e">
        <f t="shared" si="361"/>
        <v>#N/A</v>
      </c>
      <c r="AU227">
        <f t="shared" si="315"/>
        <v>4</v>
      </c>
      <c r="AV227">
        <f t="shared" si="316"/>
        <v>4</v>
      </c>
      <c r="AW227">
        <f t="shared" si="317"/>
        <v>4</v>
      </c>
      <c r="AX227" t="str">
        <f t="shared" si="318"/>
        <v/>
      </c>
      <c r="AY227" t="str">
        <f t="shared" si="319"/>
        <v/>
      </c>
      <c r="AZ227" t="str">
        <f t="shared" si="320"/>
        <v/>
      </c>
      <c r="BA227" t="str">
        <f t="shared" si="321"/>
        <v/>
      </c>
      <c r="BB227" t="str">
        <f t="shared" si="322"/>
        <v/>
      </c>
      <c r="BC227" t="str">
        <f t="shared" si="323"/>
        <v/>
      </c>
      <c r="BD227" t="str">
        <f t="shared" si="324"/>
        <v/>
      </c>
      <c r="BE227" t="str">
        <f t="shared" si="325"/>
        <v/>
      </c>
      <c r="BF227" t="str">
        <f t="shared" si="326"/>
        <v/>
      </c>
      <c r="BG227" t="str">
        <f t="shared" si="327"/>
        <v/>
      </c>
      <c r="BH227" t="str">
        <f t="shared" si="328"/>
        <v/>
      </c>
      <c r="BI227" t="str">
        <f t="shared" si="329"/>
        <v/>
      </c>
      <c r="BJ227" t="str">
        <f t="shared" si="330"/>
        <v/>
      </c>
      <c r="BK227" t="str">
        <f t="shared" si="331"/>
        <v/>
      </c>
      <c r="BL227" t="str">
        <f t="shared" si="332"/>
        <v/>
      </c>
      <c r="BM227" t="str">
        <f t="shared" si="333"/>
        <v/>
      </c>
      <c r="BP227"/>
      <c r="BR227"/>
    </row>
    <row r="228" spans="1:70" x14ac:dyDescent="0.25">
      <c r="A228" s="1">
        <v>41808</v>
      </c>
      <c r="B228">
        <v>4.25</v>
      </c>
      <c r="C228" s="4">
        <v>43100</v>
      </c>
      <c r="D228">
        <v>2</v>
      </c>
      <c r="E228">
        <f t="shared" si="311"/>
        <v>0.53125</v>
      </c>
      <c r="F228" s="4"/>
      <c r="G228">
        <v>1</v>
      </c>
      <c r="H228">
        <f t="shared" ref="H228:Y228" si="384">IF($D228&gt;G228,G228+1,"")</f>
        <v>2</v>
      </c>
      <c r="I228" t="str">
        <f t="shared" si="384"/>
        <v/>
      </c>
      <c r="J228" t="str">
        <f t="shared" si="384"/>
        <v/>
      </c>
      <c r="K228" t="str">
        <f t="shared" si="384"/>
        <v/>
      </c>
      <c r="L228" t="str">
        <f t="shared" si="384"/>
        <v/>
      </c>
      <c r="M228" t="str">
        <f t="shared" si="384"/>
        <v/>
      </c>
      <c r="N228" t="str">
        <f t="shared" si="384"/>
        <v/>
      </c>
      <c r="O228" t="str">
        <f t="shared" si="384"/>
        <v/>
      </c>
      <c r="P228" t="str">
        <f t="shared" si="384"/>
        <v/>
      </c>
      <c r="Q228" t="str">
        <f t="shared" si="384"/>
        <v/>
      </c>
      <c r="R228" t="str">
        <f t="shared" si="384"/>
        <v/>
      </c>
      <c r="S228" t="str">
        <f t="shared" si="384"/>
        <v/>
      </c>
      <c r="T228" t="str">
        <f t="shared" si="384"/>
        <v/>
      </c>
      <c r="U228" t="str">
        <f t="shared" si="384"/>
        <v/>
      </c>
      <c r="V228" t="str">
        <f t="shared" si="384"/>
        <v/>
      </c>
      <c r="W228" t="str">
        <f t="shared" si="384"/>
        <v/>
      </c>
      <c r="X228" t="str">
        <f t="shared" si="384"/>
        <v/>
      </c>
      <c r="Y228" t="str">
        <f t="shared" si="384"/>
        <v/>
      </c>
      <c r="AA228">
        <f t="shared" si="314"/>
        <v>43089.962500000001</v>
      </c>
      <c r="AB228">
        <f t="shared" si="363"/>
        <v>43110.037500000006</v>
      </c>
      <c r="AC228" t="e">
        <f t="shared" si="364"/>
        <v>#N/A</v>
      </c>
      <c r="AD228" t="e">
        <f t="shared" si="365"/>
        <v>#N/A</v>
      </c>
      <c r="AE228" t="e">
        <f t="shared" si="347"/>
        <v>#N/A</v>
      </c>
      <c r="AF228" t="e">
        <f t="shared" si="348"/>
        <v>#N/A</v>
      </c>
      <c r="AG228" t="e">
        <f t="shared" si="349"/>
        <v>#N/A</v>
      </c>
      <c r="AH228" t="e">
        <f t="shared" si="350"/>
        <v>#N/A</v>
      </c>
      <c r="AI228" t="e">
        <f t="shared" si="351"/>
        <v>#N/A</v>
      </c>
      <c r="AJ228" t="e">
        <f t="shared" si="352"/>
        <v>#N/A</v>
      </c>
      <c r="AK228" t="e">
        <f t="shared" si="353"/>
        <v>#N/A</v>
      </c>
      <c r="AL228" t="e">
        <f t="shared" si="354"/>
        <v>#N/A</v>
      </c>
      <c r="AM228" t="e">
        <f t="shared" si="355"/>
        <v>#N/A</v>
      </c>
      <c r="AN228" t="e">
        <f t="shared" si="356"/>
        <v>#N/A</v>
      </c>
      <c r="AO228" t="e">
        <f t="shared" si="357"/>
        <v>#N/A</v>
      </c>
      <c r="AP228" t="e">
        <f t="shared" si="358"/>
        <v>#N/A</v>
      </c>
      <c r="AQ228" t="e">
        <f t="shared" si="359"/>
        <v>#N/A</v>
      </c>
      <c r="AR228" t="e">
        <f t="shared" si="360"/>
        <v>#N/A</v>
      </c>
      <c r="AS228" t="e">
        <f t="shared" si="361"/>
        <v>#N/A</v>
      </c>
      <c r="AU228">
        <f t="shared" si="315"/>
        <v>4.25</v>
      </c>
      <c r="AV228">
        <f t="shared" si="316"/>
        <v>4.25</v>
      </c>
      <c r="AW228" t="str">
        <f t="shared" si="317"/>
        <v/>
      </c>
      <c r="AX228" t="str">
        <f t="shared" si="318"/>
        <v/>
      </c>
      <c r="AY228" t="str">
        <f t="shared" si="319"/>
        <v/>
      </c>
      <c r="AZ228" t="str">
        <f t="shared" si="320"/>
        <v/>
      </c>
      <c r="BA228" t="str">
        <f t="shared" si="321"/>
        <v/>
      </c>
      <c r="BB228" t="str">
        <f t="shared" si="322"/>
        <v/>
      </c>
      <c r="BC228" t="str">
        <f t="shared" si="323"/>
        <v/>
      </c>
      <c r="BD228" t="str">
        <f t="shared" si="324"/>
        <v/>
      </c>
      <c r="BE228" t="str">
        <f t="shared" si="325"/>
        <v/>
      </c>
      <c r="BF228" t="str">
        <f t="shared" si="326"/>
        <v/>
      </c>
      <c r="BG228" t="str">
        <f t="shared" si="327"/>
        <v/>
      </c>
      <c r="BH228" t="str">
        <f t="shared" si="328"/>
        <v/>
      </c>
      <c r="BI228" t="str">
        <f t="shared" si="329"/>
        <v/>
      </c>
      <c r="BJ228" t="str">
        <f t="shared" si="330"/>
        <v/>
      </c>
      <c r="BK228" t="str">
        <f t="shared" si="331"/>
        <v/>
      </c>
      <c r="BL228" t="str">
        <f t="shared" si="332"/>
        <v/>
      </c>
      <c r="BM228" t="str">
        <f t="shared" si="333"/>
        <v/>
      </c>
      <c r="BP228"/>
      <c r="BR228"/>
    </row>
    <row r="229" spans="1:70" x14ac:dyDescent="0.25">
      <c r="A229" s="1"/>
      <c r="BP229"/>
      <c r="BR229"/>
    </row>
    <row r="230" spans="1:70" x14ac:dyDescent="0.25">
      <c r="A230" s="1"/>
      <c r="BP230"/>
      <c r="BR230"/>
    </row>
    <row r="231" spans="1:70" x14ac:dyDescent="0.25">
      <c r="A231" s="1"/>
      <c r="BP231"/>
      <c r="BR231"/>
    </row>
    <row r="232" spans="1:70" x14ac:dyDescent="0.25">
      <c r="A232" s="1"/>
      <c r="B232" s="2"/>
      <c r="BP232"/>
      <c r="BR232"/>
    </row>
    <row r="233" spans="1:70" x14ac:dyDescent="0.25">
      <c r="A233" s="1"/>
      <c r="BP233"/>
      <c r="BR233"/>
    </row>
    <row r="234" spans="1:70" x14ac:dyDescent="0.25">
      <c r="A234" s="1"/>
      <c r="BP234"/>
      <c r="BR234"/>
    </row>
    <row r="235" spans="1:70" x14ac:dyDescent="0.25">
      <c r="A235" s="1"/>
      <c r="BP235"/>
      <c r="BR235"/>
    </row>
    <row r="236" spans="1:70" x14ac:dyDescent="0.25">
      <c r="A236" s="1"/>
      <c r="BP236"/>
      <c r="BR236"/>
    </row>
    <row r="237" spans="1:70" x14ac:dyDescent="0.25">
      <c r="A237" s="1"/>
      <c r="BP237"/>
      <c r="BR237"/>
    </row>
    <row r="238" spans="1:70" x14ac:dyDescent="0.25">
      <c r="A238" s="1"/>
      <c r="B238" s="2"/>
      <c r="BP238"/>
      <c r="BR238"/>
    </row>
    <row r="239" spans="1:70" x14ac:dyDescent="0.25">
      <c r="A239" s="1"/>
      <c r="BP239"/>
      <c r="BR239"/>
    </row>
    <row r="240" spans="1:70" x14ac:dyDescent="0.25">
      <c r="A240" s="1"/>
      <c r="BP240"/>
      <c r="BR240"/>
    </row>
    <row r="241" spans="1:70" x14ac:dyDescent="0.25">
      <c r="A241" s="1"/>
      <c r="BP241"/>
      <c r="BR241"/>
    </row>
    <row r="242" spans="1:70" x14ac:dyDescent="0.25">
      <c r="A242" s="1"/>
      <c r="BP242"/>
      <c r="BR242"/>
    </row>
    <row r="243" spans="1:70" x14ac:dyDescent="0.25">
      <c r="A243" s="1"/>
      <c r="BP243"/>
      <c r="BR243"/>
    </row>
    <row r="244" spans="1:70" x14ac:dyDescent="0.25">
      <c r="A244" s="1"/>
      <c r="BP244"/>
      <c r="BR244"/>
    </row>
    <row r="245" spans="1:70" x14ac:dyDescent="0.25">
      <c r="A245" s="1"/>
      <c r="BP245"/>
      <c r="BR245"/>
    </row>
    <row r="246" spans="1:70" x14ac:dyDescent="0.25">
      <c r="A246" s="1"/>
      <c r="BP246"/>
      <c r="BR246"/>
    </row>
    <row r="247" spans="1:70" x14ac:dyDescent="0.25">
      <c r="A247" s="1"/>
      <c r="BP247"/>
      <c r="BR247"/>
    </row>
    <row r="248" spans="1:70" x14ac:dyDescent="0.25">
      <c r="A248" s="1"/>
      <c r="B248" s="2"/>
      <c r="BP248"/>
      <c r="BR248"/>
    </row>
    <row r="249" spans="1:70" x14ac:dyDescent="0.25">
      <c r="A249" s="1"/>
      <c r="BP249"/>
      <c r="BR249"/>
    </row>
    <row r="250" spans="1:70" x14ac:dyDescent="0.25">
      <c r="A250" s="1"/>
      <c r="BP250"/>
      <c r="BR250"/>
    </row>
    <row r="251" spans="1:70" x14ac:dyDescent="0.25">
      <c r="A251" s="1"/>
      <c r="BP251"/>
      <c r="BR251"/>
    </row>
    <row r="252" spans="1:70" x14ac:dyDescent="0.25">
      <c r="A252" s="1"/>
      <c r="BP252"/>
      <c r="BR252"/>
    </row>
    <row r="253" spans="1:70" x14ac:dyDescent="0.25">
      <c r="A253" s="1"/>
      <c r="BP253"/>
      <c r="BR253"/>
    </row>
    <row r="254" spans="1:70" x14ac:dyDescent="0.25">
      <c r="A254" s="1"/>
      <c r="B254" s="2"/>
      <c r="BP254"/>
      <c r="BR254"/>
    </row>
    <row r="255" spans="1:70" x14ac:dyDescent="0.25">
      <c r="A255" s="1"/>
      <c r="BP255"/>
      <c r="BR255"/>
    </row>
    <row r="256" spans="1:70" x14ac:dyDescent="0.25">
      <c r="A256" s="1"/>
      <c r="BP256"/>
      <c r="BR256"/>
    </row>
    <row r="257" spans="1:70" x14ac:dyDescent="0.25">
      <c r="A257" s="1"/>
      <c r="BP257"/>
      <c r="BR257"/>
    </row>
    <row r="258" spans="1:70" x14ac:dyDescent="0.25">
      <c r="A258" s="1"/>
      <c r="BP258"/>
      <c r="BR258"/>
    </row>
    <row r="259" spans="1:70" x14ac:dyDescent="0.25">
      <c r="A259" s="1"/>
      <c r="BP259"/>
      <c r="BR259"/>
    </row>
    <row r="260" spans="1:70" x14ac:dyDescent="0.25">
      <c r="A260" s="1"/>
      <c r="BP260"/>
      <c r="BR260"/>
    </row>
    <row r="261" spans="1:70" x14ac:dyDescent="0.25">
      <c r="A261" s="1"/>
      <c r="BP261"/>
      <c r="BR261"/>
    </row>
    <row r="262" spans="1:70" x14ac:dyDescent="0.25">
      <c r="A262" s="1"/>
      <c r="BP262"/>
      <c r="BR262"/>
    </row>
    <row r="263" spans="1:70" x14ac:dyDescent="0.25">
      <c r="A263" s="1"/>
      <c r="BP263"/>
      <c r="BR263"/>
    </row>
    <row r="264" spans="1:70" x14ac:dyDescent="0.25">
      <c r="A264" s="1"/>
      <c r="BP264"/>
      <c r="BR264"/>
    </row>
    <row r="265" spans="1:70" x14ac:dyDescent="0.25">
      <c r="A265" s="1"/>
      <c r="B265" s="2"/>
      <c r="BP265"/>
      <c r="BR265"/>
    </row>
    <row r="266" spans="1:70" x14ac:dyDescent="0.25">
      <c r="A266" s="1"/>
      <c r="BP266"/>
      <c r="BR266"/>
    </row>
    <row r="267" spans="1:70" x14ac:dyDescent="0.25">
      <c r="A267" s="1"/>
      <c r="BP267"/>
      <c r="BR267"/>
    </row>
    <row r="268" spans="1:70" x14ac:dyDescent="0.25">
      <c r="A268" s="1"/>
      <c r="BP268"/>
      <c r="BR268"/>
    </row>
    <row r="269" spans="1:70" x14ac:dyDescent="0.25">
      <c r="A269" s="1"/>
      <c r="BP269"/>
      <c r="BR269"/>
    </row>
    <row r="270" spans="1:70" x14ac:dyDescent="0.25">
      <c r="A270" s="1"/>
      <c r="BP270"/>
      <c r="BR270"/>
    </row>
    <row r="271" spans="1:70" x14ac:dyDescent="0.25">
      <c r="A271" s="1"/>
      <c r="B271" s="2"/>
      <c r="BP271"/>
      <c r="BR271"/>
    </row>
    <row r="272" spans="1:70" x14ac:dyDescent="0.25">
      <c r="A272" s="1"/>
      <c r="BP272"/>
      <c r="BR272"/>
    </row>
    <row r="273" spans="1:70" x14ac:dyDescent="0.25">
      <c r="A273" s="1"/>
      <c r="BP273"/>
      <c r="BR273"/>
    </row>
    <row r="274" spans="1:70" x14ac:dyDescent="0.25">
      <c r="A274" s="1"/>
      <c r="BP274"/>
      <c r="BR274"/>
    </row>
    <row r="275" spans="1:70" x14ac:dyDescent="0.25">
      <c r="A275" s="1"/>
      <c r="BP275"/>
      <c r="BR275"/>
    </row>
    <row r="276" spans="1:70" x14ac:dyDescent="0.25">
      <c r="A276" s="1"/>
      <c r="BP276"/>
      <c r="BR276"/>
    </row>
    <row r="277" spans="1:70" x14ac:dyDescent="0.25">
      <c r="A277" s="1"/>
      <c r="B277" s="2"/>
      <c r="BP277"/>
      <c r="BR277"/>
    </row>
    <row r="278" spans="1:70" x14ac:dyDescent="0.25">
      <c r="A278" s="1"/>
      <c r="BP278"/>
      <c r="BR278"/>
    </row>
    <row r="279" spans="1:70" x14ac:dyDescent="0.25">
      <c r="A279" s="1"/>
      <c r="BP279"/>
      <c r="BR279"/>
    </row>
    <row r="280" spans="1:70" x14ac:dyDescent="0.25">
      <c r="A280" s="1"/>
      <c r="BP280"/>
      <c r="BR280"/>
    </row>
    <row r="281" spans="1:70" x14ac:dyDescent="0.25">
      <c r="A281" s="1"/>
      <c r="BP281"/>
      <c r="BR281"/>
    </row>
    <row r="282" spans="1:70" x14ac:dyDescent="0.25">
      <c r="A282" s="1"/>
      <c r="BP282"/>
      <c r="BR282"/>
    </row>
    <row r="283" spans="1:70" x14ac:dyDescent="0.25">
      <c r="A283" s="1"/>
      <c r="B283" s="2"/>
      <c r="BP283"/>
      <c r="BR283"/>
    </row>
    <row r="284" spans="1:70" x14ac:dyDescent="0.25">
      <c r="A284" s="1"/>
      <c r="BP284"/>
      <c r="BR284"/>
    </row>
    <row r="285" spans="1:70" x14ac:dyDescent="0.25">
      <c r="A285" s="1"/>
      <c r="BP285"/>
      <c r="BR285"/>
    </row>
    <row r="286" spans="1:70" x14ac:dyDescent="0.25">
      <c r="A286" s="1"/>
      <c r="BP286"/>
      <c r="BR286"/>
    </row>
    <row r="287" spans="1:70" x14ac:dyDescent="0.25">
      <c r="A287" s="1"/>
      <c r="BP287"/>
      <c r="BR287"/>
    </row>
    <row r="288" spans="1:70" x14ac:dyDescent="0.25">
      <c r="A288" s="1"/>
      <c r="BP288"/>
      <c r="BR288"/>
    </row>
    <row r="289" spans="1:70" x14ac:dyDescent="0.25">
      <c r="A289" s="1"/>
      <c r="B289" s="2"/>
      <c r="BP289"/>
      <c r="BR289"/>
    </row>
    <row r="290" spans="1:70" x14ac:dyDescent="0.25">
      <c r="A290" s="1"/>
      <c r="BP290"/>
      <c r="BR290"/>
    </row>
    <row r="291" spans="1:70" x14ac:dyDescent="0.25">
      <c r="A291" s="1"/>
      <c r="BP291"/>
      <c r="BR291"/>
    </row>
    <row r="292" spans="1:70" x14ac:dyDescent="0.25">
      <c r="A292" s="1"/>
      <c r="BP292"/>
      <c r="BR292"/>
    </row>
    <row r="293" spans="1:70" x14ac:dyDescent="0.25">
      <c r="A293" s="1"/>
      <c r="BP293"/>
      <c r="BR293"/>
    </row>
    <row r="294" spans="1:70" x14ac:dyDescent="0.25">
      <c r="A294" s="1"/>
      <c r="BP294"/>
      <c r="BR294"/>
    </row>
    <row r="295" spans="1:70" x14ac:dyDescent="0.25">
      <c r="A295" s="1"/>
      <c r="B295" s="2"/>
      <c r="BP295"/>
      <c r="BR295"/>
    </row>
    <row r="296" spans="1:70" x14ac:dyDescent="0.25">
      <c r="A296" s="1"/>
      <c r="BP296"/>
      <c r="BR296"/>
    </row>
    <row r="297" spans="1:70" x14ac:dyDescent="0.25">
      <c r="A297" s="1"/>
      <c r="BP297"/>
      <c r="BR297"/>
    </row>
    <row r="298" spans="1:70" x14ac:dyDescent="0.25">
      <c r="A298" s="1"/>
      <c r="BP298"/>
      <c r="BR298"/>
    </row>
    <row r="299" spans="1:70" x14ac:dyDescent="0.25">
      <c r="A299" s="1"/>
      <c r="BP299"/>
      <c r="BR299"/>
    </row>
    <row r="300" spans="1:70" x14ac:dyDescent="0.25">
      <c r="A300" s="1"/>
      <c r="BP300"/>
      <c r="BR300"/>
    </row>
    <row r="301" spans="1:70" x14ac:dyDescent="0.25">
      <c r="A301" s="1"/>
      <c r="B301" s="2"/>
      <c r="BP301"/>
      <c r="BR301"/>
    </row>
    <row r="302" spans="1:70" x14ac:dyDescent="0.25">
      <c r="A302" s="1"/>
      <c r="BP302"/>
      <c r="BR302"/>
    </row>
    <row r="303" spans="1:70" x14ac:dyDescent="0.25">
      <c r="A303" s="1"/>
      <c r="BP303"/>
      <c r="BR303"/>
    </row>
    <row r="304" spans="1:70" x14ac:dyDescent="0.25">
      <c r="A304" s="1"/>
      <c r="BP304"/>
      <c r="BR304"/>
    </row>
    <row r="305" spans="1:70" x14ac:dyDescent="0.25">
      <c r="A305" s="1"/>
      <c r="BP305"/>
      <c r="BR305"/>
    </row>
    <row r="306" spans="1:70" x14ac:dyDescent="0.25">
      <c r="A306" s="1"/>
      <c r="BP306"/>
      <c r="BR306"/>
    </row>
    <row r="307" spans="1:70" x14ac:dyDescent="0.25">
      <c r="A307" s="1"/>
      <c r="B307" s="2"/>
      <c r="BP307"/>
      <c r="BR307"/>
    </row>
    <row r="308" spans="1:70" x14ac:dyDescent="0.25">
      <c r="A308" s="1"/>
      <c r="BP308"/>
      <c r="BR308"/>
    </row>
    <row r="309" spans="1:70" x14ac:dyDescent="0.25">
      <c r="A309" s="1"/>
      <c r="BP309"/>
      <c r="BR309"/>
    </row>
    <row r="310" spans="1:70" x14ac:dyDescent="0.25">
      <c r="A310" s="1"/>
      <c r="BP310"/>
      <c r="BR310"/>
    </row>
    <row r="311" spans="1:70" x14ac:dyDescent="0.25">
      <c r="A311" s="1"/>
      <c r="BP311"/>
      <c r="BR311"/>
    </row>
    <row r="312" spans="1:70" x14ac:dyDescent="0.25">
      <c r="A312" s="1"/>
      <c r="BP312"/>
      <c r="BR312"/>
    </row>
    <row r="313" spans="1:70" x14ac:dyDescent="0.25">
      <c r="A313" s="1"/>
      <c r="BP313"/>
      <c r="BR313"/>
    </row>
    <row r="314" spans="1:70" x14ac:dyDescent="0.25">
      <c r="A314" s="1"/>
      <c r="BP314"/>
      <c r="BR314"/>
    </row>
    <row r="315" spans="1:70" x14ac:dyDescent="0.25">
      <c r="A315" s="1"/>
      <c r="BP315"/>
      <c r="BR315"/>
    </row>
    <row r="316" spans="1:70" x14ac:dyDescent="0.25">
      <c r="A316" s="1"/>
      <c r="BP316"/>
      <c r="BR316"/>
    </row>
    <row r="317" spans="1:70" x14ac:dyDescent="0.25">
      <c r="A317" s="1"/>
      <c r="BP317"/>
      <c r="BR317"/>
    </row>
    <row r="318" spans="1:70" x14ac:dyDescent="0.25">
      <c r="A318" s="1"/>
      <c r="BP318"/>
      <c r="BR318"/>
    </row>
    <row r="319" spans="1:70" x14ac:dyDescent="0.25">
      <c r="A319" s="1"/>
      <c r="BP319"/>
      <c r="BR319"/>
    </row>
    <row r="320" spans="1:70" x14ac:dyDescent="0.25">
      <c r="A320" s="1"/>
      <c r="BP320"/>
      <c r="BR320"/>
    </row>
    <row r="321" spans="1:70" x14ac:dyDescent="0.25">
      <c r="A321" s="1"/>
      <c r="BP321"/>
      <c r="BR321"/>
    </row>
    <row r="322" spans="1:70" x14ac:dyDescent="0.25">
      <c r="A322" s="1"/>
      <c r="BP322"/>
      <c r="BR322"/>
    </row>
    <row r="323" spans="1:70" x14ac:dyDescent="0.25">
      <c r="A323" s="1"/>
      <c r="BP323"/>
      <c r="BR323"/>
    </row>
    <row r="324" spans="1:70" x14ac:dyDescent="0.25">
      <c r="A324" s="1"/>
      <c r="BP324"/>
      <c r="BR324"/>
    </row>
    <row r="325" spans="1:70" x14ac:dyDescent="0.25">
      <c r="A325" s="1"/>
      <c r="BP325"/>
      <c r="BR325"/>
    </row>
    <row r="326" spans="1:70" x14ac:dyDescent="0.25">
      <c r="A326" s="1"/>
      <c r="BP326"/>
      <c r="BR326"/>
    </row>
    <row r="327" spans="1:70" x14ac:dyDescent="0.25">
      <c r="A327" s="1"/>
      <c r="BP327"/>
      <c r="BR327"/>
    </row>
    <row r="328" spans="1:70" x14ac:dyDescent="0.25">
      <c r="A328" s="1"/>
      <c r="BP328"/>
      <c r="BR328"/>
    </row>
    <row r="329" spans="1:70" x14ac:dyDescent="0.25">
      <c r="A329" s="1"/>
      <c r="BP329"/>
      <c r="BR329"/>
    </row>
    <row r="330" spans="1:70" x14ac:dyDescent="0.25">
      <c r="A330" s="1"/>
      <c r="BP330"/>
      <c r="BR330"/>
    </row>
    <row r="331" spans="1:70" x14ac:dyDescent="0.25">
      <c r="A331" s="1"/>
      <c r="BP331"/>
      <c r="BR331"/>
    </row>
    <row r="332" spans="1:70" x14ac:dyDescent="0.25">
      <c r="A332" s="1"/>
      <c r="BP332"/>
      <c r="BR332"/>
    </row>
    <row r="333" spans="1:70" x14ac:dyDescent="0.25">
      <c r="A333" s="1"/>
      <c r="BP333"/>
      <c r="BR333"/>
    </row>
    <row r="334" spans="1:70" x14ac:dyDescent="0.25">
      <c r="A334" s="1"/>
      <c r="BP334"/>
      <c r="BR334"/>
    </row>
    <row r="335" spans="1:70" x14ac:dyDescent="0.25">
      <c r="A335" s="1"/>
      <c r="BP335"/>
      <c r="BR335"/>
    </row>
    <row r="336" spans="1:70" x14ac:dyDescent="0.25">
      <c r="A336" s="1"/>
      <c r="BP336"/>
      <c r="BR336"/>
    </row>
    <row r="337" spans="1:70" x14ac:dyDescent="0.25">
      <c r="A337" s="1"/>
      <c r="BP337"/>
      <c r="BR337"/>
    </row>
    <row r="338" spans="1:70" x14ac:dyDescent="0.25">
      <c r="A338" s="1"/>
      <c r="BP338"/>
      <c r="BR338"/>
    </row>
    <row r="339" spans="1:70" x14ac:dyDescent="0.25">
      <c r="A339" s="1"/>
      <c r="BP339"/>
      <c r="BR339"/>
    </row>
    <row r="340" spans="1:70" x14ac:dyDescent="0.25">
      <c r="A340" s="1"/>
      <c r="BP340"/>
      <c r="BR340"/>
    </row>
    <row r="341" spans="1:70" x14ac:dyDescent="0.25">
      <c r="A341" s="1"/>
      <c r="BP341"/>
      <c r="BR341"/>
    </row>
    <row r="342" spans="1:70" x14ac:dyDescent="0.25">
      <c r="A342" s="1"/>
      <c r="BP342"/>
      <c r="BR342"/>
    </row>
    <row r="343" spans="1:70" x14ac:dyDescent="0.25">
      <c r="A343" s="1"/>
      <c r="BP343"/>
      <c r="BR343"/>
    </row>
    <row r="344" spans="1:70" x14ac:dyDescent="0.25">
      <c r="A344" s="1"/>
      <c r="BP344"/>
      <c r="BR344"/>
    </row>
    <row r="345" spans="1:70" x14ac:dyDescent="0.25">
      <c r="A345" s="1"/>
      <c r="BP345"/>
      <c r="BR345"/>
    </row>
    <row r="346" spans="1:70" x14ac:dyDescent="0.25">
      <c r="A346" s="1"/>
      <c r="BP346"/>
      <c r="BR346"/>
    </row>
    <row r="347" spans="1:70" x14ac:dyDescent="0.25">
      <c r="A347" s="1"/>
      <c r="BP347"/>
      <c r="BR347"/>
    </row>
    <row r="348" spans="1:70" x14ac:dyDescent="0.25">
      <c r="A348" s="1"/>
      <c r="BP348"/>
      <c r="BR348"/>
    </row>
    <row r="349" spans="1:70" x14ac:dyDescent="0.25">
      <c r="A349" s="1"/>
      <c r="BP349"/>
      <c r="BR349"/>
    </row>
    <row r="350" spans="1:70" x14ac:dyDescent="0.25">
      <c r="A350" s="1"/>
      <c r="BP350"/>
      <c r="BR350"/>
    </row>
    <row r="351" spans="1:70" x14ac:dyDescent="0.25">
      <c r="A351" s="1"/>
      <c r="BP351"/>
      <c r="BR351"/>
    </row>
    <row r="352" spans="1:70" x14ac:dyDescent="0.25">
      <c r="A352" s="1"/>
      <c r="BP352"/>
      <c r="BR352"/>
    </row>
    <row r="353" spans="1:70" x14ac:dyDescent="0.25">
      <c r="A353" s="1"/>
      <c r="BP353"/>
      <c r="BR353"/>
    </row>
    <row r="354" spans="1:70" x14ac:dyDescent="0.25">
      <c r="A354" s="1"/>
      <c r="BP354"/>
      <c r="BR354"/>
    </row>
    <row r="355" spans="1:70" x14ac:dyDescent="0.25">
      <c r="A355" s="1"/>
      <c r="BP355"/>
      <c r="BR355"/>
    </row>
    <row r="356" spans="1:70" x14ac:dyDescent="0.25">
      <c r="A356" s="1"/>
      <c r="BP356"/>
      <c r="BR356"/>
    </row>
    <row r="357" spans="1:70" x14ac:dyDescent="0.25">
      <c r="A357" s="1"/>
      <c r="BP357"/>
      <c r="BR357"/>
    </row>
    <row r="358" spans="1:70" x14ac:dyDescent="0.25">
      <c r="A358" s="1"/>
      <c r="BP358"/>
      <c r="BR358"/>
    </row>
    <row r="359" spans="1:70" x14ac:dyDescent="0.25">
      <c r="A359" s="1"/>
      <c r="BP359"/>
      <c r="BR359"/>
    </row>
    <row r="360" spans="1:70" x14ac:dyDescent="0.25">
      <c r="A360" s="1"/>
      <c r="BP360"/>
      <c r="BR360"/>
    </row>
    <row r="361" spans="1:70" x14ac:dyDescent="0.25">
      <c r="A361" s="1"/>
      <c r="BP361"/>
      <c r="BR361"/>
    </row>
    <row r="362" spans="1:70" x14ac:dyDescent="0.25">
      <c r="A362" s="1"/>
      <c r="BP362"/>
      <c r="BR362"/>
    </row>
    <row r="363" spans="1:70" x14ac:dyDescent="0.25">
      <c r="A363" s="1"/>
      <c r="BP363"/>
      <c r="BR363"/>
    </row>
    <row r="364" spans="1:70" x14ac:dyDescent="0.25">
      <c r="A364" s="1"/>
      <c r="BP364"/>
      <c r="BR364"/>
    </row>
    <row r="365" spans="1:70" x14ac:dyDescent="0.25">
      <c r="A365" s="1"/>
      <c r="BP365"/>
      <c r="BR365"/>
    </row>
    <row r="366" spans="1:70" x14ac:dyDescent="0.25">
      <c r="A366" s="1"/>
      <c r="BP366"/>
      <c r="BR366"/>
    </row>
    <row r="367" spans="1:70" x14ac:dyDescent="0.25">
      <c r="A367" s="1"/>
      <c r="BP367"/>
      <c r="BR367"/>
    </row>
    <row r="368" spans="1:70" x14ac:dyDescent="0.25">
      <c r="A368" s="1"/>
      <c r="BP368"/>
      <c r="BR368"/>
    </row>
    <row r="369" spans="1:70" x14ac:dyDescent="0.25">
      <c r="A369" s="1"/>
      <c r="BP369"/>
      <c r="BR369"/>
    </row>
    <row r="370" spans="1:70" x14ac:dyDescent="0.25">
      <c r="A370" s="1"/>
      <c r="BP370"/>
      <c r="BR370"/>
    </row>
    <row r="371" spans="1:70" x14ac:dyDescent="0.25">
      <c r="A371" s="1"/>
      <c r="BP371"/>
      <c r="BR371"/>
    </row>
    <row r="372" spans="1:70" x14ac:dyDescent="0.25">
      <c r="A372" s="1"/>
      <c r="BP372"/>
      <c r="BR372"/>
    </row>
    <row r="373" spans="1:70" x14ac:dyDescent="0.25">
      <c r="A373" s="1"/>
      <c r="BP373"/>
      <c r="BR373"/>
    </row>
    <row r="374" spans="1:70" x14ac:dyDescent="0.25">
      <c r="A374" s="1"/>
      <c r="BP374"/>
      <c r="BR374"/>
    </row>
    <row r="375" spans="1:70" x14ac:dyDescent="0.25">
      <c r="A375" s="1"/>
      <c r="BP375"/>
      <c r="BR375"/>
    </row>
    <row r="376" spans="1:70" x14ac:dyDescent="0.25">
      <c r="A376" s="1"/>
      <c r="BP376"/>
      <c r="BR376"/>
    </row>
    <row r="377" spans="1:70" x14ac:dyDescent="0.25">
      <c r="A377" s="1"/>
      <c r="BP377"/>
      <c r="BR377"/>
    </row>
    <row r="378" spans="1:70" x14ac:dyDescent="0.25">
      <c r="A378" s="1"/>
      <c r="BP378"/>
      <c r="BR378"/>
    </row>
    <row r="379" spans="1:70" x14ac:dyDescent="0.25">
      <c r="A379" s="1"/>
      <c r="BP379"/>
      <c r="BR379"/>
    </row>
    <row r="380" spans="1:70" x14ac:dyDescent="0.25">
      <c r="A380" s="1"/>
      <c r="BP380"/>
      <c r="BR380"/>
    </row>
    <row r="381" spans="1:70" x14ac:dyDescent="0.25">
      <c r="A381" s="1"/>
      <c r="BP381"/>
      <c r="BR381"/>
    </row>
    <row r="382" spans="1:70" x14ac:dyDescent="0.25">
      <c r="A382" s="1"/>
      <c r="BP382"/>
      <c r="BR382"/>
    </row>
    <row r="383" spans="1:70" x14ac:dyDescent="0.25">
      <c r="A383" s="1"/>
      <c r="BP383"/>
      <c r="BR383"/>
    </row>
    <row r="384" spans="1:70" x14ac:dyDescent="0.25">
      <c r="A384" s="1"/>
      <c r="BP384"/>
      <c r="BR384"/>
    </row>
    <row r="385" spans="1:70" x14ac:dyDescent="0.25">
      <c r="A385" s="1"/>
      <c r="BP385"/>
      <c r="BR385"/>
    </row>
    <row r="386" spans="1:70" x14ac:dyDescent="0.25">
      <c r="A386" s="1"/>
      <c r="BP386"/>
      <c r="BR386"/>
    </row>
    <row r="387" spans="1:70" x14ac:dyDescent="0.25">
      <c r="A387" s="1"/>
      <c r="BP387"/>
      <c r="BR387"/>
    </row>
    <row r="388" spans="1:70" x14ac:dyDescent="0.25">
      <c r="A388" s="1"/>
      <c r="BP388"/>
      <c r="BR388"/>
    </row>
    <row r="389" spans="1:70" x14ac:dyDescent="0.25">
      <c r="A389" s="1"/>
      <c r="BP389"/>
      <c r="BR389"/>
    </row>
    <row r="390" spans="1:70" x14ac:dyDescent="0.25">
      <c r="A390" s="1"/>
      <c r="BP390"/>
      <c r="BR390"/>
    </row>
    <row r="391" spans="1:70" x14ac:dyDescent="0.25">
      <c r="A391" s="1"/>
      <c r="B391" s="2"/>
      <c r="BP391"/>
      <c r="BR391"/>
    </row>
    <row r="392" spans="1:70" x14ac:dyDescent="0.25">
      <c r="A392" s="1"/>
      <c r="BP392"/>
      <c r="BR392"/>
    </row>
    <row r="393" spans="1:70" x14ac:dyDescent="0.25">
      <c r="A393" s="1"/>
      <c r="BP393"/>
      <c r="BR393"/>
    </row>
    <row r="394" spans="1:70" x14ac:dyDescent="0.25">
      <c r="A394" s="1"/>
      <c r="BP394"/>
      <c r="BR394"/>
    </row>
    <row r="395" spans="1:70" x14ac:dyDescent="0.25">
      <c r="A395" s="1"/>
      <c r="BP395"/>
      <c r="BR395"/>
    </row>
    <row r="396" spans="1:70" x14ac:dyDescent="0.25">
      <c r="A396" s="1"/>
      <c r="BP396"/>
      <c r="BR396"/>
    </row>
    <row r="397" spans="1:70" x14ac:dyDescent="0.25">
      <c r="A397" s="1"/>
      <c r="BP397"/>
      <c r="BR397"/>
    </row>
    <row r="398" spans="1:70" x14ac:dyDescent="0.25">
      <c r="A398" s="1"/>
      <c r="BP398"/>
      <c r="BR398"/>
    </row>
    <row r="399" spans="1:70" x14ac:dyDescent="0.25">
      <c r="A399" s="1"/>
      <c r="BP399"/>
      <c r="BR399"/>
    </row>
    <row r="400" spans="1:70" x14ac:dyDescent="0.25">
      <c r="A400" s="1"/>
      <c r="BP400"/>
      <c r="BR400"/>
    </row>
    <row r="401" spans="1:70" x14ac:dyDescent="0.25">
      <c r="A401" s="1"/>
      <c r="BP401"/>
      <c r="BR401"/>
    </row>
    <row r="402" spans="1:70" x14ac:dyDescent="0.25">
      <c r="A402" s="1"/>
      <c r="BP402"/>
      <c r="BR402"/>
    </row>
    <row r="403" spans="1:70" x14ac:dyDescent="0.25">
      <c r="A403" s="1"/>
      <c r="BP403"/>
      <c r="BR403"/>
    </row>
    <row r="404" spans="1:70" x14ac:dyDescent="0.25">
      <c r="A404" s="1"/>
      <c r="BP404"/>
      <c r="BR404"/>
    </row>
    <row r="405" spans="1:70" x14ac:dyDescent="0.25">
      <c r="A405" s="1"/>
      <c r="B405" s="2"/>
      <c r="BP405"/>
      <c r="BR405"/>
    </row>
    <row r="406" spans="1:70" x14ac:dyDescent="0.25">
      <c r="A406" s="1"/>
      <c r="BP406"/>
      <c r="BR406"/>
    </row>
    <row r="407" spans="1:70" x14ac:dyDescent="0.25">
      <c r="A407" s="1"/>
      <c r="BP407"/>
      <c r="BR407"/>
    </row>
    <row r="408" spans="1:70" x14ac:dyDescent="0.25">
      <c r="A408" s="1"/>
      <c r="BP408"/>
      <c r="BR408"/>
    </row>
    <row r="409" spans="1:70" x14ac:dyDescent="0.25">
      <c r="A409" s="1"/>
      <c r="BP409"/>
      <c r="BR409"/>
    </row>
    <row r="410" spans="1:70" x14ac:dyDescent="0.25">
      <c r="A410" s="1"/>
      <c r="BP410"/>
      <c r="BR410"/>
    </row>
    <row r="411" spans="1:70" x14ac:dyDescent="0.25">
      <c r="A411" s="1"/>
      <c r="BP411"/>
      <c r="BR411"/>
    </row>
    <row r="412" spans="1:70" x14ac:dyDescent="0.25">
      <c r="A412" s="1"/>
      <c r="BP412"/>
      <c r="BR412"/>
    </row>
    <row r="413" spans="1:70" x14ac:dyDescent="0.25">
      <c r="A413" s="1"/>
      <c r="BP413"/>
      <c r="BR413"/>
    </row>
    <row r="414" spans="1:70" x14ac:dyDescent="0.25">
      <c r="A414" s="1"/>
      <c r="B414" s="2"/>
      <c r="BP414"/>
      <c r="BR414"/>
    </row>
    <row r="415" spans="1:70" x14ac:dyDescent="0.25">
      <c r="A415" s="1"/>
      <c r="BP415"/>
      <c r="BR415"/>
    </row>
    <row r="416" spans="1:70" x14ac:dyDescent="0.25">
      <c r="A416" s="1"/>
      <c r="BP416"/>
      <c r="BR416"/>
    </row>
    <row r="417" spans="1:70" x14ac:dyDescent="0.25">
      <c r="A417" s="1"/>
      <c r="BP417"/>
      <c r="BR417"/>
    </row>
    <row r="418" spans="1:70" x14ac:dyDescent="0.25">
      <c r="A418" s="1"/>
      <c r="BP418"/>
      <c r="BR418"/>
    </row>
    <row r="419" spans="1:70" x14ac:dyDescent="0.25">
      <c r="A419" s="1"/>
      <c r="BP419"/>
      <c r="BR419"/>
    </row>
    <row r="420" spans="1:70" x14ac:dyDescent="0.25">
      <c r="A420" s="1"/>
      <c r="B420" s="2"/>
      <c r="BP420"/>
      <c r="BR420"/>
    </row>
    <row r="421" spans="1:70" x14ac:dyDescent="0.25">
      <c r="A421" s="1"/>
      <c r="BP421"/>
      <c r="BR421"/>
    </row>
    <row r="422" spans="1:70" x14ac:dyDescent="0.25">
      <c r="A422" s="1"/>
      <c r="BP422"/>
      <c r="BR422"/>
    </row>
    <row r="423" spans="1:70" x14ac:dyDescent="0.25">
      <c r="A423" s="1"/>
      <c r="BP423"/>
      <c r="BR423"/>
    </row>
    <row r="424" spans="1:70" x14ac:dyDescent="0.25">
      <c r="A424" s="1"/>
      <c r="BP424"/>
      <c r="BR424"/>
    </row>
    <row r="425" spans="1:70" x14ac:dyDescent="0.25">
      <c r="A425" s="1"/>
      <c r="BP425"/>
      <c r="BR425"/>
    </row>
    <row r="426" spans="1:70" x14ac:dyDescent="0.25">
      <c r="A426" s="1"/>
      <c r="BP426"/>
      <c r="BR426"/>
    </row>
    <row r="427" spans="1:70" x14ac:dyDescent="0.25">
      <c r="A427" s="1"/>
      <c r="BP427"/>
      <c r="BR427"/>
    </row>
    <row r="428" spans="1:70" x14ac:dyDescent="0.25">
      <c r="A428" s="1"/>
      <c r="BP428"/>
      <c r="BR428"/>
    </row>
    <row r="429" spans="1:70" x14ac:dyDescent="0.25">
      <c r="A429" s="1"/>
      <c r="BP429"/>
      <c r="BR429"/>
    </row>
    <row r="430" spans="1:70" x14ac:dyDescent="0.25">
      <c r="A430" s="1"/>
      <c r="B430" s="2"/>
      <c r="BP430"/>
      <c r="BR430"/>
    </row>
    <row r="431" spans="1:70" x14ac:dyDescent="0.25">
      <c r="A431" s="1"/>
      <c r="BP431"/>
      <c r="BR431"/>
    </row>
    <row r="432" spans="1:70" x14ac:dyDescent="0.25">
      <c r="A432" s="1"/>
      <c r="BP432"/>
      <c r="BR432"/>
    </row>
    <row r="433" spans="1:70" x14ac:dyDescent="0.25">
      <c r="A433" s="1"/>
      <c r="BP433"/>
      <c r="BR433"/>
    </row>
    <row r="434" spans="1:70" x14ac:dyDescent="0.25">
      <c r="A434" s="1"/>
      <c r="BP434"/>
      <c r="BR434"/>
    </row>
    <row r="435" spans="1:70" x14ac:dyDescent="0.25">
      <c r="A435" s="1"/>
      <c r="BP435"/>
      <c r="BR435"/>
    </row>
    <row r="436" spans="1:70" x14ac:dyDescent="0.25">
      <c r="A436" s="1"/>
      <c r="B436" s="2"/>
      <c r="BP436"/>
      <c r="BR436"/>
    </row>
    <row r="437" spans="1:70" x14ac:dyDescent="0.25">
      <c r="A437" s="1"/>
      <c r="BP437"/>
      <c r="BR437"/>
    </row>
    <row r="438" spans="1:70" x14ac:dyDescent="0.25">
      <c r="A438" s="1"/>
      <c r="BP438"/>
      <c r="BR438"/>
    </row>
    <row r="439" spans="1:70" x14ac:dyDescent="0.25">
      <c r="A439" s="1"/>
      <c r="BP439"/>
      <c r="BR439"/>
    </row>
    <row r="440" spans="1:70" x14ac:dyDescent="0.25">
      <c r="A440" s="1"/>
      <c r="BP440"/>
      <c r="BR440"/>
    </row>
    <row r="441" spans="1:70" x14ac:dyDescent="0.25">
      <c r="A441" s="1"/>
      <c r="BP441"/>
      <c r="BR441"/>
    </row>
    <row r="442" spans="1:70" x14ac:dyDescent="0.25">
      <c r="A442" s="1"/>
      <c r="BP442"/>
      <c r="BR442"/>
    </row>
    <row r="443" spans="1:70" x14ac:dyDescent="0.25">
      <c r="A443" s="1"/>
      <c r="BP443"/>
      <c r="BR443"/>
    </row>
    <row r="444" spans="1:70" x14ac:dyDescent="0.25">
      <c r="A444" s="1"/>
      <c r="BP444"/>
      <c r="BR444"/>
    </row>
    <row r="445" spans="1:70" x14ac:dyDescent="0.25">
      <c r="A445" s="1"/>
      <c r="BP445"/>
      <c r="BR445"/>
    </row>
    <row r="446" spans="1:70" x14ac:dyDescent="0.25">
      <c r="A446" s="1"/>
      <c r="B446" s="2"/>
      <c r="BP446"/>
      <c r="BR446"/>
    </row>
    <row r="447" spans="1:70" x14ac:dyDescent="0.25">
      <c r="A447" s="1"/>
      <c r="BP447"/>
      <c r="BR447"/>
    </row>
    <row r="448" spans="1:70" x14ac:dyDescent="0.25">
      <c r="A448" s="1"/>
      <c r="BP448"/>
      <c r="BR448"/>
    </row>
    <row r="449" spans="1:70" x14ac:dyDescent="0.25">
      <c r="A449" s="1"/>
      <c r="BP449"/>
      <c r="BR449"/>
    </row>
    <row r="450" spans="1:70" x14ac:dyDescent="0.25">
      <c r="A450" s="1"/>
      <c r="BP450"/>
      <c r="BR450"/>
    </row>
    <row r="451" spans="1:70" x14ac:dyDescent="0.25">
      <c r="A451" s="1"/>
      <c r="BP451"/>
      <c r="BR451"/>
    </row>
    <row r="452" spans="1:70" x14ac:dyDescent="0.25">
      <c r="A452" s="1"/>
      <c r="B452" s="2"/>
      <c r="BP452"/>
      <c r="BR452"/>
    </row>
    <row r="453" spans="1:70" x14ac:dyDescent="0.25">
      <c r="A453" s="1"/>
      <c r="BP453"/>
      <c r="BR453"/>
    </row>
    <row r="454" spans="1:70" x14ac:dyDescent="0.25">
      <c r="A454" s="1"/>
      <c r="BP454"/>
      <c r="BR454"/>
    </row>
    <row r="455" spans="1:70" x14ac:dyDescent="0.25">
      <c r="A455" s="1"/>
      <c r="BP455"/>
      <c r="BR455"/>
    </row>
    <row r="456" spans="1:70" x14ac:dyDescent="0.25">
      <c r="A456" s="1"/>
      <c r="BP456"/>
      <c r="BR456"/>
    </row>
    <row r="457" spans="1:70" x14ac:dyDescent="0.25">
      <c r="A457" s="1"/>
      <c r="BP457"/>
      <c r="BR457"/>
    </row>
    <row r="458" spans="1:70" x14ac:dyDescent="0.25">
      <c r="A458" s="1"/>
      <c r="BP458"/>
      <c r="BR458"/>
    </row>
    <row r="459" spans="1:70" x14ac:dyDescent="0.25">
      <c r="A459" s="1"/>
      <c r="BP459"/>
      <c r="BR459"/>
    </row>
    <row r="460" spans="1:70" x14ac:dyDescent="0.25">
      <c r="A460" s="1"/>
      <c r="BP460"/>
      <c r="BR460"/>
    </row>
    <row r="461" spans="1:70" x14ac:dyDescent="0.25">
      <c r="A461" s="1"/>
      <c r="BP461"/>
      <c r="BR461"/>
    </row>
    <row r="462" spans="1:70" x14ac:dyDescent="0.25">
      <c r="A462" s="1"/>
      <c r="BP462"/>
      <c r="BR462"/>
    </row>
    <row r="463" spans="1:70" x14ac:dyDescent="0.25">
      <c r="A463" s="1"/>
      <c r="BP463"/>
      <c r="BR463"/>
    </row>
    <row r="464" spans="1:70" x14ac:dyDescent="0.25">
      <c r="A464" s="1"/>
      <c r="BP464"/>
      <c r="BR464"/>
    </row>
    <row r="465" spans="1:70" x14ac:dyDescent="0.25">
      <c r="A465" s="1"/>
      <c r="BP465"/>
      <c r="BR465"/>
    </row>
    <row r="466" spans="1:70" x14ac:dyDescent="0.25">
      <c r="A466" s="1"/>
      <c r="BP466"/>
      <c r="BR466"/>
    </row>
    <row r="467" spans="1:70" x14ac:dyDescent="0.25">
      <c r="A467" s="1"/>
      <c r="BP467"/>
      <c r="BR467"/>
    </row>
    <row r="468" spans="1:70" x14ac:dyDescent="0.25">
      <c r="A468" s="1"/>
      <c r="BP468"/>
      <c r="BR468"/>
    </row>
    <row r="469" spans="1:70" x14ac:dyDescent="0.25">
      <c r="A469" s="1"/>
      <c r="BP469"/>
      <c r="BR469"/>
    </row>
    <row r="470" spans="1:70" x14ac:dyDescent="0.25">
      <c r="A470" s="1"/>
      <c r="BP470"/>
      <c r="BR470"/>
    </row>
    <row r="471" spans="1:70" x14ac:dyDescent="0.25">
      <c r="A471" s="1"/>
      <c r="BP471"/>
      <c r="BR471"/>
    </row>
    <row r="472" spans="1:70" x14ac:dyDescent="0.25">
      <c r="A472" s="1"/>
      <c r="BP472"/>
      <c r="BR472"/>
    </row>
    <row r="473" spans="1:70" x14ac:dyDescent="0.25">
      <c r="A473" s="1"/>
      <c r="BP473"/>
      <c r="BR473"/>
    </row>
    <row r="474" spans="1:70" x14ac:dyDescent="0.25">
      <c r="A474" s="1"/>
      <c r="BP474"/>
      <c r="BR474"/>
    </row>
    <row r="475" spans="1:70" x14ac:dyDescent="0.25">
      <c r="A475" s="1"/>
      <c r="BP475"/>
      <c r="BR475"/>
    </row>
    <row r="476" spans="1:70" x14ac:dyDescent="0.25">
      <c r="A476" s="1"/>
      <c r="BP476"/>
      <c r="BR476"/>
    </row>
    <row r="477" spans="1:70" x14ac:dyDescent="0.25">
      <c r="A477" s="1"/>
      <c r="BP477"/>
      <c r="BR477"/>
    </row>
    <row r="478" spans="1:70" x14ac:dyDescent="0.25">
      <c r="A478" s="1"/>
      <c r="BP478"/>
      <c r="BR478"/>
    </row>
    <row r="479" spans="1:70" x14ac:dyDescent="0.25">
      <c r="A479" s="1"/>
      <c r="BP479"/>
      <c r="BR479"/>
    </row>
    <row r="480" spans="1:70" x14ac:dyDescent="0.25">
      <c r="A480" s="1"/>
      <c r="BP480"/>
      <c r="BR480"/>
    </row>
    <row r="481" spans="1:70" x14ac:dyDescent="0.25">
      <c r="A481" s="1"/>
      <c r="BP481"/>
      <c r="BR481"/>
    </row>
    <row r="482" spans="1:70" x14ac:dyDescent="0.25">
      <c r="A482" s="1"/>
      <c r="BP482"/>
      <c r="BR482"/>
    </row>
    <row r="483" spans="1:70" x14ac:dyDescent="0.25">
      <c r="A483" s="1"/>
      <c r="BP483"/>
      <c r="BR483"/>
    </row>
    <row r="484" spans="1:70" x14ac:dyDescent="0.25">
      <c r="A484" s="1"/>
      <c r="BP484"/>
      <c r="BR484"/>
    </row>
    <row r="485" spans="1:70" x14ac:dyDescent="0.25">
      <c r="A485" s="1"/>
      <c r="BP485"/>
      <c r="BR485"/>
    </row>
    <row r="486" spans="1:70" x14ac:dyDescent="0.25">
      <c r="A486" s="1"/>
      <c r="BP486"/>
      <c r="BR486"/>
    </row>
    <row r="487" spans="1:70" x14ac:dyDescent="0.25">
      <c r="A487" s="1"/>
      <c r="BP487"/>
      <c r="BR487"/>
    </row>
    <row r="488" spans="1:70" x14ac:dyDescent="0.25">
      <c r="A488" s="1"/>
      <c r="BP488"/>
      <c r="BR488"/>
    </row>
    <row r="489" spans="1:70" x14ac:dyDescent="0.25">
      <c r="A489" s="1"/>
      <c r="BP489"/>
      <c r="BR489"/>
    </row>
    <row r="490" spans="1:70" x14ac:dyDescent="0.25">
      <c r="A490" s="1"/>
      <c r="BP490"/>
      <c r="BR490"/>
    </row>
    <row r="491" spans="1:70" x14ac:dyDescent="0.25">
      <c r="A491" s="1"/>
      <c r="BP491"/>
      <c r="BR491"/>
    </row>
    <row r="492" spans="1:70" x14ac:dyDescent="0.25">
      <c r="A492" s="1"/>
      <c r="BP492"/>
      <c r="BR492"/>
    </row>
    <row r="493" spans="1:70" x14ac:dyDescent="0.25">
      <c r="A493" s="1"/>
      <c r="BP493"/>
      <c r="BR493"/>
    </row>
    <row r="494" spans="1:70" x14ac:dyDescent="0.25">
      <c r="A494" s="1"/>
      <c r="BP494"/>
      <c r="BR494"/>
    </row>
    <row r="495" spans="1:70" x14ac:dyDescent="0.25">
      <c r="A495" s="1"/>
      <c r="BP495"/>
      <c r="BR495"/>
    </row>
    <row r="496" spans="1:70" x14ac:dyDescent="0.25">
      <c r="A496" s="1"/>
      <c r="BP496"/>
      <c r="BR496"/>
    </row>
    <row r="497" spans="1:70" x14ac:dyDescent="0.25">
      <c r="A497" s="1"/>
      <c r="BP497"/>
      <c r="BR497"/>
    </row>
    <row r="498" spans="1:70" x14ac:dyDescent="0.25">
      <c r="A498" s="1"/>
      <c r="BP498"/>
      <c r="BR498"/>
    </row>
    <row r="499" spans="1:70" x14ac:dyDescent="0.25">
      <c r="A499" s="1"/>
      <c r="BP499"/>
      <c r="BR499"/>
    </row>
    <row r="500" spans="1:70" x14ac:dyDescent="0.25">
      <c r="A500" s="1"/>
      <c r="BP500"/>
      <c r="BR500"/>
    </row>
    <row r="501" spans="1:70" x14ac:dyDescent="0.25">
      <c r="A501" s="1"/>
      <c r="BP501"/>
      <c r="BR501"/>
    </row>
    <row r="502" spans="1:70" x14ac:dyDescent="0.25">
      <c r="A502" s="1"/>
      <c r="BP502"/>
      <c r="BR502"/>
    </row>
    <row r="503" spans="1:70" x14ac:dyDescent="0.25">
      <c r="A503" s="1"/>
      <c r="BP503"/>
      <c r="BR503"/>
    </row>
    <row r="504" spans="1:70" x14ac:dyDescent="0.25">
      <c r="A504" s="1"/>
      <c r="BP504"/>
      <c r="BR504"/>
    </row>
    <row r="505" spans="1:70" x14ac:dyDescent="0.25">
      <c r="A505" s="1"/>
      <c r="BP505"/>
      <c r="BR505"/>
    </row>
    <row r="506" spans="1:70" x14ac:dyDescent="0.25">
      <c r="A506" s="1"/>
      <c r="BP506"/>
      <c r="BR506"/>
    </row>
    <row r="507" spans="1:70" x14ac:dyDescent="0.25">
      <c r="A507" s="1"/>
      <c r="BP507"/>
      <c r="BR507"/>
    </row>
    <row r="508" spans="1:70" x14ac:dyDescent="0.25">
      <c r="A508" s="1"/>
      <c r="BP508"/>
      <c r="BR508"/>
    </row>
    <row r="509" spans="1:70" x14ac:dyDescent="0.25">
      <c r="A509" s="1"/>
      <c r="BP509"/>
      <c r="BR509"/>
    </row>
    <row r="510" spans="1:70" x14ac:dyDescent="0.25">
      <c r="A510" s="1"/>
      <c r="BP510"/>
      <c r="BR510"/>
    </row>
    <row r="511" spans="1:70" x14ac:dyDescent="0.25">
      <c r="A511" s="1"/>
      <c r="BP511"/>
      <c r="BR511"/>
    </row>
    <row r="512" spans="1:70" x14ac:dyDescent="0.25">
      <c r="A512" s="1"/>
      <c r="BP512"/>
      <c r="BR512"/>
    </row>
    <row r="513" spans="1:70" x14ac:dyDescent="0.25">
      <c r="A513" s="1"/>
      <c r="BP513"/>
      <c r="BR513"/>
    </row>
    <row r="514" spans="1:70" x14ac:dyDescent="0.25">
      <c r="A514" s="1"/>
      <c r="BP514"/>
      <c r="BR514"/>
    </row>
    <row r="515" spans="1:70" x14ac:dyDescent="0.25">
      <c r="A515" s="1"/>
      <c r="BP515"/>
      <c r="BR515"/>
    </row>
    <row r="516" spans="1:70" x14ac:dyDescent="0.25">
      <c r="A516" s="1"/>
      <c r="BP516"/>
      <c r="BR516"/>
    </row>
    <row r="517" spans="1:70" x14ac:dyDescent="0.25">
      <c r="A517" s="1"/>
      <c r="BP517"/>
      <c r="BR517"/>
    </row>
    <row r="518" spans="1:70" x14ac:dyDescent="0.25">
      <c r="A518" s="1"/>
      <c r="BP518"/>
      <c r="BR518"/>
    </row>
    <row r="519" spans="1:70" x14ac:dyDescent="0.25">
      <c r="A519" s="1"/>
      <c r="BP519"/>
      <c r="BR519"/>
    </row>
    <row r="520" spans="1:70" x14ac:dyDescent="0.25">
      <c r="A520" s="1"/>
      <c r="BP520"/>
      <c r="BR520"/>
    </row>
    <row r="521" spans="1:70" x14ac:dyDescent="0.25">
      <c r="A521" s="1"/>
      <c r="BP521"/>
      <c r="BR521"/>
    </row>
    <row r="522" spans="1:70" x14ac:dyDescent="0.25">
      <c r="A522" s="1"/>
      <c r="BP522"/>
      <c r="BR522"/>
    </row>
    <row r="523" spans="1:70" x14ac:dyDescent="0.25">
      <c r="A523" s="1"/>
      <c r="BP523"/>
      <c r="BR523"/>
    </row>
    <row r="524" spans="1:70" x14ac:dyDescent="0.25">
      <c r="A524" s="1"/>
      <c r="BP524"/>
      <c r="BR524"/>
    </row>
    <row r="525" spans="1:70" x14ac:dyDescent="0.25">
      <c r="A525" s="1"/>
      <c r="BP525"/>
      <c r="BR525"/>
    </row>
    <row r="526" spans="1:70" x14ac:dyDescent="0.25">
      <c r="A526" s="1"/>
      <c r="BP526"/>
      <c r="BR526"/>
    </row>
    <row r="527" spans="1:70" x14ac:dyDescent="0.25">
      <c r="A527" s="1"/>
      <c r="BP527"/>
      <c r="BR527"/>
    </row>
    <row r="528" spans="1:70" x14ac:dyDescent="0.25">
      <c r="A528" s="1"/>
      <c r="BP528"/>
      <c r="BR528"/>
    </row>
    <row r="529" spans="1:70" x14ac:dyDescent="0.25">
      <c r="A529" s="1"/>
      <c r="BP529"/>
      <c r="BR529"/>
    </row>
    <row r="530" spans="1:70" x14ac:dyDescent="0.25">
      <c r="A530" s="1"/>
      <c r="BP530"/>
      <c r="BR530"/>
    </row>
    <row r="531" spans="1:70" x14ac:dyDescent="0.25">
      <c r="A531" s="1"/>
      <c r="B531" s="2"/>
      <c r="BP531"/>
      <c r="BR531"/>
    </row>
    <row r="532" spans="1:70" x14ac:dyDescent="0.25">
      <c r="A532" s="1"/>
      <c r="BP532"/>
      <c r="BR532"/>
    </row>
    <row r="533" spans="1:70" x14ac:dyDescent="0.25">
      <c r="A533" s="1"/>
      <c r="BP533"/>
      <c r="BR533"/>
    </row>
    <row r="534" spans="1:70" x14ac:dyDescent="0.25">
      <c r="A534" s="1"/>
      <c r="BP534"/>
      <c r="BR534"/>
    </row>
    <row r="535" spans="1:70" x14ac:dyDescent="0.25">
      <c r="A535" s="1"/>
      <c r="BP535"/>
      <c r="BR535"/>
    </row>
    <row r="536" spans="1:70" x14ac:dyDescent="0.25">
      <c r="A536" s="1"/>
      <c r="BP536"/>
      <c r="BR536"/>
    </row>
    <row r="537" spans="1:70" x14ac:dyDescent="0.25">
      <c r="A537" s="1"/>
      <c r="BP537"/>
      <c r="BR537"/>
    </row>
    <row r="538" spans="1:70" x14ac:dyDescent="0.25">
      <c r="A538" s="1"/>
      <c r="BP538"/>
      <c r="BR538"/>
    </row>
    <row r="539" spans="1:70" x14ac:dyDescent="0.25">
      <c r="A539" s="1"/>
      <c r="BP539"/>
      <c r="BR539"/>
    </row>
    <row r="540" spans="1:70" x14ac:dyDescent="0.25">
      <c r="A540" s="1"/>
      <c r="BP540"/>
      <c r="BR540"/>
    </row>
    <row r="541" spans="1:70" x14ac:dyDescent="0.25">
      <c r="A541" s="1"/>
      <c r="BP541"/>
      <c r="BR541"/>
    </row>
    <row r="542" spans="1:70" x14ac:dyDescent="0.25">
      <c r="A542" s="1"/>
      <c r="BP542"/>
      <c r="BR542"/>
    </row>
    <row r="543" spans="1:70" x14ac:dyDescent="0.25">
      <c r="A543" s="1"/>
      <c r="BP543"/>
      <c r="BR543"/>
    </row>
    <row r="544" spans="1:70" x14ac:dyDescent="0.25">
      <c r="A544" s="1"/>
      <c r="B544" s="2"/>
      <c r="BP544"/>
      <c r="BR544"/>
    </row>
    <row r="545" spans="1:70" x14ac:dyDescent="0.25">
      <c r="A545" s="1"/>
      <c r="BP545"/>
      <c r="BR545"/>
    </row>
    <row r="546" spans="1:70" x14ac:dyDescent="0.25">
      <c r="A546" s="1"/>
      <c r="BP546"/>
      <c r="BR546"/>
    </row>
    <row r="547" spans="1:70" x14ac:dyDescent="0.25">
      <c r="A547" s="1"/>
      <c r="BP547"/>
      <c r="BR547"/>
    </row>
    <row r="548" spans="1:70" x14ac:dyDescent="0.25">
      <c r="A548" s="1"/>
      <c r="BP548"/>
      <c r="BR548"/>
    </row>
    <row r="549" spans="1:70" x14ac:dyDescent="0.25">
      <c r="A549" s="1"/>
      <c r="BP549"/>
      <c r="BR549"/>
    </row>
    <row r="550" spans="1:70" x14ac:dyDescent="0.25">
      <c r="A550" s="1"/>
      <c r="BP550"/>
      <c r="BR550"/>
    </row>
    <row r="551" spans="1:70" x14ac:dyDescent="0.25">
      <c r="A551" s="1"/>
      <c r="BP551"/>
      <c r="BR551"/>
    </row>
    <row r="552" spans="1:70" x14ac:dyDescent="0.25">
      <c r="A552" s="1"/>
      <c r="BP552"/>
      <c r="BR552"/>
    </row>
    <row r="553" spans="1:70" x14ac:dyDescent="0.25">
      <c r="A553" s="1"/>
      <c r="BP553"/>
      <c r="BR553"/>
    </row>
    <row r="554" spans="1:70" x14ac:dyDescent="0.25">
      <c r="A554" s="1"/>
      <c r="BP554"/>
      <c r="BR554"/>
    </row>
    <row r="555" spans="1:70" x14ac:dyDescent="0.25">
      <c r="A555" s="1"/>
      <c r="BP555"/>
      <c r="BR555"/>
    </row>
    <row r="556" spans="1:70" x14ac:dyDescent="0.25">
      <c r="A556" s="1"/>
      <c r="BP556"/>
      <c r="BR556"/>
    </row>
    <row r="557" spans="1:70" x14ac:dyDescent="0.25">
      <c r="A557" s="1"/>
      <c r="B557" s="2"/>
      <c r="BP557"/>
      <c r="BR557"/>
    </row>
    <row r="558" spans="1:70" x14ac:dyDescent="0.25">
      <c r="A558" s="1"/>
      <c r="BP558"/>
      <c r="BR558"/>
    </row>
    <row r="559" spans="1:70" x14ac:dyDescent="0.25">
      <c r="A559" s="1"/>
      <c r="BP559"/>
      <c r="BR559"/>
    </row>
    <row r="560" spans="1:70" x14ac:dyDescent="0.25">
      <c r="A560" s="1"/>
      <c r="BP560"/>
      <c r="BR560"/>
    </row>
    <row r="561" spans="1:70" x14ac:dyDescent="0.25">
      <c r="A561" s="1"/>
      <c r="BP561"/>
      <c r="BR561"/>
    </row>
    <row r="562" spans="1:70" x14ac:dyDescent="0.25">
      <c r="A562" s="1"/>
      <c r="BP562"/>
      <c r="BR562"/>
    </row>
    <row r="563" spans="1:70" x14ac:dyDescent="0.25">
      <c r="A563" s="1"/>
      <c r="BP563"/>
      <c r="BR563"/>
    </row>
    <row r="564" spans="1:70" x14ac:dyDescent="0.25">
      <c r="A564" s="1"/>
      <c r="BP564"/>
      <c r="BR564"/>
    </row>
    <row r="565" spans="1:70" x14ac:dyDescent="0.25">
      <c r="A565" s="1"/>
      <c r="BP565"/>
      <c r="BR565"/>
    </row>
    <row r="566" spans="1:70" x14ac:dyDescent="0.25">
      <c r="A566" s="1"/>
      <c r="BP566"/>
      <c r="BR566"/>
    </row>
    <row r="567" spans="1:70" x14ac:dyDescent="0.25">
      <c r="A567" s="1"/>
      <c r="BP567"/>
      <c r="BR567"/>
    </row>
    <row r="568" spans="1:70" x14ac:dyDescent="0.25">
      <c r="A568" s="1"/>
      <c r="BP568"/>
      <c r="BR568"/>
    </row>
    <row r="569" spans="1:70" x14ac:dyDescent="0.25">
      <c r="A569" s="1"/>
      <c r="BP569"/>
      <c r="BR569"/>
    </row>
    <row r="570" spans="1:70" x14ac:dyDescent="0.25">
      <c r="A570" s="1"/>
      <c r="B570" s="2"/>
      <c r="BP570"/>
      <c r="BR570"/>
    </row>
    <row r="571" spans="1:70" x14ac:dyDescent="0.25">
      <c r="A571" s="1"/>
      <c r="BP571"/>
      <c r="BR571"/>
    </row>
    <row r="572" spans="1:70" x14ac:dyDescent="0.25">
      <c r="A572" s="1"/>
      <c r="BP572"/>
      <c r="BR572"/>
    </row>
    <row r="573" spans="1:70" x14ac:dyDescent="0.25">
      <c r="A573" s="1"/>
      <c r="BP573"/>
      <c r="BR573"/>
    </row>
    <row r="574" spans="1:70" x14ac:dyDescent="0.25">
      <c r="A574" s="1"/>
      <c r="BP574"/>
      <c r="BR574"/>
    </row>
    <row r="575" spans="1:70" x14ac:dyDescent="0.25">
      <c r="A575" s="1"/>
      <c r="BP575"/>
      <c r="BR575"/>
    </row>
    <row r="576" spans="1:70" x14ac:dyDescent="0.25">
      <c r="A576" s="1"/>
      <c r="BP576"/>
      <c r="BR576"/>
    </row>
    <row r="577" spans="1:70" x14ac:dyDescent="0.25">
      <c r="A577" s="1"/>
      <c r="BP577"/>
      <c r="BR577"/>
    </row>
    <row r="578" spans="1:70" x14ac:dyDescent="0.25">
      <c r="A578" s="1"/>
      <c r="BP578"/>
      <c r="BR578"/>
    </row>
    <row r="579" spans="1:70" x14ac:dyDescent="0.25">
      <c r="A579" s="1"/>
      <c r="B579" s="2"/>
      <c r="BP579"/>
      <c r="BR579"/>
    </row>
    <row r="580" spans="1:70" x14ac:dyDescent="0.25">
      <c r="A580" s="1"/>
      <c r="BP580"/>
      <c r="BR580"/>
    </row>
    <row r="581" spans="1:70" x14ac:dyDescent="0.25">
      <c r="A581" s="1"/>
      <c r="BP581"/>
      <c r="BR581"/>
    </row>
    <row r="582" spans="1:70" x14ac:dyDescent="0.25">
      <c r="A582" s="1"/>
      <c r="BP582"/>
      <c r="BR582"/>
    </row>
    <row r="583" spans="1:70" x14ac:dyDescent="0.25">
      <c r="A583" s="1"/>
      <c r="BP583"/>
      <c r="BR583"/>
    </row>
    <row r="584" spans="1:70" x14ac:dyDescent="0.25">
      <c r="A584" s="1"/>
      <c r="BP584"/>
      <c r="BR584"/>
    </row>
    <row r="585" spans="1:70" x14ac:dyDescent="0.25">
      <c r="A585" s="1"/>
      <c r="B585" s="2"/>
      <c r="BP585"/>
      <c r="BR585"/>
    </row>
    <row r="586" spans="1:70" x14ac:dyDescent="0.25">
      <c r="A586" s="1"/>
      <c r="BP586"/>
      <c r="BR586"/>
    </row>
    <row r="587" spans="1:70" x14ac:dyDescent="0.25">
      <c r="A587" s="1"/>
      <c r="BP587"/>
      <c r="BR587"/>
    </row>
    <row r="588" spans="1:70" x14ac:dyDescent="0.25">
      <c r="A588" s="1"/>
      <c r="BP588"/>
      <c r="BR588"/>
    </row>
    <row r="589" spans="1:70" x14ac:dyDescent="0.25">
      <c r="A589" s="1"/>
      <c r="BP589"/>
      <c r="BR589"/>
    </row>
    <row r="590" spans="1:70" x14ac:dyDescent="0.25">
      <c r="A590" s="1"/>
      <c r="BP590"/>
      <c r="BR590"/>
    </row>
    <row r="591" spans="1:70" x14ac:dyDescent="0.25">
      <c r="A591" s="1"/>
      <c r="BP591"/>
      <c r="BR591"/>
    </row>
    <row r="592" spans="1:70" x14ac:dyDescent="0.25">
      <c r="A592" s="1"/>
      <c r="BP592"/>
      <c r="BR592"/>
    </row>
    <row r="593" spans="1:70" x14ac:dyDescent="0.25">
      <c r="A593" s="1"/>
      <c r="BP593"/>
      <c r="BR593"/>
    </row>
    <row r="594" spans="1:70" x14ac:dyDescent="0.25">
      <c r="A594" s="1"/>
      <c r="BP594"/>
      <c r="BR594"/>
    </row>
    <row r="595" spans="1:70" x14ac:dyDescent="0.25">
      <c r="A595" s="1"/>
      <c r="BP595"/>
      <c r="BR595"/>
    </row>
    <row r="596" spans="1:70" x14ac:dyDescent="0.25">
      <c r="A596" s="1"/>
      <c r="BP596"/>
      <c r="BR596"/>
    </row>
    <row r="597" spans="1:70" x14ac:dyDescent="0.25">
      <c r="A597" s="1"/>
      <c r="BP597"/>
      <c r="BR597"/>
    </row>
    <row r="598" spans="1:70" x14ac:dyDescent="0.25">
      <c r="A598" s="1"/>
      <c r="BP598"/>
      <c r="BR598"/>
    </row>
    <row r="599" spans="1:70" x14ac:dyDescent="0.25">
      <c r="A599" s="1"/>
      <c r="BP599"/>
      <c r="BR599"/>
    </row>
    <row r="600" spans="1:70" x14ac:dyDescent="0.25">
      <c r="A600" s="1"/>
      <c r="BP600"/>
      <c r="BR600"/>
    </row>
    <row r="601" spans="1:70" x14ac:dyDescent="0.25">
      <c r="A601" s="1"/>
      <c r="BP601"/>
      <c r="BR601"/>
    </row>
    <row r="602" spans="1:70" x14ac:dyDescent="0.25">
      <c r="A602" s="1"/>
      <c r="BP602"/>
      <c r="BR602"/>
    </row>
    <row r="603" spans="1:70" x14ac:dyDescent="0.25">
      <c r="A603" s="1"/>
      <c r="BP603"/>
      <c r="BR603"/>
    </row>
    <row r="604" spans="1:70" x14ac:dyDescent="0.25">
      <c r="A604" s="1"/>
      <c r="BP604"/>
      <c r="BR604"/>
    </row>
    <row r="605" spans="1:70" x14ac:dyDescent="0.25">
      <c r="A605" s="1"/>
      <c r="BP605"/>
      <c r="BR605"/>
    </row>
    <row r="606" spans="1:70" x14ac:dyDescent="0.25">
      <c r="A606" s="1"/>
      <c r="BP606"/>
      <c r="BR606"/>
    </row>
    <row r="607" spans="1:70" x14ac:dyDescent="0.25">
      <c r="A607" s="1"/>
      <c r="BP607"/>
      <c r="BR607"/>
    </row>
    <row r="608" spans="1:70" x14ac:dyDescent="0.25">
      <c r="A608" s="1"/>
      <c r="BP608"/>
      <c r="BR608"/>
    </row>
    <row r="609" spans="1:70" x14ac:dyDescent="0.25">
      <c r="A609" s="1"/>
      <c r="BP609"/>
      <c r="BR609"/>
    </row>
    <row r="610" spans="1:70" x14ac:dyDescent="0.25">
      <c r="A610" s="1"/>
      <c r="BP610"/>
      <c r="BR610"/>
    </row>
    <row r="611" spans="1:70" x14ac:dyDescent="0.25">
      <c r="A611" s="1"/>
      <c r="BP611"/>
      <c r="BR611"/>
    </row>
    <row r="612" spans="1:70" x14ac:dyDescent="0.25">
      <c r="A612" s="1"/>
      <c r="BP612"/>
      <c r="BR612"/>
    </row>
    <row r="613" spans="1:70" x14ac:dyDescent="0.25">
      <c r="A613" s="1"/>
      <c r="BP613"/>
      <c r="BR613"/>
    </row>
    <row r="614" spans="1:70" x14ac:dyDescent="0.25">
      <c r="A614" s="1"/>
      <c r="BP614"/>
      <c r="BR614"/>
    </row>
    <row r="615" spans="1:70" x14ac:dyDescent="0.25">
      <c r="A615" s="1"/>
      <c r="BP615"/>
      <c r="BR615"/>
    </row>
    <row r="616" spans="1:70" x14ac:dyDescent="0.25">
      <c r="A616" s="1"/>
      <c r="BP616"/>
      <c r="BR616"/>
    </row>
    <row r="617" spans="1:70" x14ac:dyDescent="0.25">
      <c r="A617" s="1"/>
      <c r="BP617"/>
      <c r="BR617"/>
    </row>
    <row r="618" spans="1:70" x14ac:dyDescent="0.25">
      <c r="A618" s="1"/>
      <c r="BP618"/>
      <c r="BR618"/>
    </row>
    <row r="619" spans="1:70" x14ac:dyDescent="0.25">
      <c r="A619" s="1"/>
      <c r="BP619"/>
      <c r="BR619"/>
    </row>
    <row r="620" spans="1:70" x14ac:dyDescent="0.25">
      <c r="A620" s="1"/>
      <c r="BP620"/>
      <c r="BR620"/>
    </row>
    <row r="621" spans="1:70" x14ac:dyDescent="0.25">
      <c r="A621" s="1"/>
      <c r="BP621"/>
      <c r="BR621"/>
    </row>
    <row r="622" spans="1:70" x14ac:dyDescent="0.25">
      <c r="A622" s="1"/>
      <c r="BP622"/>
      <c r="BR622"/>
    </row>
    <row r="623" spans="1:70" x14ac:dyDescent="0.25">
      <c r="A623" s="1"/>
      <c r="BP623"/>
      <c r="BR623"/>
    </row>
    <row r="624" spans="1:70" x14ac:dyDescent="0.25">
      <c r="A624" s="1"/>
      <c r="BP624"/>
      <c r="BR624"/>
    </row>
    <row r="625" spans="1:70" x14ac:dyDescent="0.25">
      <c r="A625" s="1"/>
      <c r="BP625"/>
      <c r="BR625"/>
    </row>
    <row r="626" spans="1:70" x14ac:dyDescent="0.25">
      <c r="A626" s="1"/>
      <c r="BP626"/>
      <c r="BR626"/>
    </row>
    <row r="627" spans="1:70" x14ac:dyDescent="0.25">
      <c r="A627" s="1"/>
      <c r="BP627"/>
      <c r="BR627"/>
    </row>
    <row r="628" spans="1:70" x14ac:dyDescent="0.25">
      <c r="A628" s="1"/>
      <c r="BP628"/>
      <c r="BR628"/>
    </row>
    <row r="629" spans="1:70" x14ac:dyDescent="0.25">
      <c r="A629" s="1"/>
      <c r="BP629"/>
      <c r="BR629"/>
    </row>
    <row r="630" spans="1:70" x14ac:dyDescent="0.25">
      <c r="A630" s="1"/>
      <c r="BP630"/>
      <c r="BR630"/>
    </row>
    <row r="631" spans="1:70" x14ac:dyDescent="0.25">
      <c r="A631" s="1"/>
      <c r="BP631"/>
      <c r="BR631"/>
    </row>
    <row r="632" spans="1:70" x14ac:dyDescent="0.25">
      <c r="A632" s="1"/>
      <c r="BP632"/>
      <c r="BR632"/>
    </row>
    <row r="633" spans="1:70" x14ac:dyDescent="0.25">
      <c r="A633" s="1"/>
      <c r="BP633"/>
      <c r="BR633"/>
    </row>
    <row r="634" spans="1:70" x14ac:dyDescent="0.25">
      <c r="A634" s="1"/>
      <c r="BP634"/>
      <c r="BR634"/>
    </row>
    <row r="635" spans="1:70" x14ac:dyDescent="0.25">
      <c r="A635" s="1"/>
      <c r="BP635"/>
      <c r="BR635"/>
    </row>
    <row r="636" spans="1:70" x14ac:dyDescent="0.25">
      <c r="A636" s="1"/>
      <c r="BP636"/>
      <c r="BR636"/>
    </row>
    <row r="637" spans="1:70" x14ac:dyDescent="0.25">
      <c r="A637" s="1"/>
      <c r="BP637"/>
      <c r="BR637"/>
    </row>
    <row r="638" spans="1:70" x14ac:dyDescent="0.25">
      <c r="A638" s="1"/>
      <c r="BP638"/>
      <c r="BR638"/>
    </row>
    <row r="639" spans="1:70" x14ac:dyDescent="0.25">
      <c r="A639" s="1"/>
      <c r="BP639"/>
      <c r="BR639"/>
    </row>
    <row r="640" spans="1:70" x14ac:dyDescent="0.25">
      <c r="A640" s="1"/>
      <c r="BP640"/>
      <c r="BR640"/>
    </row>
    <row r="641" spans="1:70" x14ac:dyDescent="0.25">
      <c r="A641" s="1"/>
      <c r="BP641"/>
      <c r="BR641"/>
    </row>
    <row r="642" spans="1:70" x14ac:dyDescent="0.25">
      <c r="A642" s="1"/>
      <c r="BP642"/>
      <c r="BR642"/>
    </row>
    <row r="643" spans="1:70" x14ac:dyDescent="0.25">
      <c r="A643" s="1"/>
      <c r="BP643"/>
      <c r="BR643"/>
    </row>
    <row r="644" spans="1:70" x14ac:dyDescent="0.25">
      <c r="A644" s="1"/>
      <c r="BP644"/>
      <c r="BR644"/>
    </row>
    <row r="645" spans="1:70" x14ac:dyDescent="0.25">
      <c r="A645" s="1"/>
      <c r="BP645"/>
      <c r="BR645"/>
    </row>
    <row r="646" spans="1:70" x14ac:dyDescent="0.25">
      <c r="A646" s="1"/>
      <c r="BP646"/>
      <c r="BR646"/>
    </row>
    <row r="647" spans="1:70" x14ac:dyDescent="0.25">
      <c r="A647" s="1"/>
      <c r="BP647"/>
      <c r="BR647"/>
    </row>
    <row r="648" spans="1:70" x14ac:dyDescent="0.25">
      <c r="A648" s="1"/>
      <c r="BP648"/>
      <c r="BR648"/>
    </row>
    <row r="649" spans="1:70" x14ac:dyDescent="0.25">
      <c r="A649" s="1"/>
      <c r="BP649"/>
      <c r="BR649"/>
    </row>
    <row r="650" spans="1:70" x14ac:dyDescent="0.25">
      <c r="A650" s="1"/>
      <c r="BP650"/>
      <c r="BR650"/>
    </row>
    <row r="651" spans="1:70" x14ac:dyDescent="0.25">
      <c r="A651" s="1"/>
      <c r="BP651"/>
      <c r="BR651"/>
    </row>
    <row r="652" spans="1:70" x14ac:dyDescent="0.25">
      <c r="A652" s="1"/>
      <c r="BP652"/>
      <c r="BR652"/>
    </row>
    <row r="653" spans="1:70" x14ac:dyDescent="0.25">
      <c r="A653" s="1"/>
      <c r="B653" s="2"/>
      <c r="BP653"/>
      <c r="BR653"/>
    </row>
    <row r="654" spans="1:70" x14ac:dyDescent="0.25">
      <c r="A654" s="1"/>
      <c r="BP654"/>
      <c r="BR654"/>
    </row>
    <row r="655" spans="1:70" x14ac:dyDescent="0.25">
      <c r="A655" s="1"/>
      <c r="BP655"/>
      <c r="BR655"/>
    </row>
    <row r="656" spans="1:70" x14ac:dyDescent="0.25">
      <c r="A656" s="1"/>
      <c r="BP656"/>
      <c r="BR656"/>
    </row>
    <row r="657" spans="1:70" x14ac:dyDescent="0.25">
      <c r="A657" s="1"/>
      <c r="BP657"/>
      <c r="BR657"/>
    </row>
    <row r="658" spans="1:70" x14ac:dyDescent="0.25">
      <c r="A658" s="1"/>
      <c r="BP658"/>
      <c r="BR658"/>
    </row>
    <row r="659" spans="1:70" x14ac:dyDescent="0.25">
      <c r="A659" s="1"/>
      <c r="B659" s="2"/>
      <c r="BP659"/>
      <c r="BR659"/>
    </row>
    <row r="660" spans="1:70" x14ac:dyDescent="0.25">
      <c r="A660" s="1"/>
      <c r="BP660"/>
      <c r="BR660"/>
    </row>
    <row r="661" spans="1:70" x14ac:dyDescent="0.25">
      <c r="A661" s="1"/>
      <c r="BP661"/>
      <c r="BR661"/>
    </row>
    <row r="662" spans="1:70" x14ac:dyDescent="0.25">
      <c r="A662" s="1"/>
      <c r="BP662"/>
      <c r="BR662"/>
    </row>
    <row r="663" spans="1:70" x14ac:dyDescent="0.25">
      <c r="A663" s="1"/>
      <c r="BP663"/>
      <c r="BR663"/>
    </row>
    <row r="664" spans="1:70" x14ac:dyDescent="0.25">
      <c r="A664" s="1"/>
      <c r="BP664"/>
      <c r="BR664"/>
    </row>
    <row r="665" spans="1:70" x14ac:dyDescent="0.25">
      <c r="A665" s="1"/>
      <c r="B665" s="2"/>
      <c r="BP665"/>
      <c r="BR665"/>
    </row>
    <row r="666" spans="1:70" x14ac:dyDescent="0.25">
      <c r="A666" s="1"/>
      <c r="BP666"/>
      <c r="BR666"/>
    </row>
    <row r="667" spans="1:70" x14ac:dyDescent="0.25">
      <c r="A667" s="1"/>
      <c r="BP667"/>
      <c r="BR667"/>
    </row>
    <row r="668" spans="1:70" x14ac:dyDescent="0.25">
      <c r="A668" s="1"/>
      <c r="BP668"/>
      <c r="BR668"/>
    </row>
    <row r="669" spans="1:70" x14ac:dyDescent="0.25">
      <c r="A669" s="1"/>
      <c r="BP669"/>
      <c r="BR669"/>
    </row>
    <row r="670" spans="1:70" x14ac:dyDescent="0.25">
      <c r="A670" s="1"/>
      <c r="BP670"/>
      <c r="BR670"/>
    </row>
    <row r="671" spans="1:70" x14ac:dyDescent="0.25">
      <c r="A671" s="1"/>
      <c r="BP671"/>
      <c r="BR671"/>
    </row>
    <row r="672" spans="1:70" x14ac:dyDescent="0.25">
      <c r="A672" s="1"/>
      <c r="B672" s="2"/>
      <c r="BP672"/>
      <c r="BR672"/>
    </row>
    <row r="673" spans="1:70" x14ac:dyDescent="0.25">
      <c r="A673" s="1"/>
      <c r="BP673"/>
      <c r="BR673"/>
    </row>
    <row r="674" spans="1:70" x14ac:dyDescent="0.25">
      <c r="A674" s="1"/>
      <c r="BP674"/>
      <c r="BR674"/>
    </row>
    <row r="675" spans="1:70" x14ac:dyDescent="0.25">
      <c r="A675" s="1"/>
      <c r="BP675"/>
      <c r="BR675"/>
    </row>
    <row r="676" spans="1:70" x14ac:dyDescent="0.25">
      <c r="A676" s="1"/>
      <c r="BP676"/>
      <c r="BR676"/>
    </row>
    <row r="677" spans="1:70" x14ac:dyDescent="0.25">
      <c r="A677" s="1"/>
      <c r="B677" s="2"/>
      <c r="BP677"/>
      <c r="BR677"/>
    </row>
    <row r="678" spans="1:70" x14ac:dyDescent="0.25">
      <c r="A678" s="1"/>
      <c r="BP678"/>
      <c r="BR678"/>
    </row>
    <row r="679" spans="1:70" x14ac:dyDescent="0.25">
      <c r="A679" s="1"/>
      <c r="BP679"/>
      <c r="BR679"/>
    </row>
    <row r="680" spans="1:70" x14ac:dyDescent="0.25">
      <c r="A680" s="1"/>
      <c r="B680" s="2"/>
      <c r="BP680"/>
      <c r="BR680"/>
    </row>
    <row r="681" spans="1:70" x14ac:dyDescent="0.25">
      <c r="A681" s="1"/>
      <c r="BP681"/>
      <c r="BR681"/>
    </row>
    <row r="682" spans="1:70" x14ac:dyDescent="0.25">
      <c r="A682" s="1"/>
      <c r="BP682"/>
      <c r="BR682"/>
    </row>
    <row r="683" spans="1:70" x14ac:dyDescent="0.25">
      <c r="A683" s="1"/>
      <c r="BP683"/>
      <c r="BR683"/>
    </row>
    <row r="684" spans="1:70" x14ac:dyDescent="0.25">
      <c r="A684" s="1"/>
      <c r="B684" s="2"/>
      <c r="BP684"/>
      <c r="BR684"/>
    </row>
    <row r="685" spans="1:70" x14ac:dyDescent="0.25">
      <c r="A685" s="1"/>
      <c r="BP685"/>
      <c r="BR685"/>
    </row>
    <row r="686" spans="1:70" x14ac:dyDescent="0.25">
      <c r="A686" s="1"/>
      <c r="BP686"/>
      <c r="BR686"/>
    </row>
    <row r="687" spans="1:70" x14ac:dyDescent="0.25">
      <c r="A687" s="1"/>
      <c r="BP687"/>
      <c r="BR687"/>
    </row>
    <row r="688" spans="1:70" x14ac:dyDescent="0.25">
      <c r="A688" s="1"/>
      <c r="B688" s="2"/>
      <c r="BP688"/>
      <c r="BR688"/>
    </row>
    <row r="689" spans="1:70" x14ac:dyDescent="0.25">
      <c r="A689" s="1"/>
      <c r="BP689"/>
      <c r="BR689"/>
    </row>
    <row r="690" spans="1:70" x14ac:dyDescent="0.25">
      <c r="A690" s="1"/>
      <c r="BP690"/>
      <c r="BR690"/>
    </row>
    <row r="691" spans="1:70" x14ac:dyDescent="0.25">
      <c r="A691" s="1"/>
      <c r="BP691"/>
      <c r="BR691"/>
    </row>
    <row r="692" spans="1:70" x14ac:dyDescent="0.25">
      <c r="A692" s="1"/>
      <c r="B692" s="2"/>
      <c r="BP692"/>
      <c r="BR692"/>
    </row>
    <row r="693" spans="1:70" x14ac:dyDescent="0.25">
      <c r="A693" s="1"/>
      <c r="BP693"/>
      <c r="BR693"/>
    </row>
    <row r="694" spans="1:70" x14ac:dyDescent="0.25">
      <c r="A694" s="1"/>
      <c r="BP694"/>
      <c r="BR694"/>
    </row>
    <row r="695" spans="1:70" x14ac:dyDescent="0.25">
      <c r="A695" s="1"/>
      <c r="BP695"/>
      <c r="BR695"/>
    </row>
    <row r="696" spans="1:70" x14ac:dyDescent="0.25">
      <c r="A696" s="1"/>
      <c r="B696" s="2"/>
      <c r="BP696"/>
      <c r="BR696"/>
    </row>
    <row r="697" spans="1:70" x14ac:dyDescent="0.25">
      <c r="A697" s="1"/>
      <c r="BP697"/>
      <c r="BR697"/>
    </row>
    <row r="698" spans="1:70" x14ac:dyDescent="0.25">
      <c r="A698" s="1"/>
      <c r="BP698"/>
      <c r="BR698"/>
    </row>
    <row r="699" spans="1:70" x14ac:dyDescent="0.25">
      <c r="A699" s="1"/>
      <c r="BP699"/>
      <c r="BR699"/>
    </row>
    <row r="700" spans="1:70" x14ac:dyDescent="0.25">
      <c r="A700" s="1"/>
      <c r="B700" s="2"/>
      <c r="BP700"/>
      <c r="BR700"/>
    </row>
    <row r="701" spans="1:70" x14ac:dyDescent="0.25">
      <c r="A701" s="1"/>
      <c r="BP701"/>
      <c r="BR701"/>
    </row>
    <row r="702" spans="1:70" x14ac:dyDescent="0.25">
      <c r="A702" s="1"/>
      <c r="BP702"/>
      <c r="BR702"/>
    </row>
    <row r="703" spans="1:70" x14ac:dyDescent="0.25">
      <c r="A703" s="1"/>
      <c r="BP703"/>
      <c r="BR703"/>
    </row>
    <row r="704" spans="1:70" x14ac:dyDescent="0.25">
      <c r="A704" s="1"/>
      <c r="BP704"/>
      <c r="BR704"/>
    </row>
    <row r="705" spans="1:70" x14ac:dyDescent="0.25">
      <c r="A705" s="1"/>
      <c r="BP705"/>
      <c r="BR705"/>
    </row>
    <row r="706" spans="1:70" x14ac:dyDescent="0.25">
      <c r="A706" s="1"/>
      <c r="BP706"/>
      <c r="BR706"/>
    </row>
    <row r="707" spans="1:70" x14ac:dyDescent="0.25">
      <c r="A707" s="1"/>
      <c r="BP707"/>
      <c r="BR707"/>
    </row>
    <row r="708" spans="1:70" x14ac:dyDescent="0.25">
      <c r="A708" s="1"/>
      <c r="BP708"/>
      <c r="BR708"/>
    </row>
    <row r="709" spans="1:70" x14ac:dyDescent="0.25">
      <c r="A709" s="1"/>
      <c r="BP709"/>
      <c r="BR709"/>
    </row>
    <row r="710" spans="1:70" x14ac:dyDescent="0.25">
      <c r="A710" s="1"/>
      <c r="BP710"/>
      <c r="BR710"/>
    </row>
    <row r="711" spans="1:70" x14ac:dyDescent="0.25">
      <c r="A711" s="1"/>
      <c r="BP711"/>
      <c r="BR711"/>
    </row>
    <row r="712" spans="1:70" x14ac:dyDescent="0.25">
      <c r="A712" s="1"/>
      <c r="BP712"/>
      <c r="BR712"/>
    </row>
    <row r="713" spans="1:70" x14ac:dyDescent="0.25">
      <c r="A713" s="1"/>
      <c r="BP713"/>
      <c r="BR713"/>
    </row>
    <row r="714" spans="1:70" x14ac:dyDescent="0.25">
      <c r="A714" s="1"/>
      <c r="BP714"/>
      <c r="BR714"/>
    </row>
    <row r="715" spans="1:70" x14ac:dyDescent="0.25">
      <c r="A715" s="1"/>
      <c r="BP715"/>
      <c r="BR715"/>
    </row>
    <row r="716" spans="1:70" x14ac:dyDescent="0.25">
      <c r="A716" s="1"/>
      <c r="BP716"/>
      <c r="BR716"/>
    </row>
    <row r="717" spans="1:70" x14ac:dyDescent="0.25">
      <c r="A717" s="1"/>
      <c r="BP717"/>
      <c r="BR717"/>
    </row>
    <row r="718" spans="1:70" x14ac:dyDescent="0.25">
      <c r="A718" s="1"/>
      <c r="BP718"/>
      <c r="BR718"/>
    </row>
    <row r="719" spans="1:70" x14ac:dyDescent="0.25">
      <c r="A719" s="1"/>
      <c r="BP719"/>
      <c r="BR719"/>
    </row>
    <row r="720" spans="1:70" x14ac:dyDescent="0.25">
      <c r="A720" s="1"/>
      <c r="BP720"/>
      <c r="BR720"/>
    </row>
    <row r="721" spans="1:70" x14ac:dyDescent="0.25">
      <c r="A721" s="1"/>
      <c r="BP721"/>
      <c r="BR721"/>
    </row>
    <row r="722" spans="1:70" x14ac:dyDescent="0.25">
      <c r="A722" s="1"/>
      <c r="BP722"/>
      <c r="BR722"/>
    </row>
    <row r="723" spans="1:70" x14ac:dyDescent="0.25">
      <c r="A723" s="1"/>
      <c r="BP723"/>
      <c r="BR723"/>
    </row>
    <row r="724" spans="1:70" x14ac:dyDescent="0.25">
      <c r="A724" s="1"/>
      <c r="BP724"/>
      <c r="BR724"/>
    </row>
    <row r="725" spans="1:70" x14ac:dyDescent="0.25">
      <c r="A725" s="1"/>
      <c r="BP725"/>
      <c r="BR725"/>
    </row>
    <row r="726" spans="1:70" x14ac:dyDescent="0.25">
      <c r="A726" s="1"/>
      <c r="BP726"/>
      <c r="BR726"/>
    </row>
    <row r="727" spans="1:70" x14ac:dyDescent="0.25">
      <c r="A727" s="1"/>
      <c r="BP727"/>
      <c r="BR727"/>
    </row>
    <row r="728" spans="1:70" x14ac:dyDescent="0.25">
      <c r="A728" s="1"/>
      <c r="BP728"/>
      <c r="BR728"/>
    </row>
    <row r="729" spans="1:70" x14ac:dyDescent="0.25">
      <c r="A729" s="1"/>
      <c r="BP729"/>
      <c r="BR729"/>
    </row>
    <row r="730" spans="1:70" x14ac:dyDescent="0.25">
      <c r="A730" s="1"/>
      <c r="BP730"/>
      <c r="BR730"/>
    </row>
    <row r="731" spans="1:70" x14ac:dyDescent="0.25">
      <c r="A731" s="1"/>
      <c r="BP731"/>
      <c r="BR731"/>
    </row>
    <row r="732" spans="1:70" x14ac:dyDescent="0.25">
      <c r="A732" s="1"/>
      <c r="BP732"/>
      <c r="BR732"/>
    </row>
    <row r="733" spans="1:70" x14ac:dyDescent="0.25">
      <c r="A733" s="1"/>
      <c r="BP733"/>
      <c r="BR733"/>
    </row>
    <row r="734" spans="1:70" x14ac:dyDescent="0.25">
      <c r="A734" s="1"/>
      <c r="BP734"/>
      <c r="BR734"/>
    </row>
    <row r="735" spans="1:70" x14ac:dyDescent="0.25">
      <c r="A735" s="1"/>
      <c r="BP735"/>
      <c r="BR735"/>
    </row>
    <row r="736" spans="1:70" x14ac:dyDescent="0.25">
      <c r="A736" s="1"/>
      <c r="BP736"/>
      <c r="BR736"/>
    </row>
    <row r="737" spans="1:70" x14ac:dyDescent="0.25">
      <c r="A737" s="1"/>
      <c r="BP737"/>
      <c r="BR737"/>
    </row>
    <row r="738" spans="1:70" x14ac:dyDescent="0.25">
      <c r="A738" s="1"/>
      <c r="BP738"/>
      <c r="BR738"/>
    </row>
    <row r="739" spans="1:70" x14ac:dyDescent="0.25">
      <c r="A739" s="1"/>
      <c r="BP739"/>
      <c r="BR739"/>
    </row>
    <row r="740" spans="1:70" x14ac:dyDescent="0.25">
      <c r="A740" s="1"/>
      <c r="BP740"/>
      <c r="BR740"/>
    </row>
    <row r="741" spans="1:70" x14ac:dyDescent="0.25">
      <c r="A741" s="1"/>
      <c r="BP741"/>
      <c r="BR741"/>
    </row>
    <row r="742" spans="1:70" x14ac:dyDescent="0.25">
      <c r="A742" s="1"/>
      <c r="B742" s="2"/>
      <c r="BP742"/>
      <c r="BR742"/>
    </row>
    <row r="743" spans="1:70" x14ac:dyDescent="0.25">
      <c r="A743" s="1"/>
      <c r="BP743"/>
      <c r="BR743"/>
    </row>
    <row r="744" spans="1:70" x14ac:dyDescent="0.25">
      <c r="A744" s="1"/>
      <c r="BP744"/>
      <c r="BR744"/>
    </row>
    <row r="745" spans="1:70" x14ac:dyDescent="0.25">
      <c r="A745" s="1"/>
      <c r="BP745"/>
      <c r="BR745"/>
    </row>
    <row r="746" spans="1:70" x14ac:dyDescent="0.25">
      <c r="A746" s="1"/>
      <c r="BP746"/>
      <c r="BR746"/>
    </row>
    <row r="747" spans="1:70" x14ac:dyDescent="0.25">
      <c r="A747" s="1"/>
      <c r="BP747"/>
      <c r="BR747"/>
    </row>
    <row r="748" spans="1:70" x14ac:dyDescent="0.25">
      <c r="A748" s="1"/>
      <c r="B748" s="2"/>
      <c r="BP748"/>
      <c r="BR748"/>
    </row>
    <row r="749" spans="1:70" x14ac:dyDescent="0.25">
      <c r="A749" s="1"/>
      <c r="BP749"/>
      <c r="BR749"/>
    </row>
    <row r="750" spans="1:70" x14ac:dyDescent="0.25">
      <c r="A750" s="1"/>
      <c r="BP750"/>
      <c r="BR750"/>
    </row>
    <row r="751" spans="1:70" x14ac:dyDescent="0.25">
      <c r="A751" s="1"/>
      <c r="BP751"/>
      <c r="BR751"/>
    </row>
    <row r="752" spans="1:70" x14ac:dyDescent="0.25">
      <c r="A752" s="1"/>
      <c r="BP752"/>
      <c r="BR752"/>
    </row>
    <row r="753" spans="1:70" x14ac:dyDescent="0.25">
      <c r="A753" s="1"/>
      <c r="BP753"/>
      <c r="BR753"/>
    </row>
    <row r="754" spans="1:70" x14ac:dyDescent="0.25">
      <c r="A754" s="1"/>
      <c r="B754" s="2"/>
      <c r="BP754"/>
      <c r="BR754"/>
    </row>
    <row r="755" spans="1:70" x14ac:dyDescent="0.25">
      <c r="A755" s="1"/>
      <c r="BP755"/>
      <c r="BR755"/>
    </row>
    <row r="756" spans="1:70" x14ac:dyDescent="0.25">
      <c r="A756" s="1"/>
      <c r="BP756"/>
      <c r="BR756"/>
    </row>
    <row r="757" spans="1:70" x14ac:dyDescent="0.25">
      <c r="A757" s="1"/>
      <c r="BP757"/>
      <c r="BR757"/>
    </row>
    <row r="758" spans="1:70" x14ac:dyDescent="0.25">
      <c r="A758" s="1"/>
      <c r="BP758"/>
      <c r="BR758"/>
    </row>
    <row r="759" spans="1:70" x14ac:dyDescent="0.25">
      <c r="A759" s="1"/>
      <c r="BP759"/>
      <c r="BR759"/>
    </row>
    <row r="760" spans="1:70" x14ac:dyDescent="0.25">
      <c r="A760" s="1"/>
      <c r="B760" s="2"/>
      <c r="BP760"/>
      <c r="BR760"/>
    </row>
    <row r="761" spans="1:70" x14ac:dyDescent="0.25">
      <c r="A761" s="1"/>
      <c r="BP761"/>
      <c r="BR761"/>
    </row>
    <row r="762" spans="1:70" x14ac:dyDescent="0.25">
      <c r="A762" s="1"/>
      <c r="BP762"/>
      <c r="BR762"/>
    </row>
    <row r="763" spans="1:70" x14ac:dyDescent="0.25">
      <c r="A763" s="1"/>
      <c r="BP763"/>
      <c r="BR763"/>
    </row>
    <row r="764" spans="1:70" x14ac:dyDescent="0.25">
      <c r="A764" s="1"/>
      <c r="BP764"/>
      <c r="BR764"/>
    </row>
    <row r="765" spans="1:70" x14ac:dyDescent="0.25">
      <c r="A765" s="1"/>
      <c r="BP765"/>
      <c r="BR765"/>
    </row>
    <row r="766" spans="1:70" x14ac:dyDescent="0.25">
      <c r="A766" s="1"/>
      <c r="B766" s="2"/>
      <c r="BP766"/>
      <c r="BR766"/>
    </row>
    <row r="767" spans="1:70" x14ac:dyDescent="0.25">
      <c r="A767" s="1"/>
      <c r="BP767"/>
      <c r="BR767"/>
    </row>
    <row r="768" spans="1:70" x14ac:dyDescent="0.25">
      <c r="A768" s="1"/>
      <c r="BP768"/>
      <c r="BR768"/>
    </row>
    <row r="769" spans="1:70" x14ac:dyDescent="0.25">
      <c r="A769" s="1"/>
      <c r="BP769"/>
      <c r="BR769"/>
    </row>
    <row r="770" spans="1:70" x14ac:dyDescent="0.25">
      <c r="A770" s="1"/>
      <c r="BP770"/>
      <c r="BR770"/>
    </row>
    <row r="771" spans="1:70" x14ac:dyDescent="0.25">
      <c r="A771" s="1"/>
      <c r="BP771"/>
      <c r="BR771"/>
    </row>
    <row r="772" spans="1:70" x14ac:dyDescent="0.25">
      <c r="A772" s="1"/>
      <c r="B772" s="2"/>
      <c r="BP772"/>
      <c r="BR772"/>
    </row>
    <row r="773" spans="1:70" x14ac:dyDescent="0.25">
      <c r="A773" s="1"/>
      <c r="BP773"/>
      <c r="BR773"/>
    </row>
    <row r="774" spans="1:70" x14ac:dyDescent="0.25">
      <c r="A774" s="1"/>
      <c r="BP774"/>
      <c r="BR774"/>
    </row>
    <row r="775" spans="1:70" x14ac:dyDescent="0.25">
      <c r="A775" s="1"/>
      <c r="BP775"/>
      <c r="BR775"/>
    </row>
    <row r="776" spans="1:70" x14ac:dyDescent="0.25">
      <c r="A776" s="1"/>
      <c r="BP776"/>
      <c r="BR776"/>
    </row>
    <row r="777" spans="1:70" x14ac:dyDescent="0.25">
      <c r="A777" s="1"/>
      <c r="BP777"/>
      <c r="BR777"/>
    </row>
    <row r="778" spans="1:70" x14ac:dyDescent="0.25">
      <c r="A778" s="1"/>
      <c r="B778" s="2"/>
      <c r="BP778"/>
      <c r="BR778"/>
    </row>
    <row r="779" spans="1:70" x14ac:dyDescent="0.25">
      <c r="A779" s="1"/>
      <c r="BP779"/>
      <c r="BR779"/>
    </row>
    <row r="780" spans="1:70" x14ac:dyDescent="0.25">
      <c r="A780" s="1"/>
      <c r="BP780"/>
      <c r="BR780"/>
    </row>
    <row r="781" spans="1:70" x14ac:dyDescent="0.25">
      <c r="A781" s="1"/>
      <c r="BP781"/>
      <c r="BR781"/>
    </row>
    <row r="782" spans="1:70" x14ac:dyDescent="0.25">
      <c r="A782" s="1"/>
      <c r="BP782"/>
      <c r="BR782"/>
    </row>
    <row r="783" spans="1:70" x14ac:dyDescent="0.25">
      <c r="A783" s="1"/>
      <c r="BP783"/>
      <c r="BR783"/>
    </row>
    <row r="784" spans="1:70" x14ac:dyDescent="0.25">
      <c r="A784" s="1"/>
      <c r="B784" s="2"/>
      <c r="BP784"/>
      <c r="BR784"/>
    </row>
    <row r="785" spans="1:70" x14ac:dyDescent="0.25">
      <c r="A785" s="1"/>
      <c r="BP785"/>
      <c r="BR785"/>
    </row>
    <row r="786" spans="1:70" x14ac:dyDescent="0.25">
      <c r="A786" s="1"/>
      <c r="BP786"/>
      <c r="BR786"/>
    </row>
    <row r="787" spans="1:70" x14ac:dyDescent="0.25">
      <c r="A787" s="1"/>
      <c r="BP787"/>
      <c r="BR787"/>
    </row>
    <row r="788" spans="1:70" x14ac:dyDescent="0.25">
      <c r="A788" s="1"/>
      <c r="BP788"/>
      <c r="BR788"/>
    </row>
    <row r="789" spans="1:70" x14ac:dyDescent="0.25">
      <c r="A789" s="1"/>
      <c r="BP789"/>
      <c r="BR789"/>
    </row>
    <row r="790" spans="1:70" x14ac:dyDescent="0.25">
      <c r="A790" s="1"/>
      <c r="B790" s="2"/>
      <c r="BP790"/>
      <c r="BR790"/>
    </row>
    <row r="791" spans="1:70" x14ac:dyDescent="0.25">
      <c r="A791" s="1"/>
      <c r="BP791"/>
      <c r="BR791"/>
    </row>
    <row r="792" spans="1:70" x14ac:dyDescent="0.25">
      <c r="A792" s="1"/>
      <c r="BP792"/>
      <c r="BR792"/>
    </row>
    <row r="793" spans="1:70" x14ac:dyDescent="0.25">
      <c r="A793" s="1"/>
      <c r="BP793"/>
      <c r="BR793"/>
    </row>
    <row r="794" spans="1:70" x14ac:dyDescent="0.25">
      <c r="A794" s="1"/>
      <c r="BP794"/>
      <c r="BR794"/>
    </row>
    <row r="795" spans="1:70" x14ac:dyDescent="0.25">
      <c r="A795" s="1"/>
      <c r="BP795"/>
      <c r="BR795"/>
    </row>
    <row r="796" spans="1:70" x14ac:dyDescent="0.25">
      <c r="A796" s="1"/>
      <c r="B796" s="2"/>
      <c r="BP796"/>
      <c r="BR796"/>
    </row>
    <row r="797" spans="1:70" x14ac:dyDescent="0.25">
      <c r="A797" s="1"/>
      <c r="BP797"/>
      <c r="BR797"/>
    </row>
    <row r="798" spans="1:70" x14ac:dyDescent="0.25">
      <c r="A798" s="1"/>
      <c r="BP798"/>
      <c r="BR798"/>
    </row>
    <row r="799" spans="1:70" x14ac:dyDescent="0.25">
      <c r="A799" s="1"/>
      <c r="BP799"/>
      <c r="BR799"/>
    </row>
    <row r="800" spans="1:70" x14ac:dyDescent="0.25">
      <c r="A800" s="1"/>
      <c r="BP800"/>
      <c r="BR800"/>
    </row>
    <row r="801" spans="1:70" x14ac:dyDescent="0.25">
      <c r="A801" s="1"/>
      <c r="BP801"/>
      <c r="BR801"/>
    </row>
    <row r="802" spans="1:70" x14ac:dyDescent="0.25">
      <c r="A802" s="1"/>
      <c r="B802" s="2"/>
      <c r="BP802"/>
      <c r="BR802"/>
    </row>
    <row r="803" spans="1:70" x14ac:dyDescent="0.25">
      <c r="A803" s="1"/>
      <c r="BP803"/>
      <c r="BR803"/>
    </row>
    <row r="804" spans="1:70" x14ac:dyDescent="0.25">
      <c r="A804" s="1"/>
      <c r="BP804"/>
      <c r="BR804"/>
    </row>
    <row r="805" spans="1:70" x14ac:dyDescent="0.25">
      <c r="A805" s="1"/>
      <c r="BP805"/>
      <c r="BR805"/>
    </row>
    <row r="806" spans="1:70" x14ac:dyDescent="0.25">
      <c r="A806" s="1"/>
      <c r="BP806"/>
      <c r="BR806"/>
    </row>
    <row r="807" spans="1:70" x14ac:dyDescent="0.25">
      <c r="A807" s="1"/>
      <c r="BP807"/>
      <c r="BR807"/>
    </row>
    <row r="808" spans="1:70" x14ac:dyDescent="0.25">
      <c r="A808" s="1"/>
      <c r="B808" s="2"/>
      <c r="BP808"/>
      <c r="BR808"/>
    </row>
    <row r="809" spans="1:70" x14ac:dyDescent="0.25">
      <c r="A809" s="1"/>
      <c r="BP809"/>
      <c r="BR809"/>
    </row>
    <row r="810" spans="1:70" x14ac:dyDescent="0.25">
      <c r="A810" s="1"/>
      <c r="BP810"/>
      <c r="BR810"/>
    </row>
    <row r="811" spans="1:70" x14ac:dyDescent="0.25">
      <c r="A811" s="1"/>
      <c r="BP811"/>
      <c r="BR811"/>
    </row>
    <row r="812" spans="1:70" x14ac:dyDescent="0.25">
      <c r="A812" s="1"/>
      <c r="BP812"/>
      <c r="BR812"/>
    </row>
    <row r="813" spans="1:70" x14ac:dyDescent="0.25">
      <c r="A813" s="1"/>
      <c r="BP813"/>
      <c r="BR813"/>
    </row>
    <row r="814" spans="1:70" x14ac:dyDescent="0.25">
      <c r="A814" s="1"/>
      <c r="B814" s="2"/>
      <c r="BP814"/>
      <c r="BR814"/>
    </row>
    <row r="815" spans="1:70" x14ac:dyDescent="0.25">
      <c r="A815" s="1"/>
      <c r="BP815"/>
      <c r="BR815"/>
    </row>
    <row r="816" spans="1:70" x14ac:dyDescent="0.25">
      <c r="A816" s="1"/>
      <c r="BP816"/>
      <c r="BR816"/>
    </row>
    <row r="817" spans="1:70" x14ac:dyDescent="0.25">
      <c r="A817" s="1"/>
      <c r="BP817"/>
      <c r="BR817"/>
    </row>
    <row r="818" spans="1:70" x14ac:dyDescent="0.25">
      <c r="A818" s="1"/>
      <c r="BP818"/>
      <c r="BR818"/>
    </row>
    <row r="819" spans="1:70" x14ac:dyDescent="0.25">
      <c r="A819" s="1"/>
      <c r="BP819"/>
      <c r="BR819"/>
    </row>
    <row r="820" spans="1:70" x14ac:dyDescent="0.25">
      <c r="A820" s="1"/>
      <c r="B820" s="2"/>
      <c r="BP820"/>
      <c r="BR820"/>
    </row>
    <row r="821" spans="1:70" x14ac:dyDescent="0.25">
      <c r="A821" s="1"/>
      <c r="BP821"/>
      <c r="BR821"/>
    </row>
    <row r="822" spans="1:70" x14ac:dyDescent="0.25">
      <c r="A822" s="1"/>
      <c r="BP822"/>
      <c r="BR822"/>
    </row>
    <row r="823" spans="1:70" x14ac:dyDescent="0.25">
      <c r="A823" s="1"/>
      <c r="BP823"/>
      <c r="BR823"/>
    </row>
    <row r="824" spans="1:70" x14ac:dyDescent="0.25">
      <c r="A824" s="1"/>
      <c r="BP824"/>
      <c r="BR824"/>
    </row>
    <row r="825" spans="1:70" x14ac:dyDescent="0.25">
      <c r="A825" s="1"/>
      <c r="BP825"/>
      <c r="BR825"/>
    </row>
    <row r="826" spans="1:70" x14ac:dyDescent="0.25">
      <c r="A826" s="1"/>
      <c r="B826" s="2"/>
      <c r="BP826"/>
      <c r="BR826"/>
    </row>
    <row r="827" spans="1:70" x14ac:dyDescent="0.25">
      <c r="A827" s="1"/>
      <c r="BP827"/>
      <c r="BR827"/>
    </row>
    <row r="828" spans="1:70" x14ac:dyDescent="0.25">
      <c r="A828" s="1"/>
      <c r="BP828"/>
      <c r="BR828"/>
    </row>
    <row r="829" spans="1:70" x14ac:dyDescent="0.25">
      <c r="A829" s="1"/>
      <c r="BP829"/>
      <c r="BR829"/>
    </row>
    <row r="830" spans="1:70" x14ac:dyDescent="0.25">
      <c r="A830" s="1"/>
      <c r="BP830"/>
      <c r="BR830"/>
    </row>
    <row r="831" spans="1:70" x14ac:dyDescent="0.25">
      <c r="A831" s="1"/>
      <c r="BP831"/>
      <c r="BR831"/>
    </row>
    <row r="832" spans="1:70" x14ac:dyDescent="0.25">
      <c r="A832" s="1"/>
      <c r="BP832"/>
      <c r="BR832"/>
    </row>
    <row r="833" spans="1:70" x14ac:dyDescent="0.25">
      <c r="A833" s="1"/>
      <c r="BP833"/>
      <c r="BR833"/>
    </row>
    <row r="834" spans="1:70" x14ac:dyDescent="0.25">
      <c r="A834" s="1"/>
      <c r="BP834"/>
      <c r="BR834"/>
    </row>
    <row r="835" spans="1:70" x14ac:dyDescent="0.25">
      <c r="A835" s="1"/>
      <c r="BP835"/>
      <c r="BR835"/>
    </row>
    <row r="836" spans="1:70" x14ac:dyDescent="0.25">
      <c r="A836" s="1"/>
      <c r="BP836"/>
      <c r="BR836"/>
    </row>
    <row r="837" spans="1:70" x14ac:dyDescent="0.25">
      <c r="A837" s="1"/>
      <c r="BP837"/>
      <c r="BR837"/>
    </row>
    <row r="838" spans="1:70" x14ac:dyDescent="0.25">
      <c r="A838" s="1"/>
      <c r="BP838"/>
      <c r="BR838"/>
    </row>
    <row r="839" spans="1:70" x14ac:dyDescent="0.25">
      <c r="A839" s="1"/>
      <c r="BP839"/>
      <c r="BR839"/>
    </row>
    <row r="840" spans="1:70" x14ac:dyDescent="0.25">
      <c r="A840" s="1"/>
      <c r="BP840"/>
      <c r="BR840"/>
    </row>
    <row r="841" spans="1:70" x14ac:dyDescent="0.25">
      <c r="A841" s="1"/>
      <c r="BP841"/>
      <c r="BR841"/>
    </row>
    <row r="842" spans="1:70" x14ac:dyDescent="0.25">
      <c r="A842" s="1"/>
      <c r="BP842"/>
      <c r="BR842"/>
    </row>
    <row r="843" spans="1:70" x14ac:dyDescent="0.25">
      <c r="A843" s="1"/>
      <c r="BP843"/>
      <c r="BR843"/>
    </row>
    <row r="844" spans="1:70" x14ac:dyDescent="0.25">
      <c r="A844" s="1"/>
      <c r="BP844"/>
      <c r="BR844"/>
    </row>
    <row r="845" spans="1:70" x14ac:dyDescent="0.25">
      <c r="A845" s="1"/>
      <c r="BP845"/>
      <c r="BR845"/>
    </row>
    <row r="846" spans="1:70" x14ac:dyDescent="0.25">
      <c r="A846" s="1"/>
      <c r="BP846"/>
      <c r="BR846"/>
    </row>
    <row r="847" spans="1:70" x14ac:dyDescent="0.25">
      <c r="A847" s="1"/>
      <c r="BP847"/>
      <c r="BR847"/>
    </row>
    <row r="848" spans="1:70" x14ac:dyDescent="0.25">
      <c r="A848" s="1"/>
      <c r="BP848"/>
      <c r="BR848"/>
    </row>
    <row r="849" spans="1:70" x14ac:dyDescent="0.25">
      <c r="A849" s="1"/>
      <c r="BP849"/>
      <c r="BR849"/>
    </row>
    <row r="850" spans="1:70" x14ac:dyDescent="0.25">
      <c r="A850" s="1"/>
      <c r="BP850"/>
      <c r="BR850"/>
    </row>
    <row r="851" spans="1:70" x14ac:dyDescent="0.25">
      <c r="A851" s="1"/>
      <c r="BP851"/>
      <c r="BR851"/>
    </row>
    <row r="852" spans="1:70" x14ac:dyDescent="0.25">
      <c r="A852" s="1"/>
      <c r="BP852"/>
      <c r="BR852"/>
    </row>
    <row r="853" spans="1:70" x14ac:dyDescent="0.25">
      <c r="A853" s="1"/>
      <c r="BP853"/>
      <c r="BR853"/>
    </row>
    <row r="854" spans="1:70" x14ac:dyDescent="0.25">
      <c r="A854" s="1"/>
      <c r="BP854"/>
      <c r="BR854"/>
    </row>
    <row r="855" spans="1:70" x14ac:dyDescent="0.25">
      <c r="A855" s="1"/>
      <c r="BP855"/>
      <c r="BR855"/>
    </row>
    <row r="856" spans="1:70" x14ac:dyDescent="0.25">
      <c r="A856" s="1"/>
      <c r="BP856"/>
      <c r="BR856"/>
    </row>
    <row r="857" spans="1:70" x14ac:dyDescent="0.25">
      <c r="A857" s="1"/>
      <c r="BP857"/>
      <c r="BR857"/>
    </row>
    <row r="858" spans="1:70" x14ac:dyDescent="0.25">
      <c r="A858" s="1"/>
      <c r="BP858"/>
      <c r="BR858"/>
    </row>
    <row r="859" spans="1:70" x14ac:dyDescent="0.25">
      <c r="A859" s="1"/>
      <c r="BP859"/>
      <c r="BR859"/>
    </row>
    <row r="860" spans="1:70" x14ac:dyDescent="0.25">
      <c r="A860" s="1"/>
      <c r="B860" s="2"/>
      <c r="BP860"/>
      <c r="BR860"/>
    </row>
    <row r="861" spans="1:70" x14ac:dyDescent="0.25">
      <c r="A861" s="1"/>
      <c r="BP861"/>
      <c r="BR861"/>
    </row>
    <row r="862" spans="1:70" x14ac:dyDescent="0.25">
      <c r="A862" s="1"/>
      <c r="BP862"/>
      <c r="BR862"/>
    </row>
    <row r="863" spans="1:70" x14ac:dyDescent="0.25">
      <c r="A863" s="1"/>
      <c r="BP863"/>
      <c r="BR863"/>
    </row>
    <row r="864" spans="1:70" x14ac:dyDescent="0.25">
      <c r="A864" s="1"/>
      <c r="BP864"/>
      <c r="BR864"/>
    </row>
    <row r="865" spans="1:70" x14ac:dyDescent="0.25">
      <c r="A865" s="1"/>
      <c r="BP865"/>
      <c r="BR865"/>
    </row>
    <row r="866" spans="1:70" x14ac:dyDescent="0.25">
      <c r="A866" s="1"/>
      <c r="B866" s="2"/>
      <c r="BP866"/>
      <c r="BR866"/>
    </row>
    <row r="867" spans="1:70" x14ac:dyDescent="0.25">
      <c r="A867" s="1"/>
      <c r="BP867"/>
      <c r="BR867"/>
    </row>
    <row r="868" spans="1:70" x14ac:dyDescent="0.25">
      <c r="A868" s="1"/>
      <c r="BP868"/>
      <c r="BR868"/>
    </row>
    <row r="869" spans="1:70" x14ac:dyDescent="0.25">
      <c r="A869" s="1"/>
      <c r="BP869"/>
      <c r="BR869"/>
    </row>
    <row r="870" spans="1:70" x14ac:dyDescent="0.25">
      <c r="A870" s="1"/>
      <c r="BP870"/>
      <c r="BR870"/>
    </row>
    <row r="871" spans="1:70" x14ac:dyDescent="0.25">
      <c r="A871" s="1"/>
      <c r="B871" s="2"/>
      <c r="BP871"/>
      <c r="BR871"/>
    </row>
    <row r="872" spans="1:70" x14ac:dyDescent="0.25">
      <c r="A872" s="1"/>
      <c r="B872" s="2"/>
      <c r="BP872"/>
      <c r="BR872"/>
    </row>
    <row r="873" spans="1:70" x14ac:dyDescent="0.25">
      <c r="A873" s="1"/>
      <c r="BP873"/>
      <c r="BR873"/>
    </row>
    <row r="874" spans="1:70" x14ac:dyDescent="0.25">
      <c r="A874" s="1"/>
      <c r="BP874"/>
      <c r="BR874"/>
    </row>
    <row r="875" spans="1:70" x14ac:dyDescent="0.25">
      <c r="A875" s="1"/>
      <c r="BP875"/>
      <c r="BR875"/>
    </row>
    <row r="876" spans="1:70" x14ac:dyDescent="0.25">
      <c r="A876" s="1"/>
      <c r="BP876"/>
      <c r="BR876"/>
    </row>
    <row r="877" spans="1:70" x14ac:dyDescent="0.25">
      <c r="A877" s="1"/>
      <c r="BP877"/>
      <c r="BR877"/>
    </row>
    <row r="878" spans="1:70" x14ac:dyDescent="0.25">
      <c r="A878" s="1"/>
      <c r="B878" s="2"/>
      <c r="BP878"/>
      <c r="BR878"/>
    </row>
    <row r="879" spans="1:70" x14ac:dyDescent="0.25">
      <c r="A879" s="1"/>
      <c r="BP879"/>
      <c r="BR879"/>
    </row>
    <row r="880" spans="1:70" x14ac:dyDescent="0.25">
      <c r="A880" s="1"/>
      <c r="BP880"/>
      <c r="BR880"/>
    </row>
    <row r="881" spans="1:70" x14ac:dyDescent="0.25">
      <c r="A881" s="1"/>
      <c r="BP881"/>
      <c r="BR881"/>
    </row>
    <row r="882" spans="1:70" x14ac:dyDescent="0.25">
      <c r="A882" s="1"/>
      <c r="BP882"/>
      <c r="BR882"/>
    </row>
    <row r="883" spans="1:70" x14ac:dyDescent="0.25">
      <c r="A883" s="1"/>
      <c r="B883" s="2"/>
      <c r="BP883"/>
      <c r="BR883"/>
    </row>
    <row r="884" spans="1:70" x14ac:dyDescent="0.25">
      <c r="A884" s="1"/>
      <c r="B884" s="2"/>
      <c r="BP884"/>
      <c r="BR884"/>
    </row>
    <row r="885" spans="1:70" x14ac:dyDescent="0.25">
      <c r="A885" s="1"/>
      <c r="BP885"/>
      <c r="BR885"/>
    </row>
    <row r="886" spans="1:70" x14ac:dyDescent="0.25">
      <c r="A886" s="1"/>
      <c r="BP886"/>
      <c r="BR886"/>
    </row>
    <row r="887" spans="1:70" x14ac:dyDescent="0.25">
      <c r="A887" s="1"/>
      <c r="BP887"/>
      <c r="BR887"/>
    </row>
    <row r="888" spans="1:70" x14ac:dyDescent="0.25">
      <c r="A888" s="1"/>
      <c r="BP888"/>
      <c r="BR888"/>
    </row>
    <row r="889" spans="1:70" x14ac:dyDescent="0.25">
      <c r="A889" s="1"/>
      <c r="BP889"/>
      <c r="BR889"/>
    </row>
    <row r="890" spans="1:70" x14ac:dyDescent="0.25">
      <c r="A890" s="1"/>
      <c r="B890" s="2"/>
      <c r="BP890"/>
      <c r="BR890"/>
    </row>
    <row r="891" spans="1:70" x14ac:dyDescent="0.25">
      <c r="A891" s="1"/>
      <c r="BP891"/>
      <c r="BR891"/>
    </row>
    <row r="892" spans="1:70" x14ac:dyDescent="0.25">
      <c r="A892" s="1"/>
      <c r="BP892"/>
      <c r="BR892"/>
    </row>
    <row r="893" spans="1:70" x14ac:dyDescent="0.25">
      <c r="A893" s="1"/>
      <c r="BP893"/>
      <c r="BR893"/>
    </row>
    <row r="894" spans="1:70" x14ac:dyDescent="0.25">
      <c r="A894" s="1"/>
      <c r="BP894"/>
      <c r="BR894"/>
    </row>
    <row r="895" spans="1:70" x14ac:dyDescent="0.25">
      <c r="A895" s="1"/>
      <c r="B895" s="2"/>
      <c r="BP895"/>
      <c r="BR895"/>
    </row>
    <row r="896" spans="1:70" x14ac:dyDescent="0.25">
      <c r="A896" s="1"/>
      <c r="B896" s="2"/>
      <c r="BP896"/>
      <c r="BR896"/>
    </row>
    <row r="897" spans="1:70" x14ac:dyDescent="0.25">
      <c r="A897" s="1"/>
      <c r="BP897"/>
      <c r="BR897"/>
    </row>
    <row r="898" spans="1:70" x14ac:dyDescent="0.25">
      <c r="A898" s="1"/>
      <c r="BP898"/>
      <c r="BR898"/>
    </row>
    <row r="899" spans="1:70" x14ac:dyDescent="0.25">
      <c r="A899" s="1"/>
      <c r="BP899"/>
      <c r="BR899"/>
    </row>
    <row r="900" spans="1:70" x14ac:dyDescent="0.25">
      <c r="A900" s="1"/>
      <c r="BP900"/>
      <c r="BR900"/>
    </row>
    <row r="901" spans="1:70" x14ac:dyDescent="0.25">
      <c r="A901" s="1"/>
      <c r="BP901"/>
      <c r="BR901"/>
    </row>
    <row r="902" spans="1:70" x14ac:dyDescent="0.25">
      <c r="A902" s="1"/>
      <c r="B902" s="2"/>
      <c r="BP902"/>
      <c r="BR902"/>
    </row>
    <row r="903" spans="1:70" x14ac:dyDescent="0.25">
      <c r="A903" s="1"/>
      <c r="BP903"/>
      <c r="BR903"/>
    </row>
    <row r="904" spans="1:70" x14ac:dyDescent="0.25">
      <c r="A904" s="1"/>
      <c r="BP904"/>
      <c r="BR904"/>
    </row>
    <row r="905" spans="1:70" x14ac:dyDescent="0.25">
      <c r="A905" s="1"/>
      <c r="BP905"/>
      <c r="BR905"/>
    </row>
    <row r="906" spans="1:70" x14ac:dyDescent="0.25">
      <c r="A906" s="1"/>
      <c r="BP906"/>
      <c r="BR906"/>
    </row>
    <row r="907" spans="1:70" x14ac:dyDescent="0.25">
      <c r="A907" s="1"/>
      <c r="BP907"/>
      <c r="BR907"/>
    </row>
    <row r="908" spans="1:70" x14ac:dyDescent="0.25">
      <c r="A908" s="1"/>
      <c r="B908" s="2"/>
      <c r="BP908"/>
      <c r="BR908"/>
    </row>
    <row r="909" spans="1:70" x14ac:dyDescent="0.25">
      <c r="A909" s="1"/>
      <c r="BP909"/>
      <c r="BR909"/>
    </row>
    <row r="910" spans="1:70" x14ac:dyDescent="0.25">
      <c r="A910" s="1"/>
      <c r="BP910"/>
      <c r="BR910"/>
    </row>
    <row r="911" spans="1:70" x14ac:dyDescent="0.25">
      <c r="A911" s="1"/>
      <c r="BP911"/>
      <c r="BR911"/>
    </row>
    <row r="912" spans="1:70" x14ac:dyDescent="0.25">
      <c r="A912" s="1"/>
      <c r="BP912"/>
      <c r="BR912"/>
    </row>
    <row r="913" spans="1:70" x14ac:dyDescent="0.25">
      <c r="A913" s="1"/>
      <c r="BP913"/>
      <c r="BR913"/>
    </row>
    <row r="914" spans="1:70" x14ac:dyDescent="0.25">
      <c r="A914" s="1"/>
      <c r="B914" s="2"/>
      <c r="BP914"/>
      <c r="BR914"/>
    </row>
    <row r="915" spans="1:70" x14ac:dyDescent="0.25">
      <c r="A915" s="1"/>
      <c r="BP915"/>
      <c r="BR915"/>
    </row>
    <row r="916" spans="1:70" x14ac:dyDescent="0.25">
      <c r="A916" s="1"/>
      <c r="BP916"/>
      <c r="BR916"/>
    </row>
    <row r="917" spans="1:70" x14ac:dyDescent="0.25">
      <c r="A917" s="1"/>
      <c r="BP917"/>
      <c r="BR917"/>
    </row>
    <row r="918" spans="1:70" x14ac:dyDescent="0.25">
      <c r="A918" s="1"/>
      <c r="BP918"/>
      <c r="BR918"/>
    </row>
    <row r="919" spans="1:70" x14ac:dyDescent="0.25">
      <c r="A919" s="1"/>
      <c r="BP919"/>
      <c r="BR919"/>
    </row>
    <row r="920" spans="1:70" x14ac:dyDescent="0.25">
      <c r="A920" s="1"/>
      <c r="BP920"/>
      <c r="BR920"/>
    </row>
    <row r="921" spans="1:70" x14ac:dyDescent="0.25">
      <c r="A921" s="1"/>
      <c r="BP921"/>
      <c r="BR921"/>
    </row>
    <row r="922" spans="1:70" x14ac:dyDescent="0.25">
      <c r="A922" s="1"/>
      <c r="BP922"/>
      <c r="BR922"/>
    </row>
    <row r="923" spans="1:70" x14ac:dyDescent="0.25">
      <c r="A923" s="1"/>
      <c r="BP923"/>
      <c r="BR923"/>
    </row>
    <row r="924" spans="1:70" x14ac:dyDescent="0.25">
      <c r="A924" s="1"/>
      <c r="BP924"/>
      <c r="BR924"/>
    </row>
    <row r="925" spans="1:70" x14ac:dyDescent="0.25">
      <c r="A925" s="1"/>
      <c r="BP925"/>
      <c r="BR925"/>
    </row>
    <row r="926" spans="1:70" x14ac:dyDescent="0.25">
      <c r="A926" s="1"/>
      <c r="BP926"/>
      <c r="BR926"/>
    </row>
    <row r="927" spans="1:70" x14ac:dyDescent="0.25">
      <c r="A927" s="1"/>
      <c r="BP927"/>
      <c r="BR927"/>
    </row>
    <row r="928" spans="1:70" x14ac:dyDescent="0.25">
      <c r="A928" s="1"/>
      <c r="BP928"/>
      <c r="BR928"/>
    </row>
    <row r="929" spans="1:70" x14ac:dyDescent="0.25">
      <c r="A929" s="1"/>
      <c r="BP929"/>
      <c r="BR929"/>
    </row>
    <row r="930" spans="1:70" x14ac:dyDescent="0.25">
      <c r="A930" s="1"/>
      <c r="BP930"/>
      <c r="BR930"/>
    </row>
    <row r="931" spans="1:70" x14ac:dyDescent="0.25">
      <c r="A931" s="1"/>
      <c r="BP931"/>
      <c r="BR931"/>
    </row>
    <row r="932" spans="1:70" x14ac:dyDescent="0.25">
      <c r="A932" s="1"/>
      <c r="BP932"/>
      <c r="BR932"/>
    </row>
    <row r="933" spans="1:70" x14ac:dyDescent="0.25">
      <c r="A933" s="1"/>
      <c r="BP933"/>
      <c r="BR933"/>
    </row>
    <row r="934" spans="1:70" x14ac:dyDescent="0.25">
      <c r="A934" s="1"/>
      <c r="BP934"/>
      <c r="BR934"/>
    </row>
    <row r="935" spans="1:70" x14ac:dyDescent="0.25">
      <c r="A935" s="1"/>
      <c r="BP935"/>
      <c r="BR935"/>
    </row>
    <row r="936" spans="1:70" x14ac:dyDescent="0.25">
      <c r="A936" s="1"/>
      <c r="BP936"/>
      <c r="BR936"/>
    </row>
    <row r="937" spans="1:70" x14ac:dyDescent="0.25">
      <c r="A937" s="1"/>
      <c r="BP937"/>
      <c r="BR937"/>
    </row>
    <row r="938" spans="1:70" x14ac:dyDescent="0.25">
      <c r="A938" s="1"/>
      <c r="BP938"/>
      <c r="BR938"/>
    </row>
    <row r="939" spans="1:70" x14ac:dyDescent="0.25">
      <c r="A939" s="1"/>
      <c r="BP939"/>
      <c r="BR939"/>
    </row>
    <row r="940" spans="1:70" x14ac:dyDescent="0.25">
      <c r="A940" s="1"/>
      <c r="BP940"/>
      <c r="BR940"/>
    </row>
    <row r="941" spans="1:70" x14ac:dyDescent="0.25">
      <c r="A941" s="1"/>
      <c r="BP941"/>
      <c r="BR941"/>
    </row>
    <row r="942" spans="1:70" x14ac:dyDescent="0.25">
      <c r="A942" s="1"/>
      <c r="BP942"/>
      <c r="BR942"/>
    </row>
    <row r="943" spans="1:70" x14ac:dyDescent="0.25">
      <c r="A943" s="1"/>
      <c r="BP943"/>
      <c r="BR943"/>
    </row>
    <row r="944" spans="1:70" x14ac:dyDescent="0.25">
      <c r="A944" s="1"/>
      <c r="BP944"/>
      <c r="BR944"/>
    </row>
    <row r="945" spans="1:70" x14ac:dyDescent="0.25">
      <c r="A945" s="1"/>
      <c r="BP945"/>
      <c r="BR945"/>
    </row>
    <row r="946" spans="1:70" x14ac:dyDescent="0.25">
      <c r="A946" s="1"/>
      <c r="BP946"/>
      <c r="BR946"/>
    </row>
    <row r="947" spans="1:70" x14ac:dyDescent="0.25">
      <c r="A947" s="1"/>
      <c r="BP947"/>
      <c r="BR947"/>
    </row>
    <row r="948" spans="1:70" x14ac:dyDescent="0.25">
      <c r="A948" s="1"/>
      <c r="BP948"/>
      <c r="BR948"/>
    </row>
    <row r="949" spans="1:70" x14ac:dyDescent="0.25">
      <c r="A949" s="1"/>
      <c r="BP949"/>
      <c r="BR949"/>
    </row>
    <row r="950" spans="1:70" x14ac:dyDescent="0.25">
      <c r="A950" s="1"/>
      <c r="BP950"/>
      <c r="BR950"/>
    </row>
    <row r="951" spans="1:70" x14ac:dyDescent="0.25">
      <c r="A951" s="1"/>
      <c r="BP951"/>
      <c r="BR951"/>
    </row>
    <row r="952" spans="1:70" x14ac:dyDescent="0.25">
      <c r="A952" s="1"/>
      <c r="BP952"/>
      <c r="BR952"/>
    </row>
    <row r="953" spans="1:70" x14ac:dyDescent="0.25">
      <c r="A953" s="1"/>
      <c r="BP953"/>
      <c r="BR953"/>
    </row>
    <row r="954" spans="1:70" x14ac:dyDescent="0.25">
      <c r="A954" s="1"/>
      <c r="BP954"/>
      <c r="BR954"/>
    </row>
    <row r="955" spans="1:70" x14ac:dyDescent="0.25">
      <c r="A955" s="1"/>
      <c r="BP955"/>
      <c r="BR955"/>
    </row>
    <row r="956" spans="1:70" x14ac:dyDescent="0.25">
      <c r="A956" s="1"/>
      <c r="BP956"/>
      <c r="BR956"/>
    </row>
    <row r="957" spans="1:70" x14ac:dyDescent="0.25">
      <c r="A957" s="1"/>
      <c r="BP957"/>
      <c r="BR957"/>
    </row>
    <row r="958" spans="1:70" x14ac:dyDescent="0.25">
      <c r="A958" s="1"/>
      <c r="BP958"/>
      <c r="BR958"/>
    </row>
    <row r="959" spans="1:70" x14ac:dyDescent="0.25">
      <c r="A959" s="1"/>
      <c r="BP959"/>
      <c r="BR959"/>
    </row>
    <row r="960" spans="1:70" x14ac:dyDescent="0.25">
      <c r="A960" s="1"/>
      <c r="BP960"/>
      <c r="BR960"/>
    </row>
    <row r="961" spans="1:70" x14ac:dyDescent="0.25">
      <c r="A961" s="1"/>
      <c r="BP961"/>
      <c r="BR961"/>
    </row>
    <row r="962" spans="1:70" x14ac:dyDescent="0.25">
      <c r="A962" s="1"/>
      <c r="BP962"/>
      <c r="BR962"/>
    </row>
    <row r="963" spans="1:70" x14ac:dyDescent="0.25">
      <c r="A963" s="1"/>
      <c r="BP963"/>
      <c r="BR963"/>
    </row>
    <row r="964" spans="1:70" x14ac:dyDescent="0.25">
      <c r="A964" s="1"/>
      <c r="BP964"/>
      <c r="BR964"/>
    </row>
    <row r="965" spans="1:70" x14ac:dyDescent="0.25">
      <c r="A965" s="1"/>
      <c r="BP965"/>
      <c r="BR965"/>
    </row>
    <row r="966" spans="1:70" x14ac:dyDescent="0.25">
      <c r="A966" s="1"/>
      <c r="BP966"/>
      <c r="BR966"/>
    </row>
    <row r="967" spans="1:70" x14ac:dyDescent="0.25">
      <c r="A967" s="1"/>
      <c r="BP967"/>
      <c r="BR967"/>
    </row>
    <row r="968" spans="1:70" x14ac:dyDescent="0.25">
      <c r="A968" s="1"/>
      <c r="BP968"/>
      <c r="BR968"/>
    </row>
    <row r="969" spans="1:70" x14ac:dyDescent="0.25">
      <c r="A969" s="1"/>
      <c r="BP969"/>
      <c r="BR969"/>
    </row>
    <row r="970" spans="1:70" x14ac:dyDescent="0.25">
      <c r="A970" s="1"/>
      <c r="BP970"/>
      <c r="BR970"/>
    </row>
    <row r="971" spans="1:70" x14ac:dyDescent="0.25">
      <c r="A971" s="1"/>
      <c r="BP971"/>
      <c r="BR971"/>
    </row>
    <row r="972" spans="1:70" x14ac:dyDescent="0.25">
      <c r="A972" s="1"/>
      <c r="BP972"/>
      <c r="BR972"/>
    </row>
    <row r="973" spans="1:70" x14ac:dyDescent="0.25">
      <c r="A973" s="1"/>
      <c r="BP973"/>
      <c r="BR973"/>
    </row>
  </sheetData>
  <sortState ref="A2:E228">
    <sortCondition ref="A2:A228"/>
    <sortCondition ref="C2:C228"/>
    <sortCondition ref="B2:B22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5:S7"/>
  <sheetViews>
    <sheetView showGridLines="0" workbookViewId="0">
      <selection activeCell="A4" sqref="A4"/>
    </sheetView>
  </sheetViews>
  <sheetFormatPr baseColWidth="10" defaultColWidth="9.140625" defaultRowHeight="15" x14ac:dyDescent="0.25"/>
  <sheetData>
    <row r="5" spans="1:19" ht="15.75" customHeight="1" x14ac:dyDescent="0.25">
      <c r="A5" s="30" t="s">
        <v>50</v>
      </c>
      <c r="B5" s="30"/>
      <c r="C5" s="30"/>
      <c r="D5" s="30"/>
      <c r="E5" s="30"/>
      <c r="F5" s="30"/>
      <c r="G5" s="30"/>
      <c r="H5" s="30"/>
      <c r="I5" s="30"/>
      <c r="J5" s="30"/>
      <c r="K5" s="30"/>
      <c r="L5" s="30"/>
      <c r="M5" s="30"/>
      <c r="N5" s="30"/>
      <c r="O5" s="30"/>
      <c r="P5" s="30"/>
      <c r="Q5" s="30"/>
      <c r="R5" s="30"/>
      <c r="S5" s="30"/>
    </row>
    <row r="6" spans="1:19" x14ac:dyDescent="0.25">
      <c r="A6" s="30"/>
      <c r="B6" s="30"/>
      <c r="C6" s="30"/>
      <c r="D6" s="30"/>
      <c r="E6" s="30"/>
      <c r="F6" s="30"/>
      <c r="G6" s="30"/>
      <c r="H6" s="30"/>
      <c r="I6" s="30"/>
      <c r="J6" s="30"/>
      <c r="K6" s="30"/>
      <c r="L6" s="30"/>
      <c r="M6" s="30"/>
      <c r="N6" s="30"/>
      <c r="O6" s="30"/>
      <c r="P6" s="30"/>
      <c r="Q6" s="30"/>
      <c r="R6" s="30"/>
      <c r="S6" s="30"/>
    </row>
    <row r="7" spans="1:19" x14ac:dyDescent="0.25">
      <c r="A7" s="30"/>
      <c r="B7" s="30"/>
      <c r="C7" s="30"/>
      <c r="D7" s="30"/>
      <c r="E7" s="30"/>
      <c r="F7" s="30"/>
      <c r="G7" s="30"/>
      <c r="H7" s="30"/>
      <c r="I7" s="30"/>
      <c r="J7" s="30"/>
      <c r="K7" s="30"/>
      <c r="L7" s="30"/>
      <c r="M7" s="30"/>
      <c r="N7" s="30"/>
      <c r="O7" s="30"/>
      <c r="P7" s="30"/>
      <c r="Q7" s="30"/>
      <c r="R7" s="30"/>
      <c r="S7" s="30"/>
    </row>
  </sheetData>
  <mergeCells count="1">
    <mergeCell ref="A5:S7"/>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5</vt:i4>
      </vt:variant>
    </vt:vector>
  </HeadingPairs>
  <TitlesOfParts>
    <vt:vector size="9" baseType="lpstr">
      <vt:lpstr>Chart</vt:lpstr>
      <vt:lpstr>Sheet1</vt:lpstr>
      <vt:lpstr>Sheet2</vt:lpstr>
      <vt:lpstr>Help</vt:lpstr>
      <vt:lpstr>DataColDs</vt:lpstr>
      <vt:lpstr>DataColIDs</vt:lpstr>
      <vt:lpstr>HistPeriods</vt:lpstr>
      <vt:lpstr>TopTableData</vt:lpstr>
      <vt:lpstr>XMin</vt:lpstr>
    </vt:vector>
  </TitlesOfParts>
  <Company>Bloomberg L.P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dhandy5</dc:creator>
  <cp:lastModifiedBy>Windows User</cp:lastModifiedBy>
  <dcterms:created xsi:type="dcterms:W3CDTF">2014-07-10T18:30:31Z</dcterms:created>
  <dcterms:modified xsi:type="dcterms:W3CDTF">2014-09-15T21:14:05Z</dcterms:modified>
</cp:coreProperties>
</file>